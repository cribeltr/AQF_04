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6c104b38022394b/Desktop/^MUltimo programa funcional/"/>
    </mc:Choice>
  </mc:AlternateContent>
  <xr:revisionPtr revIDLastSave="0" documentId="8_{AAE58953-4464-4805-8581-6020EB4F15AD}" xr6:coauthVersionLast="47" xr6:coauthVersionMax="47" xr10:uidLastSave="{00000000-0000-0000-0000-000000000000}"/>
  <bookViews>
    <workbookView xWindow="-120" yWindow="-120" windowWidth="29040" windowHeight="15720" tabRatio="812" activeTab="5" xr2:uid="{00000000-000D-0000-FFFF-FFFF00000000}"/>
  </bookViews>
  <sheets>
    <sheet name="Panel" sheetId="1" r:id="rId1"/>
    <sheet name="Pendientes" sheetId="2" r:id="rId2"/>
    <sheet name="Ficha de Equipo" sheetId="3" r:id="rId3"/>
    <sheet name="Tablero" sheetId="4" r:id="rId4"/>
    <sheet name="MP Carta 2026" sheetId="5" r:id="rId5"/>
    <sheet name="Registro MP" sheetId="6" r:id="rId6"/>
    <sheet name="Catálogos" sheetId="7" r:id="rId7"/>
    <sheet name="Equipos" sheetId="8" r:id="rId8"/>
    <sheet name="1. Órdenes de Trabajo" sheetId="9" r:id="rId9"/>
    <sheet name="2. Línea de Compra" sheetId="10" r:id="rId10"/>
    <sheet name="3. Repuestos" sheetId="11" r:id="rId11"/>
    <sheet name="4. Visitas Técnicas" sheetId="12" r:id="rId12"/>
    <sheet name="5. Servicio Técnico (Envíos)" sheetId="13" r:id="rId13"/>
    <sheet name="6. Bajas" sheetId="14" r:id="rId14"/>
    <sheet name="7. Reparación en Terreno" sheetId="15" r:id="rId15"/>
  </sheets>
  <definedNames>
    <definedName name="_xlnm._FilterDatabase" localSheetId="8" hidden="1">'1. Órdenes de Trabajo'!$A$1:$K$301</definedName>
    <definedName name="_xlnm._FilterDatabase" localSheetId="7" hidden="1">Equipos!$A$1:$M$967</definedName>
    <definedName name="_xlnm._FilterDatabase" localSheetId="1" hidden="1">Pendientes!$A$1:$P$60</definedName>
    <definedName name="_xlnm._FilterDatabase" localSheetId="5" hidden="1">'Registro MP'!$A$1:$Q$1243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01" i="9" l="1"/>
  <c r="G301" i="9"/>
  <c r="E301" i="9"/>
  <c r="I300" i="9"/>
  <c r="G300" i="9"/>
  <c r="E300" i="9"/>
  <c r="I299" i="9"/>
  <c r="G299" i="9"/>
  <c r="E299" i="9"/>
  <c r="I298" i="9"/>
  <c r="G298" i="9"/>
  <c r="E298" i="9"/>
  <c r="I297" i="9"/>
  <c r="G297" i="9"/>
  <c r="E297" i="9"/>
  <c r="I296" i="9"/>
  <c r="G296" i="9"/>
  <c r="E296" i="9"/>
  <c r="I295" i="9"/>
  <c r="G295" i="9"/>
  <c r="E295" i="9"/>
  <c r="I294" i="9"/>
  <c r="G294" i="9"/>
  <c r="E294" i="9"/>
  <c r="I293" i="9"/>
  <c r="G293" i="9"/>
  <c r="E293" i="9"/>
  <c r="I292" i="9"/>
  <c r="G292" i="9"/>
  <c r="E292" i="9"/>
  <c r="I291" i="9"/>
  <c r="G291" i="9"/>
  <c r="E291" i="9"/>
  <c r="I290" i="9"/>
  <c r="G290" i="9"/>
  <c r="E290" i="9"/>
  <c r="I289" i="9"/>
  <c r="G289" i="9"/>
  <c r="E289" i="9"/>
  <c r="I288" i="9"/>
  <c r="G288" i="9"/>
  <c r="E288" i="9"/>
  <c r="I287" i="9"/>
  <c r="G287" i="9"/>
  <c r="E287" i="9"/>
  <c r="I286" i="9"/>
  <c r="G286" i="9"/>
  <c r="E286" i="9"/>
  <c r="I285" i="9"/>
  <c r="G285" i="9"/>
  <c r="E285" i="9"/>
  <c r="I284" i="9"/>
  <c r="G284" i="9"/>
  <c r="E284" i="9"/>
  <c r="I283" i="9"/>
  <c r="G283" i="9"/>
  <c r="E283" i="9"/>
  <c r="I282" i="9"/>
  <c r="G282" i="9"/>
  <c r="E282" i="9"/>
  <c r="I281" i="9"/>
  <c r="G281" i="9"/>
  <c r="E281" i="9"/>
  <c r="I280" i="9"/>
  <c r="G280" i="9"/>
  <c r="E280" i="9"/>
  <c r="I279" i="9"/>
  <c r="G279" i="9"/>
  <c r="E279" i="9"/>
  <c r="I278" i="9"/>
  <c r="G278" i="9"/>
  <c r="E278" i="9"/>
  <c r="I277" i="9"/>
  <c r="G277" i="9"/>
  <c r="E277" i="9"/>
  <c r="I276" i="9"/>
  <c r="G276" i="9"/>
  <c r="E276" i="9"/>
  <c r="I275" i="9"/>
  <c r="G275" i="9"/>
  <c r="E275" i="9"/>
  <c r="I274" i="9"/>
  <c r="G274" i="9"/>
  <c r="E274" i="9"/>
  <c r="I273" i="9"/>
  <c r="G273" i="9"/>
  <c r="E273" i="9"/>
  <c r="I272" i="9"/>
  <c r="G272" i="9"/>
  <c r="E272" i="9"/>
  <c r="I271" i="9"/>
  <c r="G271" i="9"/>
  <c r="E271" i="9"/>
  <c r="I270" i="9"/>
  <c r="G270" i="9"/>
  <c r="E270" i="9"/>
  <c r="I269" i="9"/>
  <c r="G269" i="9"/>
  <c r="E269" i="9"/>
  <c r="I268" i="9"/>
  <c r="G268" i="9"/>
  <c r="E268" i="9"/>
  <c r="I267" i="9"/>
  <c r="G267" i="9"/>
  <c r="E267" i="9"/>
  <c r="I266" i="9"/>
  <c r="G266" i="9"/>
  <c r="E266" i="9"/>
  <c r="I265" i="9"/>
  <c r="G265" i="9"/>
  <c r="E265" i="9"/>
  <c r="I264" i="9"/>
  <c r="G264" i="9"/>
  <c r="E264" i="9"/>
  <c r="I263" i="9"/>
  <c r="G263" i="9"/>
  <c r="E263" i="9"/>
  <c r="I262" i="9"/>
  <c r="G262" i="9"/>
  <c r="E262" i="9"/>
  <c r="I261" i="9"/>
  <c r="G261" i="9"/>
  <c r="E261" i="9"/>
  <c r="I260" i="9"/>
  <c r="G260" i="9"/>
  <c r="E260" i="9"/>
  <c r="I259" i="9"/>
  <c r="G259" i="9"/>
  <c r="E259" i="9"/>
  <c r="I258" i="9"/>
  <c r="G258" i="9"/>
  <c r="E258" i="9"/>
  <c r="I257" i="9"/>
  <c r="G257" i="9"/>
  <c r="E257" i="9"/>
  <c r="I256" i="9"/>
  <c r="G256" i="9"/>
  <c r="E256" i="9"/>
  <c r="I255" i="9"/>
  <c r="G255" i="9"/>
  <c r="E255" i="9"/>
  <c r="I254" i="9"/>
  <c r="G254" i="9"/>
  <c r="E254" i="9"/>
  <c r="I253" i="9"/>
  <c r="G253" i="9"/>
  <c r="E253" i="9"/>
  <c r="I252" i="9"/>
  <c r="G252" i="9"/>
  <c r="E252" i="9"/>
  <c r="I251" i="9"/>
  <c r="G251" i="9"/>
  <c r="E251" i="9"/>
  <c r="I250" i="9"/>
  <c r="G250" i="9"/>
  <c r="E250" i="9"/>
  <c r="I249" i="9"/>
  <c r="G249" i="9"/>
  <c r="E249" i="9"/>
  <c r="I248" i="9"/>
  <c r="G248" i="9"/>
  <c r="E248" i="9"/>
  <c r="I247" i="9"/>
  <c r="G247" i="9"/>
  <c r="E247" i="9"/>
  <c r="I246" i="9"/>
  <c r="G246" i="9"/>
  <c r="E246" i="9"/>
  <c r="I245" i="9"/>
  <c r="G245" i="9"/>
  <c r="E245" i="9"/>
  <c r="I244" i="9"/>
  <c r="G244" i="9"/>
  <c r="E244" i="9"/>
  <c r="I243" i="9"/>
  <c r="G243" i="9"/>
  <c r="E243" i="9"/>
  <c r="I242" i="9"/>
  <c r="G242" i="9"/>
  <c r="E242" i="9"/>
  <c r="I241" i="9"/>
  <c r="G241" i="9"/>
  <c r="E241" i="9"/>
  <c r="I240" i="9"/>
  <c r="G240" i="9"/>
  <c r="E240" i="9"/>
  <c r="I239" i="9"/>
  <c r="G239" i="9"/>
  <c r="E239" i="9"/>
  <c r="I238" i="9"/>
  <c r="G238" i="9"/>
  <c r="E238" i="9"/>
  <c r="I237" i="9"/>
  <c r="G237" i="9"/>
  <c r="E237" i="9"/>
  <c r="I236" i="9"/>
  <c r="G236" i="9"/>
  <c r="E236" i="9"/>
  <c r="I235" i="9"/>
  <c r="G235" i="9"/>
  <c r="E235" i="9"/>
  <c r="I234" i="9"/>
  <c r="G234" i="9"/>
  <c r="E234" i="9"/>
  <c r="I233" i="9"/>
  <c r="G233" i="9"/>
  <c r="E233" i="9"/>
  <c r="I232" i="9"/>
  <c r="G232" i="9"/>
  <c r="E232" i="9"/>
  <c r="I231" i="9"/>
  <c r="G231" i="9"/>
  <c r="E231" i="9"/>
  <c r="I230" i="9"/>
  <c r="G230" i="9"/>
  <c r="E230" i="9"/>
  <c r="I229" i="9"/>
  <c r="G229" i="9"/>
  <c r="E229" i="9"/>
  <c r="I228" i="9"/>
  <c r="G228" i="9"/>
  <c r="E228" i="9"/>
  <c r="I227" i="9"/>
  <c r="G227" i="9"/>
  <c r="E227" i="9"/>
  <c r="I226" i="9"/>
  <c r="G226" i="9"/>
  <c r="E226" i="9"/>
  <c r="I225" i="9"/>
  <c r="G225" i="9"/>
  <c r="E225" i="9"/>
  <c r="I224" i="9"/>
  <c r="G224" i="9"/>
  <c r="E224" i="9"/>
  <c r="I223" i="9"/>
  <c r="G223" i="9"/>
  <c r="E223" i="9"/>
  <c r="I222" i="9"/>
  <c r="G222" i="9"/>
  <c r="E222" i="9"/>
  <c r="I221" i="9"/>
  <c r="G221" i="9"/>
  <c r="E221" i="9"/>
  <c r="I220" i="9"/>
  <c r="G220" i="9"/>
  <c r="E220" i="9"/>
  <c r="I219" i="9"/>
  <c r="G219" i="9"/>
  <c r="E219" i="9"/>
  <c r="I218" i="9"/>
  <c r="G218" i="9"/>
  <c r="E218" i="9"/>
  <c r="I217" i="9"/>
  <c r="G217" i="9"/>
  <c r="E217" i="9"/>
  <c r="I216" i="9"/>
  <c r="G216" i="9"/>
  <c r="E216" i="9"/>
  <c r="I215" i="9"/>
  <c r="G215" i="9"/>
  <c r="E215" i="9"/>
  <c r="I214" i="9"/>
  <c r="G214" i="9"/>
  <c r="E214" i="9"/>
  <c r="I213" i="9"/>
  <c r="G213" i="9"/>
  <c r="E213" i="9"/>
  <c r="I212" i="9"/>
  <c r="G212" i="9"/>
  <c r="E212" i="9"/>
  <c r="I211" i="9"/>
  <c r="G211" i="9"/>
  <c r="E211" i="9"/>
  <c r="I210" i="9"/>
  <c r="G210" i="9"/>
  <c r="E210" i="9"/>
  <c r="I209" i="9"/>
  <c r="G209" i="9"/>
  <c r="E209" i="9"/>
  <c r="I208" i="9"/>
  <c r="G208" i="9"/>
  <c r="E208" i="9"/>
  <c r="I207" i="9"/>
  <c r="G207" i="9"/>
  <c r="E207" i="9"/>
  <c r="I206" i="9"/>
  <c r="G206" i="9"/>
  <c r="E206" i="9"/>
  <c r="I205" i="9"/>
  <c r="G205" i="9"/>
  <c r="E205" i="9"/>
  <c r="I204" i="9"/>
  <c r="G204" i="9"/>
  <c r="E204" i="9"/>
  <c r="I203" i="9"/>
  <c r="G203" i="9"/>
  <c r="E203" i="9"/>
  <c r="I202" i="9"/>
  <c r="G202" i="9"/>
  <c r="E202" i="9"/>
  <c r="I201" i="9"/>
  <c r="G201" i="9"/>
  <c r="E201" i="9"/>
  <c r="I200" i="9"/>
  <c r="G200" i="9"/>
  <c r="E200" i="9"/>
  <c r="I199" i="9"/>
  <c r="G199" i="9"/>
  <c r="E199" i="9"/>
  <c r="I198" i="9"/>
  <c r="G198" i="9"/>
  <c r="E198" i="9"/>
  <c r="I197" i="9"/>
  <c r="G197" i="9"/>
  <c r="E197" i="9"/>
  <c r="I196" i="9"/>
  <c r="G196" i="9"/>
  <c r="E196" i="9"/>
  <c r="I195" i="9"/>
  <c r="G195" i="9"/>
  <c r="E195" i="9"/>
  <c r="I194" i="9"/>
  <c r="G194" i="9"/>
  <c r="E194" i="9"/>
  <c r="I193" i="9"/>
  <c r="G193" i="9"/>
  <c r="E193" i="9"/>
  <c r="I192" i="9"/>
  <c r="G192" i="9"/>
  <c r="E192" i="9"/>
  <c r="I191" i="9"/>
  <c r="G191" i="9"/>
  <c r="E191" i="9"/>
  <c r="I190" i="9"/>
  <c r="G190" i="9"/>
  <c r="E190" i="9"/>
  <c r="I189" i="9"/>
  <c r="G189" i="9"/>
  <c r="E189" i="9"/>
  <c r="I188" i="9"/>
  <c r="G188" i="9"/>
  <c r="E188" i="9"/>
  <c r="I187" i="9"/>
  <c r="G187" i="9"/>
  <c r="E187" i="9"/>
  <c r="I186" i="9"/>
  <c r="G186" i="9"/>
  <c r="E186" i="9"/>
  <c r="I185" i="9"/>
  <c r="G185" i="9"/>
  <c r="E185" i="9"/>
  <c r="I184" i="9"/>
  <c r="G184" i="9"/>
  <c r="E184" i="9"/>
  <c r="I183" i="9"/>
  <c r="G183" i="9"/>
  <c r="E183" i="9"/>
  <c r="I182" i="9"/>
  <c r="G182" i="9"/>
  <c r="E182" i="9"/>
  <c r="I181" i="9"/>
  <c r="G181" i="9"/>
  <c r="E181" i="9"/>
  <c r="I180" i="9"/>
  <c r="G180" i="9"/>
  <c r="E180" i="9"/>
  <c r="I179" i="9"/>
  <c r="G179" i="9"/>
  <c r="E179" i="9"/>
  <c r="I178" i="9"/>
  <c r="G178" i="9"/>
  <c r="E178" i="9"/>
  <c r="I177" i="9"/>
  <c r="G177" i="9"/>
  <c r="E177" i="9"/>
  <c r="I176" i="9"/>
  <c r="G176" i="9"/>
  <c r="E176" i="9"/>
  <c r="I175" i="9"/>
  <c r="G175" i="9"/>
  <c r="E175" i="9"/>
  <c r="I174" i="9"/>
  <c r="G174" i="9"/>
  <c r="E174" i="9"/>
  <c r="I173" i="9"/>
  <c r="G173" i="9"/>
  <c r="E173" i="9"/>
  <c r="I172" i="9"/>
  <c r="G172" i="9"/>
  <c r="E172" i="9"/>
  <c r="I171" i="9"/>
  <c r="G171" i="9"/>
  <c r="E171" i="9"/>
  <c r="I170" i="9"/>
  <c r="G170" i="9"/>
  <c r="E170" i="9"/>
  <c r="I169" i="9"/>
  <c r="G169" i="9"/>
  <c r="E169" i="9"/>
  <c r="I168" i="9"/>
  <c r="G168" i="9"/>
  <c r="E168" i="9"/>
  <c r="I167" i="9"/>
  <c r="G167" i="9"/>
  <c r="E167" i="9"/>
  <c r="I166" i="9"/>
  <c r="G166" i="9"/>
  <c r="E166" i="9"/>
  <c r="I165" i="9"/>
  <c r="G165" i="9"/>
  <c r="E165" i="9"/>
  <c r="I164" i="9"/>
  <c r="G164" i="9"/>
  <c r="E164" i="9"/>
  <c r="I163" i="9"/>
  <c r="G163" i="9"/>
  <c r="E163" i="9"/>
  <c r="I162" i="9"/>
  <c r="G162" i="9"/>
  <c r="E162" i="9"/>
  <c r="I161" i="9"/>
  <c r="G161" i="9"/>
  <c r="E161" i="9"/>
  <c r="I160" i="9"/>
  <c r="G160" i="9"/>
  <c r="E160" i="9"/>
  <c r="I159" i="9"/>
  <c r="G159" i="9"/>
  <c r="E159" i="9"/>
  <c r="I158" i="9"/>
  <c r="G158" i="9"/>
  <c r="E158" i="9"/>
  <c r="I157" i="9"/>
  <c r="G157" i="9"/>
  <c r="E157" i="9"/>
  <c r="I156" i="9"/>
  <c r="G156" i="9"/>
  <c r="E156" i="9"/>
  <c r="I155" i="9"/>
  <c r="G155" i="9"/>
  <c r="E155" i="9"/>
  <c r="I154" i="9"/>
  <c r="G154" i="9"/>
  <c r="E154" i="9"/>
  <c r="I153" i="9"/>
  <c r="G153" i="9"/>
  <c r="E153" i="9"/>
  <c r="I152" i="9"/>
  <c r="G152" i="9"/>
  <c r="E152" i="9"/>
  <c r="I151" i="9"/>
  <c r="G151" i="9"/>
  <c r="E151" i="9"/>
  <c r="I150" i="9"/>
  <c r="G150" i="9"/>
  <c r="E150" i="9"/>
  <c r="I149" i="9"/>
  <c r="G149" i="9"/>
  <c r="E149" i="9"/>
  <c r="I148" i="9"/>
  <c r="G148" i="9"/>
  <c r="E148" i="9"/>
  <c r="I147" i="9"/>
  <c r="G147" i="9"/>
  <c r="E147" i="9"/>
  <c r="I146" i="9"/>
  <c r="G146" i="9"/>
  <c r="E146" i="9"/>
  <c r="I145" i="9"/>
  <c r="G145" i="9"/>
  <c r="E145" i="9"/>
  <c r="I144" i="9"/>
  <c r="G144" i="9"/>
  <c r="E144" i="9"/>
  <c r="I143" i="9"/>
  <c r="G143" i="9"/>
  <c r="E143" i="9"/>
  <c r="I142" i="9"/>
  <c r="G142" i="9"/>
  <c r="E142" i="9"/>
  <c r="I141" i="9"/>
  <c r="G141" i="9"/>
  <c r="E141" i="9"/>
  <c r="I140" i="9"/>
  <c r="G140" i="9"/>
  <c r="E140" i="9"/>
  <c r="I139" i="9"/>
  <c r="G139" i="9"/>
  <c r="E139" i="9"/>
  <c r="I138" i="9"/>
  <c r="G138" i="9"/>
  <c r="E138" i="9"/>
  <c r="I137" i="9"/>
  <c r="G137" i="9"/>
  <c r="E137" i="9"/>
  <c r="I136" i="9"/>
  <c r="G136" i="9"/>
  <c r="E136" i="9"/>
  <c r="I135" i="9"/>
  <c r="G135" i="9"/>
  <c r="E135" i="9"/>
  <c r="I134" i="9"/>
  <c r="G134" i="9"/>
  <c r="E134" i="9"/>
  <c r="I133" i="9"/>
  <c r="G133" i="9"/>
  <c r="E133" i="9"/>
  <c r="I132" i="9"/>
  <c r="G132" i="9"/>
  <c r="E132" i="9"/>
  <c r="I131" i="9"/>
  <c r="G131" i="9"/>
  <c r="E131" i="9"/>
  <c r="I130" i="9"/>
  <c r="G130" i="9"/>
  <c r="E130" i="9"/>
  <c r="I129" i="9"/>
  <c r="G129" i="9"/>
  <c r="E129" i="9"/>
  <c r="I128" i="9"/>
  <c r="G128" i="9"/>
  <c r="E128" i="9"/>
  <c r="I127" i="9"/>
  <c r="G127" i="9"/>
  <c r="E127" i="9"/>
  <c r="I126" i="9"/>
  <c r="G126" i="9"/>
  <c r="E126" i="9"/>
  <c r="I125" i="9"/>
  <c r="G125" i="9"/>
  <c r="E125" i="9"/>
  <c r="I124" i="9"/>
  <c r="G124" i="9"/>
  <c r="E124" i="9"/>
  <c r="I123" i="9"/>
  <c r="G123" i="9"/>
  <c r="E123" i="9"/>
  <c r="I122" i="9"/>
  <c r="G122" i="9"/>
  <c r="E122" i="9"/>
  <c r="I121" i="9"/>
  <c r="G121" i="9"/>
  <c r="E121" i="9"/>
  <c r="I120" i="9"/>
  <c r="G120" i="9"/>
  <c r="E120" i="9"/>
  <c r="I119" i="9"/>
  <c r="G119" i="9"/>
  <c r="E119" i="9"/>
  <c r="I118" i="9"/>
  <c r="G118" i="9"/>
  <c r="E118" i="9"/>
  <c r="I117" i="9"/>
  <c r="G117" i="9"/>
  <c r="E117" i="9"/>
  <c r="I116" i="9"/>
  <c r="G116" i="9"/>
  <c r="E116" i="9"/>
  <c r="I115" i="9"/>
  <c r="G115" i="9"/>
  <c r="E115" i="9"/>
  <c r="I114" i="9"/>
  <c r="G114" i="9"/>
  <c r="E114" i="9"/>
  <c r="I113" i="9"/>
  <c r="G113" i="9"/>
  <c r="E113" i="9"/>
  <c r="I112" i="9"/>
  <c r="G112" i="9"/>
  <c r="E112" i="9"/>
  <c r="I111" i="9"/>
  <c r="G111" i="9"/>
  <c r="E111" i="9"/>
  <c r="I110" i="9"/>
  <c r="G110" i="9"/>
  <c r="E110" i="9"/>
  <c r="I109" i="9"/>
  <c r="G109" i="9"/>
  <c r="E109" i="9"/>
  <c r="I108" i="9"/>
  <c r="G108" i="9"/>
  <c r="E108" i="9"/>
  <c r="I107" i="9"/>
  <c r="G107" i="9"/>
  <c r="E107" i="9"/>
  <c r="I106" i="9"/>
  <c r="G106" i="9"/>
  <c r="E106" i="9"/>
  <c r="I105" i="9"/>
  <c r="G105" i="9"/>
  <c r="E105" i="9"/>
  <c r="I104" i="9"/>
  <c r="G104" i="9"/>
  <c r="E104" i="9"/>
  <c r="I103" i="9"/>
  <c r="G103" i="9"/>
  <c r="E103" i="9"/>
  <c r="I102" i="9"/>
  <c r="G102" i="9"/>
  <c r="E102" i="9"/>
  <c r="I101" i="9"/>
  <c r="G101" i="9"/>
  <c r="E101" i="9"/>
  <c r="I100" i="9"/>
  <c r="G100" i="9"/>
  <c r="E100" i="9"/>
  <c r="I99" i="9"/>
  <c r="G99" i="9"/>
  <c r="E99" i="9"/>
  <c r="I98" i="9"/>
  <c r="G98" i="9"/>
  <c r="E98" i="9"/>
  <c r="I97" i="9"/>
  <c r="G97" i="9"/>
  <c r="E97" i="9"/>
  <c r="I96" i="9"/>
  <c r="G96" i="9"/>
  <c r="E96" i="9"/>
  <c r="I95" i="9"/>
  <c r="G95" i="9"/>
  <c r="E95" i="9"/>
  <c r="I94" i="9"/>
  <c r="G94" i="9"/>
  <c r="E94" i="9"/>
  <c r="I93" i="9"/>
  <c r="G93" i="9"/>
  <c r="E93" i="9"/>
  <c r="I92" i="9"/>
  <c r="G92" i="9"/>
  <c r="E92" i="9"/>
  <c r="I91" i="9"/>
  <c r="G91" i="9"/>
  <c r="E91" i="9"/>
  <c r="I90" i="9"/>
  <c r="G90" i="9"/>
  <c r="E90" i="9"/>
  <c r="I89" i="9"/>
  <c r="G89" i="9"/>
  <c r="E89" i="9"/>
  <c r="I88" i="9"/>
  <c r="G88" i="9"/>
  <c r="E88" i="9"/>
  <c r="I87" i="9"/>
  <c r="G87" i="9"/>
  <c r="E87" i="9"/>
  <c r="I86" i="9"/>
  <c r="G86" i="9"/>
  <c r="E86" i="9"/>
  <c r="I85" i="9"/>
  <c r="G85" i="9"/>
  <c r="E85" i="9"/>
  <c r="I84" i="9"/>
  <c r="G84" i="9"/>
  <c r="E84" i="9"/>
  <c r="I83" i="9"/>
  <c r="G83" i="9"/>
  <c r="E83" i="9"/>
  <c r="I82" i="9"/>
  <c r="G82" i="9"/>
  <c r="E82" i="9"/>
  <c r="I81" i="9"/>
  <c r="G81" i="9"/>
  <c r="E81" i="9"/>
  <c r="I80" i="9"/>
  <c r="G80" i="9"/>
  <c r="E80" i="9"/>
  <c r="I79" i="9"/>
  <c r="G79" i="9"/>
  <c r="E79" i="9"/>
  <c r="I78" i="9"/>
  <c r="G78" i="9"/>
  <c r="E78" i="9"/>
  <c r="I77" i="9"/>
  <c r="G77" i="9"/>
  <c r="E77" i="9"/>
  <c r="I76" i="9"/>
  <c r="G76" i="9"/>
  <c r="E76" i="9"/>
  <c r="I75" i="9"/>
  <c r="G75" i="9"/>
  <c r="E75" i="9"/>
  <c r="I74" i="9"/>
  <c r="G74" i="9"/>
  <c r="E74" i="9"/>
  <c r="I73" i="9"/>
  <c r="G73" i="9"/>
  <c r="E73" i="9"/>
  <c r="I72" i="9"/>
  <c r="G72" i="9"/>
  <c r="E72" i="9"/>
  <c r="I71" i="9"/>
  <c r="G71" i="9"/>
  <c r="E71" i="9"/>
  <c r="I70" i="9"/>
  <c r="G70" i="9"/>
  <c r="E70" i="9"/>
  <c r="I69" i="9"/>
  <c r="G69" i="9"/>
  <c r="E69" i="9"/>
  <c r="I68" i="9"/>
  <c r="G68" i="9"/>
  <c r="E68" i="9"/>
  <c r="I67" i="9"/>
  <c r="G67" i="9"/>
  <c r="E67" i="9"/>
  <c r="I66" i="9"/>
  <c r="G66" i="9"/>
  <c r="E66" i="9"/>
  <c r="I65" i="9"/>
  <c r="G65" i="9"/>
  <c r="E65" i="9"/>
  <c r="I64" i="9"/>
  <c r="G64" i="9"/>
  <c r="E64" i="9"/>
  <c r="I63" i="9"/>
  <c r="G63" i="9"/>
  <c r="E63" i="9"/>
  <c r="I62" i="9"/>
  <c r="G62" i="9"/>
  <c r="E62" i="9"/>
  <c r="I61" i="9"/>
  <c r="G61" i="9"/>
  <c r="E61" i="9"/>
  <c r="I60" i="9"/>
  <c r="G60" i="9"/>
  <c r="E60" i="9"/>
  <c r="I59" i="9"/>
  <c r="G59" i="9"/>
  <c r="E59" i="9"/>
  <c r="I58" i="9"/>
  <c r="G58" i="9"/>
  <c r="E58" i="9"/>
  <c r="I57" i="9"/>
  <c r="G57" i="9"/>
  <c r="E57" i="9"/>
  <c r="I56" i="9"/>
  <c r="G56" i="9"/>
  <c r="E56" i="9"/>
  <c r="I55" i="9"/>
  <c r="G55" i="9"/>
  <c r="E55" i="9"/>
  <c r="I54" i="9"/>
  <c r="G54" i="9"/>
  <c r="E54" i="9"/>
  <c r="I53" i="9"/>
  <c r="G53" i="9"/>
  <c r="E53" i="9"/>
  <c r="I52" i="9"/>
  <c r="G52" i="9"/>
  <c r="E52" i="9"/>
  <c r="I51" i="9"/>
  <c r="G51" i="9"/>
  <c r="E51" i="9"/>
  <c r="I50" i="9"/>
  <c r="G50" i="9"/>
  <c r="E50" i="9"/>
  <c r="I49" i="9"/>
  <c r="G49" i="9"/>
  <c r="E49" i="9"/>
  <c r="I48" i="9"/>
  <c r="G48" i="9"/>
  <c r="E48" i="9"/>
  <c r="I47" i="9"/>
  <c r="G47" i="9"/>
  <c r="E47" i="9"/>
  <c r="I46" i="9"/>
  <c r="G46" i="9"/>
  <c r="E46" i="9"/>
  <c r="I45" i="9"/>
  <c r="G45" i="9"/>
  <c r="E45" i="9"/>
  <c r="I44" i="9"/>
  <c r="G44" i="9"/>
  <c r="E44" i="9"/>
  <c r="I43" i="9"/>
  <c r="G43" i="9"/>
  <c r="E43" i="9"/>
  <c r="I42" i="9"/>
  <c r="G42" i="9"/>
  <c r="E42" i="9"/>
  <c r="I41" i="9"/>
  <c r="G41" i="9"/>
  <c r="E41" i="9"/>
  <c r="I40" i="9"/>
  <c r="G40" i="9"/>
  <c r="E40" i="9"/>
  <c r="I39" i="9"/>
  <c r="G39" i="9"/>
  <c r="E39" i="9"/>
  <c r="I38" i="9"/>
  <c r="G38" i="9"/>
  <c r="E38" i="9"/>
  <c r="I37" i="9"/>
  <c r="G37" i="9"/>
  <c r="E37" i="9"/>
  <c r="I36" i="9"/>
  <c r="G36" i="9"/>
  <c r="E36" i="9"/>
  <c r="I35" i="9"/>
  <c r="G35" i="9"/>
  <c r="E35" i="9"/>
  <c r="I34" i="9"/>
  <c r="G34" i="9"/>
  <c r="E34" i="9"/>
  <c r="I33" i="9"/>
  <c r="G33" i="9"/>
  <c r="E33" i="9"/>
  <c r="I32" i="9"/>
  <c r="G32" i="9"/>
  <c r="E32" i="9"/>
  <c r="I31" i="9"/>
  <c r="G31" i="9"/>
  <c r="E31" i="9"/>
  <c r="I30" i="9"/>
  <c r="G30" i="9"/>
  <c r="E30" i="9"/>
  <c r="I29" i="9"/>
  <c r="G29" i="9"/>
  <c r="E29" i="9"/>
  <c r="I28" i="9"/>
  <c r="G28" i="9"/>
  <c r="E28" i="9"/>
  <c r="I27" i="9"/>
  <c r="G27" i="9"/>
  <c r="E27" i="9"/>
  <c r="I26" i="9"/>
  <c r="G26" i="9"/>
  <c r="E26" i="9"/>
  <c r="I25" i="9"/>
  <c r="G25" i="9"/>
  <c r="E25" i="9"/>
  <c r="I24" i="9"/>
  <c r="G24" i="9"/>
  <c r="E24" i="9"/>
  <c r="I23" i="9"/>
  <c r="G23" i="9"/>
  <c r="E23" i="9"/>
  <c r="I22" i="9"/>
  <c r="G22" i="9"/>
  <c r="E22" i="9"/>
  <c r="I21" i="9"/>
  <c r="G21" i="9"/>
  <c r="E21" i="9"/>
  <c r="I20" i="9"/>
  <c r="G20" i="9"/>
  <c r="E20" i="9"/>
  <c r="I19" i="9"/>
  <c r="G19" i="9"/>
  <c r="E19" i="9"/>
  <c r="I18" i="9"/>
  <c r="G18" i="9"/>
  <c r="E18" i="9"/>
  <c r="I17" i="9"/>
  <c r="G17" i="9"/>
  <c r="E17" i="9"/>
  <c r="I16" i="9"/>
  <c r="G16" i="9"/>
  <c r="E16" i="9"/>
  <c r="I15" i="9"/>
  <c r="C23" i="4" s="1"/>
  <c r="G15" i="9"/>
  <c r="E15" i="9"/>
  <c r="I14" i="9"/>
  <c r="G14" i="9"/>
  <c r="E14" i="9"/>
  <c r="I13" i="9"/>
  <c r="G13" i="9"/>
  <c r="E13" i="9"/>
  <c r="I12" i="9"/>
  <c r="G12" i="9"/>
  <c r="E12" i="9"/>
  <c r="I11" i="9"/>
  <c r="G11" i="9"/>
  <c r="E11" i="9"/>
  <c r="I10" i="9"/>
  <c r="G10" i="9"/>
  <c r="E10" i="9"/>
  <c r="I9" i="9"/>
  <c r="G9" i="9"/>
  <c r="E9" i="9"/>
  <c r="I8" i="9"/>
  <c r="G8" i="9"/>
  <c r="E8" i="9"/>
  <c r="I7" i="9"/>
  <c r="G7" i="9"/>
  <c r="E7" i="9"/>
  <c r="I6" i="9"/>
  <c r="G6" i="9"/>
  <c r="E6" i="9"/>
  <c r="I5" i="9"/>
  <c r="G5" i="9"/>
  <c r="E5" i="9"/>
  <c r="I4" i="9"/>
  <c r="G4" i="9"/>
  <c r="E4" i="9"/>
  <c r="I3" i="9"/>
  <c r="G3" i="9"/>
  <c r="E3" i="9"/>
  <c r="I2" i="9"/>
  <c r="G2" i="9"/>
  <c r="E2" i="9"/>
  <c r="K1243" i="6"/>
  <c r="F1243" i="6"/>
  <c r="E1243" i="6"/>
  <c r="D1243" i="6"/>
  <c r="C1243" i="6"/>
  <c r="B1243" i="6"/>
  <c r="K1242" i="6"/>
  <c r="F1242" i="6"/>
  <c r="E1242" i="6"/>
  <c r="D1242" i="6"/>
  <c r="C1242" i="6"/>
  <c r="B1242" i="6"/>
  <c r="K1241" i="6"/>
  <c r="F1241" i="6"/>
  <c r="E1241" i="6"/>
  <c r="D1241" i="6"/>
  <c r="C1241" i="6"/>
  <c r="B1241" i="6"/>
  <c r="K1240" i="6"/>
  <c r="F1240" i="6"/>
  <c r="E1240" i="6"/>
  <c r="D1240" i="6"/>
  <c r="C1240" i="6"/>
  <c r="B1240" i="6"/>
  <c r="K1239" i="6"/>
  <c r="F1239" i="6"/>
  <c r="E1239" i="6"/>
  <c r="D1239" i="6"/>
  <c r="C1239" i="6"/>
  <c r="B1239" i="6"/>
  <c r="K1238" i="6"/>
  <c r="F1238" i="6"/>
  <c r="E1238" i="6"/>
  <c r="D1238" i="6"/>
  <c r="C1238" i="6"/>
  <c r="B1238" i="6"/>
  <c r="K1237" i="6"/>
  <c r="F1237" i="6"/>
  <c r="E1237" i="6"/>
  <c r="D1237" i="6"/>
  <c r="C1237" i="6"/>
  <c r="B1237" i="6"/>
  <c r="K1236" i="6"/>
  <c r="F1236" i="6"/>
  <c r="E1236" i="6"/>
  <c r="D1236" i="6"/>
  <c r="C1236" i="6"/>
  <c r="B1236" i="6"/>
  <c r="K1235" i="6"/>
  <c r="F1235" i="6"/>
  <c r="E1235" i="6"/>
  <c r="D1235" i="6"/>
  <c r="C1235" i="6"/>
  <c r="B1235" i="6"/>
  <c r="K1234" i="6"/>
  <c r="F1234" i="6"/>
  <c r="E1234" i="6"/>
  <c r="D1234" i="6"/>
  <c r="C1234" i="6"/>
  <c r="B1234" i="6"/>
  <c r="K1233" i="6"/>
  <c r="F1233" i="6"/>
  <c r="E1233" i="6"/>
  <c r="D1233" i="6"/>
  <c r="C1233" i="6"/>
  <c r="B1233" i="6"/>
  <c r="K1232" i="6"/>
  <c r="F1232" i="6"/>
  <c r="E1232" i="6"/>
  <c r="D1232" i="6"/>
  <c r="C1232" i="6"/>
  <c r="B1232" i="6"/>
  <c r="K1231" i="6"/>
  <c r="F1231" i="6"/>
  <c r="E1231" i="6"/>
  <c r="D1231" i="6"/>
  <c r="C1231" i="6"/>
  <c r="B1231" i="6"/>
  <c r="K1230" i="6"/>
  <c r="F1230" i="6"/>
  <c r="E1230" i="6"/>
  <c r="D1230" i="6"/>
  <c r="C1230" i="6"/>
  <c r="B1230" i="6"/>
  <c r="K1229" i="6"/>
  <c r="F1229" i="6"/>
  <c r="E1229" i="6"/>
  <c r="D1229" i="6"/>
  <c r="C1229" i="6"/>
  <c r="B1229" i="6"/>
  <c r="K1228" i="6"/>
  <c r="F1228" i="6"/>
  <c r="E1228" i="6"/>
  <c r="D1228" i="6"/>
  <c r="C1228" i="6"/>
  <c r="B1228" i="6"/>
  <c r="K1227" i="6"/>
  <c r="F1227" i="6"/>
  <c r="E1227" i="6"/>
  <c r="D1227" i="6"/>
  <c r="C1227" i="6"/>
  <c r="B1227" i="6"/>
  <c r="K1226" i="6"/>
  <c r="F1226" i="6"/>
  <c r="E1226" i="6"/>
  <c r="D1226" i="6"/>
  <c r="C1226" i="6"/>
  <c r="B1226" i="6"/>
  <c r="K1225" i="6"/>
  <c r="F1225" i="6"/>
  <c r="E1225" i="6"/>
  <c r="D1225" i="6"/>
  <c r="C1225" i="6"/>
  <c r="B1225" i="6"/>
  <c r="K1224" i="6"/>
  <c r="F1224" i="6"/>
  <c r="E1224" i="6"/>
  <c r="D1224" i="6"/>
  <c r="C1224" i="6"/>
  <c r="B1224" i="6"/>
  <c r="K1223" i="6"/>
  <c r="F1223" i="6"/>
  <c r="E1223" i="6"/>
  <c r="D1223" i="6"/>
  <c r="C1223" i="6"/>
  <c r="B1223" i="6"/>
  <c r="K1222" i="6"/>
  <c r="F1222" i="6"/>
  <c r="E1222" i="6"/>
  <c r="D1222" i="6"/>
  <c r="C1222" i="6"/>
  <c r="B1222" i="6"/>
  <c r="K1221" i="6"/>
  <c r="F1221" i="6"/>
  <c r="E1221" i="6"/>
  <c r="D1221" i="6"/>
  <c r="C1221" i="6"/>
  <c r="B1221" i="6"/>
  <c r="K1220" i="6"/>
  <c r="F1220" i="6"/>
  <c r="E1220" i="6"/>
  <c r="D1220" i="6"/>
  <c r="C1220" i="6"/>
  <c r="B1220" i="6"/>
  <c r="K1219" i="6"/>
  <c r="F1219" i="6"/>
  <c r="E1219" i="6"/>
  <c r="D1219" i="6"/>
  <c r="C1219" i="6"/>
  <c r="B1219" i="6"/>
  <c r="K1218" i="6"/>
  <c r="F1218" i="6"/>
  <c r="E1218" i="6"/>
  <c r="D1218" i="6"/>
  <c r="C1218" i="6"/>
  <c r="B1218" i="6"/>
  <c r="K1217" i="6"/>
  <c r="F1217" i="6"/>
  <c r="E1217" i="6"/>
  <c r="D1217" i="6"/>
  <c r="C1217" i="6"/>
  <c r="B1217" i="6"/>
  <c r="K1216" i="6"/>
  <c r="F1216" i="6"/>
  <c r="E1216" i="6"/>
  <c r="D1216" i="6"/>
  <c r="C1216" i="6"/>
  <c r="B1216" i="6"/>
  <c r="K1215" i="6"/>
  <c r="F1215" i="6"/>
  <c r="E1215" i="6"/>
  <c r="D1215" i="6"/>
  <c r="C1215" i="6"/>
  <c r="B1215" i="6"/>
  <c r="K1214" i="6"/>
  <c r="F1214" i="6"/>
  <c r="E1214" i="6"/>
  <c r="D1214" i="6"/>
  <c r="C1214" i="6"/>
  <c r="B1214" i="6"/>
  <c r="K1213" i="6"/>
  <c r="F1213" i="6"/>
  <c r="E1213" i="6"/>
  <c r="D1213" i="6"/>
  <c r="C1213" i="6"/>
  <c r="B1213" i="6"/>
  <c r="K1212" i="6"/>
  <c r="F1212" i="6"/>
  <c r="E1212" i="6"/>
  <c r="D1212" i="6"/>
  <c r="C1212" i="6"/>
  <c r="B1212" i="6"/>
  <c r="K1211" i="6"/>
  <c r="F1211" i="6"/>
  <c r="E1211" i="6"/>
  <c r="D1211" i="6"/>
  <c r="C1211" i="6"/>
  <c r="B1211" i="6"/>
  <c r="K1210" i="6"/>
  <c r="F1210" i="6"/>
  <c r="E1210" i="6"/>
  <c r="D1210" i="6"/>
  <c r="C1210" i="6"/>
  <c r="B1210" i="6"/>
  <c r="K1209" i="6"/>
  <c r="F1209" i="6"/>
  <c r="E1209" i="6"/>
  <c r="D1209" i="6"/>
  <c r="C1209" i="6"/>
  <c r="B1209" i="6"/>
  <c r="K1208" i="6"/>
  <c r="F1208" i="6"/>
  <c r="E1208" i="6"/>
  <c r="D1208" i="6"/>
  <c r="C1208" i="6"/>
  <c r="B1208" i="6"/>
  <c r="K1207" i="6"/>
  <c r="F1207" i="6"/>
  <c r="E1207" i="6"/>
  <c r="D1207" i="6"/>
  <c r="C1207" i="6"/>
  <c r="B1207" i="6"/>
  <c r="K1206" i="6"/>
  <c r="F1206" i="6"/>
  <c r="E1206" i="6"/>
  <c r="D1206" i="6"/>
  <c r="C1206" i="6"/>
  <c r="B1206" i="6"/>
  <c r="K1205" i="6"/>
  <c r="F1205" i="6"/>
  <c r="E1205" i="6"/>
  <c r="D1205" i="6"/>
  <c r="C1205" i="6"/>
  <c r="B1205" i="6"/>
  <c r="K1204" i="6"/>
  <c r="F1204" i="6"/>
  <c r="E1204" i="6"/>
  <c r="D1204" i="6"/>
  <c r="C1204" i="6"/>
  <c r="B1204" i="6"/>
  <c r="K1203" i="6"/>
  <c r="F1203" i="6"/>
  <c r="E1203" i="6"/>
  <c r="D1203" i="6"/>
  <c r="C1203" i="6"/>
  <c r="B1203" i="6"/>
  <c r="K1202" i="6"/>
  <c r="F1202" i="6"/>
  <c r="E1202" i="6"/>
  <c r="D1202" i="6"/>
  <c r="C1202" i="6"/>
  <c r="B1202" i="6"/>
  <c r="K1201" i="6"/>
  <c r="F1201" i="6"/>
  <c r="E1201" i="6"/>
  <c r="D1201" i="6"/>
  <c r="C1201" i="6"/>
  <c r="B1201" i="6"/>
  <c r="K1200" i="6"/>
  <c r="F1200" i="6"/>
  <c r="E1200" i="6"/>
  <c r="D1200" i="6"/>
  <c r="C1200" i="6"/>
  <c r="B1200" i="6"/>
  <c r="K1199" i="6"/>
  <c r="F1199" i="6"/>
  <c r="E1199" i="6"/>
  <c r="D1199" i="6"/>
  <c r="C1199" i="6"/>
  <c r="B1199" i="6"/>
  <c r="K1198" i="6"/>
  <c r="F1198" i="6"/>
  <c r="E1198" i="6"/>
  <c r="D1198" i="6"/>
  <c r="C1198" i="6"/>
  <c r="B1198" i="6"/>
  <c r="K1197" i="6"/>
  <c r="F1197" i="6"/>
  <c r="E1197" i="6"/>
  <c r="D1197" i="6"/>
  <c r="C1197" i="6"/>
  <c r="B1197" i="6"/>
  <c r="K1196" i="6"/>
  <c r="F1196" i="6"/>
  <c r="E1196" i="6"/>
  <c r="D1196" i="6"/>
  <c r="C1196" i="6"/>
  <c r="B1196" i="6"/>
  <c r="K1195" i="6"/>
  <c r="F1195" i="6"/>
  <c r="E1195" i="6"/>
  <c r="D1195" i="6"/>
  <c r="C1195" i="6"/>
  <c r="B1195" i="6"/>
  <c r="K1194" i="6"/>
  <c r="F1194" i="6"/>
  <c r="E1194" i="6"/>
  <c r="D1194" i="6"/>
  <c r="C1194" i="6"/>
  <c r="B1194" i="6"/>
  <c r="K1193" i="6"/>
  <c r="F1193" i="6"/>
  <c r="E1193" i="6"/>
  <c r="D1193" i="6"/>
  <c r="C1193" i="6"/>
  <c r="B1193" i="6"/>
  <c r="K1192" i="6"/>
  <c r="F1192" i="6"/>
  <c r="E1192" i="6"/>
  <c r="D1192" i="6"/>
  <c r="C1192" i="6"/>
  <c r="B1192" i="6"/>
  <c r="K1191" i="6"/>
  <c r="F1191" i="6"/>
  <c r="E1191" i="6"/>
  <c r="D1191" i="6"/>
  <c r="C1191" i="6"/>
  <c r="B1191" i="6"/>
  <c r="K1190" i="6"/>
  <c r="F1190" i="6"/>
  <c r="E1190" i="6"/>
  <c r="D1190" i="6"/>
  <c r="C1190" i="6"/>
  <c r="B1190" i="6"/>
  <c r="K1189" i="6"/>
  <c r="F1189" i="6"/>
  <c r="E1189" i="6"/>
  <c r="D1189" i="6"/>
  <c r="C1189" i="6"/>
  <c r="B1189" i="6"/>
  <c r="K1188" i="6"/>
  <c r="F1188" i="6"/>
  <c r="E1188" i="6"/>
  <c r="D1188" i="6"/>
  <c r="C1188" i="6"/>
  <c r="B1188" i="6"/>
  <c r="K1187" i="6"/>
  <c r="F1187" i="6"/>
  <c r="E1187" i="6"/>
  <c r="D1187" i="6"/>
  <c r="C1187" i="6"/>
  <c r="B1187" i="6"/>
  <c r="K1186" i="6"/>
  <c r="F1186" i="6"/>
  <c r="E1186" i="6"/>
  <c r="D1186" i="6"/>
  <c r="C1186" i="6"/>
  <c r="B1186" i="6"/>
  <c r="K1185" i="6"/>
  <c r="F1185" i="6"/>
  <c r="E1185" i="6"/>
  <c r="D1185" i="6"/>
  <c r="C1185" i="6"/>
  <c r="B1185" i="6"/>
  <c r="K1184" i="6"/>
  <c r="F1184" i="6"/>
  <c r="E1184" i="6"/>
  <c r="D1184" i="6"/>
  <c r="C1184" i="6"/>
  <c r="B1184" i="6"/>
  <c r="K1183" i="6"/>
  <c r="F1183" i="6"/>
  <c r="E1183" i="6"/>
  <c r="D1183" i="6"/>
  <c r="C1183" i="6"/>
  <c r="B1183" i="6"/>
  <c r="K1182" i="6"/>
  <c r="F1182" i="6"/>
  <c r="E1182" i="6"/>
  <c r="D1182" i="6"/>
  <c r="C1182" i="6"/>
  <c r="B1182" i="6"/>
  <c r="K1181" i="6"/>
  <c r="F1181" i="6"/>
  <c r="E1181" i="6"/>
  <c r="D1181" i="6"/>
  <c r="C1181" i="6"/>
  <c r="B1181" i="6"/>
  <c r="K1180" i="6"/>
  <c r="F1180" i="6"/>
  <c r="E1180" i="6"/>
  <c r="D1180" i="6"/>
  <c r="C1180" i="6"/>
  <c r="B1180" i="6"/>
  <c r="K1179" i="6"/>
  <c r="F1179" i="6"/>
  <c r="E1179" i="6"/>
  <c r="D1179" i="6"/>
  <c r="C1179" i="6"/>
  <c r="B1179" i="6"/>
  <c r="K1178" i="6"/>
  <c r="F1178" i="6"/>
  <c r="E1178" i="6"/>
  <c r="D1178" i="6"/>
  <c r="C1178" i="6"/>
  <c r="B1178" i="6"/>
  <c r="K1177" i="6"/>
  <c r="F1177" i="6"/>
  <c r="E1177" i="6"/>
  <c r="D1177" i="6"/>
  <c r="C1177" i="6"/>
  <c r="B1177" i="6"/>
  <c r="K1176" i="6"/>
  <c r="F1176" i="6"/>
  <c r="E1176" i="6"/>
  <c r="D1176" i="6"/>
  <c r="C1176" i="6"/>
  <c r="B1176" i="6"/>
  <c r="K1175" i="6"/>
  <c r="F1175" i="6"/>
  <c r="E1175" i="6"/>
  <c r="D1175" i="6"/>
  <c r="C1175" i="6"/>
  <c r="B1175" i="6"/>
  <c r="K1174" i="6"/>
  <c r="F1174" i="6"/>
  <c r="E1174" i="6"/>
  <c r="D1174" i="6"/>
  <c r="C1174" i="6"/>
  <c r="B1174" i="6"/>
  <c r="K1173" i="6"/>
  <c r="F1173" i="6"/>
  <c r="E1173" i="6"/>
  <c r="D1173" i="6"/>
  <c r="C1173" i="6"/>
  <c r="B1173" i="6"/>
  <c r="K1172" i="6"/>
  <c r="F1172" i="6"/>
  <c r="E1172" i="6"/>
  <c r="D1172" i="6"/>
  <c r="C1172" i="6"/>
  <c r="B1172" i="6"/>
  <c r="K1171" i="6"/>
  <c r="F1171" i="6"/>
  <c r="E1171" i="6"/>
  <c r="D1171" i="6"/>
  <c r="C1171" i="6"/>
  <c r="B1171" i="6"/>
  <c r="K1170" i="6"/>
  <c r="F1170" i="6"/>
  <c r="E1170" i="6"/>
  <c r="D1170" i="6"/>
  <c r="C1170" i="6"/>
  <c r="B1170" i="6"/>
  <c r="K1169" i="6"/>
  <c r="F1169" i="6"/>
  <c r="E1169" i="6"/>
  <c r="D1169" i="6"/>
  <c r="C1169" i="6"/>
  <c r="B1169" i="6"/>
  <c r="K1168" i="6"/>
  <c r="F1168" i="6"/>
  <c r="E1168" i="6"/>
  <c r="D1168" i="6"/>
  <c r="C1168" i="6"/>
  <c r="B1168" i="6"/>
  <c r="K1167" i="6"/>
  <c r="F1167" i="6"/>
  <c r="E1167" i="6"/>
  <c r="D1167" i="6"/>
  <c r="C1167" i="6"/>
  <c r="B1167" i="6"/>
  <c r="K1166" i="6"/>
  <c r="F1166" i="6"/>
  <c r="E1166" i="6"/>
  <c r="D1166" i="6"/>
  <c r="C1166" i="6"/>
  <c r="B1166" i="6"/>
  <c r="K1165" i="6"/>
  <c r="F1165" i="6"/>
  <c r="E1165" i="6"/>
  <c r="D1165" i="6"/>
  <c r="C1165" i="6"/>
  <c r="B1165" i="6"/>
  <c r="K1164" i="6"/>
  <c r="F1164" i="6"/>
  <c r="E1164" i="6"/>
  <c r="D1164" i="6"/>
  <c r="C1164" i="6"/>
  <c r="B1164" i="6"/>
  <c r="K1163" i="6"/>
  <c r="F1163" i="6"/>
  <c r="E1163" i="6"/>
  <c r="D1163" i="6"/>
  <c r="C1163" i="6"/>
  <c r="B1163" i="6"/>
  <c r="K1162" i="6"/>
  <c r="F1162" i="6"/>
  <c r="E1162" i="6"/>
  <c r="D1162" i="6"/>
  <c r="C1162" i="6"/>
  <c r="B1162" i="6"/>
  <c r="K1161" i="6"/>
  <c r="F1161" i="6"/>
  <c r="E1161" i="6"/>
  <c r="D1161" i="6"/>
  <c r="C1161" i="6"/>
  <c r="B1161" i="6"/>
  <c r="K1160" i="6"/>
  <c r="F1160" i="6"/>
  <c r="E1160" i="6"/>
  <c r="D1160" i="6"/>
  <c r="C1160" i="6"/>
  <c r="B1160" i="6"/>
  <c r="K1159" i="6"/>
  <c r="F1159" i="6"/>
  <c r="E1159" i="6"/>
  <c r="D1159" i="6"/>
  <c r="C1159" i="6"/>
  <c r="B1159" i="6"/>
  <c r="K1158" i="6"/>
  <c r="F1158" i="6"/>
  <c r="E1158" i="6"/>
  <c r="D1158" i="6"/>
  <c r="C1158" i="6"/>
  <c r="B1158" i="6"/>
  <c r="K1157" i="6"/>
  <c r="F1157" i="6"/>
  <c r="E1157" i="6"/>
  <c r="D1157" i="6"/>
  <c r="C1157" i="6"/>
  <c r="B1157" i="6"/>
  <c r="K1156" i="6"/>
  <c r="F1156" i="6"/>
  <c r="E1156" i="6"/>
  <c r="D1156" i="6"/>
  <c r="C1156" i="6"/>
  <c r="B1156" i="6"/>
  <c r="K1155" i="6"/>
  <c r="F1155" i="6"/>
  <c r="E1155" i="6"/>
  <c r="D1155" i="6"/>
  <c r="C1155" i="6"/>
  <c r="B1155" i="6"/>
  <c r="K1154" i="6"/>
  <c r="F1154" i="6"/>
  <c r="E1154" i="6"/>
  <c r="D1154" i="6"/>
  <c r="C1154" i="6"/>
  <c r="B1154" i="6"/>
  <c r="K1153" i="6"/>
  <c r="F1153" i="6"/>
  <c r="E1153" i="6"/>
  <c r="D1153" i="6"/>
  <c r="C1153" i="6"/>
  <c r="B1153" i="6"/>
  <c r="K1152" i="6"/>
  <c r="F1152" i="6"/>
  <c r="E1152" i="6"/>
  <c r="D1152" i="6"/>
  <c r="C1152" i="6"/>
  <c r="B1152" i="6"/>
  <c r="K1151" i="6"/>
  <c r="F1151" i="6"/>
  <c r="E1151" i="6"/>
  <c r="D1151" i="6"/>
  <c r="C1151" i="6"/>
  <c r="B1151" i="6"/>
  <c r="K1150" i="6"/>
  <c r="F1150" i="6"/>
  <c r="E1150" i="6"/>
  <c r="D1150" i="6"/>
  <c r="C1150" i="6"/>
  <c r="B1150" i="6"/>
  <c r="K1149" i="6"/>
  <c r="F1149" i="6"/>
  <c r="E1149" i="6"/>
  <c r="D1149" i="6"/>
  <c r="C1149" i="6"/>
  <c r="B1149" i="6"/>
  <c r="K1148" i="6"/>
  <c r="F1148" i="6"/>
  <c r="E1148" i="6"/>
  <c r="D1148" i="6"/>
  <c r="C1148" i="6"/>
  <c r="B1148" i="6"/>
  <c r="K1147" i="6"/>
  <c r="F1147" i="6"/>
  <c r="E1147" i="6"/>
  <c r="D1147" i="6"/>
  <c r="C1147" i="6"/>
  <c r="B1147" i="6"/>
  <c r="K1146" i="6"/>
  <c r="F1146" i="6"/>
  <c r="E1146" i="6"/>
  <c r="D1146" i="6"/>
  <c r="C1146" i="6"/>
  <c r="B1146" i="6"/>
  <c r="K1145" i="6"/>
  <c r="F1145" i="6"/>
  <c r="E1145" i="6"/>
  <c r="D1145" i="6"/>
  <c r="C1145" i="6"/>
  <c r="B1145" i="6"/>
  <c r="K1144" i="6"/>
  <c r="F1144" i="6"/>
  <c r="E1144" i="6"/>
  <c r="D1144" i="6"/>
  <c r="C1144" i="6"/>
  <c r="B1144" i="6"/>
  <c r="K1143" i="6"/>
  <c r="F1143" i="6"/>
  <c r="E1143" i="6"/>
  <c r="D1143" i="6"/>
  <c r="C1143" i="6"/>
  <c r="B1143" i="6"/>
  <c r="K1142" i="6"/>
  <c r="F1142" i="6"/>
  <c r="E1142" i="6"/>
  <c r="D1142" i="6"/>
  <c r="C1142" i="6"/>
  <c r="B1142" i="6"/>
  <c r="K1141" i="6"/>
  <c r="F1141" i="6"/>
  <c r="E1141" i="6"/>
  <c r="D1141" i="6"/>
  <c r="C1141" i="6"/>
  <c r="B1141" i="6"/>
  <c r="K1140" i="6"/>
  <c r="F1140" i="6"/>
  <c r="E1140" i="6"/>
  <c r="D1140" i="6"/>
  <c r="C1140" i="6"/>
  <c r="B1140" i="6"/>
  <c r="K1139" i="6"/>
  <c r="F1139" i="6"/>
  <c r="E1139" i="6"/>
  <c r="D1139" i="6"/>
  <c r="C1139" i="6"/>
  <c r="B1139" i="6"/>
  <c r="K1138" i="6"/>
  <c r="F1138" i="6"/>
  <c r="E1138" i="6"/>
  <c r="D1138" i="6"/>
  <c r="C1138" i="6"/>
  <c r="B1138" i="6"/>
  <c r="K1137" i="6"/>
  <c r="F1137" i="6"/>
  <c r="E1137" i="6"/>
  <c r="D1137" i="6"/>
  <c r="C1137" i="6"/>
  <c r="B1137" i="6"/>
  <c r="K1136" i="6"/>
  <c r="F1136" i="6"/>
  <c r="E1136" i="6"/>
  <c r="D1136" i="6"/>
  <c r="C1136" i="6"/>
  <c r="B1136" i="6"/>
  <c r="K1135" i="6"/>
  <c r="F1135" i="6"/>
  <c r="E1135" i="6"/>
  <c r="D1135" i="6"/>
  <c r="C1135" i="6"/>
  <c r="B1135" i="6"/>
  <c r="K1134" i="6"/>
  <c r="F1134" i="6"/>
  <c r="E1134" i="6"/>
  <c r="D1134" i="6"/>
  <c r="C1134" i="6"/>
  <c r="B1134" i="6"/>
  <c r="K1133" i="6"/>
  <c r="F1133" i="6"/>
  <c r="E1133" i="6"/>
  <c r="D1133" i="6"/>
  <c r="C1133" i="6"/>
  <c r="B1133" i="6"/>
  <c r="K1132" i="6"/>
  <c r="F1132" i="6"/>
  <c r="E1132" i="6"/>
  <c r="D1132" i="6"/>
  <c r="C1132" i="6"/>
  <c r="B1132" i="6"/>
  <c r="K1131" i="6"/>
  <c r="F1131" i="6"/>
  <c r="E1131" i="6"/>
  <c r="D1131" i="6"/>
  <c r="C1131" i="6"/>
  <c r="B1131" i="6"/>
  <c r="K1130" i="6"/>
  <c r="F1130" i="6"/>
  <c r="E1130" i="6"/>
  <c r="D1130" i="6"/>
  <c r="C1130" i="6"/>
  <c r="B1130" i="6"/>
  <c r="K1129" i="6"/>
  <c r="F1129" i="6"/>
  <c r="E1129" i="6"/>
  <c r="D1129" i="6"/>
  <c r="C1129" i="6"/>
  <c r="B1129" i="6"/>
  <c r="K1128" i="6"/>
  <c r="F1128" i="6"/>
  <c r="E1128" i="6"/>
  <c r="D1128" i="6"/>
  <c r="C1128" i="6"/>
  <c r="B1128" i="6"/>
  <c r="K1127" i="6"/>
  <c r="F1127" i="6"/>
  <c r="E1127" i="6"/>
  <c r="D1127" i="6"/>
  <c r="C1127" i="6"/>
  <c r="B1127" i="6"/>
  <c r="K1126" i="6"/>
  <c r="F1126" i="6"/>
  <c r="E1126" i="6"/>
  <c r="D1126" i="6"/>
  <c r="C1126" i="6"/>
  <c r="B1126" i="6"/>
  <c r="K1125" i="6"/>
  <c r="F1125" i="6"/>
  <c r="E1125" i="6"/>
  <c r="D1125" i="6"/>
  <c r="C1125" i="6"/>
  <c r="B1125" i="6"/>
  <c r="K1124" i="6"/>
  <c r="F1124" i="6"/>
  <c r="E1124" i="6"/>
  <c r="D1124" i="6"/>
  <c r="C1124" i="6"/>
  <c r="B1124" i="6"/>
  <c r="K1123" i="6"/>
  <c r="F1123" i="6"/>
  <c r="E1123" i="6"/>
  <c r="D1123" i="6"/>
  <c r="C1123" i="6"/>
  <c r="B1123" i="6"/>
  <c r="K1122" i="6"/>
  <c r="F1122" i="6"/>
  <c r="E1122" i="6"/>
  <c r="D1122" i="6"/>
  <c r="C1122" i="6"/>
  <c r="B1122" i="6"/>
  <c r="K1121" i="6"/>
  <c r="F1121" i="6"/>
  <c r="E1121" i="6"/>
  <c r="D1121" i="6"/>
  <c r="C1121" i="6"/>
  <c r="B1121" i="6"/>
  <c r="K1120" i="6"/>
  <c r="F1120" i="6"/>
  <c r="E1120" i="6"/>
  <c r="D1120" i="6"/>
  <c r="C1120" i="6"/>
  <c r="B1120" i="6"/>
  <c r="K1119" i="6"/>
  <c r="F1119" i="6"/>
  <c r="E1119" i="6"/>
  <c r="D1119" i="6"/>
  <c r="C1119" i="6"/>
  <c r="B1119" i="6"/>
  <c r="K1118" i="6"/>
  <c r="F1118" i="6"/>
  <c r="E1118" i="6"/>
  <c r="D1118" i="6"/>
  <c r="C1118" i="6"/>
  <c r="B1118" i="6"/>
  <c r="K1117" i="6"/>
  <c r="F1117" i="6"/>
  <c r="E1117" i="6"/>
  <c r="D1117" i="6"/>
  <c r="C1117" i="6"/>
  <c r="B1117" i="6"/>
  <c r="K1116" i="6"/>
  <c r="F1116" i="6"/>
  <c r="E1116" i="6"/>
  <c r="D1116" i="6"/>
  <c r="C1116" i="6"/>
  <c r="B1116" i="6"/>
  <c r="K1115" i="6"/>
  <c r="F1115" i="6"/>
  <c r="E1115" i="6"/>
  <c r="D1115" i="6"/>
  <c r="C1115" i="6"/>
  <c r="B1115" i="6"/>
  <c r="K1114" i="6"/>
  <c r="F1114" i="6"/>
  <c r="E1114" i="6"/>
  <c r="D1114" i="6"/>
  <c r="C1114" i="6"/>
  <c r="B1114" i="6"/>
  <c r="K1113" i="6"/>
  <c r="F1113" i="6"/>
  <c r="E1113" i="6"/>
  <c r="D1113" i="6"/>
  <c r="C1113" i="6"/>
  <c r="B1113" i="6"/>
  <c r="K1112" i="6"/>
  <c r="F1112" i="6"/>
  <c r="E1112" i="6"/>
  <c r="D1112" i="6"/>
  <c r="C1112" i="6"/>
  <c r="B1112" i="6"/>
  <c r="K1111" i="6"/>
  <c r="F1111" i="6"/>
  <c r="E1111" i="6"/>
  <c r="D1111" i="6"/>
  <c r="C1111" i="6"/>
  <c r="B1111" i="6"/>
  <c r="K1110" i="6"/>
  <c r="F1110" i="6"/>
  <c r="E1110" i="6"/>
  <c r="D1110" i="6"/>
  <c r="C1110" i="6"/>
  <c r="B1110" i="6"/>
  <c r="K1109" i="6"/>
  <c r="F1109" i="6"/>
  <c r="E1109" i="6"/>
  <c r="D1109" i="6"/>
  <c r="C1109" i="6"/>
  <c r="B1109" i="6"/>
  <c r="K1108" i="6"/>
  <c r="F1108" i="6"/>
  <c r="E1108" i="6"/>
  <c r="D1108" i="6"/>
  <c r="C1108" i="6"/>
  <c r="B1108" i="6"/>
  <c r="K1107" i="6"/>
  <c r="F1107" i="6"/>
  <c r="E1107" i="6"/>
  <c r="D1107" i="6"/>
  <c r="C1107" i="6"/>
  <c r="B1107" i="6"/>
  <c r="K1106" i="6"/>
  <c r="F1106" i="6"/>
  <c r="E1106" i="6"/>
  <c r="D1106" i="6"/>
  <c r="C1106" i="6"/>
  <c r="B1106" i="6"/>
  <c r="K1105" i="6"/>
  <c r="F1105" i="6"/>
  <c r="E1105" i="6"/>
  <c r="D1105" i="6"/>
  <c r="C1105" i="6"/>
  <c r="B1105" i="6"/>
  <c r="K1104" i="6"/>
  <c r="F1104" i="6"/>
  <c r="E1104" i="6"/>
  <c r="D1104" i="6"/>
  <c r="C1104" i="6"/>
  <c r="B1104" i="6"/>
  <c r="K1103" i="6"/>
  <c r="F1103" i="6"/>
  <c r="E1103" i="6"/>
  <c r="D1103" i="6"/>
  <c r="C1103" i="6"/>
  <c r="B1103" i="6"/>
  <c r="K1102" i="6"/>
  <c r="F1102" i="6"/>
  <c r="E1102" i="6"/>
  <c r="D1102" i="6"/>
  <c r="C1102" i="6"/>
  <c r="B1102" i="6"/>
  <c r="K1101" i="6"/>
  <c r="F1101" i="6"/>
  <c r="E1101" i="6"/>
  <c r="D1101" i="6"/>
  <c r="C1101" i="6"/>
  <c r="B1101" i="6"/>
  <c r="K1100" i="6"/>
  <c r="F1100" i="6"/>
  <c r="E1100" i="6"/>
  <c r="D1100" i="6"/>
  <c r="C1100" i="6"/>
  <c r="B1100" i="6"/>
  <c r="K1099" i="6"/>
  <c r="F1099" i="6"/>
  <c r="E1099" i="6"/>
  <c r="D1099" i="6"/>
  <c r="C1099" i="6"/>
  <c r="B1099" i="6"/>
  <c r="K1098" i="6"/>
  <c r="F1098" i="6"/>
  <c r="E1098" i="6"/>
  <c r="D1098" i="6"/>
  <c r="C1098" i="6"/>
  <c r="B1098" i="6"/>
  <c r="K1097" i="6"/>
  <c r="F1097" i="6"/>
  <c r="E1097" i="6"/>
  <c r="D1097" i="6"/>
  <c r="C1097" i="6"/>
  <c r="B1097" i="6"/>
  <c r="K1096" i="6"/>
  <c r="F1096" i="6"/>
  <c r="E1096" i="6"/>
  <c r="D1096" i="6"/>
  <c r="C1096" i="6"/>
  <c r="B1096" i="6"/>
  <c r="K1095" i="6"/>
  <c r="F1095" i="6"/>
  <c r="E1095" i="6"/>
  <c r="D1095" i="6"/>
  <c r="C1095" i="6"/>
  <c r="B1095" i="6"/>
  <c r="K1094" i="6"/>
  <c r="F1094" i="6"/>
  <c r="E1094" i="6"/>
  <c r="D1094" i="6"/>
  <c r="C1094" i="6"/>
  <c r="B1094" i="6"/>
  <c r="K1093" i="6"/>
  <c r="F1093" i="6"/>
  <c r="E1093" i="6"/>
  <c r="D1093" i="6"/>
  <c r="C1093" i="6"/>
  <c r="B1093" i="6"/>
  <c r="K1092" i="6"/>
  <c r="F1092" i="6"/>
  <c r="E1092" i="6"/>
  <c r="D1092" i="6"/>
  <c r="C1092" i="6"/>
  <c r="B1092" i="6"/>
  <c r="K1091" i="6"/>
  <c r="F1091" i="6"/>
  <c r="E1091" i="6"/>
  <c r="D1091" i="6"/>
  <c r="C1091" i="6"/>
  <c r="B1091" i="6"/>
  <c r="K1090" i="6"/>
  <c r="F1090" i="6"/>
  <c r="E1090" i="6"/>
  <c r="D1090" i="6"/>
  <c r="C1090" i="6"/>
  <c r="B1090" i="6"/>
  <c r="K1089" i="6"/>
  <c r="F1089" i="6"/>
  <c r="E1089" i="6"/>
  <c r="D1089" i="6"/>
  <c r="C1089" i="6"/>
  <c r="B1089" i="6"/>
  <c r="K1088" i="6"/>
  <c r="F1088" i="6"/>
  <c r="E1088" i="6"/>
  <c r="D1088" i="6"/>
  <c r="C1088" i="6"/>
  <c r="B1088" i="6"/>
  <c r="K1087" i="6"/>
  <c r="F1087" i="6"/>
  <c r="E1087" i="6"/>
  <c r="D1087" i="6"/>
  <c r="C1087" i="6"/>
  <c r="B1087" i="6"/>
  <c r="K1086" i="6"/>
  <c r="F1086" i="6"/>
  <c r="E1086" i="6"/>
  <c r="D1086" i="6"/>
  <c r="C1086" i="6"/>
  <c r="B1086" i="6"/>
  <c r="K1085" i="6"/>
  <c r="F1085" i="6"/>
  <c r="E1085" i="6"/>
  <c r="D1085" i="6"/>
  <c r="C1085" i="6"/>
  <c r="B1085" i="6"/>
  <c r="K1084" i="6"/>
  <c r="F1084" i="6"/>
  <c r="E1084" i="6"/>
  <c r="D1084" i="6"/>
  <c r="C1084" i="6"/>
  <c r="B1084" i="6"/>
  <c r="K1083" i="6"/>
  <c r="F1083" i="6"/>
  <c r="E1083" i="6"/>
  <c r="D1083" i="6"/>
  <c r="C1083" i="6"/>
  <c r="B1083" i="6"/>
  <c r="K1082" i="6"/>
  <c r="F1082" i="6"/>
  <c r="E1082" i="6"/>
  <c r="D1082" i="6"/>
  <c r="C1082" i="6"/>
  <c r="B1082" i="6"/>
  <c r="K1081" i="6"/>
  <c r="F1081" i="6"/>
  <c r="E1081" i="6"/>
  <c r="D1081" i="6"/>
  <c r="C1081" i="6"/>
  <c r="B1081" i="6"/>
  <c r="K1080" i="6"/>
  <c r="F1080" i="6"/>
  <c r="E1080" i="6"/>
  <c r="D1080" i="6"/>
  <c r="C1080" i="6"/>
  <c r="B1080" i="6"/>
  <c r="K1079" i="6"/>
  <c r="F1079" i="6"/>
  <c r="E1079" i="6"/>
  <c r="D1079" i="6"/>
  <c r="C1079" i="6"/>
  <c r="B1079" i="6"/>
  <c r="K1078" i="6"/>
  <c r="F1078" i="6"/>
  <c r="E1078" i="6"/>
  <c r="D1078" i="6"/>
  <c r="C1078" i="6"/>
  <c r="B1078" i="6"/>
  <c r="K1077" i="6"/>
  <c r="F1077" i="6"/>
  <c r="E1077" i="6"/>
  <c r="D1077" i="6"/>
  <c r="C1077" i="6"/>
  <c r="B1077" i="6"/>
  <c r="K1076" i="6"/>
  <c r="F1076" i="6"/>
  <c r="E1076" i="6"/>
  <c r="D1076" i="6"/>
  <c r="C1076" i="6"/>
  <c r="B1076" i="6"/>
  <c r="K1075" i="6"/>
  <c r="F1075" i="6"/>
  <c r="E1075" i="6"/>
  <c r="D1075" i="6"/>
  <c r="C1075" i="6"/>
  <c r="B1075" i="6"/>
  <c r="K1074" i="6"/>
  <c r="F1074" i="6"/>
  <c r="E1074" i="6"/>
  <c r="D1074" i="6"/>
  <c r="C1074" i="6"/>
  <c r="B1074" i="6"/>
  <c r="K1073" i="6"/>
  <c r="F1073" i="6"/>
  <c r="E1073" i="6"/>
  <c r="D1073" i="6"/>
  <c r="C1073" i="6"/>
  <c r="B1073" i="6"/>
  <c r="K1072" i="6"/>
  <c r="F1072" i="6"/>
  <c r="E1072" i="6"/>
  <c r="D1072" i="6"/>
  <c r="C1072" i="6"/>
  <c r="B1072" i="6"/>
  <c r="K1071" i="6"/>
  <c r="F1071" i="6"/>
  <c r="E1071" i="6"/>
  <c r="D1071" i="6"/>
  <c r="C1071" i="6"/>
  <c r="B1071" i="6"/>
  <c r="K1070" i="6"/>
  <c r="F1070" i="6"/>
  <c r="E1070" i="6"/>
  <c r="D1070" i="6"/>
  <c r="C1070" i="6"/>
  <c r="B1070" i="6"/>
  <c r="K1069" i="6"/>
  <c r="F1069" i="6"/>
  <c r="E1069" i="6"/>
  <c r="D1069" i="6"/>
  <c r="C1069" i="6"/>
  <c r="B1069" i="6"/>
  <c r="K1068" i="6"/>
  <c r="F1068" i="6"/>
  <c r="E1068" i="6"/>
  <c r="D1068" i="6"/>
  <c r="C1068" i="6"/>
  <c r="B1068" i="6"/>
  <c r="K1067" i="6"/>
  <c r="F1067" i="6"/>
  <c r="E1067" i="6"/>
  <c r="D1067" i="6"/>
  <c r="C1067" i="6"/>
  <c r="B1067" i="6"/>
  <c r="K1066" i="6"/>
  <c r="F1066" i="6"/>
  <c r="E1066" i="6"/>
  <c r="D1066" i="6"/>
  <c r="C1066" i="6"/>
  <c r="B1066" i="6"/>
  <c r="K1065" i="6"/>
  <c r="F1065" i="6"/>
  <c r="E1065" i="6"/>
  <c r="D1065" i="6"/>
  <c r="C1065" i="6"/>
  <c r="B1065" i="6"/>
  <c r="K1064" i="6"/>
  <c r="F1064" i="6"/>
  <c r="E1064" i="6"/>
  <c r="D1064" i="6"/>
  <c r="C1064" i="6"/>
  <c r="B1064" i="6"/>
  <c r="K1063" i="6"/>
  <c r="F1063" i="6"/>
  <c r="E1063" i="6"/>
  <c r="D1063" i="6"/>
  <c r="C1063" i="6"/>
  <c r="B1063" i="6"/>
  <c r="K1062" i="6"/>
  <c r="F1062" i="6"/>
  <c r="E1062" i="6"/>
  <c r="D1062" i="6"/>
  <c r="C1062" i="6"/>
  <c r="B1062" i="6"/>
  <c r="K1061" i="6"/>
  <c r="F1061" i="6"/>
  <c r="E1061" i="6"/>
  <c r="D1061" i="6"/>
  <c r="C1061" i="6"/>
  <c r="B1061" i="6"/>
  <c r="K1060" i="6"/>
  <c r="F1060" i="6"/>
  <c r="E1060" i="6"/>
  <c r="D1060" i="6"/>
  <c r="C1060" i="6"/>
  <c r="B1060" i="6"/>
  <c r="K1059" i="6"/>
  <c r="F1059" i="6"/>
  <c r="E1059" i="6"/>
  <c r="D1059" i="6"/>
  <c r="C1059" i="6"/>
  <c r="B1059" i="6"/>
  <c r="K1058" i="6"/>
  <c r="F1058" i="6"/>
  <c r="E1058" i="6"/>
  <c r="D1058" i="6"/>
  <c r="C1058" i="6"/>
  <c r="B1058" i="6"/>
  <c r="K1057" i="6"/>
  <c r="F1057" i="6"/>
  <c r="E1057" i="6"/>
  <c r="D1057" i="6"/>
  <c r="C1057" i="6"/>
  <c r="B1057" i="6"/>
  <c r="K1056" i="6"/>
  <c r="F1056" i="6"/>
  <c r="E1056" i="6"/>
  <c r="D1056" i="6"/>
  <c r="C1056" i="6"/>
  <c r="B1056" i="6"/>
  <c r="K1055" i="6"/>
  <c r="F1055" i="6"/>
  <c r="E1055" i="6"/>
  <c r="D1055" i="6"/>
  <c r="C1055" i="6"/>
  <c r="B1055" i="6"/>
  <c r="K1054" i="6"/>
  <c r="F1054" i="6"/>
  <c r="E1054" i="6"/>
  <c r="D1054" i="6"/>
  <c r="C1054" i="6"/>
  <c r="B1054" i="6"/>
  <c r="K1053" i="6"/>
  <c r="F1053" i="6"/>
  <c r="E1053" i="6"/>
  <c r="D1053" i="6"/>
  <c r="C1053" i="6"/>
  <c r="B1053" i="6"/>
  <c r="K1052" i="6"/>
  <c r="F1052" i="6"/>
  <c r="E1052" i="6"/>
  <c r="D1052" i="6"/>
  <c r="C1052" i="6"/>
  <c r="B1052" i="6"/>
  <c r="K1051" i="6"/>
  <c r="F1051" i="6"/>
  <c r="E1051" i="6"/>
  <c r="D1051" i="6"/>
  <c r="C1051" i="6"/>
  <c r="B1051" i="6"/>
  <c r="K1050" i="6"/>
  <c r="F1050" i="6"/>
  <c r="E1050" i="6"/>
  <c r="D1050" i="6"/>
  <c r="C1050" i="6"/>
  <c r="B1050" i="6"/>
  <c r="K1049" i="6"/>
  <c r="F1049" i="6"/>
  <c r="E1049" i="6"/>
  <c r="D1049" i="6"/>
  <c r="C1049" i="6"/>
  <c r="B1049" i="6"/>
  <c r="K1048" i="6"/>
  <c r="F1048" i="6"/>
  <c r="E1048" i="6"/>
  <c r="D1048" i="6"/>
  <c r="C1048" i="6"/>
  <c r="B1048" i="6"/>
  <c r="K1047" i="6"/>
  <c r="F1047" i="6"/>
  <c r="E1047" i="6"/>
  <c r="D1047" i="6"/>
  <c r="C1047" i="6"/>
  <c r="B1047" i="6"/>
  <c r="K1046" i="6"/>
  <c r="F1046" i="6"/>
  <c r="E1046" i="6"/>
  <c r="D1046" i="6"/>
  <c r="C1046" i="6"/>
  <c r="B1046" i="6"/>
  <c r="K1045" i="6"/>
  <c r="F1045" i="6"/>
  <c r="E1045" i="6"/>
  <c r="D1045" i="6"/>
  <c r="C1045" i="6"/>
  <c r="B1045" i="6"/>
  <c r="K1044" i="6"/>
  <c r="F1044" i="6"/>
  <c r="E1044" i="6"/>
  <c r="D1044" i="6"/>
  <c r="C1044" i="6"/>
  <c r="B1044" i="6"/>
  <c r="K1043" i="6"/>
  <c r="F1043" i="6"/>
  <c r="E1043" i="6"/>
  <c r="D1043" i="6"/>
  <c r="C1043" i="6"/>
  <c r="B1043" i="6"/>
  <c r="K1042" i="6"/>
  <c r="F1042" i="6"/>
  <c r="E1042" i="6"/>
  <c r="D1042" i="6"/>
  <c r="C1042" i="6"/>
  <c r="B1042" i="6"/>
  <c r="K1041" i="6"/>
  <c r="F1041" i="6"/>
  <c r="E1041" i="6"/>
  <c r="D1041" i="6"/>
  <c r="C1041" i="6"/>
  <c r="B1041" i="6"/>
  <c r="K1040" i="6"/>
  <c r="F1040" i="6"/>
  <c r="E1040" i="6"/>
  <c r="D1040" i="6"/>
  <c r="C1040" i="6"/>
  <c r="B1040" i="6"/>
  <c r="K1039" i="6"/>
  <c r="F1039" i="6"/>
  <c r="E1039" i="6"/>
  <c r="D1039" i="6"/>
  <c r="C1039" i="6"/>
  <c r="B1039" i="6"/>
  <c r="K1038" i="6"/>
  <c r="F1038" i="6"/>
  <c r="E1038" i="6"/>
  <c r="D1038" i="6"/>
  <c r="C1038" i="6"/>
  <c r="B1038" i="6"/>
  <c r="K1037" i="6"/>
  <c r="F1037" i="6"/>
  <c r="E1037" i="6"/>
  <c r="D1037" i="6"/>
  <c r="C1037" i="6"/>
  <c r="B1037" i="6"/>
  <c r="K1036" i="6"/>
  <c r="F1036" i="6"/>
  <c r="E1036" i="6"/>
  <c r="D1036" i="6"/>
  <c r="C1036" i="6"/>
  <c r="B1036" i="6"/>
  <c r="K1035" i="6"/>
  <c r="F1035" i="6"/>
  <c r="E1035" i="6"/>
  <c r="D1035" i="6"/>
  <c r="C1035" i="6"/>
  <c r="B1035" i="6"/>
  <c r="K1034" i="6"/>
  <c r="F1034" i="6"/>
  <c r="E1034" i="6"/>
  <c r="D1034" i="6"/>
  <c r="C1034" i="6"/>
  <c r="B1034" i="6"/>
  <c r="K1033" i="6"/>
  <c r="F1033" i="6"/>
  <c r="E1033" i="6"/>
  <c r="D1033" i="6"/>
  <c r="C1033" i="6"/>
  <c r="B1033" i="6"/>
  <c r="K1032" i="6"/>
  <c r="F1032" i="6"/>
  <c r="E1032" i="6"/>
  <c r="D1032" i="6"/>
  <c r="C1032" i="6"/>
  <c r="B1032" i="6"/>
  <c r="K1031" i="6"/>
  <c r="F1031" i="6"/>
  <c r="E1031" i="6"/>
  <c r="D1031" i="6"/>
  <c r="C1031" i="6"/>
  <c r="B1031" i="6"/>
  <c r="K1030" i="6"/>
  <c r="F1030" i="6"/>
  <c r="E1030" i="6"/>
  <c r="D1030" i="6"/>
  <c r="C1030" i="6"/>
  <c r="B1030" i="6"/>
  <c r="K1029" i="6"/>
  <c r="F1029" i="6"/>
  <c r="E1029" i="6"/>
  <c r="D1029" i="6"/>
  <c r="C1029" i="6"/>
  <c r="B1029" i="6"/>
  <c r="K1028" i="6"/>
  <c r="F1028" i="6"/>
  <c r="E1028" i="6"/>
  <c r="D1028" i="6"/>
  <c r="C1028" i="6"/>
  <c r="B1028" i="6"/>
  <c r="K1027" i="6"/>
  <c r="F1027" i="6"/>
  <c r="E1027" i="6"/>
  <c r="D1027" i="6"/>
  <c r="C1027" i="6"/>
  <c r="B1027" i="6"/>
  <c r="K1026" i="6"/>
  <c r="F1026" i="6"/>
  <c r="E1026" i="6"/>
  <c r="D1026" i="6"/>
  <c r="C1026" i="6"/>
  <c r="B1026" i="6"/>
  <c r="K1025" i="6"/>
  <c r="F1025" i="6"/>
  <c r="E1025" i="6"/>
  <c r="D1025" i="6"/>
  <c r="C1025" i="6"/>
  <c r="B1025" i="6"/>
  <c r="K1024" i="6"/>
  <c r="F1024" i="6"/>
  <c r="E1024" i="6"/>
  <c r="D1024" i="6"/>
  <c r="C1024" i="6"/>
  <c r="B1024" i="6"/>
  <c r="K1023" i="6"/>
  <c r="F1023" i="6"/>
  <c r="E1023" i="6"/>
  <c r="D1023" i="6"/>
  <c r="C1023" i="6"/>
  <c r="B1023" i="6"/>
  <c r="K1022" i="6"/>
  <c r="F1022" i="6"/>
  <c r="E1022" i="6"/>
  <c r="D1022" i="6"/>
  <c r="C1022" i="6"/>
  <c r="B1022" i="6"/>
  <c r="K1021" i="6"/>
  <c r="F1021" i="6"/>
  <c r="E1021" i="6"/>
  <c r="D1021" i="6"/>
  <c r="C1021" i="6"/>
  <c r="B1021" i="6"/>
  <c r="K1020" i="6"/>
  <c r="F1020" i="6"/>
  <c r="E1020" i="6"/>
  <c r="D1020" i="6"/>
  <c r="C1020" i="6"/>
  <c r="B1020" i="6"/>
  <c r="K1019" i="6"/>
  <c r="F1019" i="6"/>
  <c r="E1019" i="6"/>
  <c r="D1019" i="6"/>
  <c r="C1019" i="6"/>
  <c r="B1019" i="6"/>
  <c r="K1018" i="6"/>
  <c r="F1018" i="6"/>
  <c r="E1018" i="6"/>
  <c r="D1018" i="6"/>
  <c r="C1018" i="6"/>
  <c r="B1018" i="6"/>
  <c r="K1017" i="6"/>
  <c r="F1017" i="6"/>
  <c r="E1017" i="6"/>
  <c r="D1017" i="6"/>
  <c r="C1017" i="6"/>
  <c r="B1017" i="6"/>
  <c r="K1016" i="6"/>
  <c r="F1016" i="6"/>
  <c r="E1016" i="6"/>
  <c r="D1016" i="6"/>
  <c r="C1016" i="6"/>
  <c r="B1016" i="6"/>
  <c r="K1015" i="6"/>
  <c r="F1015" i="6"/>
  <c r="E1015" i="6"/>
  <c r="D1015" i="6"/>
  <c r="C1015" i="6"/>
  <c r="B1015" i="6"/>
  <c r="K1014" i="6"/>
  <c r="F1014" i="6"/>
  <c r="E1014" i="6"/>
  <c r="D1014" i="6"/>
  <c r="C1014" i="6"/>
  <c r="B1014" i="6"/>
  <c r="K1013" i="6"/>
  <c r="F1013" i="6"/>
  <c r="E1013" i="6"/>
  <c r="D1013" i="6"/>
  <c r="C1013" i="6"/>
  <c r="B1013" i="6"/>
  <c r="K1012" i="6"/>
  <c r="F1012" i="6"/>
  <c r="E1012" i="6"/>
  <c r="D1012" i="6"/>
  <c r="C1012" i="6"/>
  <c r="B1012" i="6"/>
  <c r="K1011" i="6"/>
  <c r="F1011" i="6"/>
  <c r="E1011" i="6"/>
  <c r="D1011" i="6"/>
  <c r="C1011" i="6"/>
  <c r="B1011" i="6"/>
  <c r="K1010" i="6"/>
  <c r="F1010" i="6"/>
  <c r="E1010" i="6"/>
  <c r="D1010" i="6"/>
  <c r="C1010" i="6"/>
  <c r="B1010" i="6"/>
  <c r="K1009" i="6"/>
  <c r="F1009" i="6"/>
  <c r="E1009" i="6"/>
  <c r="D1009" i="6"/>
  <c r="C1009" i="6"/>
  <c r="B1009" i="6"/>
  <c r="K1008" i="6"/>
  <c r="F1008" i="6"/>
  <c r="E1008" i="6"/>
  <c r="D1008" i="6"/>
  <c r="C1008" i="6"/>
  <c r="B1008" i="6"/>
  <c r="K1007" i="6"/>
  <c r="F1007" i="6"/>
  <c r="E1007" i="6"/>
  <c r="D1007" i="6"/>
  <c r="C1007" i="6"/>
  <c r="B1007" i="6"/>
  <c r="K1006" i="6"/>
  <c r="F1006" i="6"/>
  <c r="E1006" i="6"/>
  <c r="D1006" i="6"/>
  <c r="C1006" i="6"/>
  <c r="B1006" i="6"/>
  <c r="K1005" i="6"/>
  <c r="F1005" i="6"/>
  <c r="E1005" i="6"/>
  <c r="D1005" i="6"/>
  <c r="C1005" i="6"/>
  <c r="B1005" i="6"/>
  <c r="K1004" i="6"/>
  <c r="F1004" i="6"/>
  <c r="E1004" i="6"/>
  <c r="D1004" i="6"/>
  <c r="C1004" i="6"/>
  <c r="B1004" i="6"/>
  <c r="K1003" i="6"/>
  <c r="F1003" i="6"/>
  <c r="E1003" i="6"/>
  <c r="D1003" i="6"/>
  <c r="C1003" i="6"/>
  <c r="B1003" i="6"/>
  <c r="K1002" i="6"/>
  <c r="F1002" i="6"/>
  <c r="E1002" i="6"/>
  <c r="D1002" i="6"/>
  <c r="C1002" i="6"/>
  <c r="B1002" i="6"/>
  <c r="K1001" i="6"/>
  <c r="F1001" i="6"/>
  <c r="E1001" i="6"/>
  <c r="D1001" i="6"/>
  <c r="C1001" i="6"/>
  <c r="B1001" i="6"/>
  <c r="K1000" i="6"/>
  <c r="F1000" i="6"/>
  <c r="E1000" i="6"/>
  <c r="D1000" i="6"/>
  <c r="C1000" i="6"/>
  <c r="B1000" i="6"/>
  <c r="K999" i="6"/>
  <c r="F999" i="6"/>
  <c r="E999" i="6"/>
  <c r="D999" i="6"/>
  <c r="C999" i="6"/>
  <c r="B999" i="6"/>
  <c r="K998" i="6"/>
  <c r="F998" i="6"/>
  <c r="E998" i="6"/>
  <c r="D998" i="6"/>
  <c r="C998" i="6"/>
  <c r="B998" i="6"/>
  <c r="K997" i="6"/>
  <c r="F997" i="6"/>
  <c r="E997" i="6"/>
  <c r="D997" i="6"/>
  <c r="C997" i="6"/>
  <c r="B997" i="6"/>
  <c r="K996" i="6"/>
  <c r="F996" i="6"/>
  <c r="E996" i="6"/>
  <c r="D996" i="6"/>
  <c r="C996" i="6"/>
  <c r="B996" i="6"/>
  <c r="K995" i="6"/>
  <c r="F995" i="6"/>
  <c r="E995" i="6"/>
  <c r="D995" i="6"/>
  <c r="C995" i="6"/>
  <c r="B995" i="6"/>
  <c r="K994" i="6"/>
  <c r="F994" i="6"/>
  <c r="E994" i="6"/>
  <c r="D994" i="6"/>
  <c r="C994" i="6"/>
  <c r="B994" i="6"/>
  <c r="K993" i="6"/>
  <c r="F993" i="6"/>
  <c r="E993" i="6"/>
  <c r="D993" i="6"/>
  <c r="C993" i="6"/>
  <c r="B993" i="6"/>
  <c r="K992" i="6"/>
  <c r="F992" i="6"/>
  <c r="E992" i="6"/>
  <c r="D992" i="6"/>
  <c r="C992" i="6"/>
  <c r="B992" i="6"/>
  <c r="K991" i="6"/>
  <c r="F991" i="6"/>
  <c r="E991" i="6"/>
  <c r="D991" i="6"/>
  <c r="C991" i="6"/>
  <c r="B991" i="6"/>
  <c r="K990" i="6"/>
  <c r="F990" i="6"/>
  <c r="E990" i="6"/>
  <c r="D990" i="6"/>
  <c r="C990" i="6"/>
  <c r="B990" i="6"/>
  <c r="K989" i="6"/>
  <c r="F989" i="6"/>
  <c r="E989" i="6"/>
  <c r="D989" i="6"/>
  <c r="C989" i="6"/>
  <c r="B989" i="6"/>
  <c r="K988" i="6"/>
  <c r="F988" i="6"/>
  <c r="E988" i="6"/>
  <c r="D988" i="6"/>
  <c r="C988" i="6"/>
  <c r="B988" i="6"/>
  <c r="K987" i="6"/>
  <c r="F987" i="6"/>
  <c r="E987" i="6"/>
  <c r="D987" i="6"/>
  <c r="C987" i="6"/>
  <c r="B987" i="6"/>
  <c r="K986" i="6"/>
  <c r="F986" i="6"/>
  <c r="E986" i="6"/>
  <c r="D986" i="6"/>
  <c r="C986" i="6"/>
  <c r="B986" i="6"/>
  <c r="K985" i="6"/>
  <c r="F985" i="6"/>
  <c r="E985" i="6"/>
  <c r="D985" i="6"/>
  <c r="C985" i="6"/>
  <c r="B985" i="6"/>
  <c r="K984" i="6"/>
  <c r="F984" i="6"/>
  <c r="E984" i="6"/>
  <c r="D984" i="6"/>
  <c r="C984" i="6"/>
  <c r="B984" i="6"/>
  <c r="K983" i="6"/>
  <c r="F983" i="6"/>
  <c r="E983" i="6"/>
  <c r="D983" i="6"/>
  <c r="C983" i="6"/>
  <c r="B983" i="6"/>
  <c r="K982" i="6"/>
  <c r="F982" i="6"/>
  <c r="E982" i="6"/>
  <c r="D982" i="6"/>
  <c r="C982" i="6"/>
  <c r="B982" i="6"/>
  <c r="K981" i="6"/>
  <c r="F981" i="6"/>
  <c r="E981" i="6"/>
  <c r="D981" i="6"/>
  <c r="C981" i="6"/>
  <c r="B981" i="6"/>
  <c r="K980" i="6"/>
  <c r="F980" i="6"/>
  <c r="E980" i="6"/>
  <c r="D980" i="6"/>
  <c r="C980" i="6"/>
  <c r="B980" i="6"/>
  <c r="K979" i="6"/>
  <c r="F979" i="6"/>
  <c r="E979" i="6"/>
  <c r="D979" i="6"/>
  <c r="C979" i="6"/>
  <c r="B979" i="6"/>
  <c r="K978" i="6"/>
  <c r="F978" i="6"/>
  <c r="E978" i="6"/>
  <c r="D978" i="6"/>
  <c r="C978" i="6"/>
  <c r="B978" i="6"/>
  <c r="K977" i="6"/>
  <c r="F977" i="6"/>
  <c r="E977" i="6"/>
  <c r="D977" i="6"/>
  <c r="C977" i="6"/>
  <c r="B977" i="6"/>
  <c r="K976" i="6"/>
  <c r="F976" i="6"/>
  <c r="E976" i="6"/>
  <c r="D976" i="6"/>
  <c r="C976" i="6"/>
  <c r="B976" i="6"/>
  <c r="K975" i="6"/>
  <c r="F975" i="6"/>
  <c r="E975" i="6"/>
  <c r="D975" i="6"/>
  <c r="C975" i="6"/>
  <c r="B975" i="6"/>
  <c r="K974" i="6"/>
  <c r="F974" i="6"/>
  <c r="E974" i="6"/>
  <c r="D974" i="6"/>
  <c r="C974" i="6"/>
  <c r="B974" i="6"/>
  <c r="K973" i="6"/>
  <c r="F973" i="6"/>
  <c r="E973" i="6"/>
  <c r="D973" i="6"/>
  <c r="C973" i="6"/>
  <c r="B973" i="6"/>
  <c r="K972" i="6"/>
  <c r="F972" i="6"/>
  <c r="E972" i="6"/>
  <c r="D972" i="6"/>
  <c r="C972" i="6"/>
  <c r="B972" i="6"/>
  <c r="K971" i="6"/>
  <c r="F971" i="6"/>
  <c r="E971" i="6"/>
  <c r="D971" i="6"/>
  <c r="C971" i="6"/>
  <c r="B971" i="6"/>
  <c r="K970" i="6"/>
  <c r="F970" i="6"/>
  <c r="E970" i="6"/>
  <c r="D970" i="6"/>
  <c r="C970" i="6"/>
  <c r="B970" i="6"/>
  <c r="K969" i="6"/>
  <c r="F969" i="6"/>
  <c r="E969" i="6"/>
  <c r="D969" i="6"/>
  <c r="C969" i="6"/>
  <c r="B969" i="6"/>
  <c r="K968" i="6"/>
  <c r="F968" i="6"/>
  <c r="E968" i="6"/>
  <c r="D968" i="6"/>
  <c r="C968" i="6"/>
  <c r="B968" i="6"/>
  <c r="K967" i="6"/>
  <c r="F967" i="6"/>
  <c r="E967" i="6"/>
  <c r="D967" i="6"/>
  <c r="C967" i="6"/>
  <c r="B967" i="6"/>
  <c r="K966" i="6"/>
  <c r="F966" i="6"/>
  <c r="E966" i="6"/>
  <c r="D966" i="6"/>
  <c r="C966" i="6"/>
  <c r="B966" i="6"/>
  <c r="K965" i="6"/>
  <c r="F965" i="6"/>
  <c r="E965" i="6"/>
  <c r="D965" i="6"/>
  <c r="C965" i="6"/>
  <c r="B965" i="6"/>
  <c r="K964" i="6"/>
  <c r="F964" i="6"/>
  <c r="E964" i="6"/>
  <c r="D964" i="6"/>
  <c r="C964" i="6"/>
  <c r="B964" i="6"/>
  <c r="K963" i="6"/>
  <c r="F963" i="6"/>
  <c r="E963" i="6"/>
  <c r="D963" i="6"/>
  <c r="C963" i="6"/>
  <c r="B963" i="6"/>
  <c r="K962" i="6"/>
  <c r="F962" i="6"/>
  <c r="E962" i="6"/>
  <c r="D962" i="6"/>
  <c r="C962" i="6"/>
  <c r="B962" i="6"/>
  <c r="K961" i="6"/>
  <c r="F961" i="6"/>
  <c r="E961" i="6"/>
  <c r="D961" i="6"/>
  <c r="C961" i="6"/>
  <c r="B961" i="6"/>
  <c r="K960" i="6"/>
  <c r="F960" i="6"/>
  <c r="E960" i="6"/>
  <c r="D960" i="6"/>
  <c r="C960" i="6"/>
  <c r="B960" i="6"/>
  <c r="K959" i="6"/>
  <c r="F959" i="6"/>
  <c r="E959" i="6"/>
  <c r="D959" i="6"/>
  <c r="C959" i="6"/>
  <c r="B959" i="6"/>
  <c r="K958" i="6"/>
  <c r="F958" i="6"/>
  <c r="E958" i="6"/>
  <c r="D958" i="6"/>
  <c r="C958" i="6"/>
  <c r="B958" i="6"/>
  <c r="K957" i="6"/>
  <c r="F957" i="6"/>
  <c r="E957" i="6"/>
  <c r="D957" i="6"/>
  <c r="C957" i="6"/>
  <c r="B957" i="6"/>
  <c r="K956" i="6"/>
  <c r="F956" i="6"/>
  <c r="E956" i="6"/>
  <c r="D956" i="6"/>
  <c r="C956" i="6"/>
  <c r="B956" i="6"/>
  <c r="K955" i="6"/>
  <c r="F955" i="6"/>
  <c r="E955" i="6"/>
  <c r="D955" i="6"/>
  <c r="C955" i="6"/>
  <c r="B955" i="6"/>
  <c r="K954" i="6"/>
  <c r="F954" i="6"/>
  <c r="E954" i="6"/>
  <c r="D954" i="6"/>
  <c r="C954" i="6"/>
  <c r="B954" i="6"/>
  <c r="K953" i="6"/>
  <c r="F953" i="6"/>
  <c r="E953" i="6"/>
  <c r="D953" i="6"/>
  <c r="C953" i="6"/>
  <c r="B953" i="6"/>
  <c r="K952" i="6"/>
  <c r="F952" i="6"/>
  <c r="E952" i="6"/>
  <c r="D952" i="6"/>
  <c r="C952" i="6"/>
  <c r="B952" i="6"/>
  <c r="K951" i="6"/>
  <c r="F951" i="6"/>
  <c r="E951" i="6"/>
  <c r="D951" i="6"/>
  <c r="C951" i="6"/>
  <c r="B951" i="6"/>
  <c r="K950" i="6"/>
  <c r="F950" i="6"/>
  <c r="E950" i="6"/>
  <c r="D950" i="6"/>
  <c r="C950" i="6"/>
  <c r="B950" i="6"/>
  <c r="K949" i="6"/>
  <c r="F949" i="6"/>
  <c r="E949" i="6"/>
  <c r="D949" i="6"/>
  <c r="C949" i="6"/>
  <c r="B949" i="6"/>
  <c r="K948" i="6"/>
  <c r="F948" i="6"/>
  <c r="E948" i="6"/>
  <c r="D948" i="6"/>
  <c r="C948" i="6"/>
  <c r="B948" i="6"/>
  <c r="K947" i="6"/>
  <c r="F947" i="6"/>
  <c r="E947" i="6"/>
  <c r="D947" i="6"/>
  <c r="C947" i="6"/>
  <c r="B947" i="6"/>
  <c r="K946" i="6"/>
  <c r="F946" i="6"/>
  <c r="E946" i="6"/>
  <c r="D946" i="6"/>
  <c r="C946" i="6"/>
  <c r="B946" i="6"/>
  <c r="K945" i="6"/>
  <c r="F945" i="6"/>
  <c r="E945" i="6"/>
  <c r="D945" i="6"/>
  <c r="C945" i="6"/>
  <c r="B945" i="6"/>
  <c r="K944" i="6"/>
  <c r="F944" i="6"/>
  <c r="E944" i="6"/>
  <c r="D944" i="6"/>
  <c r="C944" i="6"/>
  <c r="B944" i="6"/>
  <c r="K943" i="6"/>
  <c r="F943" i="6"/>
  <c r="E943" i="6"/>
  <c r="D943" i="6"/>
  <c r="C943" i="6"/>
  <c r="B943" i="6"/>
  <c r="K942" i="6"/>
  <c r="F942" i="6"/>
  <c r="E942" i="6"/>
  <c r="D942" i="6"/>
  <c r="C942" i="6"/>
  <c r="B942" i="6"/>
  <c r="K941" i="6"/>
  <c r="F941" i="6"/>
  <c r="E941" i="6"/>
  <c r="D941" i="6"/>
  <c r="C941" i="6"/>
  <c r="B941" i="6"/>
  <c r="K940" i="6"/>
  <c r="F940" i="6"/>
  <c r="E940" i="6"/>
  <c r="D940" i="6"/>
  <c r="C940" i="6"/>
  <c r="B940" i="6"/>
  <c r="K939" i="6"/>
  <c r="F939" i="6"/>
  <c r="E939" i="6"/>
  <c r="D939" i="6"/>
  <c r="C939" i="6"/>
  <c r="B939" i="6"/>
  <c r="K938" i="6"/>
  <c r="F938" i="6"/>
  <c r="E938" i="6"/>
  <c r="D938" i="6"/>
  <c r="C938" i="6"/>
  <c r="B938" i="6"/>
  <c r="K937" i="6"/>
  <c r="F937" i="6"/>
  <c r="E937" i="6"/>
  <c r="D937" i="6"/>
  <c r="C937" i="6"/>
  <c r="B937" i="6"/>
  <c r="K936" i="6"/>
  <c r="F936" i="6"/>
  <c r="E936" i="6"/>
  <c r="D936" i="6"/>
  <c r="C936" i="6"/>
  <c r="B936" i="6"/>
  <c r="K935" i="6"/>
  <c r="F935" i="6"/>
  <c r="E935" i="6"/>
  <c r="D935" i="6"/>
  <c r="C935" i="6"/>
  <c r="B935" i="6"/>
  <c r="K934" i="6"/>
  <c r="F934" i="6"/>
  <c r="E934" i="6"/>
  <c r="D934" i="6"/>
  <c r="C934" i="6"/>
  <c r="B934" i="6"/>
  <c r="K933" i="6"/>
  <c r="F933" i="6"/>
  <c r="E933" i="6"/>
  <c r="D933" i="6"/>
  <c r="C933" i="6"/>
  <c r="B933" i="6"/>
  <c r="K932" i="6"/>
  <c r="F932" i="6"/>
  <c r="E932" i="6"/>
  <c r="D932" i="6"/>
  <c r="C932" i="6"/>
  <c r="B932" i="6"/>
  <c r="K931" i="6"/>
  <c r="F931" i="6"/>
  <c r="E931" i="6"/>
  <c r="D931" i="6"/>
  <c r="C931" i="6"/>
  <c r="B931" i="6"/>
  <c r="K930" i="6"/>
  <c r="F930" i="6"/>
  <c r="E930" i="6"/>
  <c r="D930" i="6"/>
  <c r="C930" i="6"/>
  <c r="B930" i="6"/>
  <c r="K929" i="6"/>
  <c r="F929" i="6"/>
  <c r="E929" i="6"/>
  <c r="D929" i="6"/>
  <c r="C929" i="6"/>
  <c r="B929" i="6"/>
  <c r="K928" i="6"/>
  <c r="F928" i="6"/>
  <c r="E928" i="6"/>
  <c r="D928" i="6"/>
  <c r="C928" i="6"/>
  <c r="B928" i="6"/>
  <c r="K927" i="6"/>
  <c r="F927" i="6"/>
  <c r="E927" i="6"/>
  <c r="D927" i="6"/>
  <c r="C927" i="6"/>
  <c r="B927" i="6"/>
  <c r="K926" i="6"/>
  <c r="F926" i="6"/>
  <c r="E926" i="6"/>
  <c r="D926" i="6"/>
  <c r="C926" i="6"/>
  <c r="B926" i="6"/>
  <c r="K925" i="6"/>
  <c r="F925" i="6"/>
  <c r="E925" i="6"/>
  <c r="D925" i="6"/>
  <c r="C925" i="6"/>
  <c r="B925" i="6"/>
  <c r="K924" i="6"/>
  <c r="F924" i="6"/>
  <c r="E924" i="6"/>
  <c r="D924" i="6"/>
  <c r="C924" i="6"/>
  <c r="B924" i="6"/>
  <c r="K923" i="6"/>
  <c r="F923" i="6"/>
  <c r="E923" i="6"/>
  <c r="D923" i="6"/>
  <c r="C923" i="6"/>
  <c r="B923" i="6"/>
  <c r="K922" i="6"/>
  <c r="F922" i="6"/>
  <c r="E922" i="6"/>
  <c r="D922" i="6"/>
  <c r="C922" i="6"/>
  <c r="B922" i="6"/>
  <c r="K921" i="6"/>
  <c r="F921" i="6"/>
  <c r="E921" i="6"/>
  <c r="D921" i="6"/>
  <c r="C921" i="6"/>
  <c r="B921" i="6"/>
  <c r="K920" i="6"/>
  <c r="F920" i="6"/>
  <c r="E920" i="6"/>
  <c r="D920" i="6"/>
  <c r="C920" i="6"/>
  <c r="B920" i="6"/>
  <c r="K919" i="6"/>
  <c r="F919" i="6"/>
  <c r="E919" i="6"/>
  <c r="D919" i="6"/>
  <c r="C919" i="6"/>
  <c r="B919" i="6"/>
  <c r="K918" i="6"/>
  <c r="F918" i="6"/>
  <c r="E918" i="6"/>
  <c r="D918" i="6"/>
  <c r="C918" i="6"/>
  <c r="B918" i="6"/>
  <c r="K917" i="6"/>
  <c r="F917" i="6"/>
  <c r="E917" i="6"/>
  <c r="D917" i="6"/>
  <c r="C917" i="6"/>
  <c r="B917" i="6"/>
  <c r="K916" i="6"/>
  <c r="F916" i="6"/>
  <c r="E916" i="6"/>
  <c r="D916" i="6"/>
  <c r="C916" i="6"/>
  <c r="B916" i="6"/>
  <c r="K915" i="6"/>
  <c r="F915" i="6"/>
  <c r="E915" i="6"/>
  <c r="D915" i="6"/>
  <c r="C915" i="6"/>
  <c r="B915" i="6"/>
  <c r="K914" i="6"/>
  <c r="F914" i="6"/>
  <c r="E914" i="6"/>
  <c r="D914" i="6"/>
  <c r="C914" i="6"/>
  <c r="B914" i="6"/>
  <c r="K913" i="6"/>
  <c r="F913" i="6"/>
  <c r="E913" i="6"/>
  <c r="D913" i="6"/>
  <c r="C913" i="6"/>
  <c r="B913" i="6"/>
  <c r="K912" i="6"/>
  <c r="F912" i="6"/>
  <c r="E912" i="6"/>
  <c r="D912" i="6"/>
  <c r="C912" i="6"/>
  <c r="B912" i="6"/>
  <c r="K911" i="6"/>
  <c r="F911" i="6"/>
  <c r="E911" i="6"/>
  <c r="D911" i="6"/>
  <c r="C911" i="6"/>
  <c r="B911" i="6"/>
  <c r="K910" i="6"/>
  <c r="F910" i="6"/>
  <c r="E910" i="6"/>
  <c r="D910" i="6"/>
  <c r="C910" i="6"/>
  <c r="B910" i="6"/>
  <c r="K909" i="6"/>
  <c r="F909" i="6"/>
  <c r="E909" i="6"/>
  <c r="D909" i="6"/>
  <c r="C909" i="6"/>
  <c r="B909" i="6"/>
  <c r="K908" i="6"/>
  <c r="F908" i="6"/>
  <c r="E908" i="6"/>
  <c r="D908" i="6"/>
  <c r="C908" i="6"/>
  <c r="B908" i="6"/>
  <c r="K907" i="6"/>
  <c r="F907" i="6"/>
  <c r="E907" i="6"/>
  <c r="D907" i="6"/>
  <c r="C907" i="6"/>
  <c r="B907" i="6"/>
  <c r="K906" i="6"/>
  <c r="F906" i="6"/>
  <c r="E906" i="6"/>
  <c r="D906" i="6"/>
  <c r="C906" i="6"/>
  <c r="B906" i="6"/>
  <c r="K905" i="6"/>
  <c r="F905" i="6"/>
  <c r="E905" i="6"/>
  <c r="D905" i="6"/>
  <c r="C905" i="6"/>
  <c r="B905" i="6"/>
  <c r="K904" i="6"/>
  <c r="F904" i="6"/>
  <c r="E904" i="6"/>
  <c r="D904" i="6"/>
  <c r="C904" i="6"/>
  <c r="B904" i="6"/>
  <c r="K903" i="6"/>
  <c r="F903" i="6"/>
  <c r="E903" i="6"/>
  <c r="D903" i="6"/>
  <c r="C903" i="6"/>
  <c r="B903" i="6"/>
  <c r="K902" i="6"/>
  <c r="F902" i="6"/>
  <c r="E902" i="6"/>
  <c r="D902" i="6"/>
  <c r="C902" i="6"/>
  <c r="B902" i="6"/>
  <c r="K901" i="6"/>
  <c r="F901" i="6"/>
  <c r="E901" i="6"/>
  <c r="D901" i="6"/>
  <c r="C901" i="6"/>
  <c r="B901" i="6"/>
  <c r="K900" i="6"/>
  <c r="F900" i="6"/>
  <c r="E900" i="6"/>
  <c r="D900" i="6"/>
  <c r="C900" i="6"/>
  <c r="B900" i="6"/>
  <c r="K899" i="6"/>
  <c r="F899" i="6"/>
  <c r="E899" i="6"/>
  <c r="D899" i="6"/>
  <c r="C899" i="6"/>
  <c r="B899" i="6"/>
  <c r="K898" i="6"/>
  <c r="F898" i="6"/>
  <c r="E898" i="6"/>
  <c r="D898" i="6"/>
  <c r="C898" i="6"/>
  <c r="B898" i="6"/>
  <c r="K897" i="6"/>
  <c r="F897" i="6"/>
  <c r="E897" i="6"/>
  <c r="D897" i="6"/>
  <c r="C897" i="6"/>
  <c r="B897" i="6"/>
  <c r="K896" i="6"/>
  <c r="F896" i="6"/>
  <c r="E896" i="6"/>
  <c r="D896" i="6"/>
  <c r="C896" i="6"/>
  <c r="B896" i="6"/>
  <c r="K895" i="6"/>
  <c r="F895" i="6"/>
  <c r="E895" i="6"/>
  <c r="D895" i="6"/>
  <c r="C895" i="6"/>
  <c r="B895" i="6"/>
  <c r="K894" i="6"/>
  <c r="F894" i="6"/>
  <c r="E894" i="6"/>
  <c r="D894" i="6"/>
  <c r="C894" i="6"/>
  <c r="B894" i="6"/>
  <c r="K893" i="6"/>
  <c r="F893" i="6"/>
  <c r="E893" i="6"/>
  <c r="D893" i="6"/>
  <c r="C893" i="6"/>
  <c r="B893" i="6"/>
  <c r="K892" i="6"/>
  <c r="F892" i="6"/>
  <c r="E892" i="6"/>
  <c r="D892" i="6"/>
  <c r="C892" i="6"/>
  <c r="B892" i="6"/>
  <c r="K891" i="6"/>
  <c r="F891" i="6"/>
  <c r="E891" i="6"/>
  <c r="D891" i="6"/>
  <c r="C891" i="6"/>
  <c r="B891" i="6"/>
  <c r="K890" i="6"/>
  <c r="F890" i="6"/>
  <c r="E890" i="6"/>
  <c r="D890" i="6"/>
  <c r="C890" i="6"/>
  <c r="B890" i="6"/>
  <c r="K889" i="6"/>
  <c r="F889" i="6"/>
  <c r="E889" i="6"/>
  <c r="D889" i="6"/>
  <c r="C889" i="6"/>
  <c r="B889" i="6"/>
  <c r="K888" i="6"/>
  <c r="F888" i="6"/>
  <c r="E888" i="6"/>
  <c r="D888" i="6"/>
  <c r="C888" i="6"/>
  <c r="B888" i="6"/>
  <c r="K887" i="6"/>
  <c r="F887" i="6"/>
  <c r="E887" i="6"/>
  <c r="D887" i="6"/>
  <c r="C887" i="6"/>
  <c r="B887" i="6"/>
  <c r="K886" i="6"/>
  <c r="F886" i="6"/>
  <c r="E886" i="6"/>
  <c r="D886" i="6"/>
  <c r="C886" i="6"/>
  <c r="B886" i="6"/>
  <c r="K885" i="6"/>
  <c r="F885" i="6"/>
  <c r="E885" i="6"/>
  <c r="D885" i="6"/>
  <c r="C885" i="6"/>
  <c r="B885" i="6"/>
  <c r="K884" i="6"/>
  <c r="F884" i="6"/>
  <c r="E884" i="6"/>
  <c r="D884" i="6"/>
  <c r="C884" i="6"/>
  <c r="B884" i="6"/>
  <c r="K883" i="6"/>
  <c r="F883" i="6"/>
  <c r="E883" i="6"/>
  <c r="D883" i="6"/>
  <c r="C883" i="6"/>
  <c r="B883" i="6"/>
  <c r="K882" i="6"/>
  <c r="F882" i="6"/>
  <c r="E882" i="6"/>
  <c r="D882" i="6"/>
  <c r="C882" i="6"/>
  <c r="B882" i="6"/>
  <c r="K881" i="6"/>
  <c r="F881" i="6"/>
  <c r="E881" i="6"/>
  <c r="D881" i="6"/>
  <c r="C881" i="6"/>
  <c r="B881" i="6"/>
  <c r="K880" i="6"/>
  <c r="F880" i="6"/>
  <c r="E880" i="6"/>
  <c r="D880" i="6"/>
  <c r="C880" i="6"/>
  <c r="B880" i="6"/>
  <c r="K879" i="6"/>
  <c r="F879" i="6"/>
  <c r="E879" i="6"/>
  <c r="D879" i="6"/>
  <c r="C879" i="6"/>
  <c r="B879" i="6"/>
  <c r="K878" i="6"/>
  <c r="F878" i="6"/>
  <c r="E878" i="6"/>
  <c r="D878" i="6"/>
  <c r="C878" i="6"/>
  <c r="B878" i="6"/>
  <c r="K877" i="6"/>
  <c r="F877" i="6"/>
  <c r="E877" i="6"/>
  <c r="D877" i="6"/>
  <c r="C877" i="6"/>
  <c r="B877" i="6"/>
  <c r="K876" i="6"/>
  <c r="F876" i="6"/>
  <c r="E876" i="6"/>
  <c r="D876" i="6"/>
  <c r="C876" i="6"/>
  <c r="B876" i="6"/>
  <c r="K875" i="6"/>
  <c r="F875" i="6"/>
  <c r="E875" i="6"/>
  <c r="D875" i="6"/>
  <c r="C875" i="6"/>
  <c r="B875" i="6"/>
  <c r="K874" i="6"/>
  <c r="F874" i="6"/>
  <c r="E874" i="6"/>
  <c r="D874" i="6"/>
  <c r="C874" i="6"/>
  <c r="B874" i="6"/>
  <c r="K873" i="6"/>
  <c r="F873" i="6"/>
  <c r="E873" i="6"/>
  <c r="D873" i="6"/>
  <c r="C873" i="6"/>
  <c r="B873" i="6"/>
  <c r="K872" i="6"/>
  <c r="F872" i="6"/>
  <c r="E872" i="6"/>
  <c r="D872" i="6"/>
  <c r="C872" i="6"/>
  <c r="B872" i="6"/>
  <c r="K871" i="6"/>
  <c r="F871" i="6"/>
  <c r="E871" i="6"/>
  <c r="D871" i="6"/>
  <c r="C871" i="6"/>
  <c r="B871" i="6"/>
  <c r="K870" i="6"/>
  <c r="F870" i="6"/>
  <c r="E870" i="6"/>
  <c r="D870" i="6"/>
  <c r="C870" i="6"/>
  <c r="B870" i="6"/>
  <c r="K869" i="6"/>
  <c r="F869" i="6"/>
  <c r="E869" i="6"/>
  <c r="D869" i="6"/>
  <c r="C869" i="6"/>
  <c r="B869" i="6"/>
  <c r="K868" i="6"/>
  <c r="F868" i="6"/>
  <c r="E868" i="6"/>
  <c r="D868" i="6"/>
  <c r="C868" i="6"/>
  <c r="B868" i="6"/>
  <c r="K867" i="6"/>
  <c r="F867" i="6"/>
  <c r="E867" i="6"/>
  <c r="D867" i="6"/>
  <c r="C867" i="6"/>
  <c r="B867" i="6"/>
  <c r="K866" i="6"/>
  <c r="F866" i="6"/>
  <c r="E866" i="6"/>
  <c r="D866" i="6"/>
  <c r="C866" i="6"/>
  <c r="B866" i="6"/>
  <c r="K865" i="6"/>
  <c r="F865" i="6"/>
  <c r="E865" i="6"/>
  <c r="D865" i="6"/>
  <c r="C865" i="6"/>
  <c r="B865" i="6"/>
  <c r="K864" i="6"/>
  <c r="F864" i="6"/>
  <c r="E864" i="6"/>
  <c r="D864" i="6"/>
  <c r="C864" i="6"/>
  <c r="B864" i="6"/>
  <c r="K863" i="6"/>
  <c r="F863" i="6"/>
  <c r="E863" i="6"/>
  <c r="D863" i="6"/>
  <c r="C863" i="6"/>
  <c r="B863" i="6"/>
  <c r="K862" i="6"/>
  <c r="F862" i="6"/>
  <c r="E862" i="6"/>
  <c r="D862" i="6"/>
  <c r="C862" i="6"/>
  <c r="B862" i="6"/>
  <c r="K861" i="6"/>
  <c r="F861" i="6"/>
  <c r="E861" i="6"/>
  <c r="D861" i="6"/>
  <c r="C861" i="6"/>
  <c r="B861" i="6"/>
  <c r="K860" i="6"/>
  <c r="F860" i="6"/>
  <c r="E860" i="6"/>
  <c r="D860" i="6"/>
  <c r="C860" i="6"/>
  <c r="B860" i="6"/>
  <c r="K859" i="6"/>
  <c r="F859" i="6"/>
  <c r="E859" i="6"/>
  <c r="D859" i="6"/>
  <c r="C859" i="6"/>
  <c r="B859" i="6"/>
  <c r="K858" i="6"/>
  <c r="F858" i="6"/>
  <c r="E858" i="6"/>
  <c r="D858" i="6"/>
  <c r="C858" i="6"/>
  <c r="B858" i="6"/>
  <c r="K857" i="6"/>
  <c r="F857" i="6"/>
  <c r="E857" i="6"/>
  <c r="D857" i="6"/>
  <c r="C857" i="6"/>
  <c r="B857" i="6"/>
  <c r="K856" i="6"/>
  <c r="F856" i="6"/>
  <c r="E856" i="6"/>
  <c r="D856" i="6"/>
  <c r="C856" i="6"/>
  <c r="B856" i="6"/>
  <c r="K855" i="6"/>
  <c r="F855" i="6"/>
  <c r="E855" i="6"/>
  <c r="D855" i="6"/>
  <c r="C855" i="6"/>
  <c r="B855" i="6"/>
  <c r="K854" i="6"/>
  <c r="F854" i="6"/>
  <c r="E854" i="6"/>
  <c r="D854" i="6"/>
  <c r="C854" i="6"/>
  <c r="B854" i="6"/>
  <c r="K853" i="6"/>
  <c r="F853" i="6"/>
  <c r="E853" i="6"/>
  <c r="D853" i="6"/>
  <c r="C853" i="6"/>
  <c r="B853" i="6"/>
  <c r="K852" i="6"/>
  <c r="F852" i="6"/>
  <c r="E852" i="6"/>
  <c r="D852" i="6"/>
  <c r="C852" i="6"/>
  <c r="B852" i="6"/>
  <c r="K851" i="6"/>
  <c r="F851" i="6"/>
  <c r="E851" i="6"/>
  <c r="D851" i="6"/>
  <c r="C851" i="6"/>
  <c r="B851" i="6"/>
  <c r="K850" i="6"/>
  <c r="F850" i="6"/>
  <c r="E850" i="6"/>
  <c r="D850" i="6"/>
  <c r="C850" i="6"/>
  <c r="B850" i="6"/>
  <c r="K849" i="6"/>
  <c r="F849" i="6"/>
  <c r="E849" i="6"/>
  <c r="D849" i="6"/>
  <c r="C849" i="6"/>
  <c r="B849" i="6"/>
  <c r="K848" i="6"/>
  <c r="F848" i="6"/>
  <c r="E848" i="6"/>
  <c r="D848" i="6"/>
  <c r="C848" i="6"/>
  <c r="B848" i="6"/>
  <c r="K847" i="6"/>
  <c r="F847" i="6"/>
  <c r="E847" i="6"/>
  <c r="D847" i="6"/>
  <c r="C847" i="6"/>
  <c r="B847" i="6"/>
  <c r="K846" i="6"/>
  <c r="F846" i="6"/>
  <c r="E846" i="6"/>
  <c r="D846" i="6"/>
  <c r="C846" i="6"/>
  <c r="B846" i="6"/>
  <c r="K845" i="6"/>
  <c r="F845" i="6"/>
  <c r="E845" i="6"/>
  <c r="D845" i="6"/>
  <c r="C845" i="6"/>
  <c r="B845" i="6"/>
  <c r="K844" i="6"/>
  <c r="F844" i="6"/>
  <c r="E844" i="6"/>
  <c r="D844" i="6"/>
  <c r="C844" i="6"/>
  <c r="B844" i="6"/>
  <c r="K843" i="6"/>
  <c r="F843" i="6"/>
  <c r="E843" i="6"/>
  <c r="D843" i="6"/>
  <c r="C843" i="6"/>
  <c r="B843" i="6"/>
  <c r="K842" i="6"/>
  <c r="F842" i="6"/>
  <c r="E842" i="6"/>
  <c r="D842" i="6"/>
  <c r="C842" i="6"/>
  <c r="B842" i="6"/>
  <c r="K841" i="6"/>
  <c r="F841" i="6"/>
  <c r="E841" i="6"/>
  <c r="D841" i="6"/>
  <c r="C841" i="6"/>
  <c r="B841" i="6"/>
  <c r="K840" i="6"/>
  <c r="F840" i="6"/>
  <c r="E840" i="6"/>
  <c r="D840" i="6"/>
  <c r="C840" i="6"/>
  <c r="B840" i="6"/>
  <c r="K839" i="6"/>
  <c r="F839" i="6"/>
  <c r="E839" i="6"/>
  <c r="D839" i="6"/>
  <c r="C839" i="6"/>
  <c r="B839" i="6"/>
  <c r="K838" i="6"/>
  <c r="F838" i="6"/>
  <c r="E838" i="6"/>
  <c r="D838" i="6"/>
  <c r="C838" i="6"/>
  <c r="B838" i="6"/>
  <c r="K837" i="6"/>
  <c r="F837" i="6"/>
  <c r="E837" i="6"/>
  <c r="D837" i="6"/>
  <c r="C837" i="6"/>
  <c r="B837" i="6"/>
  <c r="K836" i="6"/>
  <c r="F836" i="6"/>
  <c r="E836" i="6"/>
  <c r="D836" i="6"/>
  <c r="C836" i="6"/>
  <c r="B836" i="6"/>
  <c r="K835" i="6"/>
  <c r="F835" i="6"/>
  <c r="E835" i="6"/>
  <c r="D835" i="6"/>
  <c r="C835" i="6"/>
  <c r="B835" i="6"/>
  <c r="K834" i="6"/>
  <c r="F834" i="6"/>
  <c r="E834" i="6"/>
  <c r="D834" i="6"/>
  <c r="C834" i="6"/>
  <c r="B834" i="6"/>
  <c r="K833" i="6"/>
  <c r="F833" i="6"/>
  <c r="E833" i="6"/>
  <c r="D833" i="6"/>
  <c r="C833" i="6"/>
  <c r="B833" i="6"/>
  <c r="K832" i="6"/>
  <c r="F832" i="6"/>
  <c r="E832" i="6"/>
  <c r="D832" i="6"/>
  <c r="C832" i="6"/>
  <c r="B832" i="6"/>
  <c r="K831" i="6"/>
  <c r="F831" i="6"/>
  <c r="E831" i="6"/>
  <c r="D831" i="6"/>
  <c r="C831" i="6"/>
  <c r="B831" i="6"/>
  <c r="K830" i="6"/>
  <c r="F830" i="6"/>
  <c r="E830" i="6"/>
  <c r="D830" i="6"/>
  <c r="C830" i="6"/>
  <c r="B830" i="6"/>
  <c r="K829" i="6"/>
  <c r="F829" i="6"/>
  <c r="E829" i="6"/>
  <c r="D829" i="6"/>
  <c r="C829" i="6"/>
  <c r="B829" i="6"/>
  <c r="K828" i="6"/>
  <c r="F828" i="6"/>
  <c r="E828" i="6"/>
  <c r="D828" i="6"/>
  <c r="C828" i="6"/>
  <c r="B828" i="6"/>
  <c r="K827" i="6"/>
  <c r="F827" i="6"/>
  <c r="E827" i="6"/>
  <c r="D827" i="6"/>
  <c r="C827" i="6"/>
  <c r="B827" i="6"/>
  <c r="K826" i="6"/>
  <c r="F826" i="6"/>
  <c r="E826" i="6"/>
  <c r="D826" i="6"/>
  <c r="C826" i="6"/>
  <c r="B826" i="6"/>
  <c r="K825" i="6"/>
  <c r="F825" i="6"/>
  <c r="E825" i="6"/>
  <c r="D825" i="6"/>
  <c r="C825" i="6"/>
  <c r="B825" i="6"/>
  <c r="K824" i="6"/>
  <c r="F824" i="6"/>
  <c r="E824" i="6"/>
  <c r="D824" i="6"/>
  <c r="C824" i="6"/>
  <c r="B824" i="6"/>
  <c r="K823" i="6"/>
  <c r="F823" i="6"/>
  <c r="E823" i="6"/>
  <c r="D823" i="6"/>
  <c r="C823" i="6"/>
  <c r="B823" i="6"/>
  <c r="K822" i="6"/>
  <c r="F822" i="6"/>
  <c r="E822" i="6"/>
  <c r="D822" i="6"/>
  <c r="C822" i="6"/>
  <c r="B822" i="6"/>
  <c r="K821" i="6"/>
  <c r="F821" i="6"/>
  <c r="E821" i="6"/>
  <c r="D821" i="6"/>
  <c r="C821" i="6"/>
  <c r="B821" i="6"/>
  <c r="K820" i="6"/>
  <c r="F820" i="6"/>
  <c r="E820" i="6"/>
  <c r="D820" i="6"/>
  <c r="C820" i="6"/>
  <c r="B820" i="6"/>
  <c r="K819" i="6"/>
  <c r="F819" i="6"/>
  <c r="E819" i="6"/>
  <c r="D819" i="6"/>
  <c r="C819" i="6"/>
  <c r="B819" i="6"/>
  <c r="K818" i="6"/>
  <c r="F818" i="6"/>
  <c r="E818" i="6"/>
  <c r="D818" i="6"/>
  <c r="C818" i="6"/>
  <c r="B818" i="6"/>
  <c r="K817" i="6"/>
  <c r="F817" i="6"/>
  <c r="E817" i="6"/>
  <c r="D817" i="6"/>
  <c r="C817" i="6"/>
  <c r="B817" i="6"/>
  <c r="K816" i="6"/>
  <c r="F816" i="6"/>
  <c r="E816" i="6"/>
  <c r="D816" i="6"/>
  <c r="C816" i="6"/>
  <c r="B816" i="6"/>
  <c r="K815" i="6"/>
  <c r="F815" i="6"/>
  <c r="E815" i="6"/>
  <c r="D815" i="6"/>
  <c r="C815" i="6"/>
  <c r="B815" i="6"/>
  <c r="K814" i="6"/>
  <c r="F814" i="6"/>
  <c r="E814" i="6"/>
  <c r="D814" i="6"/>
  <c r="C814" i="6"/>
  <c r="B814" i="6"/>
  <c r="K813" i="6"/>
  <c r="F813" i="6"/>
  <c r="E813" i="6"/>
  <c r="D813" i="6"/>
  <c r="C813" i="6"/>
  <c r="B813" i="6"/>
  <c r="K812" i="6"/>
  <c r="F812" i="6"/>
  <c r="E812" i="6"/>
  <c r="D812" i="6"/>
  <c r="C812" i="6"/>
  <c r="B812" i="6"/>
  <c r="K811" i="6"/>
  <c r="F811" i="6"/>
  <c r="E811" i="6"/>
  <c r="D811" i="6"/>
  <c r="C811" i="6"/>
  <c r="B811" i="6"/>
  <c r="K810" i="6"/>
  <c r="F810" i="6"/>
  <c r="E810" i="6"/>
  <c r="D810" i="6"/>
  <c r="C810" i="6"/>
  <c r="B810" i="6"/>
  <c r="K809" i="6"/>
  <c r="F809" i="6"/>
  <c r="E809" i="6"/>
  <c r="D809" i="6"/>
  <c r="C809" i="6"/>
  <c r="B809" i="6"/>
  <c r="K808" i="6"/>
  <c r="F808" i="6"/>
  <c r="E808" i="6"/>
  <c r="D808" i="6"/>
  <c r="C808" i="6"/>
  <c r="B808" i="6"/>
  <c r="K807" i="6"/>
  <c r="F807" i="6"/>
  <c r="E807" i="6"/>
  <c r="D807" i="6"/>
  <c r="C807" i="6"/>
  <c r="B807" i="6"/>
  <c r="K806" i="6"/>
  <c r="F806" i="6"/>
  <c r="E806" i="6"/>
  <c r="D806" i="6"/>
  <c r="C806" i="6"/>
  <c r="B806" i="6"/>
  <c r="K805" i="6"/>
  <c r="F805" i="6"/>
  <c r="E805" i="6"/>
  <c r="D805" i="6"/>
  <c r="C805" i="6"/>
  <c r="B805" i="6"/>
  <c r="K804" i="6"/>
  <c r="F804" i="6"/>
  <c r="E804" i="6"/>
  <c r="D804" i="6"/>
  <c r="C804" i="6"/>
  <c r="B804" i="6"/>
  <c r="K803" i="6"/>
  <c r="F803" i="6"/>
  <c r="E803" i="6"/>
  <c r="D803" i="6"/>
  <c r="C803" i="6"/>
  <c r="B803" i="6"/>
  <c r="K802" i="6"/>
  <c r="F802" i="6"/>
  <c r="E802" i="6"/>
  <c r="D802" i="6"/>
  <c r="C802" i="6"/>
  <c r="B802" i="6"/>
  <c r="K801" i="6"/>
  <c r="F801" i="6"/>
  <c r="E801" i="6"/>
  <c r="D801" i="6"/>
  <c r="C801" i="6"/>
  <c r="B801" i="6"/>
  <c r="K800" i="6"/>
  <c r="F800" i="6"/>
  <c r="E800" i="6"/>
  <c r="D800" i="6"/>
  <c r="C800" i="6"/>
  <c r="B800" i="6"/>
  <c r="K799" i="6"/>
  <c r="F799" i="6"/>
  <c r="E799" i="6"/>
  <c r="D799" i="6"/>
  <c r="C799" i="6"/>
  <c r="B799" i="6"/>
  <c r="K798" i="6"/>
  <c r="F798" i="6"/>
  <c r="E798" i="6"/>
  <c r="D798" i="6"/>
  <c r="C798" i="6"/>
  <c r="B798" i="6"/>
  <c r="K797" i="6"/>
  <c r="F797" i="6"/>
  <c r="E797" i="6"/>
  <c r="D797" i="6"/>
  <c r="C797" i="6"/>
  <c r="B797" i="6"/>
  <c r="K796" i="6"/>
  <c r="F796" i="6"/>
  <c r="E796" i="6"/>
  <c r="D796" i="6"/>
  <c r="C796" i="6"/>
  <c r="B796" i="6"/>
  <c r="K795" i="6"/>
  <c r="F795" i="6"/>
  <c r="E795" i="6"/>
  <c r="D795" i="6"/>
  <c r="C795" i="6"/>
  <c r="B795" i="6"/>
  <c r="K794" i="6"/>
  <c r="F794" i="6"/>
  <c r="E794" i="6"/>
  <c r="D794" i="6"/>
  <c r="C794" i="6"/>
  <c r="B794" i="6"/>
  <c r="K793" i="6"/>
  <c r="F793" i="6"/>
  <c r="E793" i="6"/>
  <c r="D793" i="6"/>
  <c r="C793" i="6"/>
  <c r="B793" i="6"/>
  <c r="K792" i="6"/>
  <c r="F792" i="6"/>
  <c r="E792" i="6"/>
  <c r="D792" i="6"/>
  <c r="C792" i="6"/>
  <c r="B792" i="6"/>
  <c r="K791" i="6"/>
  <c r="F791" i="6"/>
  <c r="E791" i="6"/>
  <c r="D791" i="6"/>
  <c r="C791" i="6"/>
  <c r="B791" i="6"/>
  <c r="K790" i="6"/>
  <c r="F790" i="6"/>
  <c r="E790" i="6"/>
  <c r="D790" i="6"/>
  <c r="C790" i="6"/>
  <c r="B790" i="6"/>
  <c r="K789" i="6"/>
  <c r="F789" i="6"/>
  <c r="E789" i="6"/>
  <c r="D789" i="6"/>
  <c r="C789" i="6"/>
  <c r="B789" i="6"/>
  <c r="K788" i="6"/>
  <c r="F788" i="6"/>
  <c r="E788" i="6"/>
  <c r="D788" i="6"/>
  <c r="C788" i="6"/>
  <c r="B788" i="6"/>
  <c r="K787" i="6"/>
  <c r="F787" i="6"/>
  <c r="E787" i="6"/>
  <c r="D787" i="6"/>
  <c r="C787" i="6"/>
  <c r="B787" i="6"/>
  <c r="K786" i="6"/>
  <c r="F786" i="6"/>
  <c r="E786" i="6"/>
  <c r="D786" i="6"/>
  <c r="C786" i="6"/>
  <c r="B786" i="6"/>
  <c r="K785" i="6"/>
  <c r="F785" i="6"/>
  <c r="E785" i="6"/>
  <c r="D785" i="6"/>
  <c r="C785" i="6"/>
  <c r="B785" i="6"/>
  <c r="K784" i="6"/>
  <c r="F784" i="6"/>
  <c r="E784" i="6"/>
  <c r="D784" i="6"/>
  <c r="C784" i="6"/>
  <c r="B784" i="6"/>
  <c r="K783" i="6"/>
  <c r="F783" i="6"/>
  <c r="E783" i="6"/>
  <c r="D783" i="6"/>
  <c r="C783" i="6"/>
  <c r="B783" i="6"/>
  <c r="K782" i="6"/>
  <c r="F782" i="6"/>
  <c r="E782" i="6"/>
  <c r="D782" i="6"/>
  <c r="C782" i="6"/>
  <c r="B782" i="6"/>
  <c r="K781" i="6"/>
  <c r="F781" i="6"/>
  <c r="E781" i="6"/>
  <c r="D781" i="6"/>
  <c r="C781" i="6"/>
  <c r="B781" i="6"/>
  <c r="K780" i="6"/>
  <c r="F780" i="6"/>
  <c r="E780" i="6"/>
  <c r="D780" i="6"/>
  <c r="C780" i="6"/>
  <c r="B780" i="6"/>
  <c r="K779" i="6"/>
  <c r="F779" i="6"/>
  <c r="E779" i="6"/>
  <c r="D779" i="6"/>
  <c r="C779" i="6"/>
  <c r="B779" i="6"/>
  <c r="K778" i="6"/>
  <c r="F778" i="6"/>
  <c r="E778" i="6"/>
  <c r="D778" i="6"/>
  <c r="C778" i="6"/>
  <c r="B778" i="6"/>
  <c r="K777" i="6"/>
  <c r="F777" i="6"/>
  <c r="E777" i="6"/>
  <c r="D777" i="6"/>
  <c r="C777" i="6"/>
  <c r="B777" i="6"/>
  <c r="K776" i="6"/>
  <c r="F776" i="6"/>
  <c r="E776" i="6"/>
  <c r="D776" i="6"/>
  <c r="C776" i="6"/>
  <c r="B776" i="6"/>
  <c r="K775" i="6"/>
  <c r="F775" i="6"/>
  <c r="E775" i="6"/>
  <c r="D775" i="6"/>
  <c r="C775" i="6"/>
  <c r="B775" i="6"/>
  <c r="K774" i="6"/>
  <c r="F774" i="6"/>
  <c r="E774" i="6"/>
  <c r="D774" i="6"/>
  <c r="C774" i="6"/>
  <c r="B774" i="6"/>
  <c r="K773" i="6"/>
  <c r="F773" i="6"/>
  <c r="E773" i="6"/>
  <c r="D773" i="6"/>
  <c r="C773" i="6"/>
  <c r="B773" i="6"/>
  <c r="K772" i="6"/>
  <c r="F772" i="6"/>
  <c r="E772" i="6"/>
  <c r="D772" i="6"/>
  <c r="C772" i="6"/>
  <c r="B772" i="6"/>
  <c r="K771" i="6"/>
  <c r="F771" i="6"/>
  <c r="E771" i="6"/>
  <c r="D771" i="6"/>
  <c r="C771" i="6"/>
  <c r="B771" i="6"/>
  <c r="K770" i="6"/>
  <c r="F770" i="6"/>
  <c r="E770" i="6"/>
  <c r="D770" i="6"/>
  <c r="C770" i="6"/>
  <c r="B770" i="6"/>
  <c r="K769" i="6"/>
  <c r="F769" i="6"/>
  <c r="E769" i="6"/>
  <c r="D769" i="6"/>
  <c r="C769" i="6"/>
  <c r="B769" i="6"/>
  <c r="K768" i="6"/>
  <c r="F768" i="6"/>
  <c r="E768" i="6"/>
  <c r="D768" i="6"/>
  <c r="C768" i="6"/>
  <c r="B768" i="6"/>
  <c r="K767" i="6"/>
  <c r="F767" i="6"/>
  <c r="E767" i="6"/>
  <c r="D767" i="6"/>
  <c r="C767" i="6"/>
  <c r="B767" i="6"/>
  <c r="K766" i="6"/>
  <c r="F766" i="6"/>
  <c r="E766" i="6"/>
  <c r="D766" i="6"/>
  <c r="C766" i="6"/>
  <c r="B766" i="6"/>
  <c r="K765" i="6"/>
  <c r="F765" i="6"/>
  <c r="E765" i="6"/>
  <c r="D765" i="6"/>
  <c r="C765" i="6"/>
  <c r="B765" i="6"/>
  <c r="K764" i="6"/>
  <c r="F764" i="6"/>
  <c r="E764" i="6"/>
  <c r="D764" i="6"/>
  <c r="C764" i="6"/>
  <c r="B764" i="6"/>
  <c r="K763" i="6"/>
  <c r="F763" i="6"/>
  <c r="E763" i="6"/>
  <c r="D763" i="6"/>
  <c r="C763" i="6"/>
  <c r="B763" i="6"/>
  <c r="K762" i="6"/>
  <c r="F762" i="6"/>
  <c r="E762" i="6"/>
  <c r="D762" i="6"/>
  <c r="C762" i="6"/>
  <c r="B762" i="6"/>
  <c r="K761" i="6"/>
  <c r="F761" i="6"/>
  <c r="E761" i="6"/>
  <c r="D761" i="6"/>
  <c r="C761" i="6"/>
  <c r="B761" i="6"/>
  <c r="K760" i="6"/>
  <c r="F760" i="6"/>
  <c r="E760" i="6"/>
  <c r="D760" i="6"/>
  <c r="C760" i="6"/>
  <c r="B760" i="6"/>
  <c r="K759" i="6"/>
  <c r="F759" i="6"/>
  <c r="E759" i="6"/>
  <c r="D759" i="6"/>
  <c r="C759" i="6"/>
  <c r="B759" i="6"/>
  <c r="K758" i="6"/>
  <c r="F758" i="6"/>
  <c r="E758" i="6"/>
  <c r="D758" i="6"/>
  <c r="C758" i="6"/>
  <c r="B758" i="6"/>
  <c r="K757" i="6"/>
  <c r="F757" i="6"/>
  <c r="E757" i="6"/>
  <c r="D757" i="6"/>
  <c r="C757" i="6"/>
  <c r="B757" i="6"/>
  <c r="K756" i="6"/>
  <c r="F756" i="6"/>
  <c r="E756" i="6"/>
  <c r="D756" i="6"/>
  <c r="C756" i="6"/>
  <c r="B756" i="6"/>
  <c r="K755" i="6"/>
  <c r="F755" i="6"/>
  <c r="E755" i="6"/>
  <c r="D755" i="6"/>
  <c r="C755" i="6"/>
  <c r="B755" i="6"/>
  <c r="K754" i="6"/>
  <c r="F754" i="6"/>
  <c r="E754" i="6"/>
  <c r="D754" i="6"/>
  <c r="C754" i="6"/>
  <c r="B754" i="6"/>
  <c r="K753" i="6"/>
  <c r="F753" i="6"/>
  <c r="E753" i="6"/>
  <c r="D753" i="6"/>
  <c r="C753" i="6"/>
  <c r="B753" i="6"/>
  <c r="K752" i="6"/>
  <c r="F752" i="6"/>
  <c r="E752" i="6"/>
  <c r="D752" i="6"/>
  <c r="C752" i="6"/>
  <c r="B752" i="6"/>
  <c r="K751" i="6"/>
  <c r="F751" i="6"/>
  <c r="E751" i="6"/>
  <c r="D751" i="6"/>
  <c r="C751" i="6"/>
  <c r="B751" i="6"/>
  <c r="K750" i="6"/>
  <c r="F750" i="6"/>
  <c r="E750" i="6"/>
  <c r="D750" i="6"/>
  <c r="C750" i="6"/>
  <c r="B750" i="6"/>
  <c r="K749" i="6"/>
  <c r="F749" i="6"/>
  <c r="E749" i="6"/>
  <c r="D749" i="6"/>
  <c r="C749" i="6"/>
  <c r="B749" i="6"/>
  <c r="K748" i="6"/>
  <c r="F748" i="6"/>
  <c r="E748" i="6"/>
  <c r="D748" i="6"/>
  <c r="C748" i="6"/>
  <c r="B748" i="6"/>
  <c r="K747" i="6"/>
  <c r="F747" i="6"/>
  <c r="E747" i="6"/>
  <c r="D747" i="6"/>
  <c r="C747" i="6"/>
  <c r="B747" i="6"/>
  <c r="K746" i="6"/>
  <c r="F746" i="6"/>
  <c r="E746" i="6"/>
  <c r="D746" i="6"/>
  <c r="C746" i="6"/>
  <c r="B746" i="6"/>
  <c r="K745" i="6"/>
  <c r="F745" i="6"/>
  <c r="E745" i="6"/>
  <c r="D745" i="6"/>
  <c r="C745" i="6"/>
  <c r="B745" i="6"/>
  <c r="K744" i="6"/>
  <c r="F744" i="6"/>
  <c r="E744" i="6"/>
  <c r="D744" i="6"/>
  <c r="C744" i="6"/>
  <c r="B744" i="6"/>
  <c r="K743" i="6"/>
  <c r="F743" i="6"/>
  <c r="E743" i="6"/>
  <c r="D743" i="6"/>
  <c r="C743" i="6"/>
  <c r="B743" i="6"/>
  <c r="K742" i="6"/>
  <c r="F742" i="6"/>
  <c r="E742" i="6"/>
  <c r="D742" i="6"/>
  <c r="C742" i="6"/>
  <c r="B742" i="6"/>
  <c r="K741" i="6"/>
  <c r="F741" i="6"/>
  <c r="E741" i="6"/>
  <c r="D741" i="6"/>
  <c r="C741" i="6"/>
  <c r="B741" i="6"/>
  <c r="K740" i="6"/>
  <c r="F740" i="6"/>
  <c r="E740" i="6"/>
  <c r="D740" i="6"/>
  <c r="C740" i="6"/>
  <c r="B740" i="6"/>
  <c r="K739" i="6"/>
  <c r="F739" i="6"/>
  <c r="E739" i="6"/>
  <c r="D739" i="6"/>
  <c r="C739" i="6"/>
  <c r="B739" i="6"/>
  <c r="K738" i="6"/>
  <c r="F738" i="6"/>
  <c r="E738" i="6"/>
  <c r="D738" i="6"/>
  <c r="C738" i="6"/>
  <c r="B738" i="6"/>
  <c r="K737" i="6"/>
  <c r="F737" i="6"/>
  <c r="E737" i="6"/>
  <c r="D737" i="6"/>
  <c r="C737" i="6"/>
  <c r="B737" i="6"/>
  <c r="K736" i="6"/>
  <c r="F736" i="6"/>
  <c r="E736" i="6"/>
  <c r="D736" i="6"/>
  <c r="C736" i="6"/>
  <c r="B736" i="6"/>
  <c r="K735" i="6"/>
  <c r="F735" i="6"/>
  <c r="E735" i="6"/>
  <c r="D735" i="6"/>
  <c r="C735" i="6"/>
  <c r="B735" i="6"/>
  <c r="K734" i="6"/>
  <c r="F734" i="6"/>
  <c r="E734" i="6"/>
  <c r="D734" i="6"/>
  <c r="C734" i="6"/>
  <c r="B734" i="6"/>
  <c r="K733" i="6"/>
  <c r="F733" i="6"/>
  <c r="E733" i="6"/>
  <c r="D733" i="6"/>
  <c r="C733" i="6"/>
  <c r="B733" i="6"/>
  <c r="K732" i="6"/>
  <c r="F732" i="6"/>
  <c r="E732" i="6"/>
  <c r="D732" i="6"/>
  <c r="C732" i="6"/>
  <c r="B732" i="6"/>
  <c r="K731" i="6"/>
  <c r="F731" i="6"/>
  <c r="E731" i="6"/>
  <c r="D731" i="6"/>
  <c r="C731" i="6"/>
  <c r="B731" i="6"/>
  <c r="K730" i="6"/>
  <c r="F730" i="6"/>
  <c r="E730" i="6"/>
  <c r="D730" i="6"/>
  <c r="C730" i="6"/>
  <c r="B730" i="6"/>
  <c r="K729" i="6"/>
  <c r="F729" i="6"/>
  <c r="E729" i="6"/>
  <c r="D729" i="6"/>
  <c r="C729" i="6"/>
  <c r="B729" i="6"/>
  <c r="K728" i="6"/>
  <c r="F728" i="6"/>
  <c r="E728" i="6"/>
  <c r="D728" i="6"/>
  <c r="C728" i="6"/>
  <c r="B728" i="6"/>
  <c r="K727" i="6"/>
  <c r="F727" i="6"/>
  <c r="E727" i="6"/>
  <c r="D727" i="6"/>
  <c r="C727" i="6"/>
  <c r="B727" i="6"/>
  <c r="K726" i="6"/>
  <c r="F726" i="6"/>
  <c r="E726" i="6"/>
  <c r="D726" i="6"/>
  <c r="C726" i="6"/>
  <c r="B726" i="6"/>
  <c r="K725" i="6"/>
  <c r="F725" i="6"/>
  <c r="E725" i="6"/>
  <c r="D725" i="6"/>
  <c r="C725" i="6"/>
  <c r="B725" i="6"/>
  <c r="K724" i="6"/>
  <c r="F724" i="6"/>
  <c r="E724" i="6"/>
  <c r="D724" i="6"/>
  <c r="C724" i="6"/>
  <c r="B724" i="6"/>
  <c r="K723" i="6"/>
  <c r="F723" i="6"/>
  <c r="E723" i="6"/>
  <c r="D723" i="6"/>
  <c r="C723" i="6"/>
  <c r="B723" i="6"/>
  <c r="K722" i="6"/>
  <c r="F722" i="6"/>
  <c r="E722" i="6"/>
  <c r="D722" i="6"/>
  <c r="C722" i="6"/>
  <c r="B722" i="6"/>
  <c r="K721" i="6"/>
  <c r="F721" i="6"/>
  <c r="E721" i="6"/>
  <c r="D721" i="6"/>
  <c r="C721" i="6"/>
  <c r="B721" i="6"/>
  <c r="K720" i="6"/>
  <c r="F720" i="6"/>
  <c r="E720" i="6"/>
  <c r="D720" i="6"/>
  <c r="C720" i="6"/>
  <c r="B720" i="6"/>
  <c r="K719" i="6"/>
  <c r="F719" i="6"/>
  <c r="E719" i="6"/>
  <c r="D719" i="6"/>
  <c r="C719" i="6"/>
  <c r="B719" i="6"/>
  <c r="K718" i="6"/>
  <c r="F718" i="6"/>
  <c r="E718" i="6"/>
  <c r="D718" i="6"/>
  <c r="C718" i="6"/>
  <c r="B718" i="6"/>
  <c r="K717" i="6"/>
  <c r="F717" i="6"/>
  <c r="E717" i="6"/>
  <c r="D717" i="6"/>
  <c r="C717" i="6"/>
  <c r="B717" i="6"/>
  <c r="K716" i="6"/>
  <c r="F716" i="6"/>
  <c r="E716" i="6"/>
  <c r="D716" i="6"/>
  <c r="C716" i="6"/>
  <c r="B716" i="6"/>
  <c r="K715" i="6"/>
  <c r="F715" i="6"/>
  <c r="E715" i="6"/>
  <c r="D715" i="6"/>
  <c r="C715" i="6"/>
  <c r="B715" i="6"/>
  <c r="K714" i="6"/>
  <c r="F714" i="6"/>
  <c r="E714" i="6"/>
  <c r="D714" i="6"/>
  <c r="C714" i="6"/>
  <c r="B714" i="6"/>
  <c r="K713" i="6"/>
  <c r="F713" i="6"/>
  <c r="E713" i="6"/>
  <c r="D713" i="6"/>
  <c r="C713" i="6"/>
  <c r="B713" i="6"/>
  <c r="K712" i="6"/>
  <c r="F712" i="6"/>
  <c r="E712" i="6"/>
  <c r="D712" i="6"/>
  <c r="C712" i="6"/>
  <c r="B712" i="6"/>
  <c r="K711" i="6"/>
  <c r="F711" i="6"/>
  <c r="E711" i="6"/>
  <c r="D711" i="6"/>
  <c r="C711" i="6"/>
  <c r="B711" i="6"/>
  <c r="K710" i="6"/>
  <c r="F710" i="6"/>
  <c r="E710" i="6"/>
  <c r="D710" i="6"/>
  <c r="C710" i="6"/>
  <c r="B710" i="6"/>
  <c r="K709" i="6"/>
  <c r="F709" i="6"/>
  <c r="E709" i="6"/>
  <c r="D709" i="6"/>
  <c r="C709" i="6"/>
  <c r="B709" i="6"/>
  <c r="K708" i="6"/>
  <c r="F708" i="6"/>
  <c r="E708" i="6"/>
  <c r="D708" i="6"/>
  <c r="C708" i="6"/>
  <c r="B708" i="6"/>
  <c r="K707" i="6"/>
  <c r="F707" i="6"/>
  <c r="E707" i="6"/>
  <c r="D707" i="6"/>
  <c r="C707" i="6"/>
  <c r="B707" i="6"/>
  <c r="K706" i="6"/>
  <c r="F706" i="6"/>
  <c r="E706" i="6"/>
  <c r="D706" i="6"/>
  <c r="C706" i="6"/>
  <c r="B706" i="6"/>
  <c r="K705" i="6"/>
  <c r="F705" i="6"/>
  <c r="E705" i="6"/>
  <c r="D705" i="6"/>
  <c r="C705" i="6"/>
  <c r="B705" i="6"/>
  <c r="K704" i="6"/>
  <c r="F704" i="6"/>
  <c r="E704" i="6"/>
  <c r="D704" i="6"/>
  <c r="C704" i="6"/>
  <c r="B704" i="6"/>
  <c r="K703" i="6"/>
  <c r="F703" i="6"/>
  <c r="E703" i="6"/>
  <c r="D703" i="6"/>
  <c r="C703" i="6"/>
  <c r="B703" i="6"/>
  <c r="K702" i="6"/>
  <c r="F702" i="6"/>
  <c r="E702" i="6"/>
  <c r="D702" i="6"/>
  <c r="C702" i="6"/>
  <c r="B702" i="6"/>
  <c r="K701" i="6"/>
  <c r="F701" i="6"/>
  <c r="E701" i="6"/>
  <c r="D701" i="6"/>
  <c r="C701" i="6"/>
  <c r="B701" i="6"/>
  <c r="K700" i="6"/>
  <c r="F700" i="6"/>
  <c r="E700" i="6"/>
  <c r="D700" i="6"/>
  <c r="C700" i="6"/>
  <c r="B700" i="6"/>
  <c r="K699" i="6"/>
  <c r="F699" i="6"/>
  <c r="E699" i="6"/>
  <c r="D699" i="6"/>
  <c r="C699" i="6"/>
  <c r="B699" i="6"/>
  <c r="K698" i="6"/>
  <c r="F698" i="6"/>
  <c r="E698" i="6"/>
  <c r="D698" i="6"/>
  <c r="C698" i="6"/>
  <c r="B698" i="6"/>
  <c r="K697" i="6"/>
  <c r="F697" i="6"/>
  <c r="E697" i="6"/>
  <c r="D697" i="6"/>
  <c r="C697" i="6"/>
  <c r="B697" i="6"/>
  <c r="K696" i="6"/>
  <c r="F696" i="6"/>
  <c r="E696" i="6"/>
  <c r="D696" i="6"/>
  <c r="C696" i="6"/>
  <c r="B696" i="6"/>
  <c r="K695" i="6"/>
  <c r="F695" i="6"/>
  <c r="E695" i="6"/>
  <c r="D695" i="6"/>
  <c r="C695" i="6"/>
  <c r="B695" i="6"/>
  <c r="K694" i="6"/>
  <c r="F694" i="6"/>
  <c r="E694" i="6"/>
  <c r="D694" i="6"/>
  <c r="C694" i="6"/>
  <c r="B694" i="6"/>
  <c r="K693" i="6"/>
  <c r="F693" i="6"/>
  <c r="E693" i="6"/>
  <c r="D693" i="6"/>
  <c r="C693" i="6"/>
  <c r="B693" i="6"/>
  <c r="K692" i="6"/>
  <c r="F692" i="6"/>
  <c r="E692" i="6"/>
  <c r="D692" i="6"/>
  <c r="C692" i="6"/>
  <c r="B692" i="6"/>
  <c r="K691" i="6"/>
  <c r="F691" i="6"/>
  <c r="E691" i="6"/>
  <c r="D691" i="6"/>
  <c r="C691" i="6"/>
  <c r="B691" i="6"/>
  <c r="K690" i="6"/>
  <c r="F690" i="6"/>
  <c r="E690" i="6"/>
  <c r="D690" i="6"/>
  <c r="C690" i="6"/>
  <c r="B690" i="6"/>
  <c r="K689" i="6"/>
  <c r="F689" i="6"/>
  <c r="E689" i="6"/>
  <c r="D689" i="6"/>
  <c r="C689" i="6"/>
  <c r="B689" i="6"/>
  <c r="K688" i="6"/>
  <c r="F688" i="6"/>
  <c r="E688" i="6"/>
  <c r="D688" i="6"/>
  <c r="C688" i="6"/>
  <c r="B688" i="6"/>
  <c r="K687" i="6"/>
  <c r="F687" i="6"/>
  <c r="E687" i="6"/>
  <c r="D687" i="6"/>
  <c r="C687" i="6"/>
  <c r="B687" i="6"/>
  <c r="K686" i="6"/>
  <c r="F686" i="6"/>
  <c r="E686" i="6"/>
  <c r="D686" i="6"/>
  <c r="C686" i="6"/>
  <c r="B686" i="6"/>
  <c r="K685" i="6"/>
  <c r="F685" i="6"/>
  <c r="E685" i="6"/>
  <c r="D685" i="6"/>
  <c r="C685" i="6"/>
  <c r="B685" i="6"/>
  <c r="K684" i="6"/>
  <c r="F684" i="6"/>
  <c r="E684" i="6"/>
  <c r="D684" i="6"/>
  <c r="C684" i="6"/>
  <c r="B684" i="6"/>
  <c r="K683" i="6"/>
  <c r="F683" i="6"/>
  <c r="E683" i="6"/>
  <c r="D683" i="6"/>
  <c r="C683" i="6"/>
  <c r="B683" i="6"/>
  <c r="K682" i="6"/>
  <c r="F682" i="6"/>
  <c r="E682" i="6"/>
  <c r="D682" i="6"/>
  <c r="C682" i="6"/>
  <c r="B682" i="6"/>
  <c r="K681" i="6"/>
  <c r="F681" i="6"/>
  <c r="E681" i="6"/>
  <c r="D681" i="6"/>
  <c r="C681" i="6"/>
  <c r="B681" i="6"/>
  <c r="K680" i="6"/>
  <c r="F680" i="6"/>
  <c r="E680" i="6"/>
  <c r="D680" i="6"/>
  <c r="C680" i="6"/>
  <c r="B680" i="6"/>
  <c r="K679" i="6"/>
  <c r="F679" i="6"/>
  <c r="E679" i="6"/>
  <c r="D679" i="6"/>
  <c r="C679" i="6"/>
  <c r="B679" i="6"/>
  <c r="K678" i="6"/>
  <c r="F678" i="6"/>
  <c r="E678" i="6"/>
  <c r="D678" i="6"/>
  <c r="C678" i="6"/>
  <c r="B678" i="6"/>
  <c r="K677" i="6"/>
  <c r="F677" i="6"/>
  <c r="E677" i="6"/>
  <c r="D677" i="6"/>
  <c r="C677" i="6"/>
  <c r="B677" i="6"/>
  <c r="K676" i="6"/>
  <c r="F676" i="6"/>
  <c r="E676" i="6"/>
  <c r="D676" i="6"/>
  <c r="C676" i="6"/>
  <c r="B676" i="6"/>
  <c r="K675" i="6"/>
  <c r="F675" i="6"/>
  <c r="E675" i="6"/>
  <c r="D675" i="6"/>
  <c r="C675" i="6"/>
  <c r="B675" i="6"/>
  <c r="K674" i="6"/>
  <c r="F674" i="6"/>
  <c r="E674" i="6"/>
  <c r="D674" i="6"/>
  <c r="C674" i="6"/>
  <c r="B674" i="6"/>
  <c r="K673" i="6"/>
  <c r="F673" i="6"/>
  <c r="E673" i="6"/>
  <c r="D673" i="6"/>
  <c r="C673" i="6"/>
  <c r="B673" i="6"/>
  <c r="K672" i="6"/>
  <c r="F672" i="6"/>
  <c r="E672" i="6"/>
  <c r="D672" i="6"/>
  <c r="C672" i="6"/>
  <c r="B672" i="6"/>
  <c r="K671" i="6"/>
  <c r="F671" i="6"/>
  <c r="E671" i="6"/>
  <c r="D671" i="6"/>
  <c r="C671" i="6"/>
  <c r="B671" i="6"/>
  <c r="K670" i="6"/>
  <c r="F670" i="6"/>
  <c r="E670" i="6"/>
  <c r="D670" i="6"/>
  <c r="C670" i="6"/>
  <c r="B670" i="6"/>
  <c r="K669" i="6"/>
  <c r="F669" i="6"/>
  <c r="E669" i="6"/>
  <c r="D669" i="6"/>
  <c r="C669" i="6"/>
  <c r="B669" i="6"/>
  <c r="K668" i="6"/>
  <c r="F668" i="6"/>
  <c r="E668" i="6"/>
  <c r="D668" i="6"/>
  <c r="C668" i="6"/>
  <c r="B668" i="6"/>
  <c r="K667" i="6"/>
  <c r="F667" i="6"/>
  <c r="E667" i="6"/>
  <c r="D667" i="6"/>
  <c r="C667" i="6"/>
  <c r="B667" i="6"/>
  <c r="K666" i="6"/>
  <c r="F666" i="6"/>
  <c r="E666" i="6"/>
  <c r="D666" i="6"/>
  <c r="C666" i="6"/>
  <c r="B666" i="6"/>
  <c r="K665" i="6"/>
  <c r="F665" i="6"/>
  <c r="E665" i="6"/>
  <c r="D665" i="6"/>
  <c r="C665" i="6"/>
  <c r="B665" i="6"/>
  <c r="K664" i="6"/>
  <c r="F664" i="6"/>
  <c r="E664" i="6"/>
  <c r="D664" i="6"/>
  <c r="C664" i="6"/>
  <c r="B664" i="6"/>
  <c r="K663" i="6"/>
  <c r="F663" i="6"/>
  <c r="E663" i="6"/>
  <c r="D663" i="6"/>
  <c r="C663" i="6"/>
  <c r="B663" i="6"/>
  <c r="K662" i="6"/>
  <c r="F662" i="6"/>
  <c r="E662" i="6"/>
  <c r="D662" i="6"/>
  <c r="C662" i="6"/>
  <c r="B662" i="6"/>
  <c r="K661" i="6"/>
  <c r="F661" i="6"/>
  <c r="E661" i="6"/>
  <c r="D661" i="6"/>
  <c r="C661" i="6"/>
  <c r="B661" i="6"/>
  <c r="K660" i="6"/>
  <c r="F660" i="6"/>
  <c r="E660" i="6"/>
  <c r="D660" i="6"/>
  <c r="C660" i="6"/>
  <c r="B660" i="6"/>
  <c r="K659" i="6"/>
  <c r="F659" i="6"/>
  <c r="E659" i="6"/>
  <c r="D659" i="6"/>
  <c r="C659" i="6"/>
  <c r="B659" i="6"/>
  <c r="K658" i="6"/>
  <c r="F658" i="6"/>
  <c r="E658" i="6"/>
  <c r="D658" i="6"/>
  <c r="C658" i="6"/>
  <c r="B658" i="6"/>
  <c r="K657" i="6"/>
  <c r="F657" i="6"/>
  <c r="E657" i="6"/>
  <c r="D657" i="6"/>
  <c r="C657" i="6"/>
  <c r="B657" i="6"/>
  <c r="K656" i="6"/>
  <c r="F656" i="6"/>
  <c r="E656" i="6"/>
  <c r="D656" i="6"/>
  <c r="C656" i="6"/>
  <c r="B656" i="6"/>
  <c r="K655" i="6"/>
  <c r="F655" i="6"/>
  <c r="E655" i="6"/>
  <c r="D655" i="6"/>
  <c r="C655" i="6"/>
  <c r="B655" i="6"/>
  <c r="K654" i="6"/>
  <c r="F654" i="6"/>
  <c r="E654" i="6"/>
  <c r="D654" i="6"/>
  <c r="C654" i="6"/>
  <c r="B654" i="6"/>
  <c r="K653" i="6"/>
  <c r="F653" i="6"/>
  <c r="E653" i="6"/>
  <c r="D653" i="6"/>
  <c r="C653" i="6"/>
  <c r="B653" i="6"/>
  <c r="K652" i="6"/>
  <c r="F652" i="6"/>
  <c r="E652" i="6"/>
  <c r="D652" i="6"/>
  <c r="C652" i="6"/>
  <c r="B652" i="6"/>
  <c r="K651" i="6"/>
  <c r="F651" i="6"/>
  <c r="E651" i="6"/>
  <c r="D651" i="6"/>
  <c r="C651" i="6"/>
  <c r="B651" i="6"/>
  <c r="K650" i="6"/>
  <c r="F650" i="6"/>
  <c r="E650" i="6"/>
  <c r="D650" i="6"/>
  <c r="C650" i="6"/>
  <c r="B650" i="6"/>
  <c r="K649" i="6"/>
  <c r="F649" i="6"/>
  <c r="E649" i="6"/>
  <c r="D649" i="6"/>
  <c r="C649" i="6"/>
  <c r="B649" i="6"/>
  <c r="K648" i="6"/>
  <c r="F648" i="6"/>
  <c r="E648" i="6"/>
  <c r="D648" i="6"/>
  <c r="C648" i="6"/>
  <c r="B648" i="6"/>
  <c r="K647" i="6"/>
  <c r="F647" i="6"/>
  <c r="E647" i="6"/>
  <c r="D647" i="6"/>
  <c r="C647" i="6"/>
  <c r="B647" i="6"/>
  <c r="K646" i="6"/>
  <c r="F646" i="6"/>
  <c r="E646" i="6"/>
  <c r="D646" i="6"/>
  <c r="C646" i="6"/>
  <c r="B646" i="6"/>
  <c r="K645" i="6"/>
  <c r="F645" i="6"/>
  <c r="E645" i="6"/>
  <c r="D645" i="6"/>
  <c r="C645" i="6"/>
  <c r="B645" i="6"/>
  <c r="K644" i="6"/>
  <c r="F644" i="6"/>
  <c r="E644" i="6"/>
  <c r="D644" i="6"/>
  <c r="C644" i="6"/>
  <c r="B644" i="6"/>
  <c r="K643" i="6"/>
  <c r="F643" i="6"/>
  <c r="E643" i="6"/>
  <c r="D643" i="6"/>
  <c r="C643" i="6"/>
  <c r="B643" i="6"/>
  <c r="K642" i="6"/>
  <c r="F642" i="6"/>
  <c r="E642" i="6"/>
  <c r="D642" i="6"/>
  <c r="C642" i="6"/>
  <c r="B642" i="6"/>
  <c r="K641" i="6"/>
  <c r="F641" i="6"/>
  <c r="E641" i="6"/>
  <c r="D641" i="6"/>
  <c r="C641" i="6"/>
  <c r="B641" i="6"/>
  <c r="K640" i="6"/>
  <c r="F640" i="6"/>
  <c r="E640" i="6"/>
  <c r="D640" i="6"/>
  <c r="C640" i="6"/>
  <c r="B640" i="6"/>
  <c r="K639" i="6"/>
  <c r="F639" i="6"/>
  <c r="E639" i="6"/>
  <c r="D639" i="6"/>
  <c r="C639" i="6"/>
  <c r="B639" i="6"/>
  <c r="K638" i="6"/>
  <c r="F638" i="6"/>
  <c r="E638" i="6"/>
  <c r="D638" i="6"/>
  <c r="C638" i="6"/>
  <c r="B638" i="6"/>
  <c r="K637" i="6"/>
  <c r="F637" i="6"/>
  <c r="E637" i="6"/>
  <c r="D637" i="6"/>
  <c r="C637" i="6"/>
  <c r="B637" i="6"/>
  <c r="K636" i="6"/>
  <c r="F636" i="6"/>
  <c r="E636" i="6"/>
  <c r="D636" i="6"/>
  <c r="C636" i="6"/>
  <c r="B636" i="6"/>
  <c r="K635" i="6"/>
  <c r="F635" i="6"/>
  <c r="E635" i="6"/>
  <c r="D635" i="6"/>
  <c r="C635" i="6"/>
  <c r="B635" i="6"/>
  <c r="K634" i="6"/>
  <c r="F634" i="6"/>
  <c r="E634" i="6"/>
  <c r="D634" i="6"/>
  <c r="C634" i="6"/>
  <c r="B634" i="6"/>
  <c r="K633" i="6"/>
  <c r="F633" i="6"/>
  <c r="E633" i="6"/>
  <c r="D633" i="6"/>
  <c r="C633" i="6"/>
  <c r="B633" i="6"/>
  <c r="K632" i="6"/>
  <c r="F632" i="6"/>
  <c r="E632" i="6"/>
  <c r="D632" i="6"/>
  <c r="C632" i="6"/>
  <c r="B632" i="6"/>
  <c r="K631" i="6"/>
  <c r="F631" i="6"/>
  <c r="E631" i="6"/>
  <c r="D631" i="6"/>
  <c r="C631" i="6"/>
  <c r="B631" i="6"/>
  <c r="K630" i="6"/>
  <c r="F630" i="6"/>
  <c r="E630" i="6"/>
  <c r="D630" i="6"/>
  <c r="C630" i="6"/>
  <c r="B630" i="6"/>
  <c r="K629" i="6"/>
  <c r="F629" i="6"/>
  <c r="E629" i="6"/>
  <c r="D629" i="6"/>
  <c r="C629" i="6"/>
  <c r="B629" i="6"/>
  <c r="K628" i="6"/>
  <c r="F628" i="6"/>
  <c r="E628" i="6"/>
  <c r="D628" i="6"/>
  <c r="C628" i="6"/>
  <c r="B628" i="6"/>
  <c r="K627" i="6"/>
  <c r="F627" i="6"/>
  <c r="E627" i="6"/>
  <c r="D627" i="6"/>
  <c r="C627" i="6"/>
  <c r="B627" i="6"/>
  <c r="K626" i="6"/>
  <c r="F626" i="6"/>
  <c r="E626" i="6"/>
  <c r="D626" i="6"/>
  <c r="C626" i="6"/>
  <c r="B626" i="6"/>
  <c r="K625" i="6"/>
  <c r="F625" i="6"/>
  <c r="E625" i="6"/>
  <c r="D625" i="6"/>
  <c r="C625" i="6"/>
  <c r="B625" i="6"/>
  <c r="K624" i="6"/>
  <c r="F624" i="6"/>
  <c r="E624" i="6"/>
  <c r="D624" i="6"/>
  <c r="C624" i="6"/>
  <c r="B624" i="6"/>
  <c r="K623" i="6"/>
  <c r="F623" i="6"/>
  <c r="E623" i="6"/>
  <c r="D623" i="6"/>
  <c r="C623" i="6"/>
  <c r="B623" i="6"/>
  <c r="K622" i="6"/>
  <c r="F622" i="6"/>
  <c r="E622" i="6"/>
  <c r="D622" i="6"/>
  <c r="C622" i="6"/>
  <c r="B622" i="6"/>
  <c r="K621" i="6"/>
  <c r="F621" i="6"/>
  <c r="E621" i="6"/>
  <c r="D621" i="6"/>
  <c r="C621" i="6"/>
  <c r="B621" i="6"/>
  <c r="K620" i="6"/>
  <c r="F620" i="6"/>
  <c r="E620" i="6"/>
  <c r="D620" i="6"/>
  <c r="C620" i="6"/>
  <c r="B620" i="6"/>
  <c r="K619" i="6"/>
  <c r="F619" i="6"/>
  <c r="E619" i="6"/>
  <c r="D619" i="6"/>
  <c r="C619" i="6"/>
  <c r="B619" i="6"/>
  <c r="K618" i="6"/>
  <c r="F618" i="6"/>
  <c r="E618" i="6"/>
  <c r="D618" i="6"/>
  <c r="C618" i="6"/>
  <c r="B618" i="6"/>
  <c r="K617" i="6"/>
  <c r="F617" i="6"/>
  <c r="E617" i="6"/>
  <c r="D617" i="6"/>
  <c r="C617" i="6"/>
  <c r="B617" i="6"/>
  <c r="K616" i="6"/>
  <c r="F616" i="6"/>
  <c r="E616" i="6"/>
  <c r="D616" i="6"/>
  <c r="C616" i="6"/>
  <c r="B616" i="6"/>
  <c r="K615" i="6"/>
  <c r="F615" i="6"/>
  <c r="E615" i="6"/>
  <c r="D615" i="6"/>
  <c r="C615" i="6"/>
  <c r="B615" i="6"/>
  <c r="K614" i="6"/>
  <c r="F614" i="6"/>
  <c r="E614" i="6"/>
  <c r="D614" i="6"/>
  <c r="C614" i="6"/>
  <c r="B614" i="6"/>
  <c r="K613" i="6"/>
  <c r="F613" i="6"/>
  <c r="E613" i="6"/>
  <c r="D613" i="6"/>
  <c r="C613" i="6"/>
  <c r="B613" i="6"/>
  <c r="K612" i="6"/>
  <c r="F612" i="6"/>
  <c r="E612" i="6"/>
  <c r="D612" i="6"/>
  <c r="C612" i="6"/>
  <c r="B612" i="6"/>
  <c r="K611" i="6"/>
  <c r="F611" i="6"/>
  <c r="E611" i="6"/>
  <c r="D611" i="6"/>
  <c r="C611" i="6"/>
  <c r="B611" i="6"/>
  <c r="K610" i="6"/>
  <c r="F610" i="6"/>
  <c r="E610" i="6"/>
  <c r="D610" i="6"/>
  <c r="C610" i="6"/>
  <c r="B610" i="6"/>
  <c r="K609" i="6"/>
  <c r="F609" i="6"/>
  <c r="E609" i="6"/>
  <c r="D609" i="6"/>
  <c r="C609" i="6"/>
  <c r="B609" i="6"/>
  <c r="K608" i="6"/>
  <c r="F608" i="6"/>
  <c r="E608" i="6"/>
  <c r="D608" i="6"/>
  <c r="C608" i="6"/>
  <c r="B608" i="6"/>
  <c r="K607" i="6"/>
  <c r="F607" i="6"/>
  <c r="E607" i="6"/>
  <c r="D607" i="6"/>
  <c r="C607" i="6"/>
  <c r="B607" i="6"/>
  <c r="K606" i="6"/>
  <c r="F606" i="6"/>
  <c r="E606" i="6"/>
  <c r="D606" i="6"/>
  <c r="C606" i="6"/>
  <c r="B606" i="6"/>
  <c r="K605" i="6"/>
  <c r="F605" i="6"/>
  <c r="E605" i="6"/>
  <c r="D605" i="6"/>
  <c r="C605" i="6"/>
  <c r="B605" i="6"/>
  <c r="K604" i="6"/>
  <c r="F604" i="6"/>
  <c r="E604" i="6"/>
  <c r="D604" i="6"/>
  <c r="C604" i="6"/>
  <c r="B604" i="6"/>
  <c r="K603" i="6"/>
  <c r="F603" i="6"/>
  <c r="E603" i="6"/>
  <c r="D603" i="6"/>
  <c r="C603" i="6"/>
  <c r="B603" i="6"/>
  <c r="K602" i="6"/>
  <c r="F602" i="6"/>
  <c r="E602" i="6"/>
  <c r="D602" i="6"/>
  <c r="C602" i="6"/>
  <c r="B602" i="6"/>
  <c r="K601" i="6"/>
  <c r="F601" i="6"/>
  <c r="E601" i="6"/>
  <c r="D601" i="6"/>
  <c r="C601" i="6"/>
  <c r="B601" i="6"/>
  <c r="K600" i="6"/>
  <c r="F600" i="6"/>
  <c r="E600" i="6"/>
  <c r="D600" i="6"/>
  <c r="C600" i="6"/>
  <c r="B600" i="6"/>
  <c r="K599" i="6"/>
  <c r="F599" i="6"/>
  <c r="E599" i="6"/>
  <c r="D599" i="6"/>
  <c r="C599" i="6"/>
  <c r="B599" i="6"/>
  <c r="K598" i="6"/>
  <c r="F598" i="6"/>
  <c r="E598" i="6"/>
  <c r="D598" i="6"/>
  <c r="C598" i="6"/>
  <c r="B598" i="6"/>
  <c r="K597" i="6"/>
  <c r="F597" i="6"/>
  <c r="E597" i="6"/>
  <c r="D597" i="6"/>
  <c r="C597" i="6"/>
  <c r="B597" i="6"/>
  <c r="K596" i="6"/>
  <c r="F596" i="6"/>
  <c r="E596" i="6"/>
  <c r="D596" i="6"/>
  <c r="C596" i="6"/>
  <c r="B596" i="6"/>
  <c r="K595" i="6"/>
  <c r="F595" i="6"/>
  <c r="E595" i="6"/>
  <c r="D595" i="6"/>
  <c r="C595" i="6"/>
  <c r="B595" i="6"/>
  <c r="K594" i="6"/>
  <c r="F594" i="6"/>
  <c r="E594" i="6"/>
  <c r="D594" i="6"/>
  <c r="C594" i="6"/>
  <c r="B594" i="6"/>
  <c r="K593" i="6"/>
  <c r="F593" i="6"/>
  <c r="E593" i="6"/>
  <c r="D593" i="6"/>
  <c r="C593" i="6"/>
  <c r="B593" i="6"/>
  <c r="K592" i="6"/>
  <c r="F592" i="6"/>
  <c r="E592" i="6"/>
  <c r="D592" i="6"/>
  <c r="C592" i="6"/>
  <c r="B592" i="6"/>
  <c r="K591" i="6"/>
  <c r="F591" i="6"/>
  <c r="E591" i="6"/>
  <c r="D591" i="6"/>
  <c r="C591" i="6"/>
  <c r="B591" i="6"/>
  <c r="K590" i="6"/>
  <c r="F590" i="6"/>
  <c r="E590" i="6"/>
  <c r="D590" i="6"/>
  <c r="C590" i="6"/>
  <c r="B590" i="6"/>
  <c r="K589" i="6"/>
  <c r="F589" i="6"/>
  <c r="E589" i="6"/>
  <c r="D589" i="6"/>
  <c r="C589" i="6"/>
  <c r="B589" i="6"/>
  <c r="K588" i="6"/>
  <c r="F588" i="6"/>
  <c r="E588" i="6"/>
  <c r="D588" i="6"/>
  <c r="C588" i="6"/>
  <c r="B588" i="6"/>
  <c r="K587" i="6"/>
  <c r="F587" i="6"/>
  <c r="E587" i="6"/>
  <c r="D587" i="6"/>
  <c r="C587" i="6"/>
  <c r="B587" i="6"/>
  <c r="K586" i="6"/>
  <c r="F586" i="6"/>
  <c r="E586" i="6"/>
  <c r="D586" i="6"/>
  <c r="C586" i="6"/>
  <c r="B586" i="6"/>
  <c r="K585" i="6"/>
  <c r="F585" i="6"/>
  <c r="E585" i="6"/>
  <c r="D585" i="6"/>
  <c r="C585" i="6"/>
  <c r="B585" i="6"/>
  <c r="K584" i="6"/>
  <c r="F584" i="6"/>
  <c r="E584" i="6"/>
  <c r="D584" i="6"/>
  <c r="C584" i="6"/>
  <c r="B584" i="6"/>
  <c r="K583" i="6"/>
  <c r="F583" i="6"/>
  <c r="E583" i="6"/>
  <c r="D583" i="6"/>
  <c r="C583" i="6"/>
  <c r="B583" i="6"/>
  <c r="K582" i="6"/>
  <c r="F582" i="6"/>
  <c r="E582" i="6"/>
  <c r="D582" i="6"/>
  <c r="C582" i="6"/>
  <c r="B582" i="6"/>
  <c r="K581" i="6"/>
  <c r="F581" i="6"/>
  <c r="E581" i="6"/>
  <c r="D581" i="6"/>
  <c r="C581" i="6"/>
  <c r="B581" i="6"/>
  <c r="K580" i="6"/>
  <c r="F580" i="6"/>
  <c r="E580" i="6"/>
  <c r="D580" i="6"/>
  <c r="C580" i="6"/>
  <c r="B580" i="6"/>
  <c r="K579" i="6"/>
  <c r="F579" i="6"/>
  <c r="E579" i="6"/>
  <c r="D579" i="6"/>
  <c r="C579" i="6"/>
  <c r="B579" i="6"/>
  <c r="K578" i="6"/>
  <c r="F578" i="6"/>
  <c r="E578" i="6"/>
  <c r="D578" i="6"/>
  <c r="C578" i="6"/>
  <c r="B578" i="6"/>
  <c r="K577" i="6"/>
  <c r="F577" i="6"/>
  <c r="E577" i="6"/>
  <c r="D577" i="6"/>
  <c r="C577" i="6"/>
  <c r="B577" i="6"/>
  <c r="K576" i="6"/>
  <c r="F576" i="6"/>
  <c r="E576" i="6"/>
  <c r="D576" i="6"/>
  <c r="C576" i="6"/>
  <c r="B576" i="6"/>
  <c r="K575" i="6"/>
  <c r="F575" i="6"/>
  <c r="E575" i="6"/>
  <c r="D575" i="6"/>
  <c r="C575" i="6"/>
  <c r="B575" i="6"/>
  <c r="K574" i="6"/>
  <c r="F574" i="6"/>
  <c r="E574" i="6"/>
  <c r="D574" i="6"/>
  <c r="C574" i="6"/>
  <c r="B574" i="6"/>
  <c r="K573" i="6"/>
  <c r="F573" i="6"/>
  <c r="E573" i="6"/>
  <c r="D573" i="6"/>
  <c r="C573" i="6"/>
  <c r="B573" i="6"/>
  <c r="K572" i="6"/>
  <c r="F572" i="6"/>
  <c r="E572" i="6"/>
  <c r="D572" i="6"/>
  <c r="C572" i="6"/>
  <c r="B572" i="6"/>
  <c r="K571" i="6"/>
  <c r="F571" i="6"/>
  <c r="E571" i="6"/>
  <c r="D571" i="6"/>
  <c r="C571" i="6"/>
  <c r="B571" i="6"/>
  <c r="K570" i="6"/>
  <c r="F570" i="6"/>
  <c r="E570" i="6"/>
  <c r="D570" i="6"/>
  <c r="C570" i="6"/>
  <c r="B570" i="6"/>
  <c r="K569" i="6"/>
  <c r="F569" i="6"/>
  <c r="E569" i="6"/>
  <c r="D569" i="6"/>
  <c r="C569" i="6"/>
  <c r="B569" i="6"/>
  <c r="K568" i="6"/>
  <c r="F568" i="6"/>
  <c r="E568" i="6"/>
  <c r="D568" i="6"/>
  <c r="C568" i="6"/>
  <c r="B568" i="6"/>
  <c r="K567" i="6"/>
  <c r="F567" i="6"/>
  <c r="E567" i="6"/>
  <c r="D567" i="6"/>
  <c r="C567" i="6"/>
  <c r="B567" i="6"/>
  <c r="K566" i="6"/>
  <c r="F566" i="6"/>
  <c r="E566" i="6"/>
  <c r="D566" i="6"/>
  <c r="C566" i="6"/>
  <c r="B566" i="6"/>
  <c r="K565" i="6"/>
  <c r="F565" i="6"/>
  <c r="E565" i="6"/>
  <c r="D565" i="6"/>
  <c r="C565" i="6"/>
  <c r="B565" i="6"/>
  <c r="K564" i="6"/>
  <c r="F564" i="6"/>
  <c r="E564" i="6"/>
  <c r="D564" i="6"/>
  <c r="C564" i="6"/>
  <c r="B564" i="6"/>
  <c r="K563" i="6"/>
  <c r="F563" i="6"/>
  <c r="E563" i="6"/>
  <c r="D563" i="6"/>
  <c r="C563" i="6"/>
  <c r="B563" i="6"/>
  <c r="K562" i="6"/>
  <c r="F562" i="6"/>
  <c r="E562" i="6"/>
  <c r="D562" i="6"/>
  <c r="C562" i="6"/>
  <c r="B562" i="6"/>
  <c r="K561" i="6"/>
  <c r="F561" i="6"/>
  <c r="E561" i="6"/>
  <c r="D561" i="6"/>
  <c r="C561" i="6"/>
  <c r="B561" i="6"/>
  <c r="K560" i="6"/>
  <c r="F560" i="6"/>
  <c r="E560" i="6"/>
  <c r="D560" i="6"/>
  <c r="C560" i="6"/>
  <c r="B560" i="6"/>
  <c r="K559" i="6"/>
  <c r="F559" i="6"/>
  <c r="E559" i="6"/>
  <c r="D559" i="6"/>
  <c r="C559" i="6"/>
  <c r="B559" i="6"/>
  <c r="K558" i="6"/>
  <c r="F558" i="6"/>
  <c r="E558" i="6"/>
  <c r="D558" i="6"/>
  <c r="C558" i="6"/>
  <c r="B558" i="6"/>
  <c r="K557" i="6"/>
  <c r="F557" i="6"/>
  <c r="E557" i="6"/>
  <c r="D557" i="6"/>
  <c r="C557" i="6"/>
  <c r="B557" i="6"/>
  <c r="K556" i="6"/>
  <c r="F556" i="6"/>
  <c r="E556" i="6"/>
  <c r="D556" i="6"/>
  <c r="C556" i="6"/>
  <c r="B556" i="6"/>
  <c r="K555" i="6"/>
  <c r="F555" i="6"/>
  <c r="E555" i="6"/>
  <c r="D555" i="6"/>
  <c r="C555" i="6"/>
  <c r="B555" i="6"/>
  <c r="K554" i="6"/>
  <c r="F554" i="6"/>
  <c r="E554" i="6"/>
  <c r="D554" i="6"/>
  <c r="C554" i="6"/>
  <c r="B554" i="6"/>
  <c r="K553" i="6"/>
  <c r="F553" i="6"/>
  <c r="E553" i="6"/>
  <c r="D553" i="6"/>
  <c r="C553" i="6"/>
  <c r="B553" i="6"/>
  <c r="K552" i="6"/>
  <c r="F552" i="6"/>
  <c r="E552" i="6"/>
  <c r="D552" i="6"/>
  <c r="C552" i="6"/>
  <c r="B552" i="6"/>
  <c r="K551" i="6"/>
  <c r="F551" i="6"/>
  <c r="E551" i="6"/>
  <c r="D551" i="6"/>
  <c r="C551" i="6"/>
  <c r="B551" i="6"/>
  <c r="K550" i="6"/>
  <c r="F550" i="6"/>
  <c r="E550" i="6"/>
  <c r="D550" i="6"/>
  <c r="C550" i="6"/>
  <c r="B550" i="6"/>
  <c r="K549" i="6"/>
  <c r="F549" i="6"/>
  <c r="E549" i="6"/>
  <c r="D549" i="6"/>
  <c r="C549" i="6"/>
  <c r="B549" i="6"/>
  <c r="K548" i="6"/>
  <c r="F548" i="6"/>
  <c r="E548" i="6"/>
  <c r="D548" i="6"/>
  <c r="C548" i="6"/>
  <c r="B548" i="6"/>
  <c r="K547" i="6"/>
  <c r="F547" i="6"/>
  <c r="E547" i="6"/>
  <c r="D547" i="6"/>
  <c r="C547" i="6"/>
  <c r="B547" i="6"/>
  <c r="K546" i="6"/>
  <c r="F546" i="6"/>
  <c r="E546" i="6"/>
  <c r="D546" i="6"/>
  <c r="C546" i="6"/>
  <c r="B546" i="6"/>
  <c r="K545" i="6"/>
  <c r="F545" i="6"/>
  <c r="E545" i="6"/>
  <c r="D545" i="6"/>
  <c r="C545" i="6"/>
  <c r="B545" i="6"/>
  <c r="K544" i="6"/>
  <c r="F544" i="6"/>
  <c r="E544" i="6"/>
  <c r="D544" i="6"/>
  <c r="C544" i="6"/>
  <c r="B544" i="6"/>
  <c r="K543" i="6"/>
  <c r="F543" i="6"/>
  <c r="E543" i="6"/>
  <c r="D543" i="6"/>
  <c r="C543" i="6"/>
  <c r="B543" i="6"/>
  <c r="K542" i="6"/>
  <c r="F542" i="6"/>
  <c r="E542" i="6"/>
  <c r="D542" i="6"/>
  <c r="C542" i="6"/>
  <c r="B542" i="6"/>
  <c r="K541" i="6"/>
  <c r="F541" i="6"/>
  <c r="E541" i="6"/>
  <c r="D541" i="6"/>
  <c r="C541" i="6"/>
  <c r="B541" i="6"/>
  <c r="K540" i="6"/>
  <c r="F540" i="6"/>
  <c r="E540" i="6"/>
  <c r="D540" i="6"/>
  <c r="C540" i="6"/>
  <c r="B540" i="6"/>
  <c r="K539" i="6"/>
  <c r="F539" i="6"/>
  <c r="E539" i="6"/>
  <c r="D539" i="6"/>
  <c r="C539" i="6"/>
  <c r="B539" i="6"/>
  <c r="K538" i="6"/>
  <c r="F538" i="6"/>
  <c r="E538" i="6"/>
  <c r="D538" i="6"/>
  <c r="C538" i="6"/>
  <c r="B538" i="6"/>
  <c r="K537" i="6"/>
  <c r="F537" i="6"/>
  <c r="E537" i="6"/>
  <c r="D537" i="6"/>
  <c r="C537" i="6"/>
  <c r="B537" i="6"/>
  <c r="K536" i="6"/>
  <c r="F536" i="6"/>
  <c r="E536" i="6"/>
  <c r="D536" i="6"/>
  <c r="C536" i="6"/>
  <c r="B536" i="6"/>
  <c r="K535" i="6"/>
  <c r="F535" i="6"/>
  <c r="E535" i="6"/>
  <c r="D535" i="6"/>
  <c r="C535" i="6"/>
  <c r="B535" i="6"/>
  <c r="K534" i="6"/>
  <c r="F534" i="6"/>
  <c r="E534" i="6"/>
  <c r="D534" i="6"/>
  <c r="C534" i="6"/>
  <c r="B534" i="6"/>
  <c r="K533" i="6"/>
  <c r="F533" i="6"/>
  <c r="E533" i="6"/>
  <c r="D533" i="6"/>
  <c r="C533" i="6"/>
  <c r="B533" i="6"/>
  <c r="K532" i="6"/>
  <c r="F532" i="6"/>
  <c r="E532" i="6"/>
  <c r="D532" i="6"/>
  <c r="C532" i="6"/>
  <c r="B532" i="6"/>
  <c r="K531" i="6"/>
  <c r="F531" i="6"/>
  <c r="E531" i="6"/>
  <c r="D531" i="6"/>
  <c r="C531" i="6"/>
  <c r="B531" i="6"/>
  <c r="K530" i="6"/>
  <c r="F530" i="6"/>
  <c r="E530" i="6"/>
  <c r="D530" i="6"/>
  <c r="C530" i="6"/>
  <c r="B530" i="6"/>
  <c r="K529" i="6"/>
  <c r="F529" i="6"/>
  <c r="E529" i="6"/>
  <c r="D529" i="6"/>
  <c r="C529" i="6"/>
  <c r="B529" i="6"/>
  <c r="K528" i="6"/>
  <c r="F528" i="6"/>
  <c r="E528" i="6"/>
  <c r="D528" i="6"/>
  <c r="C528" i="6"/>
  <c r="B528" i="6"/>
  <c r="K527" i="6"/>
  <c r="F527" i="6"/>
  <c r="E527" i="6"/>
  <c r="D527" i="6"/>
  <c r="C527" i="6"/>
  <c r="B527" i="6"/>
  <c r="K526" i="6"/>
  <c r="F526" i="6"/>
  <c r="E526" i="6"/>
  <c r="D526" i="6"/>
  <c r="C526" i="6"/>
  <c r="B526" i="6"/>
  <c r="K525" i="6"/>
  <c r="F525" i="6"/>
  <c r="E525" i="6"/>
  <c r="D525" i="6"/>
  <c r="C525" i="6"/>
  <c r="B525" i="6"/>
  <c r="K524" i="6"/>
  <c r="F524" i="6"/>
  <c r="E524" i="6"/>
  <c r="D524" i="6"/>
  <c r="C524" i="6"/>
  <c r="B524" i="6"/>
  <c r="K523" i="6"/>
  <c r="F523" i="6"/>
  <c r="E523" i="6"/>
  <c r="D523" i="6"/>
  <c r="C523" i="6"/>
  <c r="B523" i="6"/>
  <c r="K522" i="6"/>
  <c r="F522" i="6"/>
  <c r="E522" i="6"/>
  <c r="D522" i="6"/>
  <c r="C522" i="6"/>
  <c r="B522" i="6"/>
  <c r="K521" i="6"/>
  <c r="F521" i="6"/>
  <c r="E521" i="6"/>
  <c r="D521" i="6"/>
  <c r="C521" i="6"/>
  <c r="B521" i="6"/>
  <c r="K520" i="6"/>
  <c r="F520" i="6"/>
  <c r="E520" i="6"/>
  <c r="D520" i="6"/>
  <c r="C520" i="6"/>
  <c r="B520" i="6"/>
  <c r="K519" i="6"/>
  <c r="F519" i="6"/>
  <c r="E519" i="6"/>
  <c r="D519" i="6"/>
  <c r="C519" i="6"/>
  <c r="B519" i="6"/>
  <c r="K518" i="6"/>
  <c r="F518" i="6"/>
  <c r="E518" i="6"/>
  <c r="D518" i="6"/>
  <c r="C518" i="6"/>
  <c r="B518" i="6"/>
  <c r="K517" i="6"/>
  <c r="F517" i="6"/>
  <c r="E517" i="6"/>
  <c r="D517" i="6"/>
  <c r="C517" i="6"/>
  <c r="B517" i="6"/>
  <c r="K516" i="6"/>
  <c r="F516" i="6"/>
  <c r="E516" i="6"/>
  <c r="D516" i="6"/>
  <c r="C516" i="6"/>
  <c r="B516" i="6"/>
  <c r="K515" i="6"/>
  <c r="F515" i="6"/>
  <c r="E515" i="6"/>
  <c r="D515" i="6"/>
  <c r="C515" i="6"/>
  <c r="B515" i="6"/>
  <c r="K514" i="6"/>
  <c r="F514" i="6"/>
  <c r="E514" i="6"/>
  <c r="D514" i="6"/>
  <c r="C514" i="6"/>
  <c r="B514" i="6"/>
  <c r="K513" i="6"/>
  <c r="F513" i="6"/>
  <c r="E513" i="6"/>
  <c r="D513" i="6"/>
  <c r="C513" i="6"/>
  <c r="B513" i="6"/>
  <c r="K512" i="6"/>
  <c r="F512" i="6"/>
  <c r="E512" i="6"/>
  <c r="D512" i="6"/>
  <c r="C512" i="6"/>
  <c r="B512" i="6"/>
  <c r="K511" i="6"/>
  <c r="F511" i="6"/>
  <c r="E511" i="6"/>
  <c r="D511" i="6"/>
  <c r="C511" i="6"/>
  <c r="B511" i="6"/>
  <c r="K510" i="6"/>
  <c r="F510" i="6"/>
  <c r="E510" i="6"/>
  <c r="D510" i="6"/>
  <c r="C510" i="6"/>
  <c r="B510" i="6"/>
  <c r="K509" i="6"/>
  <c r="F509" i="6"/>
  <c r="E509" i="6"/>
  <c r="D509" i="6"/>
  <c r="C509" i="6"/>
  <c r="B509" i="6"/>
  <c r="K508" i="6"/>
  <c r="F508" i="6"/>
  <c r="E508" i="6"/>
  <c r="D508" i="6"/>
  <c r="C508" i="6"/>
  <c r="B508" i="6"/>
  <c r="K507" i="6"/>
  <c r="F507" i="6"/>
  <c r="E507" i="6"/>
  <c r="D507" i="6"/>
  <c r="C507" i="6"/>
  <c r="B507" i="6"/>
  <c r="K506" i="6"/>
  <c r="F506" i="6"/>
  <c r="E506" i="6"/>
  <c r="D506" i="6"/>
  <c r="C506" i="6"/>
  <c r="B506" i="6"/>
  <c r="K505" i="6"/>
  <c r="F505" i="6"/>
  <c r="E505" i="6"/>
  <c r="D505" i="6"/>
  <c r="C505" i="6"/>
  <c r="B505" i="6"/>
  <c r="K504" i="6"/>
  <c r="F504" i="6"/>
  <c r="E504" i="6"/>
  <c r="D504" i="6"/>
  <c r="C504" i="6"/>
  <c r="B504" i="6"/>
  <c r="K503" i="6"/>
  <c r="F503" i="6"/>
  <c r="E503" i="6"/>
  <c r="D503" i="6"/>
  <c r="C503" i="6"/>
  <c r="B503" i="6"/>
  <c r="K502" i="6"/>
  <c r="F502" i="6"/>
  <c r="E502" i="6"/>
  <c r="D502" i="6"/>
  <c r="C502" i="6"/>
  <c r="B502" i="6"/>
  <c r="K501" i="6"/>
  <c r="F501" i="6"/>
  <c r="E501" i="6"/>
  <c r="D501" i="6"/>
  <c r="C501" i="6"/>
  <c r="B501" i="6"/>
  <c r="K500" i="6"/>
  <c r="F500" i="6"/>
  <c r="E500" i="6"/>
  <c r="D500" i="6"/>
  <c r="C500" i="6"/>
  <c r="B500" i="6"/>
  <c r="K499" i="6"/>
  <c r="F499" i="6"/>
  <c r="E499" i="6"/>
  <c r="D499" i="6"/>
  <c r="C499" i="6"/>
  <c r="B499" i="6"/>
  <c r="K498" i="6"/>
  <c r="F498" i="6"/>
  <c r="E498" i="6"/>
  <c r="D498" i="6"/>
  <c r="C498" i="6"/>
  <c r="B498" i="6"/>
  <c r="K497" i="6"/>
  <c r="F497" i="6"/>
  <c r="E497" i="6"/>
  <c r="D497" i="6"/>
  <c r="C497" i="6"/>
  <c r="B497" i="6"/>
  <c r="K496" i="6"/>
  <c r="F496" i="6"/>
  <c r="E496" i="6"/>
  <c r="D496" i="6"/>
  <c r="C496" i="6"/>
  <c r="B496" i="6"/>
  <c r="K495" i="6"/>
  <c r="F495" i="6"/>
  <c r="E495" i="6"/>
  <c r="D495" i="6"/>
  <c r="C495" i="6"/>
  <c r="B495" i="6"/>
  <c r="K494" i="6"/>
  <c r="F494" i="6"/>
  <c r="E494" i="6"/>
  <c r="D494" i="6"/>
  <c r="C494" i="6"/>
  <c r="B494" i="6"/>
  <c r="K493" i="6"/>
  <c r="F493" i="6"/>
  <c r="E493" i="6"/>
  <c r="D493" i="6"/>
  <c r="C493" i="6"/>
  <c r="B493" i="6"/>
  <c r="K492" i="6"/>
  <c r="F492" i="6"/>
  <c r="E492" i="6"/>
  <c r="D492" i="6"/>
  <c r="C492" i="6"/>
  <c r="B492" i="6"/>
  <c r="K491" i="6"/>
  <c r="F491" i="6"/>
  <c r="E491" i="6"/>
  <c r="D491" i="6"/>
  <c r="C491" i="6"/>
  <c r="B491" i="6"/>
  <c r="K490" i="6"/>
  <c r="F490" i="6"/>
  <c r="E490" i="6"/>
  <c r="D490" i="6"/>
  <c r="C490" i="6"/>
  <c r="B490" i="6"/>
  <c r="K489" i="6"/>
  <c r="F489" i="6"/>
  <c r="E489" i="6"/>
  <c r="D489" i="6"/>
  <c r="C489" i="6"/>
  <c r="B489" i="6"/>
  <c r="K488" i="6"/>
  <c r="F488" i="6"/>
  <c r="E488" i="6"/>
  <c r="D488" i="6"/>
  <c r="C488" i="6"/>
  <c r="B488" i="6"/>
  <c r="K487" i="6"/>
  <c r="F487" i="6"/>
  <c r="E487" i="6"/>
  <c r="D487" i="6"/>
  <c r="C487" i="6"/>
  <c r="B487" i="6"/>
  <c r="K486" i="6"/>
  <c r="F486" i="6"/>
  <c r="E486" i="6"/>
  <c r="D486" i="6"/>
  <c r="C486" i="6"/>
  <c r="B486" i="6"/>
  <c r="K485" i="6"/>
  <c r="F485" i="6"/>
  <c r="E485" i="6"/>
  <c r="D485" i="6"/>
  <c r="C485" i="6"/>
  <c r="B485" i="6"/>
  <c r="K484" i="6"/>
  <c r="F484" i="6"/>
  <c r="E484" i="6"/>
  <c r="D484" i="6"/>
  <c r="C484" i="6"/>
  <c r="B484" i="6"/>
  <c r="K483" i="6"/>
  <c r="F483" i="6"/>
  <c r="E483" i="6"/>
  <c r="D483" i="6"/>
  <c r="C483" i="6"/>
  <c r="B483" i="6"/>
  <c r="K482" i="6"/>
  <c r="F482" i="6"/>
  <c r="E482" i="6"/>
  <c r="D482" i="6"/>
  <c r="C482" i="6"/>
  <c r="B482" i="6"/>
  <c r="K481" i="6"/>
  <c r="F481" i="6"/>
  <c r="E481" i="6"/>
  <c r="D481" i="6"/>
  <c r="C481" i="6"/>
  <c r="B481" i="6"/>
  <c r="K480" i="6"/>
  <c r="F480" i="6"/>
  <c r="E480" i="6"/>
  <c r="D480" i="6"/>
  <c r="C480" i="6"/>
  <c r="B480" i="6"/>
  <c r="K479" i="6"/>
  <c r="F479" i="6"/>
  <c r="E479" i="6"/>
  <c r="D479" i="6"/>
  <c r="C479" i="6"/>
  <c r="B479" i="6"/>
  <c r="K478" i="6"/>
  <c r="F478" i="6"/>
  <c r="E478" i="6"/>
  <c r="D478" i="6"/>
  <c r="C478" i="6"/>
  <c r="B478" i="6"/>
  <c r="K477" i="6"/>
  <c r="F477" i="6"/>
  <c r="E477" i="6"/>
  <c r="D477" i="6"/>
  <c r="C477" i="6"/>
  <c r="B477" i="6"/>
  <c r="K476" i="6"/>
  <c r="F476" i="6"/>
  <c r="E476" i="6"/>
  <c r="D476" i="6"/>
  <c r="C476" i="6"/>
  <c r="B476" i="6"/>
  <c r="K475" i="6"/>
  <c r="F475" i="6"/>
  <c r="E475" i="6"/>
  <c r="D475" i="6"/>
  <c r="C475" i="6"/>
  <c r="B475" i="6"/>
  <c r="K474" i="6"/>
  <c r="F474" i="6"/>
  <c r="E474" i="6"/>
  <c r="D474" i="6"/>
  <c r="C474" i="6"/>
  <c r="B474" i="6"/>
  <c r="K473" i="6"/>
  <c r="F473" i="6"/>
  <c r="E473" i="6"/>
  <c r="D473" i="6"/>
  <c r="C473" i="6"/>
  <c r="B473" i="6"/>
  <c r="K472" i="6"/>
  <c r="F472" i="6"/>
  <c r="E472" i="6"/>
  <c r="D472" i="6"/>
  <c r="C472" i="6"/>
  <c r="B472" i="6"/>
  <c r="K471" i="6"/>
  <c r="F471" i="6"/>
  <c r="E471" i="6"/>
  <c r="D471" i="6"/>
  <c r="C471" i="6"/>
  <c r="B471" i="6"/>
  <c r="K470" i="6"/>
  <c r="F470" i="6"/>
  <c r="E470" i="6"/>
  <c r="D470" i="6"/>
  <c r="C470" i="6"/>
  <c r="B470" i="6"/>
  <c r="K469" i="6"/>
  <c r="F469" i="6"/>
  <c r="E469" i="6"/>
  <c r="D469" i="6"/>
  <c r="C469" i="6"/>
  <c r="B469" i="6"/>
  <c r="K468" i="6"/>
  <c r="F468" i="6"/>
  <c r="E468" i="6"/>
  <c r="D468" i="6"/>
  <c r="C468" i="6"/>
  <c r="B468" i="6"/>
  <c r="K467" i="6"/>
  <c r="F467" i="6"/>
  <c r="E467" i="6"/>
  <c r="D467" i="6"/>
  <c r="C467" i="6"/>
  <c r="B467" i="6"/>
  <c r="K466" i="6"/>
  <c r="F466" i="6"/>
  <c r="E466" i="6"/>
  <c r="D466" i="6"/>
  <c r="C466" i="6"/>
  <c r="B466" i="6"/>
  <c r="K465" i="6"/>
  <c r="F465" i="6"/>
  <c r="E465" i="6"/>
  <c r="D465" i="6"/>
  <c r="C465" i="6"/>
  <c r="B465" i="6"/>
  <c r="K464" i="6"/>
  <c r="F464" i="6"/>
  <c r="E464" i="6"/>
  <c r="D464" i="6"/>
  <c r="C464" i="6"/>
  <c r="B464" i="6"/>
  <c r="K463" i="6"/>
  <c r="F463" i="6"/>
  <c r="E463" i="6"/>
  <c r="D463" i="6"/>
  <c r="C463" i="6"/>
  <c r="B463" i="6"/>
  <c r="K462" i="6"/>
  <c r="F462" i="6"/>
  <c r="E462" i="6"/>
  <c r="D462" i="6"/>
  <c r="C462" i="6"/>
  <c r="B462" i="6"/>
  <c r="K461" i="6"/>
  <c r="F461" i="6"/>
  <c r="E461" i="6"/>
  <c r="D461" i="6"/>
  <c r="C461" i="6"/>
  <c r="B461" i="6"/>
  <c r="K460" i="6"/>
  <c r="F460" i="6"/>
  <c r="E460" i="6"/>
  <c r="D460" i="6"/>
  <c r="C460" i="6"/>
  <c r="B460" i="6"/>
  <c r="K459" i="6"/>
  <c r="F459" i="6"/>
  <c r="E459" i="6"/>
  <c r="D459" i="6"/>
  <c r="C459" i="6"/>
  <c r="B459" i="6"/>
  <c r="K458" i="6"/>
  <c r="F458" i="6"/>
  <c r="E458" i="6"/>
  <c r="D458" i="6"/>
  <c r="C458" i="6"/>
  <c r="B458" i="6"/>
  <c r="K457" i="6"/>
  <c r="F457" i="6"/>
  <c r="E457" i="6"/>
  <c r="D457" i="6"/>
  <c r="C457" i="6"/>
  <c r="B457" i="6"/>
  <c r="K456" i="6"/>
  <c r="F456" i="6"/>
  <c r="E456" i="6"/>
  <c r="D456" i="6"/>
  <c r="C456" i="6"/>
  <c r="B456" i="6"/>
  <c r="K455" i="6"/>
  <c r="F455" i="6"/>
  <c r="E455" i="6"/>
  <c r="D455" i="6"/>
  <c r="C455" i="6"/>
  <c r="B455" i="6"/>
  <c r="K454" i="6"/>
  <c r="F454" i="6"/>
  <c r="E454" i="6"/>
  <c r="D454" i="6"/>
  <c r="C454" i="6"/>
  <c r="B454" i="6"/>
  <c r="K453" i="6"/>
  <c r="F453" i="6"/>
  <c r="E453" i="6"/>
  <c r="D453" i="6"/>
  <c r="C453" i="6"/>
  <c r="B453" i="6"/>
  <c r="K452" i="6"/>
  <c r="F452" i="6"/>
  <c r="E452" i="6"/>
  <c r="D452" i="6"/>
  <c r="C452" i="6"/>
  <c r="B452" i="6"/>
  <c r="K451" i="6"/>
  <c r="F451" i="6"/>
  <c r="E451" i="6"/>
  <c r="D451" i="6"/>
  <c r="C451" i="6"/>
  <c r="B451" i="6"/>
  <c r="K450" i="6"/>
  <c r="F450" i="6"/>
  <c r="E450" i="6"/>
  <c r="D450" i="6"/>
  <c r="C450" i="6"/>
  <c r="B450" i="6"/>
  <c r="K449" i="6"/>
  <c r="F449" i="6"/>
  <c r="E449" i="6"/>
  <c r="D449" i="6"/>
  <c r="C449" i="6"/>
  <c r="B449" i="6"/>
  <c r="K448" i="6"/>
  <c r="F448" i="6"/>
  <c r="E448" i="6"/>
  <c r="D448" i="6"/>
  <c r="C448" i="6"/>
  <c r="B448" i="6"/>
  <c r="K447" i="6"/>
  <c r="F447" i="6"/>
  <c r="E447" i="6"/>
  <c r="D447" i="6"/>
  <c r="C447" i="6"/>
  <c r="B447" i="6"/>
  <c r="K446" i="6"/>
  <c r="F446" i="6"/>
  <c r="E446" i="6"/>
  <c r="D446" i="6"/>
  <c r="C446" i="6"/>
  <c r="B446" i="6"/>
  <c r="K445" i="6"/>
  <c r="F445" i="6"/>
  <c r="E445" i="6"/>
  <c r="D445" i="6"/>
  <c r="C445" i="6"/>
  <c r="B445" i="6"/>
  <c r="K444" i="6"/>
  <c r="F444" i="6"/>
  <c r="E444" i="6"/>
  <c r="D444" i="6"/>
  <c r="C444" i="6"/>
  <c r="B444" i="6"/>
  <c r="K443" i="6"/>
  <c r="F443" i="6"/>
  <c r="E443" i="6"/>
  <c r="D443" i="6"/>
  <c r="C443" i="6"/>
  <c r="B443" i="6"/>
  <c r="K442" i="6"/>
  <c r="F442" i="6"/>
  <c r="E442" i="6"/>
  <c r="D442" i="6"/>
  <c r="C442" i="6"/>
  <c r="B442" i="6"/>
  <c r="K441" i="6"/>
  <c r="F441" i="6"/>
  <c r="E441" i="6"/>
  <c r="D441" i="6"/>
  <c r="C441" i="6"/>
  <c r="B441" i="6"/>
  <c r="K440" i="6"/>
  <c r="F440" i="6"/>
  <c r="E440" i="6"/>
  <c r="D440" i="6"/>
  <c r="C440" i="6"/>
  <c r="B440" i="6"/>
  <c r="K439" i="6"/>
  <c r="F439" i="6"/>
  <c r="E439" i="6"/>
  <c r="D439" i="6"/>
  <c r="C439" i="6"/>
  <c r="B439" i="6"/>
  <c r="K438" i="6"/>
  <c r="F438" i="6"/>
  <c r="E438" i="6"/>
  <c r="D438" i="6"/>
  <c r="C438" i="6"/>
  <c r="B438" i="6"/>
  <c r="K437" i="6"/>
  <c r="F437" i="6"/>
  <c r="E437" i="6"/>
  <c r="D437" i="6"/>
  <c r="C437" i="6"/>
  <c r="B437" i="6"/>
  <c r="K436" i="6"/>
  <c r="F436" i="6"/>
  <c r="E436" i="6"/>
  <c r="D436" i="6"/>
  <c r="C436" i="6"/>
  <c r="B436" i="6"/>
  <c r="K435" i="6"/>
  <c r="F435" i="6"/>
  <c r="E435" i="6"/>
  <c r="D435" i="6"/>
  <c r="C435" i="6"/>
  <c r="B435" i="6"/>
  <c r="K434" i="6"/>
  <c r="F434" i="6"/>
  <c r="E434" i="6"/>
  <c r="D434" i="6"/>
  <c r="C434" i="6"/>
  <c r="B434" i="6"/>
  <c r="K433" i="6"/>
  <c r="F433" i="6"/>
  <c r="E433" i="6"/>
  <c r="D433" i="6"/>
  <c r="C433" i="6"/>
  <c r="B433" i="6"/>
  <c r="K432" i="6"/>
  <c r="F432" i="6"/>
  <c r="E432" i="6"/>
  <c r="D432" i="6"/>
  <c r="C432" i="6"/>
  <c r="B432" i="6"/>
  <c r="K431" i="6"/>
  <c r="F431" i="6"/>
  <c r="E431" i="6"/>
  <c r="D431" i="6"/>
  <c r="C431" i="6"/>
  <c r="B431" i="6"/>
  <c r="K430" i="6"/>
  <c r="F430" i="6"/>
  <c r="E430" i="6"/>
  <c r="D430" i="6"/>
  <c r="C430" i="6"/>
  <c r="B430" i="6"/>
  <c r="K429" i="6"/>
  <c r="F429" i="6"/>
  <c r="E429" i="6"/>
  <c r="D429" i="6"/>
  <c r="C429" i="6"/>
  <c r="B429" i="6"/>
  <c r="K428" i="6"/>
  <c r="F428" i="6"/>
  <c r="E428" i="6"/>
  <c r="D428" i="6"/>
  <c r="C428" i="6"/>
  <c r="B428" i="6"/>
  <c r="K427" i="6"/>
  <c r="F427" i="6"/>
  <c r="E427" i="6"/>
  <c r="D427" i="6"/>
  <c r="C427" i="6"/>
  <c r="B427" i="6"/>
  <c r="K426" i="6"/>
  <c r="F426" i="6"/>
  <c r="E426" i="6"/>
  <c r="D426" i="6"/>
  <c r="C426" i="6"/>
  <c r="B426" i="6"/>
  <c r="K425" i="6"/>
  <c r="F425" i="6"/>
  <c r="E425" i="6"/>
  <c r="D425" i="6"/>
  <c r="C425" i="6"/>
  <c r="B425" i="6"/>
  <c r="K424" i="6"/>
  <c r="F424" i="6"/>
  <c r="E424" i="6"/>
  <c r="D424" i="6"/>
  <c r="C424" i="6"/>
  <c r="B424" i="6"/>
  <c r="K423" i="6"/>
  <c r="F423" i="6"/>
  <c r="E423" i="6"/>
  <c r="D423" i="6"/>
  <c r="C423" i="6"/>
  <c r="B423" i="6"/>
  <c r="K422" i="6"/>
  <c r="F422" i="6"/>
  <c r="E422" i="6"/>
  <c r="D422" i="6"/>
  <c r="C422" i="6"/>
  <c r="B422" i="6"/>
  <c r="K421" i="6"/>
  <c r="F421" i="6"/>
  <c r="E421" i="6"/>
  <c r="D421" i="6"/>
  <c r="C421" i="6"/>
  <c r="B421" i="6"/>
  <c r="K420" i="6"/>
  <c r="F420" i="6"/>
  <c r="E420" i="6"/>
  <c r="D420" i="6"/>
  <c r="C420" i="6"/>
  <c r="B420" i="6"/>
  <c r="K419" i="6"/>
  <c r="F419" i="6"/>
  <c r="E419" i="6"/>
  <c r="D419" i="6"/>
  <c r="C419" i="6"/>
  <c r="B419" i="6"/>
  <c r="K418" i="6"/>
  <c r="F418" i="6"/>
  <c r="E418" i="6"/>
  <c r="D418" i="6"/>
  <c r="C418" i="6"/>
  <c r="B418" i="6"/>
  <c r="K417" i="6"/>
  <c r="F417" i="6"/>
  <c r="E417" i="6"/>
  <c r="D417" i="6"/>
  <c r="C417" i="6"/>
  <c r="B417" i="6"/>
  <c r="K416" i="6"/>
  <c r="F416" i="6"/>
  <c r="E416" i="6"/>
  <c r="D416" i="6"/>
  <c r="C416" i="6"/>
  <c r="B416" i="6"/>
  <c r="K415" i="6"/>
  <c r="F415" i="6"/>
  <c r="E415" i="6"/>
  <c r="D415" i="6"/>
  <c r="C415" i="6"/>
  <c r="B415" i="6"/>
  <c r="K414" i="6"/>
  <c r="F414" i="6"/>
  <c r="E414" i="6"/>
  <c r="D414" i="6"/>
  <c r="C414" i="6"/>
  <c r="B414" i="6"/>
  <c r="K413" i="6"/>
  <c r="F413" i="6"/>
  <c r="E413" i="6"/>
  <c r="D413" i="6"/>
  <c r="C413" i="6"/>
  <c r="B413" i="6"/>
  <c r="K412" i="6"/>
  <c r="F412" i="6"/>
  <c r="E412" i="6"/>
  <c r="D412" i="6"/>
  <c r="C412" i="6"/>
  <c r="B412" i="6"/>
  <c r="K411" i="6"/>
  <c r="F411" i="6"/>
  <c r="E411" i="6"/>
  <c r="D411" i="6"/>
  <c r="C411" i="6"/>
  <c r="B411" i="6"/>
  <c r="K410" i="6"/>
  <c r="F410" i="6"/>
  <c r="E410" i="6"/>
  <c r="D410" i="6"/>
  <c r="C410" i="6"/>
  <c r="B410" i="6"/>
  <c r="K409" i="6"/>
  <c r="F409" i="6"/>
  <c r="E409" i="6"/>
  <c r="D409" i="6"/>
  <c r="C409" i="6"/>
  <c r="B409" i="6"/>
  <c r="K408" i="6"/>
  <c r="F408" i="6"/>
  <c r="E408" i="6"/>
  <c r="D408" i="6"/>
  <c r="C408" i="6"/>
  <c r="B408" i="6"/>
  <c r="K407" i="6"/>
  <c r="F407" i="6"/>
  <c r="E407" i="6"/>
  <c r="D407" i="6"/>
  <c r="C407" i="6"/>
  <c r="B407" i="6"/>
  <c r="K406" i="6"/>
  <c r="F406" i="6"/>
  <c r="E406" i="6"/>
  <c r="D406" i="6"/>
  <c r="C406" i="6"/>
  <c r="B406" i="6"/>
  <c r="K405" i="6"/>
  <c r="F405" i="6"/>
  <c r="E405" i="6"/>
  <c r="D405" i="6"/>
  <c r="C405" i="6"/>
  <c r="B405" i="6"/>
  <c r="K404" i="6"/>
  <c r="F404" i="6"/>
  <c r="E404" i="6"/>
  <c r="D404" i="6"/>
  <c r="C404" i="6"/>
  <c r="B404" i="6"/>
  <c r="K403" i="6"/>
  <c r="F403" i="6"/>
  <c r="E403" i="6"/>
  <c r="D403" i="6"/>
  <c r="C403" i="6"/>
  <c r="B403" i="6"/>
  <c r="K402" i="6"/>
  <c r="F402" i="6"/>
  <c r="E402" i="6"/>
  <c r="D402" i="6"/>
  <c r="C402" i="6"/>
  <c r="B402" i="6"/>
  <c r="K401" i="6"/>
  <c r="F401" i="6"/>
  <c r="E401" i="6"/>
  <c r="D401" i="6"/>
  <c r="C401" i="6"/>
  <c r="B401" i="6"/>
  <c r="K400" i="6"/>
  <c r="F400" i="6"/>
  <c r="E400" i="6"/>
  <c r="D400" i="6"/>
  <c r="C400" i="6"/>
  <c r="B400" i="6"/>
  <c r="K399" i="6"/>
  <c r="F399" i="6"/>
  <c r="E399" i="6"/>
  <c r="D399" i="6"/>
  <c r="C399" i="6"/>
  <c r="B399" i="6"/>
  <c r="K398" i="6"/>
  <c r="F398" i="6"/>
  <c r="E398" i="6"/>
  <c r="D398" i="6"/>
  <c r="C398" i="6"/>
  <c r="B398" i="6"/>
  <c r="K397" i="6"/>
  <c r="F397" i="6"/>
  <c r="E397" i="6"/>
  <c r="D397" i="6"/>
  <c r="C397" i="6"/>
  <c r="B397" i="6"/>
  <c r="K396" i="6"/>
  <c r="F396" i="6"/>
  <c r="E396" i="6"/>
  <c r="D396" i="6"/>
  <c r="C396" i="6"/>
  <c r="B396" i="6"/>
  <c r="K395" i="6"/>
  <c r="F395" i="6"/>
  <c r="E395" i="6"/>
  <c r="D395" i="6"/>
  <c r="C395" i="6"/>
  <c r="B395" i="6"/>
  <c r="K394" i="6"/>
  <c r="F394" i="6"/>
  <c r="E394" i="6"/>
  <c r="D394" i="6"/>
  <c r="C394" i="6"/>
  <c r="B394" i="6"/>
  <c r="K393" i="6"/>
  <c r="F393" i="6"/>
  <c r="E393" i="6"/>
  <c r="D393" i="6"/>
  <c r="C393" i="6"/>
  <c r="B393" i="6"/>
  <c r="K392" i="6"/>
  <c r="F392" i="6"/>
  <c r="E392" i="6"/>
  <c r="D392" i="6"/>
  <c r="C392" i="6"/>
  <c r="B392" i="6"/>
  <c r="K391" i="6"/>
  <c r="F391" i="6"/>
  <c r="E391" i="6"/>
  <c r="D391" i="6"/>
  <c r="C391" i="6"/>
  <c r="B391" i="6"/>
  <c r="K390" i="6"/>
  <c r="F390" i="6"/>
  <c r="E390" i="6"/>
  <c r="D390" i="6"/>
  <c r="C390" i="6"/>
  <c r="B390" i="6"/>
  <c r="K389" i="6"/>
  <c r="F389" i="6"/>
  <c r="E389" i="6"/>
  <c r="D389" i="6"/>
  <c r="C389" i="6"/>
  <c r="B389" i="6"/>
  <c r="K388" i="6"/>
  <c r="F388" i="6"/>
  <c r="E388" i="6"/>
  <c r="D388" i="6"/>
  <c r="C388" i="6"/>
  <c r="B388" i="6"/>
  <c r="K387" i="6"/>
  <c r="F387" i="6"/>
  <c r="E387" i="6"/>
  <c r="D387" i="6"/>
  <c r="C387" i="6"/>
  <c r="B387" i="6"/>
  <c r="K386" i="6"/>
  <c r="F386" i="6"/>
  <c r="E386" i="6"/>
  <c r="D386" i="6"/>
  <c r="C386" i="6"/>
  <c r="B386" i="6"/>
  <c r="K385" i="6"/>
  <c r="F385" i="6"/>
  <c r="E385" i="6"/>
  <c r="D385" i="6"/>
  <c r="C385" i="6"/>
  <c r="B385" i="6"/>
  <c r="K384" i="6"/>
  <c r="F384" i="6"/>
  <c r="E384" i="6"/>
  <c r="D384" i="6"/>
  <c r="C384" i="6"/>
  <c r="B384" i="6"/>
  <c r="K383" i="6"/>
  <c r="F383" i="6"/>
  <c r="E383" i="6"/>
  <c r="D383" i="6"/>
  <c r="C383" i="6"/>
  <c r="B383" i="6"/>
  <c r="K382" i="6"/>
  <c r="F382" i="6"/>
  <c r="E382" i="6"/>
  <c r="D382" i="6"/>
  <c r="C382" i="6"/>
  <c r="B382" i="6"/>
  <c r="K381" i="6"/>
  <c r="F381" i="6"/>
  <c r="E381" i="6"/>
  <c r="D381" i="6"/>
  <c r="C381" i="6"/>
  <c r="B381" i="6"/>
  <c r="K380" i="6"/>
  <c r="F380" i="6"/>
  <c r="E380" i="6"/>
  <c r="D380" i="6"/>
  <c r="C380" i="6"/>
  <c r="B380" i="6"/>
  <c r="K379" i="6"/>
  <c r="F379" i="6"/>
  <c r="E379" i="6"/>
  <c r="D379" i="6"/>
  <c r="C379" i="6"/>
  <c r="B379" i="6"/>
  <c r="K378" i="6"/>
  <c r="F378" i="6"/>
  <c r="E378" i="6"/>
  <c r="D378" i="6"/>
  <c r="C378" i="6"/>
  <c r="B378" i="6"/>
  <c r="K377" i="6"/>
  <c r="F377" i="6"/>
  <c r="E377" i="6"/>
  <c r="D377" i="6"/>
  <c r="C377" i="6"/>
  <c r="B377" i="6"/>
  <c r="K376" i="6"/>
  <c r="F376" i="6"/>
  <c r="E376" i="6"/>
  <c r="D376" i="6"/>
  <c r="C376" i="6"/>
  <c r="B376" i="6"/>
  <c r="K375" i="6"/>
  <c r="F375" i="6"/>
  <c r="E375" i="6"/>
  <c r="D375" i="6"/>
  <c r="C375" i="6"/>
  <c r="B375" i="6"/>
  <c r="K374" i="6"/>
  <c r="F374" i="6"/>
  <c r="E374" i="6"/>
  <c r="D374" i="6"/>
  <c r="C374" i="6"/>
  <c r="B374" i="6"/>
  <c r="K373" i="6"/>
  <c r="F373" i="6"/>
  <c r="E373" i="6"/>
  <c r="D373" i="6"/>
  <c r="C373" i="6"/>
  <c r="B373" i="6"/>
  <c r="K372" i="6"/>
  <c r="F372" i="6"/>
  <c r="E372" i="6"/>
  <c r="D372" i="6"/>
  <c r="C372" i="6"/>
  <c r="B372" i="6"/>
  <c r="K371" i="6"/>
  <c r="F371" i="6"/>
  <c r="E371" i="6"/>
  <c r="D371" i="6"/>
  <c r="C371" i="6"/>
  <c r="B371" i="6"/>
  <c r="K370" i="6"/>
  <c r="F370" i="6"/>
  <c r="E370" i="6"/>
  <c r="D370" i="6"/>
  <c r="C370" i="6"/>
  <c r="B370" i="6"/>
  <c r="K369" i="6"/>
  <c r="F369" i="6"/>
  <c r="E369" i="6"/>
  <c r="D369" i="6"/>
  <c r="C369" i="6"/>
  <c r="B369" i="6"/>
  <c r="K368" i="6"/>
  <c r="F368" i="6"/>
  <c r="E368" i="6"/>
  <c r="D368" i="6"/>
  <c r="C368" i="6"/>
  <c r="B368" i="6"/>
  <c r="K367" i="6"/>
  <c r="F367" i="6"/>
  <c r="E367" i="6"/>
  <c r="D367" i="6"/>
  <c r="C367" i="6"/>
  <c r="B367" i="6"/>
  <c r="K366" i="6"/>
  <c r="F366" i="6"/>
  <c r="E366" i="6"/>
  <c r="D366" i="6"/>
  <c r="C366" i="6"/>
  <c r="B366" i="6"/>
  <c r="K365" i="6"/>
  <c r="F365" i="6"/>
  <c r="E365" i="6"/>
  <c r="D365" i="6"/>
  <c r="C365" i="6"/>
  <c r="B365" i="6"/>
  <c r="K364" i="6"/>
  <c r="F364" i="6"/>
  <c r="E364" i="6"/>
  <c r="D364" i="6"/>
  <c r="C364" i="6"/>
  <c r="B364" i="6"/>
  <c r="K363" i="6"/>
  <c r="F363" i="6"/>
  <c r="E363" i="6"/>
  <c r="D363" i="6"/>
  <c r="C363" i="6"/>
  <c r="B363" i="6"/>
  <c r="K362" i="6"/>
  <c r="F362" i="6"/>
  <c r="E362" i="6"/>
  <c r="D362" i="6"/>
  <c r="C362" i="6"/>
  <c r="B362" i="6"/>
  <c r="K361" i="6"/>
  <c r="F361" i="6"/>
  <c r="E361" i="6"/>
  <c r="D361" i="6"/>
  <c r="C361" i="6"/>
  <c r="B361" i="6"/>
  <c r="K360" i="6"/>
  <c r="F360" i="6"/>
  <c r="E360" i="6"/>
  <c r="D360" i="6"/>
  <c r="C360" i="6"/>
  <c r="B360" i="6"/>
  <c r="K359" i="6"/>
  <c r="F359" i="6"/>
  <c r="E359" i="6"/>
  <c r="D359" i="6"/>
  <c r="C359" i="6"/>
  <c r="B359" i="6"/>
  <c r="K358" i="6"/>
  <c r="F358" i="6"/>
  <c r="E358" i="6"/>
  <c r="D358" i="6"/>
  <c r="C358" i="6"/>
  <c r="B358" i="6"/>
  <c r="K357" i="6"/>
  <c r="F357" i="6"/>
  <c r="E357" i="6"/>
  <c r="D357" i="6"/>
  <c r="C357" i="6"/>
  <c r="B357" i="6"/>
  <c r="K356" i="6"/>
  <c r="F356" i="6"/>
  <c r="E356" i="6"/>
  <c r="D356" i="6"/>
  <c r="C356" i="6"/>
  <c r="B356" i="6"/>
  <c r="K355" i="6"/>
  <c r="F355" i="6"/>
  <c r="E355" i="6"/>
  <c r="D355" i="6"/>
  <c r="C355" i="6"/>
  <c r="B355" i="6"/>
  <c r="K354" i="6"/>
  <c r="F354" i="6"/>
  <c r="E354" i="6"/>
  <c r="D354" i="6"/>
  <c r="C354" i="6"/>
  <c r="B354" i="6"/>
  <c r="K353" i="6"/>
  <c r="F353" i="6"/>
  <c r="E353" i="6"/>
  <c r="D353" i="6"/>
  <c r="C353" i="6"/>
  <c r="B353" i="6"/>
  <c r="K352" i="6"/>
  <c r="F352" i="6"/>
  <c r="E352" i="6"/>
  <c r="D352" i="6"/>
  <c r="C352" i="6"/>
  <c r="B352" i="6"/>
  <c r="K351" i="6"/>
  <c r="F351" i="6"/>
  <c r="E351" i="6"/>
  <c r="D351" i="6"/>
  <c r="C351" i="6"/>
  <c r="B351" i="6"/>
  <c r="K350" i="6"/>
  <c r="F350" i="6"/>
  <c r="E350" i="6"/>
  <c r="D350" i="6"/>
  <c r="C350" i="6"/>
  <c r="B350" i="6"/>
  <c r="K349" i="6"/>
  <c r="F349" i="6"/>
  <c r="E349" i="6"/>
  <c r="D349" i="6"/>
  <c r="C349" i="6"/>
  <c r="B349" i="6"/>
  <c r="K348" i="6"/>
  <c r="F348" i="6"/>
  <c r="E348" i="6"/>
  <c r="D348" i="6"/>
  <c r="C348" i="6"/>
  <c r="B348" i="6"/>
  <c r="K347" i="6"/>
  <c r="F347" i="6"/>
  <c r="E347" i="6"/>
  <c r="D347" i="6"/>
  <c r="C347" i="6"/>
  <c r="B347" i="6"/>
  <c r="K346" i="6"/>
  <c r="F346" i="6"/>
  <c r="E346" i="6"/>
  <c r="D346" i="6"/>
  <c r="C346" i="6"/>
  <c r="B346" i="6"/>
  <c r="K345" i="6"/>
  <c r="F345" i="6"/>
  <c r="E345" i="6"/>
  <c r="D345" i="6"/>
  <c r="C345" i="6"/>
  <c r="B345" i="6"/>
  <c r="K344" i="6"/>
  <c r="F344" i="6"/>
  <c r="E344" i="6"/>
  <c r="D344" i="6"/>
  <c r="C344" i="6"/>
  <c r="B344" i="6"/>
  <c r="K343" i="6"/>
  <c r="F343" i="6"/>
  <c r="E343" i="6"/>
  <c r="D343" i="6"/>
  <c r="C343" i="6"/>
  <c r="B343" i="6"/>
  <c r="K342" i="6"/>
  <c r="F342" i="6"/>
  <c r="E342" i="6"/>
  <c r="D342" i="6"/>
  <c r="C342" i="6"/>
  <c r="B342" i="6"/>
  <c r="K341" i="6"/>
  <c r="F341" i="6"/>
  <c r="E341" i="6"/>
  <c r="D341" i="6"/>
  <c r="C341" i="6"/>
  <c r="B341" i="6"/>
  <c r="K340" i="6"/>
  <c r="F340" i="6"/>
  <c r="E340" i="6"/>
  <c r="D340" i="6"/>
  <c r="C340" i="6"/>
  <c r="B340" i="6"/>
  <c r="K339" i="6"/>
  <c r="F339" i="6"/>
  <c r="E339" i="6"/>
  <c r="D339" i="6"/>
  <c r="C339" i="6"/>
  <c r="B339" i="6"/>
  <c r="K338" i="6"/>
  <c r="F338" i="6"/>
  <c r="E338" i="6"/>
  <c r="D338" i="6"/>
  <c r="C338" i="6"/>
  <c r="B338" i="6"/>
  <c r="K337" i="6"/>
  <c r="F337" i="6"/>
  <c r="E337" i="6"/>
  <c r="D337" i="6"/>
  <c r="C337" i="6"/>
  <c r="B337" i="6"/>
  <c r="K336" i="6"/>
  <c r="F336" i="6"/>
  <c r="E336" i="6"/>
  <c r="D336" i="6"/>
  <c r="C336" i="6"/>
  <c r="B336" i="6"/>
  <c r="K335" i="6"/>
  <c r="F335" i="6"/>
  <c r="E335" i="6"/>
  <c r="D335" i="6"/>
  <c r="C335" i="6"/>
  <c r="B335" i="6"/>
  <c r="K334" i="6"/>
  <c r="F334" i="6"/>
  <c r="E334" i="6"/>
  <c r="D334" i="6"/>
  <c r="C334" i="6"/>
  <c r="B334" i="6"/>
  <c r="K333" i="6"/>
  <c r="F333" i="6"/>
  <c r="E333" i="6"/>
  <c r="D333" i="6"/>
  <c r="C333" i="6"/>
  <c r="B333" i="6"/>
  <c r="K332" i="6"/>
  <c r="F332" i="6"/>
  <c r="E332" i="6"/>
  <c r="D332" i="6"/>
  <c r="C332" i="6"/>
  <c r="B332" i="6"/>
  <c r="K331" i="6"/>
  <c r="F331" i="6"/>
  <c r="E331" i="6"/>
  <c r="D331" i="6"/>
  <c r="C331" i="6"/>
  <c r="B331" i="6"/>
  <c r="K330" i="6"/>
  <c r="F330" i="6"/>
  <c r="E330" i="6"/>
  <c r="D330" i="6"/>
  <c r="C330" i="6"/>
  <c r="B330" i="6"/>
  <c r="K329" i="6"/>
  <c r="F329" i="6"/>
  <c r="E329" i="6"/>
  <c r="D329" i="6"/>
  <c r="C329" i="6"/>
  <c r="B329" i="6"/>
  <c r="K328" i="6"/>
  <c r="F328" i="6"/>
  <c r="E328" i="6"/>
  <c r="D328" i="6"/>
  <c r="C328" i="6"/>
  <c r="B328" i="6"/>
  <c r="K327" i="6"/>
  <c r="F327" i="6"/>
  <c r="E327" i="6"/>
  <c r="D327" i="6"/>
  <c r="C327" i="6"/>
  <c r="B327" i="6"/>
  <c r="K326" i="6"/>
  <c r="F326" i="6"/>
  <c r="E326" i="6"/>
  <c r="D326" i="6"/>
  <c r="C326" i="6"/>
  <c r="B326" i="6"/>
  <c r="K325" i="6"/>
  <c r="F325" i="6"/>
  <c r="E325" i="6"/>
  <c r="D325" i="6"/>
  <c r="C325" i="6"/>
  <c r="B325" i="6"/>
  <c r="K324" i="6"/>
  <c r="F324" i="6"/>
  <c r="E324" i="6"/>
  <c r="D324" i="6"/>
  <c r="C324" i="6"/>
  <c r="B324" i="6"/>
  <c r="K323" i="6"/>
  <c r="F323" i="6"/>
  <c r="E323" i="6"/>
  <c r="D323" i="6"/>
  <c r="C323" i="6"/>
  <c r="B323" i="6"/>
  <c r="K322" i="6"/>
  <c r="F322" i="6"/>
  <c r="E322" i="6"/>
  <c r="D322" i="6"/>
  <c r="C322" i="6"/>
  <c r="B322" i="6"/>
  <c r="K321" i="6"/>
  <c r="F321" i="6"/>
  <c r="E321" i="6"/>
  <c r="D321" i="6"/>
  <c r="C321" i="6"/>
  <c r="B321" i="6"/>
  <c r="K320" i="6"/>
  <c r="F320" i="6"/>
  <c r="E320" i="6"/>
  <c r="D320" i="6"/>
  <c r="C320" i="6"/>
  <c r="B320" i="6"/>
  <c r="K319" i="6"/>
  <c r="F319" i="6"/>
  <c r="E319" i="6"/>
  <c r="D319" i="6"/>
  <c r="C319" i="6"/>
  <c r="B319" i="6"/>
  <c r="K318" i="6"/>
  <c r="F318" i="6"/>
  <c r="E318" i="6"/>
  <c r="D318" i="6"/>
  <c r="C318" i="6"/>
  <c r="B318" i="6"/>
  <c r="K317" i="6"/>
  <c r="F317" i="6"/>
  <c r="E317" i="6"/>
  <c r="D317" i="6"/>
  <c r="C317" i="6"/>
  <c r="B317" i="6"/>
  <c r="K316" i="6"/>
  <c r="F316" i="6"/>
  <c r="E316" i="6"/>
  <c r="D316" i="6"/>
  <c r="C316" i="6"/>
  <c r="B316" i="6"/>
  <c r="K315" i="6"/>
  <c r="F315" i="6"/>
  <c r="E315" i="6"/>
  <c r="D315" i="6"/>
  <c r="C315" i="6"/>
  <c r="B315" i="6"/>
  <c r="K314" i="6"/>
  <c r="F314" i="6"/>
  <c r="E314" i="6"/>
  <c r="D314" i="6"/>
  <c r="C314" i="6"/>
  <c r="B314" i="6"/>
  <c r="K313" i="6"/>
  <c r="F313" i="6"/>
  <c r="E313" i="6"/>
  <c r="D313" i="6"/>
  <c r="C313" i="6"/>
  <c r="B313" i="6"/>
  <c r="K312" i="6"/>
  <c r="F312" i="6"/>
  <c r="E312" i="6"/>
  <c r="D312" i="6"/>
  <c r="C312" i="6"/>
  <c r="B312" i="6"/>
  <c r="K311" i="6"/>
  <c r="F311" i="6"/>
  <c r="E311" i="6"/>
  <c r="D311" i="6"/>
  <c r="C311" i="6"/>
  <c r="B311" i="6"/>
  <c r="K310" i="6"/>
  <c r="F310" i="6"/>
  <c r="E310" i="6"/>
  <c r="D310" i="6"/>
  <c r="C310" i="6"/>
  <c r="B310" i="6"/>
  <c r="K309" i="6"/>
  <c r="F309" i="6"/>
  <c r="E309" i="6"/>
  <c r="D309" i="6"/>
  <c r="C309" i="6"/>
  <c r="B309" i="6"/>
  <c r="K308" i="6"/>
  <c r="F308" i="6"/>
  <c r="E308" i="6"/>
  <c r="D308" i="6"/>
  <c r="C308" i="6"/>
  <c r="B308" i="6"/>
  <c r="K307" i="6"/>
  <c r="F307" i="6"/>
  <c r="E307" i="6"/>
  <c r="D307" i="6"/>
  <c r="C307" i="6"/>
  <c r="B307" i="6"/>
  <c r="K306" i="6"/>
  <c r="F306" i="6"/>
  <c r="E306" i="6"/>
  <c r="D306" i="6"/>
  <c r="C306" i="6"/>
  <c r="B306" i="6"/>
  <c r="K305" i="6"/>
  <c r="F305" i="6"/>
  <c r="E305" i="6"/>
  <c r="D305" i="6"/>
  <c r="C305" i="6"/>
  <c r="B305" i="6"/>
  <c r="K304" i="6"/>
  <c r="F304" i="6"/>
  <c r="E304" i="6"/>
  <c r="D304" i="6"/>
  <c r="C304" i="6"/>
  <c r="B304" i="6"/>
  <c r="K303" i="6"/>
  <c r="F303" i="6"/>
  <c r="E303" i="6"/>
  <c r="D303" i="6"/>
  <c r="C303" i="6"/>
  <c r="B303" i="6"/>
  <c r="K302" i="6"/>
  <c r="F302" i="6"/>
  <c r="E302" i="6"/>
  <c r="D302" i="6"/>
  <c r="C302" i="6"/>
  <c r="B302" i="6"/>
  <c r="K301" i="6"/>
  <c r="F301" i="6"/>
  <c r="E301" i="6"/>
  <c r="D301" i="6"/>
  <c r="C301" i="6"/>
  <c r="B301" i="6"/>
  <c r="K300" i="6"/>
  <c r="F300" i="6"/>
  <c r="E300" i="6"/>
  <c r="D300" i="6"/>
  <c r="C300" i="6"/>
  <c r="B300" i="6"/>
  <c r="K299" i="6"/>
  <c r="F299" i="6"/>
  <c r="E299" i="6"/>
  <c r="D299" i="6"/>
  <c r="C299" i="6"/>
  <c r="B299" i="6"/>
  <c r="K298" i="6"/>
  <c r="F298" i="6"/>
  <c r="E298" i="6"/>
  <c r="D298" i="6"/>
  <c r="C298" i="6"/>
  <c r="B298" i="6"/>
  <c r="K297" i="6"/>
  <c r="F297" i="6"/>
  <c r="E297" i="6"/>
  <c r="D297" i="6"/>
  <c r="C297" i="6"/>
  <c r="B297" i="6"/>
  <c r="K296" i="6"/>
  <c r="F296" i="6"/>
  <c r="E296" i="6"/>
  <c r="D296" i="6"/>
  <c r="C296" i="6"/>
  <c r="B296" i="6"/>
  <c r="K295" i="6"/>
  <c r="F295" i="6"/>
  <c r="E295" i="6"/>
  <c r="D295" i="6"/>
  <c r="C295" i="6"/>
  <c r="B295" i="6"/>
  <c r="K294" i="6"/>
  <c r="F294" i="6"/>
  <c r="E294" i="6"/>
  <c r="D294" i="6"/>
  <c r="C294" i="6"/>
  <c r="B294" i="6"/>
  <c r="K293" i="6"/>
  <c r="F293" i="6"/>
  <c r="E293" i="6"/>
  <c r="D293" i="6"/>
  <c r="C293" i="6"/>
  <c r="B293" i="6"/>
  <c r="K292" i="6"/>
  <c r="F292" i="6"/>
  <c r="E292" i="6"/>
  <c r="D292" i="6"/>
  <c r="C292" i="6"/>
  <c r="B292" i="6"/>
  <c r="K291" i="6"/>
  <c r="F291" i="6"/>
  <c r="E291" i="6"/>
  <c r="D291" i="6"/>
  <c r="C291" i="6"/>
  <c r="B291" i="6"/>
  <c r="K290" i="6"/>
  <c r="F290" i="6"/>
  <c r="E290" i="6"/>
  <c r="D290" i="6"/>
  <c r="C290" i="6"/>
  <c r="B290" i="6"/>
  <c r="K289" i="6"/>
  <c r="F289" i="6"/>
  <c r="E289" i="6"/>
  <c r="D289" i="6"/>
  <c r="C289" i="6"/>
  <c r="B289" i="6"/>
  <c r="K288" i="6"/>
  <c r="F288" i="6"/>
  <c r="E288" i="6"/>
  <c r="D288" i="6"/>
  <c r="C288" i="6"/>
  <c r="B288" i="6"/>
  <c r="K287" i="6"/>
  <c r="F287" i="6"/>
  <c r="E287" i="6"/>
  <c r="D287" i="6"/>
  <c r="C287" i="6"/>
  <c r="B287" i="6"/>
  <c r="K286" i="6"/>
  <c r="F286" i="6"/>
  <c r="E286" i="6"/>
  <c r="D286" i="6"/>
  <c r="C286" i="6"/>
  <c r="B286" i="6"/>
  <c r="K285" i="6"/>
  <c r="F285" i="6"/>
  <c r="E285" i="6"/>
  <c r="D285" i="6"/>
  <c r="C285" i="6"/>
  <c r="B285" i="6"/>
  <c r="K284" i="6"/>
  <c r="F284" i="6"/>
  <c r="E284" i="6"/>
  <c r="D284" i="6"/>
  <c r="C284" i="6"/>
  <c r="B284" i="6"/>
  <c r="K283" i="6"/>
  <c r="F283" i="6"/>
  <c r="E283" i="6"/>
  <c r="D283" i="6"/>
  <c r="C283" i="6"/>
  <c r="B283" i="6"/>
  <c r="K282" i="6"/>
  <c r="F282" i="6"/>
  <c r="E282" i="6"/>
  <c r="D282" i="6"/>
  <c r="C282" i="6"/>
  <c r="B282" i="6"/>
  <c r="K281" i="6"/>
  <c r="F281" i="6"/>
  <c r="E281" i="6"/>
  <c r="D281" i="6"/>
  <c r="C281" i="6"/>
  <c r="B281" i="6"/>
  <c r="K280" i="6"/>
  <c r="F280" i="6"/>
  <c r="E280" i="6"/>
  <c r="D280" i="6"/>
  <c r="C280" i="6"/>
  <c r="B280" i="6"/>
  <c r="K279" i="6"/>
  <c r="F279" i="6"/>
  <c r="E279" i="6"/>
  <c r="D279" i="6"/>
  <c r="C279" i="6"/>
  <c r="B279" i="6"/>
  <c r="K278" i="6"/>
  <c r="F278" i="6"/>
  <c r="E278" i="6"/>
  <c r="D278" i="6"/>
  <c r="C278" i="6"/>
  <c r="B278" i="6"/>
  <c r="K277" i="6"/>
  <c r="F277" i="6"/>
  <c r="E277" i="6"/>
  <c r="D277" i="6"/>
  <c r="C277" i="6"/>
  <c r="B277" i="6"/>
  <c r="K276" i="6"/>
  <c r="F276" i="6"/>
  <c r="E276" i="6"/>
  <c r="D276" i="6"/>
  <c r="C276" i="6"/>
  <c r="B276" i="6"/>
  <c r="K275" i="6"/>
  <c r="F275" i="6"/>
  <c r="E275" i="6"/>
  <c r="D275" i="6"/>
  <c r="C275" i="6"/>
  <c r="B275" i="6"/>
  <c r="K274" i="6"/>
  <c r="F274" i="6"/>
  <c r="E274" i="6"/>
  <c r="D274" i="6"/>
  <c r="C274" i="6"/>
  <c r="B274" i="6"/>
  <c r="K273" i="6"/>
  <c r="F273" i="6"/>
  <c r="E273" i="6"/>
  <c r="D273" i="6"/>
  <c r="C273" i="6"/>
  <c r="B273" i="6"/>
  <c r="K272" i="6"/>
  <c r="F272" i="6"/>
  <c r="E272" i="6"/>
  <c r="D272" i="6"/>
  <c r="C272" i="6"/>
  <c r="B272" i="6"/>
  <c r="K271" i="6"/>
  <c r="F271" i="6"/>
  <c r="E271" i="6"/>
  <c r="D271" i="6"/>
  <c r="C271" i="6"/>
  <c r="B271" i="6"/>
  <c r="K270" i="6"/>
  <c r="F270" i="6"/>
  <c r="E270" i="6"/>
  <c r="D270" i="6"/>
  <c r="C270" i="6"/>
  <c r="B270" i="6"/>
  <c r="K269" i="6"/>
  <c r="F269" i="6"/>
  <c r="E269" i="6"/>
  <c r="D269" i="6"/>
  <c r="C269" i="6"/>
  <c r="B269" i="6"/>
  <c r="K268" i="6"/>
  <c r="F268" i="6"/>
  <c r="E268" i="6"/>
  <c r="D268" i="6"/>
  <c r="C268" i="6"/>
  <c r="B268" i="6"/>
  <c r="K267" i="6"/>
  <c r="F267" i="6"/>
  <c r="E267" i="6"/>
  <c r="D267" i="6"/>
  <c r="C267" i="6"/>
  <c r="B267" i="6"/>
  <c r="K266" i="6"/>
  <c r="F266" i="6"/>
  <c r="E266" i="6"/>
  <c r="D266" i="6"/>
  <c r="C266" i="6"/>
  <c r="B266" i="6"/>
  <c r="K265" i="6"/>
  <c r="F265" i="6"/>
  <c r="E265" i="6"/>
  <c r="D265" i="6"/>
  <c r="C265" i="6"/>
  <c r="B265" i="6"/>
  <c r="K264" i="6"/>
  <c r="F264" i="6"/>
  <c r="E264" i="6"/>
  <c r="D264" i="6"/>
  <c r="C264" i="6"/>
  <c r="B264" i="6"/>
  <c r="K263" i="6"/>
  <c r="F263" i="6"/>
  <c r="E263" i="6"/>
  <c r="D263" i="6"/>
  <c r="C263" i="6"/>
  <c r="B263" i="6"/>
  <c r="K262" i="6"/>
  <c r="F262" i="6"/>
  <c r="E262" i="6"/>
  <c r="D262" i="6"/>
  <c r="C262" i="6"/>
  <c r="B262" i="6"/>
  <c r="K261" i="6"/>
  <c r="F261" i="6"/>
  <c r="E261" i="6"/>
  <c r="D261" i="6"/>
  <c r="C261" i="6"/>
  <c r="B261" i="6"/>
  <c r="K260" i="6"/>
  <c r="F260" i="6"/>
  <c r="E260" i="6"/>
  <c r="D260" i="6"/>
  <c r="C260" i="6"/>
  <c r="B260" i="6"/>
  <c r="K259" i="6"/>
  <c r="F259" i="6"/>
  <c r="E259" i="6"/>
  <c r="D259" i="6"/>
  <c r="C259" i="6"/>
  <c r="B259" i="6"/>
  <c r="K258" i="6"/>
  <c r="F258" i="6"/>
  <c r="E258" i="6"/>
  <c r="D258" i="6"/>
  <c r="C258" i="6"/>
  <c r="B258" i="6"/>
  <c r="K257" i="6"/>
  <c r="F257" i="6"/>
  <c r="E257" i="6"/>
  <c r="D257" i="6"/>
  <c r="C257" i="6"/>
  <c r="B257" i="6"/>
  <c r="K256" i="6"/>
  <c r="F256" i="6"/>
  <c r="E256" i="6"/>
  <c r="D256" i="6"/>
  <c r="C256" i="6"/>
  <c r="B256" i="6"/>
  <c r="K255" i="6"/>
  <c r="F255" i="6"/>
  <c r="E255" i="6"/>
  <c r="D255" i="6"/>
  <c r="C255" i="6"/>
  <c r="B255" i="6"/>
  <c r="K254" i="6"/>
  <c r="F254" i="6"/>
  <c r="E254" i="6"/>
  <c r="D254" i="6"/>
  <c r="C254" i="6"/>
  <c r="B254" i="6"/>
  <c r="K253" i="6"/>
  <c r="F253" i="6"/>
  <c r="E253" i="6"/>
  <c r="D253" i="6"/>
  <c r="C253" i="6"/>
  <c r="B253" i="6"/>
  <c r="K252" i="6"/>
  <c r="F252" i="6"/>
  <c r="E252" i="6"/>
  <c r="D252" i="6"/>
  <c r="C252" i="6"/>
  <c r="B252" i="6"/>
  <c r="K251" i="6"/>
  <c r="F251" i="6"/>
  <c r="E251" i="6"/>
  <c r="D251" i="6"/>
  <c r="C251" i="6"/>
  <c r="B251" i="6"/>
  <c r="K250" i="6"/>
  <c r="F250" i="6"/>
  <c r="E250" i="6"/>
  <c r="D250" i="6"/>
  <c r="C250" i="6"/>
  <c r="B250" i="6"/>
  <c r="K249" i="6"/>
  <c r="F249" i="6"/>
  <c r="E249" i="6"/>
  <c r="D249" i="6"/>
  <c r="C249" i="6"/>
  <c r="B249" i="6"/>
  <c r="K248" i="6"/>
  <c r="F248" i="6"/>
  <c r="E248" i="6"/>
  <c r="D248" i="6"/>
  <c r="C248" i="6"/>
  <c r="B248" i="6"/>
  <c r="K247" i="6"/>
  <c r="F247" i="6"/>
  <c r="E247" i="6"/>
  <c r="D247" i="6"/>
  <c r="C247" i="6"/>
  <c r="B247" i="6"/>
  <c r="K246" i="6"/>
  <c r="F246" i="6"/>
  <c r="E246" i="6"/>
  <c r="D246" i="6"/>
  <c r="C246" i="6"/>
  <c r="B246" i="6"/>
  <c r="K245" i="6"/>
  <c r="F245" i="6"/>
  <c r="E245" i="6"/>
  <c r="D245" i="6"/>
  <c r="C245" i="6"/>
  <c r="B245" i="6"/>
  <c r="K244" i="6"/>
  <c r="F244" i="6"/>
  <c r="E244" i="6"/>
  <c r="D244" i="6"/>
  <c r="C244" i="6"/>
  <c r="B244" i="6"/>
  <c r="K243" i="6"/>
  <c r="F243" i="6"/>
  <c r="E243" i="6"/>
  <c r="D243" i="6"/>
  <c r="C243" i="6"/>
  <c r="B243" i="6"/>
  <c r="K242" i="6"/>
  <c r="F242" i="6"/>
  <c r="E242" i="6"/>
  <c r="D242" i="6"/>
  <c r="C242" i="6"/>
  <c r="B242" i="6"/>
  <c r="K241" i="6"/>
  <c r="F241" i="6"/>
  <c r="E241" i="6"/>
  <c r="D241" i="6"/>
  <c r="C241" i="6"/>
  <c r="B241" i="6"/>
  <c r="K240" i="6"/>
  <c r="F240" i="6"/>
  <c r="E240" i="6"/>
  <c r="D240" i="6"/>
  <c r="C240" i="6"/>
  <c r="B240" i="6"/>
  <c r="K239" i="6"/>
  <c r="F239" i="6"/>
  <c r="E239" i="6"/>
  <c r="D239" i="6"/>
  <c r="C239" i="6"/>
  <c r="B239" i="6"/>
  <c r="K238" i="6"/>
  <c r="F238" i="6"/>
  <c r="E238" i="6"/>
  <c r="D238" i="6"/>
  <c r="C238" i="6"/>
  <c r="B238" i="6"/>
  <c r="K237" i="6"/>
  <c r="F237" i="6"/>
  <c r="E237" i="6"/>
  <c r="D237" i="6"/>
  <c r="C237" i="6"/>
  <c r="B237" i="6"/>
  <c r="K236" i="6"/>
  <c r="F236" i="6"/>
  <c r="E236" i="6"/>
  <c r="D236" i="6"/>
  <c r="C236" i="6"/>
  <c r="B236" i="6"/>
  <c r="K235" i="6"/>
  <c r="F235" i="6"/>
  <c r="E235" i="6"/>
  <c r="D235" i="6"/>
  <c r="C235" i="6"/>
  <c r="B235" i="6"/>
  <c r="K234" i="6"/>
  <c r="F234" i="6"/>
  <c r="E234" i="6"/>
  <c r="D234" i="6"/>
  <c r="C234" i="6"/>
  <c r="B234" i="6"/>
  <c r="K233" i="6"/>
  <c r="F233" i="6"/>
  <c r="E233" i="6"/>
  <c r="D233" i="6"/>
  <c r="C233" i="6"/>
  <c r="B233" i="6"/>
  <c r="K232" i="6"/>
  <c r="F232" i="6"/>
  <c r="E232" i="6"/>
  <c r="D232" i="6"/>
  <c r="C232" i="6"/>
  <c r="B232" i="6"/>
  <c r="K231" i="6"/>
  <c r="F231" i="6"/>
  <c r="E231" i="6"/>
  <c r="D231" i="6"/>
  <c r="C231" i="6"/>
  <c r="B231" i="6"/>
  <c r="K230" i="6"/>
  <c r="F230" i="6"/>
  <c r="E230" i="6"/>
  <c r="D230" i="6"/>
  <c r="C230" i="6"/>
  <c r="B230" i="6"/>
  <c r="K229" i="6"/>
  <c r="F229" i="6"/>
  <c r="E229" i="6"/>
  <c r="D229" i="6"/>
  <c r="C229" i="6"/>
  <c r="B229" i="6"/>
  <c r="K228" i="6"/>
  <c r="F228" i="6"/>
  <c r="E228" i="6"/>
  <c r="D228" i="6"/>
  <c r="C228" i="6"/>
  <c r="B228" i="6"/>
  <c r="K227" i="6"/>
  <c r="F227" i="6"/>
  <c r="E227" i="6"/>
  <c r="D227" i="6"/>
  <c r="C227" i="6"/>
  <c r="B227" i="6"/>
  <c r="K226" i="6"/>
  <c r="F226" i="6"/>
  <c r="E226" i="6"/>
  <c r="D226" i="6"/>
  <c r="C226" i="6"/>
  <c r="B226" i="6"/>
  <c r="K225" i="6"/>
  <c r="F225" i="6"/>
  <c r="E225" i="6"/>
  <c r="D225" i="6"/>
  <c r="C225" i="6"/>
  <c r="B225" i="6"/>
  <c r="K224" i="6"/>
  <c r="F224" i="6"/>
  <c r="E224" i="6"/>
  <c r="D224" i="6"/>
  <c r="C224" i="6"/>
  <c r="B224" i="6"/>
  <c r="K223" i="6"/>
  <c r="F223" i="6"/>
  <c r="E223" i="6"/>
  <c r="D223" i="6"/>
  <c r="C223" i="6"/>
  <c r="B223" i="6"/>
  <c r="K222" i="6"/>
  <c r="F222" i="6"/>
  <c r="E222" i="6"/>
  <c r="D222" i="6"/>
  <c r="C222" i="6"/>
  <c r="B222" i="6"/>
  <c r="K221" i="6"/>
  <c r="F221" i="6"/>
  <c r="E221" i="6"/>
  <c r="D221" i="6"/>
  <c r="C221" i="6"/>
  <c r="B221" i="6"/>
  <c r="K220" i="6"/>
  <c r="F220" i="6"/>
  <c r="E220" i="6"/>
  <c r="D220" i="6"/>
  <c r="C220" i="6"/>
  <c r="B220" i="6"/>
  <c r="K219" i="6"/>
  <c r="F219" i="6"/>
  <c r="E219" i="6"/>
  <c r="D219" i="6"/>
  <c r="C219" i="6"/>
  <c r="B219" i="6"/>
  <c r="K218" i="6"/>
  <c r="F218" i="6"/>
  <c r="E218" i="6"/>
  <c r="D218" i="6"/>
  <c r="C218" i="6"/>
  <c r="B218" i="6"/>
  <c r="K217" i="6"/>
  <c r="F217" i="6"/>
  <c r="E217" i="6"/>
  <c r="D217" i="6"/>
  <c r="C217" i="6"/>
  <c r="B217" i="6"/>
  <c r="K216" i="6"/>
  <c r="F216" i="6"/>
  <c r="E216" i="6"/>
  <c r="D216" i="6"/>
  <c r="C216" i="6"/>
  <c r="B216" i="6"/>
  <c r="K215" i="6"/>
  <c r="F215" i="6"/>
  <c r="E215" i="6"/>
  <c r="D215" i="6"/>
  <c r="C215" i="6"/>
  <c r="B215" i="6"/>
  <c r="K214" i="6"/>
  <c r="F214" i="6"/>
  <c r="E214" i="6"/>
  <c r="D214" i="6"/>
  <c r="C214" i="6"/>
  <c r="B214" i="6"/>
  <c r="K213" i="6"/>
  <c r="F213" i="6"/>
  <c r="E213" i="6"/>
  <c r="D213" i="6"/>
  <c r="C213" i="6"/>
  <c r="B213" i="6"/>
  <c r="K212" i="6"/>
  <c r="F212" i="6"/>
  <c r="E212" i="6"/>
  <c r="D212" i="6"/>
  <c r="C212" i="6"/>
  <c r="B212" i="6"/>
  <c r="K211" i="6"/>
  <c r="F211" i="6"/>
  <c r="E211" i="6"/>
  <c r="D211" i="6"/>
  <c r="C211" i="6"/>
  <c r="B211" i="6"/>
  <c r="K210" i="6"/>
  <c r="F210" i="6"/>
  <c r="E210" i="6"/>
  <c r="D210" i="6"/>
  <c r="C210" i="6"/>
  <c r="B210" i="6"/>
  <c r="K209" i="6"/>
  <c r="F209" i="6"/>
  <c r="E209" i="6"/>
  <c r="D209" i="6"/>
  <c r="C209" i="6"/>
  <c r="B209" i="6"/>
  <c r="K208" i="6"/>
  <c r="F208" i="6"/>
  <c r="E208" i="6"/>
  <c r="D208" i="6"/>
  <c r="C208" i="6"/>
  <c r="B208" i="6"/>
  <c r="K207" i="6"/>
  <c r="F207" i="6"/>
  <c r="E207" i="6"/>
  <c r="D207" i="6"/>
  <c r="C207" i="6"/>
  <c r="B207" i="6"/>
  <c r="K206" i="6"/>
  <c r="F206" i="6"/>
  <c r="E206" i="6"/>
  <c r="D206" i="6"/>
  <c r="C206" i="6"/>
  <c r="B206" i="6"/>
  <c r="K205" i="6"/>
  <c r="F205" i="6"/>
  <c r="E205" i="6"/>
  <c r="D205" i="6"/>
  <c r="C205" i="6"/>
  <c r="B205" i="6"/>
  <c r="K204" i="6"/>
  <c r="F204" i="6"/>
  <c r="E204" i="6"/>
  <c r="D204" i="6"/>
  <c r="C204" i="6"/>
  <c r="B204" i="6"/>
  <c r="K203" i="6"/>
  <c r="F203" i="6"/>
  <c r="E203" i="6"/>
  <c r="D203" i="6"/>
  <c r="C203" i="6"/>
  <c r="B203" i="6"/>
  <c r="K202" i="6"/>
  <c r="F202" i="6"/>
  <c r="E202" i="6"/>
  <c r="D202" i="6"/>
  <c r="C202" i="6"/>
  <c r="B202" i="6"/>
  <c r="K201" i="6"/>
  <c r="F201" i="6"/>
  <c r="E201" i="6"/>
  <c r="D201" i="6"/>
  <c r="C201" i="6"/>
  <c r="B201" i="6"/>
  <c r="K200" i="6"/>
  <c r="F200" i="6"/>
  <c r="E200" i="6"/>
  <c r="D200" i="6"/>
  <c r="C200" i="6"/>
  <c r="B200" i="6"/>
  <c r="K199" i="6"/>
  <c r="F199" i="6"/>
  <c r="E199" i="6"/>
  <c r="D199" i="6"/>
  <c r="C199" i="6"/>
  <c r="B199" i="6"/>
  <c r="K198" i="6"/>
  <c r="F198" i="6"/>
  <c r="E198" i="6"/>
  <c r="D198" i="6"/>
  <c r="C198" i="6"/>
  <c r="B198" i="6"/>
  <c r="K197" i="6"/>
  <c r="F197" i="6"/>
  <c r="E197" i="6"/>
  <c r="D197" i="6"/>
  <c r="C197" i="6"/>
  <c r="B197" i="6"/>
  <c r="K196" i="6"/>
  <c r="F196" i="6"/>
  <c r="E196" i="6"/>
  <c r="D196" i="6"/>
  <c r="C196" i="6"/>
  <c r="B196" i="6"/>
  <c r="K195" i="6"/>
  <c r="F195" i="6"/>
  <c r="E195" i="6"/>
  <c r="D195" i="6"/>
  <c r="C195" i="6"/>
  <c r="B195" i="6"/>
  <c r="K194" i="6"/>
  <c r="F194" i="6"/>
  <c r="E194" i="6"/>
  <c r="D194" i="6"/>
  <c r="C194" i="6"/>
  <c r="B194" i="6"/>
  <c r="K193" i="6"/>
  <c r="F193" i="6"/>
  <c r="E193" i="6"/>
  <c r="D193" i="6"/>
  <c r="C193" i="6"/>
  <c r="B193" i="6"/>
  <c r="K192" i="6"/>
  <c r="F192" i="6"/>
  <c r="E192" i="6"/>
  <c r="D192" i="6"/>
  <c r="C192" i="6"/>
  <c r="B192" i="6"/>
  <c r="K191" i="6"/>
  <c r="F191" i="6"/>
  <c r="E191" i="6"/>
  <c r="D191" i="6"/>
  <c r="C191" i="6"/>
  <c r="B191" i="6"/>
  <c r="K190" i="6"/>
  <c r="F190" i="6"/>
  <c r="E190" i="6"/>
  <c r="D190" i="6"/>
  <c r="C190" i="6"/>
  <c r="B190" i="6"/>
  <c r="K189" i="6"/>
  <c r="F189" i="6"/>
  <c r="E189" i="6"/>
  <c r="D189" i="6"/>
  <c r="C189" i="6"/>
  <c r="B189" i="6"/>
  <c r="K188" i="6"/>
  <c r="F188" i="6"/>
  <c r="E188" i="6"/>
  <c r="D188" i="6"/>
  <c r="C188" i="6"/>
  <c r="B188" i="6"/>
  <c r="K187" i="6"/>
  <c r="F187" i="6"/>
  <c r="E187" i="6"/>
  <c r="D187" i="6"/>
  <c r="C187" i="6"/>
  <c r="B187" i="6"/>
  <c r="K186" i="6"/>
  <c r="F186" i="6"/>
  <c r="E186" i="6"/>
  <c r="D186" i="6"/>
  <c r="C186" i="6"/>
  <c r="B186" i="6"/>
  <c r="K185" i="6"/>
  <c r="F185" i="6"/>
  <c r="E185" i="6"/>
  <c r="D185" i="6"/>
  <c r="C185" i="6"/>
  <c r="B185" i="6"/>
  <c r="K184" i="6"/>
  <c r="F184" i="6"/>
  <c r="E184" i="6"/>
  <c r="D184" i="6"/>
  <c r="C184" i="6"/>
  <c r="B184" i="6"/>
  <c r="K183" i="6"/>
  <c r="F183" i="6"/>
  <c r="E183" i="6"/>
  <c r="D183" i="6"/>
  <c r="C183" i="6"/>
  <c r="B183" i="6"/>
  <c r="K182" i="6"/>
  <c r="F182" i="6"/>
  <c r="E182" i="6"/>
  <c r="D182" i="6"/>
  <c r="C182" i="6"/>
  <c r="B182" i="6"/>
  <c r="K181" i="6"/>
  <c r="F181" i="6"/>
  <c r="E181" i="6"/>
  <c r="D181" i="6"/>
  <c r="C181" i="6"/>
  <c r="B181" i="6"/>
  <c r="K180" i="6"/>
  <c r="F180" i="6"/>
  <c r="E180" i="6"/>
  <c r="D180" i="6"/>
  <c r="C180" i="6"/>
  <c r="B180" i="6"/>
  <c r="K179" i="6"/>
  <c r="F179" i="6"/>
  <c r="E179" i="6"/>
  <c r="D179" i="6"/>
  <c r="C179" i="6"/>
  <c r="B179" i="6"/>
  <c r="K178" i="6"/>
  <c r="F178" i="6"/>
  <c r="E178" i="6"/>
  <c r="D178" i="6"/>
  <c r="C178" i="6"/>
  <c r="B178" i="6"/>
  <c r="K177" i="6"/>
  <c r="F177" i="6"/>
  <c r="E177" i="6"/>
  <c r="D177" i="6"/>
  <c r="C177" i="6"/>
  <c r="B177" i="6"/>
  <c r="K176" i="6"/>
  <c r="F176" i="6"/>
  <c r="E176" i="6"/>
  <c r="D176" i="6"/>
  <c r="C176" i="6"/>
  <c r="B176" i="6"/>
  <c r="K175" i="6"/>
  <c r="F175" i="6"/>
  <c r="E175" i="6"/>
  <c r="D175" i="6"/>
  <c r="C175" i="6"/>
  <c r="B175" i="6"/>
  <c r="K174" i="6"/>
  <c r="F174" i="6"/>
  <c r="E174" i="6"/>
  <c r="D174" i="6"/>
  <c r="C174" i="6"/>
  <c r="B174" i="6"/>
  <c r="K173" i="6"/>
  <c r="F173" i="6"/>
  <c r="E173" i="6"/>
  <c r="D173" i="6"/>
  <c r="C173" i="6"/>
  <c r="B173" i="6"/>
  <c r="K172" i="6"/>
  <c r="F172" i="6"/>
  <c r="E172" i="6"/>
  <c r="D172" i="6"/>
  <c r="C172" i="6"/>
  <c r="B172" i="6"/>
  <c r="K171" i="6"/>
  <c r="F171" i="6"/>
  <c r="E171" i="6"/>
  <c r="D171" i="6"/>
  <c r="C171" i="6"/>
  <c r="B171" i="6"/>
  <c r="K170" i="6"/>
  <c r="F170" i="6"/>
  <c r="E170" i="6"/>
  <c r="D170" i="6"/>
  <c r="C170" i="6"/>
  <c r="B170" i="6"/>
  <c r="K169" i="6"/>
  <c r="F169" i="6"/>
  <c r="E169" i="6"/>
  <c r="D169" i="6"/>
  <c r="C169" i="6"/>
  <c r="B169" i="6"/>
  <c r="K168" i="6"/>
  <c r="F168" i="6"/>
  <c r="E168" i="6"/>
  <c r="D168" i="6"/>
  <c r="C168" i="6"/>
  <c r="B168" i="6"/>
  <c r="K167" i="6"/>
  <c r="F167" i="6"/>
  <c r="E167" i="6"/>
  <c r="D167" i="6"/>
  <c r="C167" i="6"/>
  <c r="B167" i="6"/>
  <c r="K166" i="6"/>
  <c r="F166" i="6"/>
  <c r="E166" i="6"/>
  <c r="D166" i="6"/>
  <c r="C166" i="6"/>
  <c r="B166" i="6"/>
  <c r="K165" i="6"/>
  <c r="F165" i="6"/>
  <c r="E165" i="6"/>
  <c r="D165" i="6"/>
  <c r="C165" i="6"/>
  <c r="B165" i="6"/>
  <c r="K164" i="6"/>
  <c r="F164" i="6"/>
  <c r="E164" i="6"/>
  <c r="D164" i="6"/>
  <c r="C164" i="6"/>
  <c r="B164" i="6"/>
  <c r="K163" i="6"/>
  <c r="F163" i="6"/>
  <c r="E163" i="6"/>
  <c r="D163" i="6"/>
  <c r="C163" i="6"/>
  <c r="B163" i="6"/>
  <c r="K162" i="6"/>
  <c r="F162" i="6"/>
  <c r="E162" i="6"/>
  <c r="D162" i="6"/>
  <c r="C162" i="6"/>
  <c r="B162" i="6"/>
  <c r="K161" i="6"/>
  <c r="F161" i="6"/>
  <c r="E161" i="6"/>
  <c r="D161" i="6"/>
  <c r="C161" i="6"/>
  <c r="B161" i="6"/>
  <c r="K160" i="6"/>
  <c r="F160" i="6"/>
  <c r="E160" i="6"/>
  <c r="D160" i="6"/>
  <c r="C160" i="6"/>
  <c r="B160" i="6"/>
  <c r="K159" i="6"/>
  <c r="F159" i="6"/>
  <c r="E159" i="6"/>
  <c r="D159" i="6"/>
  <c r="C159" i="6"/>
  <c r="B159" i="6"/>
  <c r="K158" i="6"/>
  <c r="F158" i="6"/>
  <c r="E158" i="6"/>
  <c r="D158" i="6"/>
  <c r="C158" i="6"/>
  <c r="B158" i="6"/>
  <c r="K157" i="6"/>
  <c r="F157" i="6"/>
  <c r="E157" i="6"/>
  <c r="D157" i="6"/>
  <c r="C157" i="6"/>
  <c r="B157" i="6"/>
  <c r="K156" i="6"/>
  <c r="F156" i="6"/>
  <c r="E156" i="6"/>
  <c r="D156" i="6"/>
  <c r="C156" i="6"/>
  <c r="B156" i="6"/>
  <c r="K155" i="6"/>
  <c r="F155" i="6"/>
  <c r="E155" i="6"/>
  <c r="D155" i="6"/>
  <c r="C155" i="6"/>
  <c r="B155" i="6"/>
  <c r="K154" i="6"/>
  <c r="F154" i="6"/>
  <c r="E154" i="6"/>
  <c r="D154" i="6"/>
  <c r="C154" i="6"/>
  <c r="B154" i="6"/>
  <c r="K153" i="6"/>
  <c r="F153" i="6"/>
  <c r="E153" i="6"/>
  <c r="D153" i="6"/>
  <c r="C153" i="6"/>
  <c r="B153" i="6"/>
  <c r="K152" i="6"/>
  <c r="F152" i="6"/>
  <c r="E152" i="6"/>
  <c r="D152" i="6"/>
  <c r="C152" i="6"/>
  <c r="B152" i="6"/>
  <c r="K151" i="6"/>
  <c r="F151" i="6"/>
  <c r="E151" i="6"/>
  <c r="D151" i="6"/>
  <c r="C151" i="6"/>
  <c r="B151" i="6"/>
  <c r="K150" i="6"/>
  <c r="F150" i="6"/>
  <c r="E150" i="6"/>
  <c r="D150" i="6"/>
  <c r="C150" i="6"/>
  <c r="B150" i="6"/>
  <c r="K149" i="6"/>
  <c r="F149" i="6"/>
  <c r="E149" i="6"/>
  <c r="D149" i="6"/>
  <c r="C149" i="6"/>
  <c r="B149" i="6"/>
  <c r="K148" i="6"/>
  <c r="F148" i="6"/>
  <c r="E148" i="6"/>
  <c r="D148" i="6"/>
  <c r="C148" i="6"/>
  <c r="B148" i="6"/>
  <c r="K147" i="6"/>
  <c r="F147" i="6"/>
  <c r="E147" i="6"/>
  <c r="D147" i="6"/>
  <c r="C147" i="6"/>
  <c r="B147" i="6"/>
  <c r="K146" i="6"/>
  <c r="F146" i="6"/>
  <c r="E146" i="6"/>
  <c r="D146" i="6"/>
  <c r="C146" i="6"/>
  <c r="B146" i="6"/>
  <c r="K145" i="6"/>
  <c r="F145" i="6"/>
  <c r="E145" i="6"/>
  <c r="D145" i="6"/>
  <c r="C145" i="6"/>
  <c r="B145" i="6"/>
  <c r="K144" i="6"/>
  <c r="F144" i="6"/>
  <c r="E144" i="6"/>
  <c r="D144" i="6"/>
  <c r="C144" i="6"/>
  <c r="B144" i="6"/>
  <c r="K143" i="6"/>
  <c r="F143" i="6"/>
  <c r="E143" i="6"/>
  <c r="D143" i="6"/>
  <c r="C143" i="6"/>
  <c r="B143" i="6"/>
  <c r="K142" i="6"/>
  <c r="F142" i="6"/>
  <c r="E142" i="6"/>
  <c r="D142" i="6"/>
  <c r="C142" i="6"/>
  <c r="B142" i="6"/>
  <c r="K141" i="6"/>
  <c r="F141" i="6"/>
  <c r="E141" i="6"/>
  <c r="D141" i="6"/>
  <c r="C141" i="6"/>
  <c r="B141" i="6"/>
  <c r="K140" i="6"/>
  <c r="F140" i="6"/>
  <c r="E140" i="6"/>
  <c r="D140" i="6"/>
  <c r="C140" i="6"/>
  <c r="B140" i="6"/>
  <c r="K139" i="6"/>
  <c r="F139" i="6"/>
  <c r="E139" i="6"/>
  <c r="D139" i="6"/>
  <c r="C139" i="6"/>
  <c r="B139" i="6"/>
  <c r="K138" i="6"/>
  <c r="F138" i="6"/>
  <c r="E138" i="6"/>
  <c r="D138" i="6"/>
  <c r="C138" i="6"/>
  <c r="B138" i="6"/>
  <c r="K137" i="6"/>
  <c r="F137" i="6"/>
  <c r="E137" i="6"/>
  <c r="D137" i="6"/>
  <c r="C137" i="6"/>
  <c r="B137" i="6"/>
  <c r="K136" i="6"/>
  <c r="F136" i="6"/>
  <c r="E136" i="6"/>
  <c r="D136" i="6"/>
  <c r="C136" i="6"/>
  <c r="B136" i="6"/>
  <c r="K135" i="6"/>
  <c r="F135" i="6"/>
  <c r="E135" i="6"/>
  <c r="D135" i="6"/>
  <c r="C135" i="6"/>
  <c r="B135" i="6"/>
  <c r="K134" i="6"/>
  <c r="F134" i="6"/>
  <c r="E134" i="6"/>
  <c r="D134" i="6"/>
  <c r="C134" i="6"/>
  <c r="B134" i="6"/>
  <c r="K133" i="6"/>
  <c r="F133" i="6"/>
  <c r="E133" i="6"/>
  <c r="D133" i="6"/>
  <c r="C133" i="6"/>
  <c r="B133" i="6"/>
  <c r="K132" i="6"/>
  <c r="F132" i="6"/>
  <c r="E132" i="6"/>
  <c r="D132" i="6"/>
  <c r="C132" i="6"/>
  <c r="B132" i="6"/>
  <c r="K131" i="6"/>
  <c r="F131" i="6"/>
  <c r="E131" i="6"/>
  <c r="D131" i="6"/>
  <c r="C131" i="6"/>
  <c r="B131" i="6"/>
  <c r="K130" i="6"/>
  <c r="F130" i="6"/>
  <c r="E130" i="6"/>
  <c r="D130" i="6"/>
  <c r="C130" i="6"/>
  <c r="B130" i="6"/>
  <c r="K129" i="6"/>
  <c r="F129" i="6"/>
  <c r="E129" i="6"/>
  <c r="D129" i="6"/>
  <c r="C129" i="6"/>
  <c r="B129" i="6"/>
  <c r="K128" i="6"/>
  <c r="F128" i="6"/>
  <c r="E128" i="6"/>
  <c r="D128" i="6"/>
  <c r="C128" i="6"/>
  <c r="B128" i="6"/>
  <c r="K127" i="6"/>
  <c r="F127" i="6"/>
  <c r="E127" i="6"/>
  <c r="D127" i="6"/>
  <c r="C127" i="6"/>
  <c r="B127" i="6"/>
  <c r="K126" i="6"/>
  <c r="F126" i="6"/>
  <c r="E126" i="6"/>
  <c r="D126" i="6"/>
  <c r="C126" i="6"/>
  <c r="B126" i="6"/>
  <c r="K125" i="6"/>
  <c r="F125" i="6"/>
  <c r="E125" i="6"/>
  <c r="D125" i="6"/>
  <c r="C125" i="6"/>
  <c r="B125" i="6"/>
  <c r="K124" i="6"/>
  <c r="F124" i="6"/>
  <c r="E124" i="6"/>
  <c r="D124" i="6"/>
  <c r="C124" i="6"/>
  <c r="B124" i="6"/>
  <c r="K123" i="6"/>
  <c r="F123" i="6"/>
  <c r="E123" i="6"/>
  <c r="D123" i="6"/>
  <c r="C123" i="6"/>
  <c r="B123" i="6"/>
  <c r="K122" i="6"/>
  <c r="F122" i="6"/>
  <c r="E122" i="6"/>
  <c r="D122" i="6"/>
  <c r="C122" i="6"/>
  <c r="B122" i="6"/>
  <c r="K121" i="6"/>
  <c r="F121" i="6"/>
  <c r="E121" i="6"/>
  <c r="D121" i="6"/>
  <c r="C121" i="6"/>
  <c r="B121" i="6"/>
  <c r="K120" i="6"/>
  <c r="F120" i="6"/>
  <c r="E120" i="6"/>
  <c r="D120" i="6"/>
  <c r="C120" i="6"/>
  <c r="B120" i="6"/>
  <c r="K119" i="6"/>
  <c r="F119" i="6"/>
  <c r="E119" i="6"/>
  <c r="D119" i="6"/>
  <c r="C119" i="6"/>
  <c r="B119" i="6"/>
  <c r="K118" i="6"/>
  <c r="F118" i="6"/>
  <c r="E118" i="6"/>
  <c r="D118" i="6"/>
  <c r="C118" i="6"/>
  <c r="B118" i="6"/>
  <c r="K117" i="6"/>
  <c r="F117" i="6"/>
  <c r="E117" i="6"/>
  <c r="D117" i="6"/>
  <c r="C117" i="6"/>
  <c r="B117" i="6"/>
  <c r="K116" i="6"/>
  <c r="F116" i="6"/>
  <c r="E116" i="6"/>
  <c r="D116" i="6"/>
  <c r="C116" i="6"/>
  <c r="B116" i="6"/>
  <c r="K115" i="6"/>
  <c r="F115" i="6"/>
  <c r="E115" i="6"/>
  <c r="D115" i="6"/>
  <c r="C115" i="6"/>
  <c r="B115" i="6"/>
  <c r="K114" i="6"/>
  <c r="F114" i="6"/>
  <c r="E114" i="6"/>
  <c r="D114" i="6"/>
  <c r="C114" i="6"/>
  <c r="B114" i="6"/>
  <c r="K113" i="6"/>
  <c r="F113" i="6"/>
  <c r="E113" i="6"/>
  <c r="D113" i="6"/>
  <c r="C113" i="6"/>
  <c r="B113" i="6"/>
  <c r="K112" i="6"/>
  <c r="F112" i="6"/>
  <c r="E112" i="6"/>
  <c r="D112" i="6"/>
  <c r="C112" i="6"/>
  <c r="B112" i="6"/>
  <c r="K111" i="6"/>
  <c r="F111" i="6"/>
  <c r="E111" i="6"/>
  <c r="D111" i="6"/>
  <c r="C111" i="6"/>
  <c r="B111" i="6"/>
  <c r="K110" i="6"/>
  <c r="F110" i="6"/>
  <c r="E110" i="6"/>
  <c r="D110" i="6"/>
  <c r="C110" i="6"/>
  <c r="B110" i="6"/>
  <c r="K109" i="6"/>
  <c r="F109" i="6"/>
  <c r="E109" i="6"/>
  <c r="D109" i="6"/>
  <c r="C109" i="6"/>
  <c r="B109" i="6"/>
  <c r="K108" i="6"/>
  <c r="F108" i="6"/>
  <c r="E108" i="6"/>
  <c r="D108" i="6"/>
  <c r="C108" i="6"/>
  <c r="B108" i="6"/>
  <c r="K107" i="6"/>
  <c r="F107" i="6"/>
  <c r="E107" i="6"/>
  <c r="D107" i="6"/>
  <c r="C107" i="6"/>
  <c r="B107" i="6"/>
  <c r="K106" i="6"/>
  <c r="F106" i="6"/>
  <c r="E106" i="6"/>
  <c r="D106" i="6"/>
  <c r="C106" i="6"/>
  <c r="B106" i="6"/>
  <c r="K105" i="6"/>
  <c r="F105" i="6"/>
  <c r="E105" i="6"/>
  <c r="D105" i="6"/>
  <c r="C105" i="6"/>
  <c r="B105" i="6"/>
  <c r="K104" i="6"/>
  <c r="F104" i="6"/>
  <c r="E104" i="6"/>
  <c r="D104" i="6"/>
  <c r="C104" i="6"/>
  <c r="B104" i="6"/>
  <c r="K103" i="6"/>
  <c r="F103" i="6"/>
  <c r="E103" i="6"/>
  <c r="D103" i="6"/>
  <c r="C103" i="6"/>
  <c r="B103" i="6"/>
  <c r="K102" i="6"/>
  <c r="F102" i="6"/>
  <c r="E102" i="6"/>
  <c r="D102" i="6"/>
  <c r="C102" i="6"/>
  <c r="B102" i="6"/>
  <c r="K101" i="6"/>
  <c r="F101" i="6"/>
  <c r="E101" i="6"/>
  <c r="D101" i="6"/>
  <c r="C101" i="6"/>
  <c r="B101" i="6"/>
  <c r="K100" i="6"/>
  <c r="F100" i="6"/>
  <c r="E100" i="6"/>
  <c r="D100" i="6"/>
  <c r="C100" i="6"/>
  <c r="B100" i="6"/>
  <c r="K99" i="6"/>
  <c r="F99" i="6"/>
  <c r="E99" i="6"/>
  <c r="D99" i="6"/>
  <c r="C99" i="6"/>
  <c r="B99" i="6"/>
  <c r="K98" i="6"/>
  <c r="F98" i="6"/>
  <c r="E98" i="6"/>
  <c r="D98" i="6"/>
  <c r="C98" i="6"/>
  <c r="B98" i="6"/>
  <c r="K97" i="6"/>
  <c r="F97" i="6"/>
  <c r="E97" i="6"/>
  <c r="D97" i="6"/>
  <c r="C97" i="6"/>
  <c r="B97" i="6"/>
  <c r="K96" i="6"/>
  <c r="F96" i="6"/>
  <c r="E96" i="6"/>
  <c r="D96" i="6"/>
  <c r="C96" i="6"/>
  <c r="B96" i="6"/>
  <c r="K95" i="6"/>
  <c r="F95" i="6"/>
  <c r="E95" i="6"/>
  <c r="D95" i="6"/>
  <c r="C95" i="6"/>
  <c r="B95" i="6"/>
  <c r="K94" i="6"/>
  <c r="F94" i="6"/>
  <c r="E94" i="6"/>
  <c r="D94" i="6"/>
  <c r="C94" i="6"/>
  <c r="B94" i="6"/>
  <c r="K93" i="6"/>
  <c r="F93" i="6"/>
  <c r="E93" i="6"/>
  <c r="D93" i="6"/>
  <c r="C93" i="6"/>
  <c r="B93" i="6"/>
  <c r="K92" i="6"/>
  <c r="F92" i="6"/>
  <c r="E92" i="6"/>
  <c r="D92" i="6"/>
  <c r="C92" i="6"/>
  <c r="B92" i="6"/>
  <c r="K91" i="6"/>
  <c r="F91" i="6"/>
  <c r="E91" i="6"/>
  <c r="D91" i="6"/>
  <c r="C91" i="6"/>
  <c r="B91" i="6"/>
  <c r="K90" i="6"/>
  <c r="F90" i="6"/>
  <c r="E90" i="6"/>
  <c r="D90" i="6"/>
  <c r="C90" i="6"/>
  <c r="B90" i="6"/>
  <c r="K89" i="6"/>
  <c r="F89" i="6"/>
  <c r="E89" i="6"/>
  <c r="D89" i="6"/>
  <c r="C89" i="6"/>
  <c r="B89" i="6"/>
  <c r="K88" i="6"/>
  <c r="F88" i="6"/>
  <c r="E88" i="6"/>
  <c r="D88" i="6"/>
  <c r="C88" i="6"/>
  <c r="B88" i="6"/>
  <c r="K87" i="6"/>
  <c r="F87" i="6"/>
  <c r="E87" i="6"/>
  <c r="D87" i="6"/>
  <c r="C87" i="6"/>
  <c r="B87" i="6"/>
  <c r="K86" i="6"/>
  <c r="F86" i="6"/>
  <c r="E86" i="6"/>
  <c r="D86" i="6"/>
  <c r="C86" i="6"/>
  <c r="B86" i="6"/>
  <c r="K85" i="6"/>
  <c r="F85" i="6"/>
  <c r="E85" i="6"/>
  <c r="D85" i="6"/>
  <c r="C85" i="6"/>
  <c r="B85" i="6"/>
  <c r="K84" i="6"/>
  <c r="F84" i="6"/>
  <c r="E84" i="6"/>
  <c r="D84" i="6"/>
  <c r="C84" i="6"/>
  <c r="B84" i="6"/>
  <c r="K83" i="6"/>
  <c r="F83" i="6"/>
  <c r="E83" i="6"/>
  <c r="D83" i="6"/>
  <c r="C83" i="6"/>
  <c r="B83" i="6"/>
  <c r="K82" i="6"/>
  <c r="F82" i="6"/>
  <c r="E82" i="6"/>
  <c r="D82" i="6"/>
  <c r="C82" i="6"/>
  <c r="B82" i="6"/>
  <c r="K81" i="6"/>
  <c r="F81" i="6"/>
  <c r="E81" i="6"/>
  <c r="D81" i="6"/>
  <c r="C81" i="6"/>
  <c r="B81" i="6"/>
  <c r="K80" i="6"/>
  <c r="F80" i="6"/>
  <c r="E80" i="6"/>
  <c r="D80" i="6"/>
  <c r="C80" i="6"/>
  <c r="B80" i="6"/>
  <c r="K79" i="6"/>
  <c r="F79" i="6"/>
  <c r="E79" i="6"/>
  <c r="D79" i="6"/>
  <c r="C79" i="6"/>
  <c r="B79" i="6"/>
  <c r="K78" i="6"/>
  <c r="F78" i="6"/>
  <c r="E78" i="6"/>
  <c r="D78" i="6"/>
  <c r="C78" i="6"/>
  <c r="B78" i="6"/>
  <c r="K77" i="6"/>
  <c r="F77" i="6"/>
  <c r="E77" i="6"/>
  <c r="D77" i="6"/>
  <c r="C77" i="6"/>
  <c r="B77" i="6"/>
  <c r="K76" i="6"/>
  <c r="F76" i="6"/>
  <c r="E76" i="6"/>
  <c r="D76" i="6"/>
  <c r="C76" i="6"/>
  <c r="B76" i="6"/>
  <c r="K75" i="6"/>
  <c r="F75" i="6"/>
  <c r="E75" i="6"/>
  <c r="D75" i="6"/>
  <c r="C75" i="6"/>
  <c r="B75" i="6"/>
  <c r="K74" i="6"/>
  <c r="F74" i="6"/>
  <c r="E74" i="6"/>
  <c r="D74" i="6"/>
  <c r="C74" i="6"/>
  <c r="B74" i="6"/>
  <c r="K73" i="6"/>
  <c r="F73" i="6"/>
  <c r="E73" i="6"/>
  <c r="D73" i="6"/>
  <c r="C73" i="6"/>
  <c r="B73" i="6"/>
  <c r="K72" i="6"/>
  <c r="F72" i="6"/>
  <c r="E72" i="6"/>
  <c r="D72" i="6"/>
  <c r="C72" i="6"/>
  <c r="B72" i="6"/>
  <c r="K71" i="6"/>
  <c r="F71" i="6"/>
  <c r="E71" i="6"/>
  <c r="D71" i="6"/>
  <c r="C71" i="6"/>
  <c r="B71" i="6"/>
  <c r="K70" i="6"/>
  <c r="F70" i="6"/>
  <c r="E70" i="6"/>
  <c r="D70" i="6"/>
  <c r="C70" i="6"/>
  <c r="B70" i="6"/>
  <c r="K69" i="6"/>
  <c r="F69" i="6"/>
  <c r="E69" i="6"/>
  <c r="D69" i="6"/>
  <c r="C69" i="6"/>
  <c r="B69" i="6"/>
  <c r="K68" i="6"/>
  <c r="F68" i="6"/>
  <c r="E68" i="6"/>
  <c r="D68" i="6"/>
  <c r="C68" i="6"/>
  <c r="B68" i="6"/>
  <c r="K67" i="6"/>
  <c r="F67" i="6"/>
  <c r="E67" i="6"/>
  <c r="D67" i="6"/>
  <c r="C67" i="6"/>
  <c r="B67" i="6"/>
  <c r="K66" i="6"/>
  <c r="F66" i="6"/>
  <c r="E66" i="6"/>
  <c r="D66" i="6"/>
  <c r="C66" i="6"/>
  <c r="B66" i="6"/>
  <c r="K65" i="6"/>
  <c r="F65" i="6"/>
  <c r="E65" i="6"/>
  <c r="D65" i="6"/>
  <c r="C65" i="6"/>
  <c r="B65" i="6"/>
  <c r="K64" i="6"/>
  <c r="F64" i="6"/>
  <c r="E64" i="6"/>
  <c r="D64" i="6"/>
  <c r="C64" i="6"/>
  <c r="B64" i="6"/>
  <c r="K63" i="6"/>
  <c r="F63" i="6"/>
  <c r="E63" i="6"/>
  <c r="D63" i="6"/>
  <c r="C63" i="6"/>
  <c r="B63" i="6"/>
  <c r="K62" i="6"/>
  <c r="F62" i="6"/>
  <c r="E62" i="6"/>
  <c r="D62" i="6"/>
  <c r="C62" i="6"/>
  <c r="B62" i="6"/>
  <c r="K61" i="6"/>
  <c r="F61" i="6"/>
  <c r="E61" i="6"/>
  <c r="D61" i="6"/>
  <c r="C61" i="6"/>
  <c r="B61" i="6"/>
  <c r="K60" i="6"/>
  <c r="F60" i="6"/>
  <c r="E60" i="6"/>
  <c r="D60" i="6"/>
  <c r="C60" i="6"/>
  <c r="B60" i="6"/>
  <c r="K59" i="6"/>
  <c r="F59" i="6"/>
  <c r="E59" i="6"/>
  <c r="D59" i="6"/>
  <c r="C59" i="6"/>
  <c r="B59" i="6"/>
  <c r="K58" i="6"/>
  <c r="F58" i="6"/>
  <c r="E58" i="6"/>
  <c r="D58" i="6"/>
  <c r="C58" i="6"/>
  <c r="B58" i="6"/>
  <c r="K57" i="6"/>
  <c r="F57" i="6"/>
  <c r="E57" i="6"/>
  <c r="D57" i="6"/>
  <c r="C57" i="6"/>
  <c r="B57" i="6"/>
  <c r="K56" i="6"/>
  <c r="F56" i="6"/>
  <c r="E56" i="6"/>
  <c r="D56" i="6"/>
  <c r="C56" i="6"/>
  <c r="B56" i="6"/>
  <c r="K55" i="6"/>
  <c r="F55" i="6"/>
  <c r="E55" i="6"/>
  <c r="D55" i="6"/>
  <c r="C55" i="6"/>
  <c r="B55" i="6"/>
  <c r="K54" i="6"/>
  <c r="F54" i="6"/>
  <c r="E54" i="6"/>
  <c r="D54" i="6"/>
  <c r="C54" i="6"/>
  <c r="B54" i="6"/>
  <c r="K53" i="6"/>
  <c r="F53" i="6"/>
  <c r="E53" i="6"/>
  <c r="D53" i="6"/>
  <c r="C53" i="6"/>
  <c r="B53" i="6"/>
  <c r="K52" i="6"/>
  <c r="F52" i="6"/>
  <c r="E52" i="6"/>
  <c r="D52" i="6"/>
  <c r="C52" i="6"/>
  <c r="B52" i="6"/>
  <c r="K51" i="6"/>
  <c r="F51" i="6"/>
  <c r="E51" i="6"/>
  <c r="D51" i="6"/>
  <c r="C51" i="6"/>
  <c r="B51" i="6"/>
  <c r="K50" i="6"/>
  <c r="F50" i="6"/>
  <c r="E50" i="6"/>
  <c r="D50" i="6"/>
  <c r="C50" i="6"/>
  <c r="B50" i="6"/>
  <c r="K49" i="6"/>
  <c r="F49" i="6"/>
  <c r="E49" i="6"/>
  <c r="D49" i="6"/>
  <c r="C49" i="6"/>
  <c r="B49" i="6"/>
  <c r="K48" i="6"/>
  <c r="F48" i="6"/>
  <c r="E48" i="6"/>
  <c r="D48" i="6"/>
  <c r="C48" i="6"/>
  <c r="B48" i="6"/>
  <c r="K47" i="6"/>
  <c r="F47" i="6"/>
  <c r="E47" i="6"/>
  <c r="D47" i="6"/>
  <c r="C47" i="6"/>
  <c r="B47" i="6"/>
  <c r="K46" i="6"/>
  <c r="F46" i="6"/>
  <c r="E46" i="6"/>
  <c r="D46" i="6"/>
  <c r="C46" i="6"/>
  <c r="B46" i="6"/>
  <c r="K45" i="6"/>
  <c r="F45" i="6"/>
  <c r="E45" i="6"/>
  <c r="D45" i="6"/>
  <c r="C45" i="6"/>
  <c r="B45" i="6"/>
  <c r="K44" i="6"/>
  <c r="F44" i="6"/>
  <c r="E44" i="6"/>
  <c r="D44" i="6"/>
  <c r="C44" i="6"/>
  <c r="B44" i="6"/>
  <c r="K43" i="6"/>
  <c r="F43" i="6"/>
  <c r="E43" i="6"/>
  <c r="D43" i="6"/>
  <c r="C43" i="6"/>
  <c r="B43" i="6"/>
  <c r="K42" i="6"/>
  <c r="F42" i="6"/>
  <c r="E42" i="6"/>
  <c r="D42" i="6"/>
  <c r="C42" i="6"/>
  <c r="B42" i="6"/>
  <c r="K41" i="6"/>
  <c r="F41" i="6"/>
  <c r="E41" i="6"/>
  <c r="D41" i="6"/>
  <c r="C41" i="6"/>
  <c r="B41" i="6"/>
  <c r="K40" i="6"/>
  <c r="F40" i="6"/>
  <c r="E40" i="6"/>
  <c r="D40" i="6"/>
  <c r="C40" i="6"/>
  <c r="B40" i="6"/>
  <c r="K39" i="6"/>
  <c r="F39" i="6"/>
  <c r="E39" i="6"/>
  <c r="D39" i="6"/>
  <c r="C39" i="6"/>
  <c r="B39" i="6"/>
  <c r="K38" i="6"/>
  <c r="F38" i="6"/>
  <c r="E38" i="6"/>
  <c r="D38" i="6"/>
  <c r="C38" i="6"/>
  <c r="B38" i="6"/>
  <c r="K37" i="6"/>
  <c r="F37" i="6"/>
  <c r="E37" i="6"/>
  <c r="D37" i="6"/>
  <c r="C37" i="6"/>
  <c r="B37" i="6"/>
  <c r="K36" i="6"/>
  <c r="F36" i="6"/>
  <c r="E36" i="6"/>
  <c r="D36" i="6"/>
  <c r="C36" i="6"/>
  <c r="B36" i="6"/>
  <c r="K35" i="6"/>
  <c r="F35" i="6"/>
  <c r="E35" i="6"/>
  <c r="D35" i="6"/>
  <c r="C35" i="6"/>
  <c r="B35" i="6"/>
  <c r="K34" i="6"/>
  <c r="F34" i="6"/>
  <c r="E34" i="6"/>
  <c r="D34" i="6"/>
  <c r="C34" i="6"/>
  <c r="B34" i="6"/>
  <c r="K33" i="6"/>
  <c r="F33" i="6"/>
  <c r="E33" i="6"/>
  <c r="D33" i="6"/>
  <c r="C33" i="6"/>
  <c r="B33" i="6"/>
  <c r="K32" i="6"/>
  <c r="F32" i="6"/>
  <c r="E32" i="6"/>
  <c r="D32" i="6"/>
  <c r="C32" i="6"/>
  <c r="B32" i="6"/>
  <c r="K31" i="6"/>
  <c r="F31" i="6"/>
  <c r="E31" i="6"/>
  <c r="D31" i="6"/>
  <c r="C31" i="6"/>
  <c r="B31" i="6"/>
  <c r="K30" i="6"/>
  <c r="F30" i="6"/>
  <c r="E30" i="6"/>
  <c r="D30" i="6"/>
  <c r="C30" i="6"/>
  <c r="B30" i="6"/>
  <c r="K29" i="6"/>
  <c r="F29" i="6"/>
  <c r="E29" i="6"/>
  <c r="D29" i="6"/>
  <c r="C29" i="6"/>
  <c r="B29" i="6"/>
  <c r="K28" i="6"/>
  <c r="F28" i="6"/>
  <c r="E28" i="6"/>
  <c r="D28" i="6"/>
  <c r="C28" i="6"/>
  <c r="B28" i="6"/>
  <c r="K27" i="6"/>
  <c r="F27" i="6"/>
  <c r="E27" i="6"/>
  <c r="D27" i="6"/>
  <c r="C27" i="6"/>
  <c r="B27" i="6"/>
  <c r="K26" i="6"/>
  <c r="F26" i="6"/>
  <c r="E26" i="6"/>
  <c r="D26" i="6"/>
  <c r="C26" i="6"/>
  <c r="B26" i="6"/>
  <c r="K25" i="6"/>
  <c r="F25" i="6"/>
  <c r="E25" i="6"/>
  <c r="D25" i="6"/>
  <c r="C25" i="6"/>
  <c r="B25" i="6"/>
  <c r="K24" i="6"/>
  <c r="F24" i="6"/>
  <c r="E24" i="6"/>
  <c r="D24" i="6"/>
  <c r="C24" i="6"/>
  <c r="B24" i="6"/>
  <c r="K23" i="6"/>
  <c r="F23" i="6"/>
  <c r="E23" i="6"/>
  <c r="D23" i="6"/>
  <c r="C23" i="6"/>
  <c r="B23" i="6"/>
  <c r="K22" i="6"/>
  <c r="F22" i="6"/>
  <c r="E22" i="6"/>
  <c r="D22" i="6"/>
  <c r="C22" i="6"/>
  <c r="B22" i="6"/>
  <c r="K21" i="6"/>
  <c r="F21" i="6"/>
  <c r="E21" i="6"/>
  <c r="D21" i="6"/>
  <c r="C21" i="6"/>
  <c r="B21" i="6"/>
  <c r="K20" i="6"/>
  <c r="F20" i="6"/>
  <c r="E20" i="6"/>
  <c r="D20" i="6"/>
  <c r="C20" i="6"/>
  <c r="B20" i="6"/>
  <c r="K19" i="6"/>
  <c r="F19" i="6"/>
  <c r="E19" i="6"/>
  <c r="D19" i="6"/>
  <c r="C19" i="6"/>
  <c r="B19" i="6"/>
  <c r="K18" i="6"/>
  <c r="F18" i="6"/>
  <c r="E18" i="6"/>
  <c r="D18" i="6"/>
  <c r="C18" i="6"/>
  <c r="B18" i="6"/>
  <c r="K17" i="6"/>
  <c r="F17" i="6"/>
  <c r="E17" i="6"/>
  <c r="D17" i="6"/>
  <c r="C17" i="6"/>
  <c r="B17" i="6"/>
  <c r="K16" i="6"/>
  <c r="F16" i="6"/>
  <c r="E16" i="6"/>
  <c r="D16" i="6"/>
  <c r="C16" i="6"/>
  <c r="B16" i="6"/>
  <c r="K15" i="6"/>
  <c r="F15" i="6"/>
  <c r="E15" i="6"/>
  <c r="D15" i="6"/>
  <c r="C15" i="6"/>
  <c r="B15" i="6"/>
  <c r="K14" i="6"/>
  <c r="F14" i="6"/>
  <c r="E14" i="6"/>
  <c r="D14" i="6"/>
  <c r="C14" i="6"/>
  <c r="B14" i="6"/>
  <c r="K13" i="6"/>
  <c r="F13" i="6"/>
  <c r="E13" i="6"/>
  <c r="D13" i="6"/>
  <c r="C13" i="6"/>
  <c r="B13" i="6"/>
  <c r="K12" i="6"/>
  <c r="F12" i="6"/>
  <c r="E12" i="6"/>
  <c r="D12" i="6"/>
  <c r="C12" i="6"/>
  <c r="B12" i="6"/>
  <c r="K11" i="6"/>
  <c r="F11" i="6"/>
  <c r="E11" i="6"/>
  <c r="D11" i="6"/>
  <c r="C11" i="6"/>
  <c r="B11" i="6"/>
  <c r="K10" i="6"/>
  <c r="F10" i="6"/>
  <c r="E10" i="6"/>
  <c r="D10" i="6"/>
  <c r="C10" i="6"/>
  <c r="B10" i="6"/>
  <c r="K9" i="6"/>
  <c r="F9" i="6"/>
  <c r="E9" i="6"/>
  <c r="D9" i="6"/>
  <c r="C9" i="6"/>
  <c r="B9" i="6"/>
  <c r="K8" i="6"/>
  <c r="F8" i="6"/>
  <c r="E8" i="6"/>
  <c r="D8" i="6"/>
  <c r="C8" i="6"/>
  <c r="B8" i="6"/>
  <c r="K7" i="6"/>
  <c r="F7" i="6"/>
  <c r="E7" i="6"/>
  <c r="D7" i="6"/>
  <c r="C7" i="6"/>
  <c r="B7" i="6"/>
  <c r="K6" i="6"/>
  <c r="F6" i="6"/>
  <c r="E6" i="6"/>
  <c r="D6" i="6"/>
  <c r="C6" i="6"/>
  <c r="B6" i="6"/>
  <c r="K5" i="6"/>
  <c r="F5" i="6"/>
  <c r="E5" i="6"/>
  <c r="D5" i="6"/>
  <c r="C5" i="6"/>
  <c r="B5" i="6"/>
  <c r="K4" i="6"/>
  <c r="F4" i="6"/>
  <c r="E4" i="6"/>
  <c r="D4" i="6"/>
  <c r="C4" i="6"/>
  <c r="B4" i="6"/>
  <c r="K3" i="6"/>
  <c r="F3" i="6"/>
  <c r="E3" i="6"/>
  <c r="D3" i="6"/>
  <c r="C3" i="6"/>
  <c r="B3" i="6"/>
  <c r="K2" i="6"/>
  <c r="F2" i="6"/>
  <c r="E2" i="6"/>
  <c r="D2" i="6"/>
  <c r="C2" i="6"/>
  <c r="B2" i="6"/>
  <c r="Y969" i="5"/>
  <c r="X969" i="5"/>
  <c r="W969" i="5"/>
  <c r="V969" i="5"/>
  <c r="U969" i="5"/>
  <c r="Z969" i="5" s="1"/>
  <c r="G969" i="5"/>
  <c r="F969" i="5"/>
  <c r="E969" i="5"/>
  <c r="D969" i="5"/>
  <c r="C969" i="5"/>
  <c r="B969" i="5"/>
  <c r="A969" i="5"/>
  <c r="Y968" i="5"/>
  <c r="X968" i="5"/>
  <c r="W968" i="5"/>
  <c r="V968" i="5"/>
  <c r="U968" i="5" s="1"/>
  <c r="Z968" i="5" s="1"/>
  <c r="G968" i="5"/>
  <c r="F968" i="5"/>
  <c r="E968" i="5"/>
  <c r="D968" i="5"/>
  <c r="C968" i="5"/>
  <c r="B968" i="5"/>
  <c r="A968" i="5"/>
  <c r="Z967" i="5"/>
  <c r="Y967" i="5"/>
  <c r="X967" i="5"/>
  <c r="W967" i="5"/>
  <c r="V967" i="5"/>
  <c r="U967" i="5"/>
  <c r="G967" i="5"/>
  <c r="F967" i="5"/>
  <c r="E967" i="5"/>
  <c r="D967" i="5"/>
  <c r="C967" i="5"/>
  <c r="B967" i="5"/>
  <c r="A967" i="5"/>
  <c r="Y966" i="5"/>
  <c r="X966" i="5"/>
  <c r="W966" i="5"/>
  <c r="V966" i="5"/>
  <c r="G966" i="5"/>
  <c r="F966" i="5"/>
  <c r="E966" i="5"/>
  <c r="D966" i="5"/>
  <c r="C966" i="5"/>
  <c r="B966" i="5"/>
  <c r="A966" i="5"/>
  <c r="Y965" i="5"/>
  <c r="X965" i="5"/>
  <c r="W965" i="5"/>
  <c r="U965" i="5" s="1"/>
  <c r="Z965" i="5" s="1"/>
  <c r="V965" i="5"/>
  <c r="G965" i="5"/>
  <c r="F965" i="5"/>
  <c r="E965" i="5"/>
  <c r="D965" i="5"/>
  <c r="C965" i="5"/>
  <c r="B965" i="5"/>
  <c r="A965" i="5"/>
  <c r="Y964" i="5"/>
  <c r="X964" i="5"/>
  <c r="W964" i="5"/>
  <c r="V964" i="5"/>
  <c r="U964" i="5" s="1"/>
  <c r="Z964" i="5" s="1"/>
  <c r="G964" i="5"/>
  <c r="F964" i="5"/>
  <c r="E964" i="5"/>
  <c r="D964" i="5"/>
  <c r="C964" i="5"/>
  <c r="B964" i="5"/>
  <c r="A964" i="5"/>
  <c r="Y963" i="5"/>
  <c r="X963" i="5"/>
  <c r="W963" i="5"/>
  <c r="U963" i="5" s="1"/>
  <c r="Z963" i="5" s="1"/>
  <c r="V963" i="5"/>
  <c r="G963" i="5"/>
  <c r="F963" i="5"/>
  <c r="E963" i="5"/>
  <c r="D963" i="5"/>
  <c r="C963" i="5"/>
  <c r="B963" i="5"/>
  <c r="A963" i="5"/>
  <c r="Y962" i="5"/>
  <c r="X962" i="5"/>
  <c r="W962" i="5"/>
  <c r="V962" i="5"/>
  <c r="U962" i="5" s="1"/>
  <c r="Z962" i="5" s="1"/>
  <c r="G962" i="5"/>
  <c r="F962" i="5"/>
  <c r="E962" i="5"/>
  <c r="D962" i="5"/>
  <c r="C962" i="5"/>
  <c r="B962" i="5"/>
  <c r="A962" i="5"/>
  <c r="Y961" i="5"/>
  <c r="X961" i="5"/>
  <c r="W961" i="5"/>
  <c r="U961" i="5" s="1"/>
  <c r="V961" i="5"/>
  <c r="G961" i="5"/>
  <c r="F961" i="5"/>
  <c r="E961" i="5"/>
  <c r="D961" i="5"/>
  <c r="C961" i="5"/>
  <c r="B961" i="5"/>
  <c r="A961" i="5"/>
  <c r="Y960" i="5"/>
  <c r="X960" i="5"/>
  <c r="W960" i="5"/>
  <c r="V960" i="5"/>
  <c r="G960" i="5"/>
  <c r="F960" i="5"/>
  <c r="E960" i="5"/>
  <c r="D960" i="5"/>
  <c r="C960" i="5"/>
  <c r="B960" i="5"/>
  <c r="A960" i="5"/>
  <c r="Y959" i="5"/>
  <c r="X959" i="5"/>
  <c r="W959" i="5"/>
  <c r="V959" i="5"/>
  <c r="Z959" i="5" s="1"/>
  <c r="U959" i="5"/>
  <c r="G959" i="5"/>
  <c r="F959" i="5"/>
  <c r="E959" i="5"/>
  <c r="D959" i="5"/>
  <c r="C959" i="5"/>
  <c r="B959" i="5"/>
  <c r="A959" i="5"/>
  <c r="Y958" i="5"/>
  <c r="X958" i="5"/>
  <c r="W958" i="5"/>
  <c r="V958" i="5"/>
  <c r="G958" i="5"/>
  <c r="F958" i="5"/>
  <c r="E958" i="5"/>
  <c r="D958" i="5"/>
  <c r="C958" i="5"/>
  <c r="B958" i="5"/>
  <c r="A958" i="5"/>
  <c r="Y957" i="5"/>
  <c r="X957" i="5"/>
  <c r="W957" i="5"/>
  <c r="V957" i="5"/>
  <c r="Z957" i="5" s="1"/>
  <c r="U957" i="5"/>
  <c r="G957" i="5"/>
  <c r="F957" i="5"/>
  <c r="E957" i="5"/>
  <c r="D957" i="5"/>
  <c r="C957" i="5"/>
  <c r="B957" i="5"/>
  <c r="A957" i="5"/>
  <c r="Y956" i="5"/>
  <c r="X956" i="5"/>
  <c r="W956" i="5"/>
  <c r="V956" i="5"/>
  <c r="G956" i="5"/>
  <c r="F956" i="5"/>
  <c r="E956" i="5"/>
  <c r="D956" i="5"/>
  <c r="C956" i="5"/>
  <c r="B956" i="5"/>
  <c r="A956" i="5"/>
  <c r="Y955" i="5"/>
  <c r="X955" i="5"/>
  <c r="W955" i="5"/>
  <c r="V955" i="5"/>
  <c r="G955" i="5"/>
  <c r="F955" i="5"/>
  <c r="E955" i="5"/>
  <c r="D955" i="5"/>
  <c r="C955" i="5"/>
  <c r="B955" i="5"/>
  <c r="A955" i="5"/>
  <c r="Y954" i="5"/>
  <c r="X954" i="5"/>
  <c r="W954" i="5"/>
  <c r="V954" i="5"/>
  <c r="U954" i="5" s="1"/>
  <c r="Z954" i="5" s="1"/>
  <c r="G954" i="5"/>
  <c r="F954" i="5"/>
  <c r="E954" i="5"/>
  <c r="D954" i="5"/>
  <c r="C954" i="5"/>
  <c r="B954" i="5"/>
  <c r="A954" i="5"/>
  <c r="Y953" i="5"/>
  <c r="X953" i="5"/>
  <c r="W953" i="5"/>
  <c r="U953" i="5" s="1"/>
  <c r="V953" i="5"/>
  <c r="Z953" i="5" s="1"/>
  <c r="G953" i="5"/>
  <c r="F953" i="5"/>
  <c r="E953" i="5"/>
  <c r="D953" i="5"/>
  <c r="C953" i="5"/>
  <c r="B953" i="5"/>
  <c r="A953" i="5"/>
  <c r="Y952" i="5"/>
  <c r="X952" i="5"/>
  <c r="W952" i="5"/>
  <c r="V952" i="5"/>
  <c r="U952" i="5" s="1"/>
  <c r="G952" i="5"/>
  <c r="F952" i="5"/>
  <c r="E952" i="5"/>
  <c r="D952" i="5"/>
  <c r="C952" i="5"/>
  <c r="B952" i="5"/>
  <c r="A952" i="5"/>
  <c r="Y951" i="5"/>
  <c r="X951" i="5"/>
  <c r="W951" i="5"/>
  <c r="V951" i="5"/>
  <c r="U951" i="5"/>
  <c r="Z951" i="5" s="1"/>
  <c r="G951" i="5"/>
  <c r="F951" i="5"/>
  <c r="E951" i="5"/>
  <c r="D951" i="5"/>
  <c r="C951" i="5"/>
  <c r="B951" i="5"/>
  <c r="A951" i="5"/>
  <c r="Y950" i="5"/>
  <c r="X950" i="5"/>
  <c r="W950" i="5"/>
  <c r="V950" i="5"/>
  <c r="U950" i="5" s="1"/>
  <c r="G950" i="5"/>
  <c r="F950" i="5"/>
  <c r="E950" i="5"/>
  <c r="D950" i="5"/>
  <c r="C950" i="5"/>
  <c r="B950" i="5"/>
  <c r="A950" i="5"/>
  <c r="Y949" i="5"/>
  <c r="X949" i="5"/>
  <c r="W949" i="5"/>
  <c r="V949" i="5"/>
  <c r="U949" i="5"/>
  <c r="Z949" i="5" s="1"/>
  <c r="G949" i="5"/>
  <c r="F949" i="5"/>
  <c r="E949" i="5"/>
  <c r="D949" i="5"/>
  <c r="C949" i="5"/>
  <c r="B949" i="5"/>
  <c r="A949" i="5"/>
  <c r="Y948" i="5"/>
  <c r="X948" i="5"/>
  <c r="W948" i="5"/>
  <c r="V948" i="5"/>
  <c r="U948" i="5" s="1"/>
  <c r="Z948" i="5" s="1"/>
  <c r="G948" i="5"/>
  <c r="F948" i="5"/>
  <c r="E948" i="5"/>
  <c r="D948" i="5"/>
  <c r="C948" i="5"/>
  <c r="B948" i="5"/>
  <c r="A948" i="5"/>
  <c r="Z947" i="5"/>
  <c r="Y947" i="5"/>
  <c r="X947" i="5"/>
  <c r="W947" i="5"/>
  <c r="V947" i="5"/>
  <c r="U947" i="5"/>
  <c r="G947" i="5"/>
  <c r="F947" i="5"/>
  <c r="E947" i="5"/>
  <c r="D947" i="5"/>
  <c r="C947" i="5"/>
  <c r="B947" i="5"/>
  <c r="A947" i="5"/>
  <c r="Y946" i="5"/>
  <c r="X946" i="5"/>
  <c r="W946" i="5"/>
  <c r="V946" i="5"/>
  <c r="G946" i="5"/>
  <c r="F946" i="5"/>
  <c r="E946" i="5"/>
  <c r="D946" i="5"/>
  <c r="C946" i="5"/>
  <c r="B946" i="5"/>
  <c r="A946" i="5"/>
  <c r="Y945" i="5"/>
  <c r="X945" i="5"/>
  <c r="W945" i="5"/>
  <c r="U945" i="5" s="1"/>
  <c r="Z945" i="5" s="1"/>
  <c r="V945" i="5"/>
  <c r="G945" i="5"/>
  <c r="F945" i="5"/>
  <c r="E945" i="5"/>
  <c r="D945" i="5"/>
  <c r="C945" i="5"/>
  <c r="B945" i="5"/>
  <c r="A945" i="5"/>
  <c r="Z944" i="5"/>
  <c r="Y944" i="5"/>
  <c r="X944" i="5"/>
  <c r="W944" i="5"/>
  <c r="V944" i="5"/>
  <c r="U944" i="5" s="1"/>
  <c r="G944" i="5"/>
  <c r="F944" i="5"/>
  <c r="E944" i="5"/>
  <c r="D944" i="5"/>
  <c r="C944" i="5"/>
  <c r="B944" i="5"/>
  <c r="A944" i="5"/>
  <c r="Y943" i="5"/>
  <c r="X943" i="5"/>
  <c r="W943" i="5"/>
  <c r="V943" i="5"/>
  <c r="U943" i="5"/>
  <c r="Z943" i="5" s="1"/>
  <c r="G943" i="5"/>
  <c r="F943" i="5"/>
  <c r="E943" i="5"/>
  <c r="D943" i="5"/>
  <c r="C943" i="5"/>
  <c r="B943" i="5"/>
  <c r="A943" i="5"/>
  <c r="Y942" i="5"/>
  <c r="X942" i="5"/>
  <c r="W942" i="5"/>
  <c r="V942" i="5"/>
  <c r="U942" i="5" s="1"/>
  <c r="Z942" i="5" s="1"/>
  <c r="G942" i="5"/>
  <c r="F942" i="5"/>
  <c r="E942" i="5"/>
  <c r="D942" i="5"/>
  <c r="C942" i="5"/>
  <c r="B942" i="5"/>
  <c r="A942" i="5"/>
  <c r="Y941" i="5"/>
  <c r="X941" i="5"/>
  <c r="W941" i="5"/>
  <c r="V941" i="5"/>
  <c r="G941" i="5"/>
  <c r="F941" i="5"/>
  <c r="E941" i="5"/>
  <c r="D941" i="5"/>
  <c r="C941" i="5"/>
  <c r="B941" i="5"/>
  <c r="A941" i="5"/>
  <c r="Y940" i="5"/>
  <c r="X940" i="5"/>
  <c r="W940" i="5"/>
  <c r="V940" i="5"/>
  <c r="G940" i="5"/>
  <c r="F940" i="5"/>
  <c r="E940" i="5"/>
  <c r="D940" i="5"/>
  <c r="C940" i="5"/>
  <c r="B940" i="5"/>
  <c r="A940" i="5"/>
  <c r="Y939" i="5"/>
  <c r="X939" i="5"/>
  <c r="W939" i="5"/>
  <c r="V939" i="5"/>
  <c r="Z939" i="5" s="1"/>
  <c r="U939" i="5"/>
  <c r="G939" i="5"/>
  <c r="F939" i="5"/>
  <c r="E939" i="5"/>
  <c r="D939" i="5"/>
  <c r="C939" i="5"/>
  <c r="B939" i="5"/>
  <c r="A939" i="5"/>
  <c r="Y938" i="5"/>
  <c r="X938" i="5"/>
  <c r="W938" i="5"/>
  <c r="V938" i="5"/>
  <c r="G938" i="5"/>
  <c r="F938" i="5"/>
  <c r="E938" i="5"/>
  <c r="D938" i="5"/>
  <c r="C938" i="5"/>
  <c r="B938" i="5"/>
  <c r="A938" i="5"/>
  <c r="Y937" i="5"/>
  <c r="X937" i="5"/>
  <c r="W937" i="5"/>
  <c r="V937" i="5"/>
  <c r="Z937" i="5" s="1"/>
  <c r="U937" i="5"/>
  <c r="G937" i="5"/>
  <c r="F937" i="5"/>
  <c r="E937" i="5"/>
  <c r="D937" i="5"/>
  <c r="C937" i="5"/>
  <c r="B937" i="5"/>
  <c r="A937" i="5"/>
  <c r="Y936" i="5"/>
  <c r="X936" i="5"/>
  <c r="W936" i="5"/>
  <c r="V936" i="5"/>
  <c r="U936" i="5" s="1"/>
  <c r="Z936" i="5" s="1"/>
  <c r="G936" i="5"/>
  <c r="F936" i="5"/>
  <c r="E936" i="5"/>
  <c r="D936" i="5"/>
  <c r="C936" i="5"/>
  <c r="B936" i="5"/>
  <c r="A936" i="5"/>
  <c r="Y935" i="5"/>
  <c r="X935" i="5"/>
  <c r="W935" i="5"/>
  <c r="V935" i="5"/>
  <c r="G935" i="5"/>
  <c r="F935" i="5"/>
  <c r="E935" i="5"/>
  <c r="D935" i="5"/>
  <c r="C935" i="5"/>
  <c r="B935" i="5"/>
  <c r="A935" i="5"/>
  <c r="Y934" i="5"/>
  <c r="X934" i="5"/>
  <c r="W934" i="5"/>
  <c r="V934" i="5"/>
  <c r="U934" i="5" s="1"/>
  <c r="Z934" i="5" s="1"/>
  <c r="G934" i="5"/>
  <c r="F934" i="5"/>
  <c r="E934" i="5"/>
  <c r="D934" i="5"/>
  <c r="C934" i="5"/>
  <c r="B934" i="5"/>
  <c r="A934" i="5"/>
  <c r="Y933" i="5"/>
  <c r="X933" i="5"/>
  <c r="W933" i="5"/>
  <c r="U933" i="5" s="1"/>
  <c r="V933" i="5"/>
  <c r="Z933" i="5" s="1"/>
  <c r="G933" i="5"/>
  <c r="F933" i="5"/>
  <c r="E933" i="5"/>
  <c r="D933" i="5"/>
  <c r="C933" i="5"/>
  <c r="B933" i="5"/>
  <c r="A933" i="5"/>
  <c r="Y932" i="5"/>
  <c r="X932" i="5"/>
  <c r="W932" i="5"/>
  <c r="V932" i="5"/>
  <c r="U932" i="5"/>
  <c r="G932" i="5"/>
  <c r="F932" i="5"/>
  <c r="E932" i="5"/>
  <c r="D932" i="5"/>
  <c r="C932" i="5"/>
  <c r="B932" i="5"/>
  <c r="A932" i="5"/>
  <c r="Y931" i="5"/>
  <c r="X931" i="5"/>
  <c r="W931" i="5"/>
  <c r="V931" i="5"/>
  <c r="U931" i="5"/>
  <c r="Z931" i="5" s="1"/>
  <c r="G931" i="5"/>
  <c r="F931" i="5"/>
  <c r="E931" i="5"/>
  <c r="D931" i="5"/>
  <c r="C931" i="5"/>
  <c r="B931" i="5"/>
  <c r="A931" i="5"/>
  <c r="Y930" i="5"/>
  <c r="X930" i="5"/>
  <c r="W930" i="5"/>
  <c r="V930" i="5"/>
  <c r="U930" i="5" s="1"/>
  <c r="G930" i="5"/>
  <c r="F930" i="5"/>
  <c r="E930" i="5"/>
  <c r="D930" i="5"/>
  <c r="C930" i="5"/>
  <c r="B930" i="5"/>
  <c r="A930" i="5"/>
  <c r="Y929" i="5"/>
  <c r="X929" i="5"/>
  <c r="W929" i="5"/>
  <c r="V929" i="5"/>
  <c r="U929" i="5"/>
  <c r="Z929" i="5" s="1"/>
  <c r="G929" i="5"/>
  <c r="F929" i="5"/>
  <c r="E929" i="5"/>
  <c r="D929" i="5"/>
  <c r="C929" i="5"/>
  <c r="B929" i="5"/>
  <c r="A929" i="5"/>
  <c r="Y928" i="5"/>
  <c r="X928" i="5"/>
  <c r="W928" i="5"/>
  <c r="V928" i="5"/>
  <c r="U928" i="5" s="1"/>
  <c r="Z928" i="5" s="1"/>
  <c r="G928" i="5"/>
  <c r="F928" i="5"/>
  <c r="E928" i="5"/>
  <c r="D928" i="5"/>
  <c r="C928" i="5"/>
  <c r="B928" i="5"/>
  <c r="A928" i="5"/>
  <c r="Z927" i="5"/>
  <c r="Y927" i="5"/>
  <c r="X927" i="5"/>
  <c r="W927" i="5"/>
  <c r="V927" i="5"/>
  <c r="U927" i="5"/>
  <c r="G927" i="5"/>
  <c r="F927" i="5"/>
  <c r="E927" i="5"/>
  <c r="D927" i="5"/>
  <c r="C927" i="5"/>
  <c r="B927" i="5"/>
  <c r="A927" i="5"/>
  <c r="Y926" i="5"/>
  <c r="X926" i="5"/>
  <c r="W926" i="5"/>
  <c r="V926" i="5"/>
  <c r="G926" i="5"/>
  <c r="F926" i="5"/>
  <c r="E926" i="5"/>
  <c r="D926" i="5"/>
  <c r="C926" i="5"/>
  <c r="B926" i="5"/>
  <c r="A926" i="5"/>
  <c r="Y925" i="5"/>
  <c r="X925" i="5"/>
  <c r="W925" i="5"/>
  <c r="U925" i="5" s="1"/>
  <c r="Z925" i="5" s="1"/>
  <c r="V925" i="5"/>
  <c r="G925" i="5"/>
  <c r="F925" i="5"/>
  <c r="E925" i="5"/>
  <c r="D925" i="5"/>
  <c r="C925" i="5"/>
  <c r="B925" i="5"/>
  <c r="A925" i="5"/>
  <c r="Z924" i="5"/>
  <c r="Y924" i="5"/>
  <c r="X924" i="5"/>
  <c r="W924" i="5"/>
  <c r="V924" i="5"/>
  <c r="U924" i="5" s="1"/>
  <c r="G924" i="5"/>
  <c r="F924" i="5"/>
  <c r="E924" i="5"/>
  <c r="D924" i="5"/>
  <c r="C924" i="5"/>
  <c r="B924" i="5"/>
  <c r="A924" i="5"/>
  <c r="Y923" i="5"/>
  <c r="X923" i="5"/>
  <c r="W923" i="5"/>
  <c r="V923" i="5"/>
  <c r="U923" i="5"/>
  <c r="Z923" i="5" s="1"/>
  <c r="G923" i="5"/>
  <c r="F923" i="5"/>
  <c r="E923" i="5"/>
  <c r="D923" i="5"/>
  <c r="C923" i="5"/>
  <c r="B923" i="5"/>
  <c r="A923" i="5"/>
  <c r="Y922" i="5"/>
  <c r="X922" i="5"/>
  <c r="W922" i="5"/>
  <c r="V922" i="5"/>
  <c r="U922" i="5" s="1"/>
  <c r="Z922" i="5" s="1"/>
  <c r="G922" i="5"/>
  <c r="F922" i="5"/>
  <c r="E922" i="5"/>
  <c r="D922" i="5"/>
  <c r="C922" i="5"/>
  <c r="B922" i="5"/>
  <c r="A922" i="5"/>
  <c r="Y921" i="5"/>
  <c r="X921" i="5"/>
  <c r="W921" i="5"/>
  <c r="U921" i="5" s="1"/>
  <c r="V921" i="5"/>
  <c r="G921" i="5"/>
  <c r="F921" i="5"/>
  <c r="E921" i="5"/>
  <c r="D921" i="5"/>
  <c r="C921" i="5"/>
  <c r="B921" i="5"/>
  <c r="A921" i="5"/>
  <c r="Y920" i="5"/>
  <c r="X920" i="5"/>
  <c r="W920" i="5"/>
  <c r="V920" i="5"/>
  <c r="G920" i="5"/>
  <c r="F920" i="5"/>
  <c r="E920" i="5"/>
  <c r="D920" i="5"/>
  <c r="C920" i="5"/>
  <c r="B920" i="5"/>
  <c r="A920" i="5"/>
  <c r="Y919" i="5"/>
  <c r="X919" i="5"/>
  <c r="W919" i="5"/>
  <c r="V919" i="5"/>
  <c r="Z919" i="5" s="1"/>
  <c r="U919" i="5"/>
  <c r="G919" i="5"/>
  <c r="F919" i="5"/>
  <c r="E919" i="5"/>
  <c r="D919" i="5"/>
  <c r="C919" i="5"/>
  <c r="B919" i="5"/>
  <c r="A919" i="5"/>
  <c r="Y918" i="5"/>
  <c r="X918" i="5"/>
  <c r="W918" i="5"/>
  <c r="V918" i="5"/>
  <c r="G918" i="5"/>
  <c r="F918" i="5"/>
  <c r="E918" i="5"/>
  <c r="D918" i="5"/>
  <c r="C918" i="5"/>
  <c r="B918" i="5"/>
  <c r="A918" i="5"/>
  <c r="Y917" i="5"/>
  <c r="X917" i="5"/>
  <c r="W917" i="5"/>
  <c r="V917" i="5"/>
  <c r="Z917" i="5" s="1"/>
  <c r="U917" i="5"/>
  <c r="G917" i="5"/>
  <c r="F917" i="5"/>
  <c r="E917" i="5"/>
  <c r="D917" i="5"/>
  <c r="C917" i="5"/>
  <c r="B917" i="5"/>
  <c r="A917" i="5"/>
  <c r="Y916" i="5"/>
  <c r="X916" i="5"/>
  <c r="W916" i="5"/>
  <c r="V916" i="5"/>
  <c r="U916" i="5" s="1"/>
  <c r="Z916" i="5" s="1"/>
  <c r="G916" i="5"/>
  <c r="F916" i="5"/>
  <c r="E916" i="5"/>
  <c r="D916" i="5"/>
  <c r="C916" i="5"/>
  <c r="B916" i="5"/>
  <c r="A916" i="5"/>
  <c r="Y915" i="5"/>
  <c r="X915" i="5"/>
  <c r="W915" i="5"/>
  <c r="V915" i="5"/>
  <c r="G915" i="5"/>
  <c r="F915" i="5"/>
  <c r="E915" i="5"/>
  <c r="D915" i="5"/>
  <c r="C915" i="5"/>
  <c r="B915" i="5"/>
  <c r="A915" i="5"/>
  <c r="Y914" i="5"/>
  <c r="X914" i="5"/>
  <c r="W914" i="5"/>
  <c r="V914" i="5"/>
  <c r="U914" i="5" s="1"/>
  <c r="Z914" i="5" s="1"/>
  <c r="G914" i="5"/>
  <c r="F914" i="5"/>
  <c r="E914" i="5"/>
  <c r="D914" i="5"/>
  <c r="C914" i="5"/>
  <c r="B914" i="5"/>
  <c r="A914" i="5"/>
  <c r="Y913" i="5"/>
  <c r="X913" i="5"/>
  <c r="W913" i="5"/>
  <c r="U913" i="5" s="1"/>
  <c r="V913" i="5"/>
  <c r="G913" i="5"/>
  <c r="F913" i="5"/>
  <c r="E913" i="5"/>
  <c r="D913" i="5"/>
  <c r="C913" i="5"/>
  <c r="B913" i="5"/>
  <c r="A913" i="5"/>
  <c r="Y912" i="5"/>
  <c r="X912" i="5"/>
  <c r="W912" i="5"/>
  <c r="V912" i="5"/>
  <c r="U912" i="5" s="1"/>
  <c r="G912" i="5"/>
  <c r="F912" i="5"/>
  <c r="E912" i="5"/>
  <c r="D912" i="5"/>
  <c r="C912" i="5"/>
  <c r="B912" i="5"/>
  <c r="A912" i="5"/>
  <c r="Y911" i="5"/>
  <c r="X911" i="5"/>
  <c r="W911" i="5"/>
  <c r="V911" i="5"/>
  <c r="U911" i="5"/>
  <c r="Z911" i="5" s="1"/>
  <c r="G911" i="5"/>
  <c r="F911" i="5"/>
  <c r="E911" i="5"/>
  <c r="D911" i="5"/>
  <c r="C911" i="5"/>
  <c r="B911" i="5"/>
  <c r="A911" i="5"/>
  <c r="Y910" i="5"/>
  <c r="X910" i="5"/>
  <c r="W910" i="5"/>
  <c r="V910" i="5"/>
  <c r="U910" i="5" s="1"/>
  <c r="G910" i="5"/>
  <c r="F910" i="5"/>
  <c r="E910" i="5"/>
  <c r="D910" i="5"/>
  <c r="C910" i="5"/>
  <c r="B910" i="5"/>
  <c r="A910" i="5"/>
  <c r="Y909" i="5"/>
  <c r="X909" i="5"/>
  <c r="W909" i="5"/>
  <c r="V909" i="5"/>
  <c r="U909" i="5"/>
  <c r="Z909" i="5" s="1"/>
  <c r="G909" i="5"/>
  <c r="F909" i="5"/>
  <c r="E909" i="5"/>
  <c r="D909" i="5"/>
  <c r="C909" i="5"/>
  <c r="B909" i="5"/>
  <c r="A909" i="5"/>
  <c r="Y908" i="5"/>
  <c r="X908" i="5"/>
  <c r="W908" i="5"/>
  <c r="V908" i="5"/>
  <c r="U908" i="5" s="1"/>
  <c r="Z908" i="5" s="1"/>
  <c r="G908" i="5"/>
  <c r="F908" i="5"/>
  <c r="E908" i="5"/>
  <c r="D908" i="5"/>
  <c r="C908" i="5"/>
  <c r="B908" i="5"/>
  <c r="A908" i="5"/>
  <c r="Z907" i="5"/>
  <c r="Y907" i="5"/>
  <c r="X907" i="5"/>
  <c r="W907" i="5"/>
  <c r="V907" i="5"/>
  <c r="U907" i="5"/>
  <c r="G907" i="5"/>
  <c r="F907" i="5"/>
  <c r="E907" i="5"/>
  <c r="D907" i="5"/>
  <c r="C907" i="5"/>
  <c r="B907" i="5"/>
  <c r="A907" i="5"/>
  <c r="Y906" i="5"/>
  <c r="X906" i="5"/>
  <c r="W906" i="5"/>
  <c r="V906" i="5"/>
  <c r="G906" i="5"/>
  <c r="F906" i="5"/>
  <c r="E906" i="5"/>
  <c r="D906" i="5"/>
  <c r="C906" i="5"/>
  <c r="B906" i="5"/>
  <c r="A906" i="5"/>
  <c r="Y905" i="5"/>
  <c r="X905" i="5"/>
  <c r="W905" i="5"/>
  <c r="U905" i="5" s="1"/>
  <c r="Z905" i="5" s="1"/>
  <c r="V905" i="5"/>
  <c r="G905" i="5"/>
  <c r="F905" i="5"/>
  <c r="E905" i="5"/>
  <c r="D905" i="5"/>
  <c r="C905" i="5"/>
  <c r="B905" i="5"/>
  <c r="A905" i="5"/>
  <c r="Z904" i="5"/>
  <c r="Y904" i="5"/>
  <c r="X904" i="5"/>
  <c r="W904" i="5"/>
  <c r="V904" i="5"/>
  <c r="U904" i="5" s="1"/>
  <c r="G904" i="5"/>
  <c r="F904" i="5"/>
  <c r="E904" i="5"/>
  <c r="D904" i="5"/>
  <c r="C904" i="5"/>
  <c r="B904" i="5"/>
  <c r="A904" i="5"/>
  <c r="Y903" i="5"/>
  <c r="X903" i="5"/>
  <c r="W903" i="5"/>
  <c r="V903" i="5"/>
  <c r="U903" i="5"/>
  <c r="Z903" i="5" s="1"/>
  <c r="G903" i="5"/>
  <c r="F903" i="5"/>
  <c r="E903" i="5"/>
  <c r="D903" i="5"/>
  <c r="C903" i="5"/>
  <c r="B903" i="5"/>
  <c r="A903" i="5"/>
  <c r="Y902" i="5"/>
  <c r="X902" i="5"/>
  <c r="W902" i="5"/>
  <c r="V902" i="5"/>
  <c r="U902" i="5" s="1"/>
  <c r="Z902" i="5" s="1"/>
  <c r="G902" i="5"/>
  <c r="F902" i="5"/>
  <c r="E902" i="5"/>
  <c r="D902" i="5"/>
  <c r="C902" i="5"/>
  <c r="B902" i="5"/>
  <c r="A902" i="5"/>
  <c r="Y901" i="5"/>
  <c r="X901" i="5"/>
  <c r="W901" i="5"/>
  <c r="V901" i="5"/>
  <c r="G901" i="5"/>
  <c r="F901" i="5"/>
  <c r="E901" i="5"/>
  <c r="D901" i="5"/>
  <c r="C901" i="5"/>
  <c r="B901" i="5"/>
  <c r="A901" i="5"/>
  <c r="Y900" i="5"/>
  <c r="X900" i="5"/>
  <c r="W900" i="5"/>
  <c r="V900" i="5"/>
  <c r="G900" i="5"/>
  <c r="F900" i="5"/>
  <c r="E900" i="5"/>
  <c r="D900" i="5"/>
  <c r="C900" i="5"/>
  <c r="B900" i="5"/>
  <c r="A900" i="5"/>
  <c r="Y899" i="5"/>
  <c r="X899" i="5"/>
  <c r="W899" i="5"/>
  <c r="V899" i="5"/>
  <c r="Z899" i="5" s="1"/>
  <c r="U899" i="5"/>
  <c r="G899" i="5"/>
  <c r="F899" i="5"/>
  <c r="E899" i="5"/>
  <c r="D899" i="5"/>
  <c r="C899" i="5"/>
  <c r="B899" i="5"/>
  <c r="A899" i="5"/>
  <c r="Y898" i="5"/>
  <c r="X898" i="5"/>
  <c r="W898" i="5"/>
  <c r="V898" i="5"/>
  <c r="U898" i="5" s="1"/>
  <c r="G898" i="5"/>
  <c r="F898" i="5"/>
  <c r="E898" i="5"/>
  <c r="D898" i="5"/>
  <c r="C898" i="5"/>
  <c r="B898" i="5"/>
  <c r="A898" i="5"/>
  <c r="Y897" i="5"/>
  <c r="X897" i="5"/>
  <c r="W897" i="5"/>
  <c r="V897" i="5"/>
  <c r="Z897" i="5" s="1"/>
  <c r="U897" i="5"/>
  <c r="G897" i="5"/>
  <c r="F897" i="5"/>
  <c r="E897" i="5"/>
  <c r="D897" i="5"/>
  <c r="C897" i="5"/>
  <c r="B897" i="5"/>
  <c r="A897" i="5"/>
  <c r="Y896" i="5"/>
  <c r="X896" i="5"/>
  <c r="W896" i="5"/>
  <c r="V896" i="5"/>
  <c r="U896" i="5" s="1"/>
  <c r="Z896" i="5" s="1"/>
  <c r="G896" i="5"/>
  <c r="F896" i="5"/>
  <c r="E896" i="5"/>
  <c r="D896" i="5"/>
  <c r="C896" i="5"/>
  <c r="B896" i="5"/>
  <c r="A896" i="5"/>
  <c r="Y895" i="5"/>
  <c r="X895" i="5"/>
  <c r="W895" i="5"/>
  <c r="V895" i="5"/>
  <c r="G895" i="5"/>
  <c r="F895" i="5"/>
  <c r="E895" i="5"/>
  <c r="D895" i="5"/>
  <c r="C895" i="5"/>
  <c r="B895" i="5"/>
  <c r="A895" i="5"/>
  <c r="Y894" i="5"/>
  <c r="X894" i="5"/>
  <c r="W894" i="5"/>
  <c r="V894" i="5"/>
  <c r="U894" i="5" s="1"/>
  <c r="Z894" i="5" s="1"/>
  <c r="G894" i="5"/>
  <c r="F894" i="5"/>
  <c r="E894" i="5"/>
  <c r="D894" i="5"/>
  <c r="C894" i="5"/>
  <c r="B894" i="5"/>
  <c r="A894" i="5"/>
  <c r="Y893" i="5"/>
  <c r="X893" i="5"/>
  <c r="W893" i="5"/>
  <c r="U893" i="5" s="1"/>
  <c r="V893" i="5"/>
  <c r="Z893" i="5" s="1"/>
  <c r="G893" i="5"/>
  <c r="F893" i="5"/>
  <c r="E893" i="5"/>
  <c r="D893" i="5"/>
  <c r="C893" i="5"/>
  <c r="B893" i="5"/>
  <c r="A893" i="5"/>
  <c r="Y892" i="5"/>
  <c r="X892" i="5"/>
  <c r="W892" i="5"/>
  <c r="V892" i="5"/>
  <c r="U892" i="5"/>
  <c r="G892" i="5"/>
  <c r="F892" i="5"/>
  <c r="E892" i="5"/>
  <c r="D892" i="5"/>
  <c r="C892" i="5"/>
  <c r="B892" i="5"/>
  <c r="A892" i="5"/>
  <c r="Y891" i="5"/>
  <c r="X891" i="5"/>
  <c r="W891" i="5"/>
  <c r="V891" i="5"/>
  <c r="U891" i="5"/>
  <c r="Z891" i="5" s="1"/>
  <c r="G891" i="5"/>
  <c r="F891" i="5"/>
  <c r="E891" i="5"/>
  <c r="D891" i="5"/>
  <c r="C891" i="5"/>
  <c r="B891" i="5"/>
  <c r="A891" i="5"/>
  <c r="Y890" i="5"/>
  <c r="X890" i="5"/>
  <c r="W890" i="5"/>
  <c r="V890" i="5"/>
  <c r="U890" i="5" s="1"/>
  <c r="G890" i="5"/>
  <c r="F890" i="5"/>
  <c r="E890" i="5"/>
  <c r="D890" i="5"/>
  <c r="C890" i="5"/>
  <c r="B890" i="5"/>
  <c r="A890" i="5"/>
  <c r="Y889" i="5"/>
  <c r="X889" i="5"/>
  <c r="W889" i="5"/>
  <c r="V889" i="5"/>
  <c r="U889" i="5"/>
  <c r="Z889" i="5" s="1"/>
  <c r="G889" i="5"/>
  <c r="F889" i="5"/>
  <c r="E889" i="5"/>
  <c r="D889" i="5"/>
  <c r="C889" i="5"/>
  <c r="B889" i="5"/>
  <c r="A889" i="5"/>
  <c r="Y888" i="5"/>
  <c r="X888" i="5"/>
  <c r="W888" i="5"/>
  <c r="V888" i="5"/>
  <c r="U888" i="5" s="1"/>
  <c r="Z888" i="5" s="1"/>
  <c r="G888" i="5"/>
  <c r="F888" i="5"/>
  <c r="E888" i="5"/>
  <c r="D888" i="5"/>
  <c r="C888" i="5"/>
  <c r="B888" i="5"/>
  <c r="A888" i="5"/>
  <c r="Z887" i="5"/>
  <c r="Y887" i="5"/>
  <c r="X887" i="5"/>
  <c r="W887" i="5"/>
  <c r="V887" i="5"/>
  <c r="U887" i="5"/>
  <c r="G887" i="5"/>
  <c r="F887" i="5"/>
  <c r="E887" i="5"/>
  <c r="D887" i="5"/>
  <c r="C887" i="5"/>
  <c r="B887" i="5"/>
  <c r="A887" i="5"/>
  <c r="Y886" i="5"/>
  <c r="X886" i="5"/>
  <c r="W886" i="5"/>
  <c r="V886" i="5"/>
  <c r="G886" i="5"/>
  <c r="F886" i="5"/>
  <c r="E886" i="5"/>
  <c r="D886" i="5"/>
  <c r="C886" i="5"/>
  <c r="B886" i="5"/>
  <c r="A886" i="5"/>
  <c r="Y885" i="5"/>
  <c r="X885" i="5"/>
  <c r="W885" i="5"/>
  <c r="U885" i="5" s="1"/>
  <c r="Z885" i="5" s="1"/>
  <c r="V885" i="5"/>
  <c r="G885" i="5"/>
  <c r="F885" i="5"/>
  <c r="E885" i="5"/>
  <c r="D885" i="5"/>
  <c r="C885" i="5"/>
  <c r="B885" i="5"/>
  <c r="A885" i="5"/>
  <c r="Z884" i="5"/>
  <c r="Y884" i="5"/>
  <c r="X884" i="5"/>
  <c r="W884" i="5"/>
  <c r="V884" i="5"/>
  <c r="U884" i="5" s="1"/>
  <c r="G884" i="5"/>
  <c r="F884" i="5"/>
  <c r="E884" i="5"/>
  <c r="D884" i="5"/>
  <c r="C884" i="5"/>
  <c r="B884" i="5"/>
  <c r="A884" i="5"/>
  <c r="Y883" i="5"/>
  <c r="X883" i="5"/>
  <c r="W883" i="5"/>
  <c r="V883" i="5"/>
  <c r="U883" i="5"/>
  <c r="Z883" i="5" s="1"/>
  <c r="G883" i="5"/>
  <c r="F883" i="5"/>
  <c r="E883" i="5"/>
  <c r="D883" i="5"/>
  <c r="C883" i="5"/>
  <c r="B883" i="5"/>
  <c r="A883" i="5"/>
  <c r="Y882" i="5"/>
  <c r="X882" i="5"/>
  <c r="W882" i="5"/>
  <c r="V882" i="5"/>
  <c r="U882" i="5" s="1"/>
  <c r="Z882" i="5" s="1"/>
  <c r="G882" i="5"/>
  <c r="F882" i="5"/>
  <c r="E882" i="5"/>
  <c r="D882" i="5"/>
  <c r="C882" i="5"/>
  <c r="B882" i="5"/>
  <c r="A882" i="5"/>
  <c r="Y881" i="5"/>
  <c r="X881" i="5"/>
  <c r="W881" i="5"/>
  <c r="U881" i="5" s="1"/>
  <c r="Z881" i="5" s="1"/>
  <c r="V881" i="5"/>
  <c r="G881" i="5"/>
  <c r="F881" i="5"/>
  <c r="E881" i="5"/>
  <c r="D881" i="5"/>
  <c r="C881" i="5"/>
  <c r="B881" i="5"/>
  <c r="A881" i="5"/>
  <c r="Y880" i="5"/>
  <c r="X880" i="5"/>
  <c r="W880" i="5"/>
  <c r="V880" i="5"/>
  <c r="G880" i="5"/>
  <c r="F880" i="5"/>
  <c r="E880" i="5"/>
  <c r="D880" i="5"/>
  <c r="C880" i="5"/>
  <c r="B880" i="5"/>
  <c r="A880" i="5"/>
  <c r="Y879" i="5"/>
  <c r="X879" i="5"/>
  <c r="W879" i="5"/>
  <c r="V879" i="5"/>
  <c r="Z879" i="5" s="1"/>
  <c r="U879" i="5"/>
  <c r="G879" i="5"/>
  <c r="F879" i="5"/>
  <c r="E879" i="5"/>
  <c r="D879" i="5"/>
  <c r="C879" i="5"/>
  <c r="B879" i="5"/>
  <c r="A879" i="5"/>
  <c r="Y878" i="5"/>
  <c r="X878" i="5"/>
  <c r="W878" i="5"/>
  <c r="V878" i="5"/>
  <c r="U878" i="5" s="1"/>
  <c r="G878" i="5"/>
  <c r="F878" i="5"/>
  <c r="E878" i="5"/>
  <c r="D878" i="5"/>
  <c r="C878" i="5"/>
  <c r="B878" i="5"/>
  <c r="A878" i="5"/>
  <c r="Y877" i="5"/>
  <c r="X877" i="5"/>
  <c r="W877" i="5"/>
  <c r="V877" i="5"/>
  <c r="Z877" i="5" s="1"/>
  <c r="U877" i="5"/>
  <c r="G877" i="5"/>
  <c r="F877" i="5"/>
  <c r="E877" i="5"/>
  <c r="D877" i="5"/>
  <c r="C877" i="5"/>
  <c r="B877" i="5"/>
  <c r="A877" i="5"/>
  <c r="Y876" i="5"/>
  <c r="X876" i="5"/>
  <c r="W876" i="5"/>
  <c r="V876" i="5"/>
  <c r="U876" i="5" s="1"/>
  <c r="Z876" i="5" s="1"/>
  <c r="G876" i="5"/>
  <c r="F876" i="5"/>
  <c r="E876" i="5"/>
  <c r="D876" i="5"/>
  <c r="C876" i="5"/>
  <c r="B876" i="5"/>
  <c r="A876" i="5"/>
  <c r="Y875" i="5"/>
  <c r="X875" i="5"/>
  <c r="W875" i="5"/>
  <c r="V875" i="5"/>
  <c r="G875" i="5"/>
  <c r="F875" i="5"/>
  <c r="E875" i="5"/>
  <c r="D875" i="5"/>
  <c r="C875" i="5"/>
  <c r="B875" i="5"/>
  <c r="A875" i="5"/>
  <c r="Y874" i="5"/>
  <c r="X874" i="5"/>
  <c r="W874" i="5"/>
  <c r="V874" i="5"/>
  <c r="U874" i="5" s="1"/>
  <c r="Z874" i="5" s="1"/>
  <c r="G874" i="5"/>
  <c r="F874" i="5"/>
  <c r="E874" i="5"/>
  <c r="D874" i="5"/>
  <c r="C874" i="5"/>
  <c r="B874" i="5"/>
  <c r="A874" i="5"/>
  <c r="Y873" i="5"/>
  <c r="X873" i="5"/>
  <c r="W873" i="5"/>
  <c r="U873" i="5" s="1"/>
  <c r="V873" i="5"/>
  <c r="G873" i="5"/>
  <c r="F873" i="5"/>
  <c r="E873" i="5"/>
  <c r="D873" i="5"/>
  <c r="C873" i="5"/>
  <c r="B873" i="5"/>
  <c r="A873" i="5"/>
  <c r="Y872" i="5"/>
  <c r="X872" i="5"/>
  <c r="W872" i="5"/>
  <c r="V872" i="5"/>
  <c r="U872" i="5" s="1"/>
  <c r="G872" i="5"/>
  <c r="F872" i="5"/>
  <c r="E872" i="5"/>
  <c r="D872" i="5"/>
  <c r="C872" i="5"/>
  <c r="B872" i="5"/>
  <c r="A872" i="5"/>
  <c r="Y871" i="5"/>
  <c r="X871" i="5"/>
  <c r="W871" i="5"/>
  <c r="V871" i="5"/>
  <c r="U871" i="5"/>
  <c r="Z871" i="5" s="1"/>
  <c r="G871" i="5"/>
  <c r="F871" i="5"/>
  <c r="E871" i="5"/>
  <c r="D871" i="5"/>
  <c r="C871" i="5"/>
  <c r="B871" i="5"/>
  <c r="A871" i="5"/>
  <c r="Y870" i="5"/>
  <c r="X870" i="5"/>
  <c r="W870" i="5"/>
  <c r="V870" i="5"/>
  <c r="U870" i="5" s="1"/>
  <c r="G870" i="5"/>
  <c r="F870" i="5"/>
  <c r="E870" i="5"/>
  <c r="D870" i="5"/>
  <c r="C870" i="5"/>
  <c r="B870" i="5"/>
  <c r="A870" i="5"/>
  <c r="Y869" i="5"/>
  <c r="X869" i="5"/>
  <c r="W869" i="5"/>
  <c r="V869" i="5"/>
  <c r="U869" i="5"/>
  <c r="Z869" i="5" s="1"/>
  <c r="G869" i="5"/>
  <c r="F869" i="5"/>
  <c r="E869" i="5"/>
  <c r="D869" i="5"/>
  <c r="C869" i="5"/>
  <c r="B869" i="5"/>
  <c r="A869" i="5"/>
  <c r="Y868" i="5"/>
  <c r="X868" i="5"/>
  <c r="W868" i="5"/>
  <c r="V868" i="5"/>
  <c r="U868" i="5" s="1"/>
  <c r="Z868" i="5" s="1"/>
  <c r="G868" i="5"/>
  <c r="F868" i="5"/>
  <c r="E868" i="5"/>
  <c r="D868" i="5"/>
  <c r="C868" i="5"/>
  <c r="B868" i="5"/>
  <c r="A868" i="5"/>
  <c r="Z867" i="5"/>
  <c r="Y867" i="5"/>
  <c r="X867" i="5"/>
  <c r="W867" i="5"/>
  <c r="V867" i="5"/>
  <c r="U867" i="5"/>
  <c r="G867" i="5"/>
  <c r="F867" i="5"/>
  <c r="E867" i="5"/>
  <c r="D867" i="5"/>
  <c r="C867" i="5"/>
  <c r="B867" i="5"/>
  <c r="A867" i="5"/>
  <c r="Y866" i="5"/>
  <c r="X866" i="5"/>
  <c r="W866" i="5"/>
  <c r="V866" i="5"/>
  <c r="G866" i="5"/>
  <c r="F866" i="5"/>
  <c r="E866" i="5"/>
  <c r="D866" i="5"/>
  <c r="C866" i="5"/>
  <c r="B866" i="5"/>
  <c r="A866" i="5"/>
  <c r="Y865" i="5"/>
  <c r="X865" i="5"/>
  <c r="W865" i="5"/>
  <c r="U865" i="5" s="1"/>
  <c r="Z865" i="5" s="1"/>
  <c r="V865" i="5"/>
  <c r="G865" i="5"/>
  <c r="F865" i="5"/>
  <c r="E865" i="5"/>
  <c r="D865" i="5"/>
  <c r="C865" i="5"/>
  <c r="B865" i="5"/>
  <c r="A865" i="5"/>
  <c r="Y864" i="5"/>
  <c r="X864" i="5"/>
  <c r="W864" i="5"/>
  <c r="V864" i="5"/>
  <c r="U864" i="5" s="1"/>
  <c r="Z864" i="5" s="1"/>
  <c r="G864" i="5"/>
  <c r="F864" i="5"/>
  <c r="E864" i="5"/>
  <c r="D864" i="5"/>
  <c r="C864" i="5"/>
  <c r="B864" i="5"/>
  <c r="A864" i="5"/>
  <c r="Y863" i="5"/>
  <c r="X863" i="5"/>
  <c r="W863" i="5"/>
  <c r="U863" i="5" s="1"/>
  <c r="Z863" i="5" s="1"/>
  <c r="V863" i="5"/>
  <c r="G863" i="5"/>
  <c r="F863" i="5"/>
  <c r="E863" i="5"/>
  <c r="D863" i="5"/>
  <c r="C863" i="5"/>
  <c r="B863" i="5"/>
  <c r="A863" i="5"/>
  <c r="Y862" i="5"/>
  <c r="X862" i="5"/>
  <c r="W862" i="5"/>
  <c r="V862" i="5"/>
  <c r="U862" i="5" s="1"/>
  <c r="Z862" i="5" s="1"/>
  <c r="G862" i="5"/>
  <c r="F862" i="5"/>
  <c r="E862" i="5"/>
  <c r="D862" i="5"/>
  <c r="C862" i="5"/>
  <c r="B862" i="5"/>
  <c r="A862" i="5"/>
  <c r="Y861" i="5"/>
  <c r="X861" i="5"/>
  <c r="W861" i="5"/>
  <c r="V861" i="5"/>
  <c r="G861" i="5"/>
  <c r="F861" i="5"/>
  <c r="E861" i="5"/>
  <c r="D861" i="5"/>
  <c r="C861" i="5"/>
  <c r="B861" i="5"/>
  <c r="A861" i="5"/>
  <c r="Y860" i="5"/>
  <c r="X860" i="5"/>
  <c r="W860" i="5"/>
  <c r="V860" i="5"/>
  <c r="G860" i="5"/>
  <c r="F860" i="5"/>
  <c r="E860" i="5"/>
  <c r="D860" i="5"/>
  <c r="C860" i="5"/>
  <c r="B860" i="5"/>
  <c r="A860" i="5"/>
  <c r="Y859" i="5"/>
  <c r="X859" i="5"/>
  <c r="W859" i="5"/>
  <c r="V859" i="5"/>
  <c r="Z859" i="5" s="1"/>
  <c r="U859" i="5"/>
  <c r="G859" i="5"/>
  <c r="F859" i="5"/>
  <c r="E859" i="5"/>
  <c r="D859" i="5"/>
  <c r="C859" i="5"/>
  <c r="B859" i="5"/>
  <c r="A859" i="5"/>
  <c r="Y858" i="5"/>
  <c r="X858" i="5"/>
  <c r="W858" i="5"/>
  <c r="V858" i="5"/>
  <c r="G858" i="5"/>
  <c r="F858" i="5"/>
  <c r="E858" i="5"/>
  <c r="D858" i="5"/>
  <c r="C858" i="5"/>
  <c r="B858" i="5"/>
  <c r="A858" i="5"/>
  <c r="Y857" i="5"/>
  <c r="X857" i="5"/>
  <c r="W857" i="5"/>
  <c r="V857" i="5"/>
  <c r="Z857" i="5" s="1"/>
  <c r="U857" i="5"/>
  <c r="G857" i="5"/>
  <c r="F857" i="5"/>
  <c r="E857" i="5"/>
  <c r="D857" i="5"/>
  <c r="C857" i="5"/>
  <c r="B857" i="5"/>
  <c r="A857" i="5"/>
  <c r="Y856" i="5"/>
  <c r="X856" i="5"/>
  <c r="W856" i="5"/>
  <c r="V856" i="5"/>
  <c r="U856" i="5" s="1"/>
  <c r="Z856" i="5" s="1"/>
  <c r="G856" i="5"/>
  <c r="F856" i="5"/>
  <c r="E856" i="5"/>
  <c r="D856" i="5"/>
  <c r="C856" i="5"/>
  <c r="B856" i="5"/>
  <c r="A856" i="5"/>
  <c r="Y855" i="5"/>
  <c r="X855" i="5"/>
  <c r="W855" i="5"/>
  <c r="V855" i="5"/>
  <c r="G855" i="5"/>
  <c r="F855" i="5"/>
  <c r="E855" i="5"/>
  <c r="D855" i="5"/>
  <c r="C855" i="5"/>
  <c r="B855" i="5"/>
  <c r="A855" i="5"/>
  <c r="Y854" i="5"/>
  <c r="X854" i="5"/>
  <c r="W854" i="5"/>
  <c r="V854" i="5"/>
  <c r="U854" i="5" s="1"/>
  <c r="Z854" i="5" s="1"/>
  <c r="G854" i="5"/>
  <c r="F854" i="5"/>
  <c r="E854" i="5"/>
  <c r="D854" i="5"/>
  <c r="C854" i="5"/>
  <c r="B854" i="5"/>
  <c r="A854" i="5"/>
  <c r="Y853" i="5"/>
  <c r="X853" i="5"/>
  <c r="W853" i="5"/>
  <c r="U853" i="5" s="1"/>
  <c r="V853" i="5"/>
  <c r="G853" i="5"/>
  <c r="F853" i="5"/>
  <c r="E853" i="5"/>
  <c r="D853" i="5"/>
  <c r="C853" i="5"/>
  <c r="B853" i="5"/>
  <c r="A853" i="5"/>
  <c r="Y852" i="5"/>
  <c r="X852" i="5"/>
  <c r="W852" i="5"/>
  <c r="V852" i="5"/>
  <c r="U852" i="5" s="1"/>
  <c r="G852" i="5"/>
  <c r="F852" i="5"/>
  <c r="E852" i="5"/>
  <c r="D852" i="5"/>
  <c r="C852" i="5"/>
  <c r="B852" i="5"/>
  <c r="A852" i="5"/>
  <c r="Y851" i="5"/>
  <c r="X851" i="5"/>
  <c r="W851" i="5"/>
  <c r="V851" i="5"/>
  <c r="U851" i="5"/>
  <c r="Z851" i="5" s="1"/>
  <c r="G851" i="5"/>
  <c r="F851" i="5"/>
  <c r="E851" i="5"/>
  <c r="D851" i="5"/>
  <c r="C851" i="5"/>
  <c r="B851" i="5"/>
  <c r="A851" i="5"/>
  <c r="Y850" i="5"/>
  <c r="X850" i="5"/>
  <c r="W850" i="5"/>
  <c r="V850" i="5"/>
  <c r="U850" i="5" s="1"/>
  <c r="G850" i="5"/>
  <c r="F850" i="5"/>
  <c r="E850" i="5"/>
  <c r="D850" i="5"/>
  <c r="C850" i="5"/>
  <c r="B850" i="5"/>
  <c r="A850" i="5"/>
  <c r="Y849" i="5"/>
  <c r="X849" i="5"/>
  <c r="W849" i="5"/>
  <c r="V849" i="5"/>
  <c r="U849" i="5"/>
  <c r="Z849" i="5" s="1"/>
  <c r="G849" i="5"/>
  <c r="F849" i="5"/>
  <c r="E849" i="5"/>
  <c r="D849" i="5"/>
  <c r="C849" i="5"/>
  <c r="B849" i="5"/>
  <c r="A849" i="5"/>
  <c r="Y848" i="5"/>
  <c r="X848" i="5"/>
  <c r="W848" i="5"/>
  <c r="V848" i="5"/>
  <c r="U848" i="5" s="1"/>
  <c r="Z848" i="5" s="1"/>
  <c r="G848" i="5"/>
  <c r="F848" i="5"/>
  <c r="E848" i="5"/>
  <c r="D848" i="5"/>
  <c r="C848" i="5"/>
  <c r="B848" i="5"/>
  <c r="A848" i="5"/>
  <c r="Z847" i="5"/>
  <c r="Y847" i="5"/>
  <c r="X847" i="5"/>
  <c r="W847" i="5"/>
  <c r="V847" i="5"/>
  <c r="U847" i="5"/>
  <c r="G847" i="5"/>
  <c r="F847" i="5"/>
  <c r="E847" i="5"/>
  <c r="D847" i="5"/>
  <c r="C847" i="5"/>
  <c r="B847" i="5"/>
  <c r="A847" i="5"/>
  <c r="Y846" i="5"/>
  <c r="X846" i="5"/>
  <c r="W846" i="5"/>
  <c r="V846" i="5"/>
  <c r="G846" i="5"/>
  <c r="F846" i="5"/>
  <c r="E846" i="5"/>
  <c r="D846" i="5"/>
  <c r="C846" i="5"/>
  <c r="B846" i="5"/>
  <c r="A846" i="5"/>
  <c r="Y845" i="5"/>
  <c r="X845" i="5"/>
  <c r="W845" i="5"/>
  <c r="U845" i="5" s="1"/>
  <c r="Z845" i="5" s="1"/>
  <c r="V845" i="5"/>
  <c r="G845" i="5"/>
  <c r="F845" i="5"/>
  <c r="E845" i="5"/>
  <c r="D845" i="5"/>
  <c r="C845" i="5"/>
  <c r="B845" i="5"/>
  <c r="A845" i="5"/>
  <c r="Y844" i="5"/>
  <c r="X844" i="5"/>
  <c r="W844" i="5"/>
  <c r="V844" i="5"/>
  <c r="U844" i="5" s="1"/>
  <c r="Z844" i="5" s="1"/>
  <c r="G844" i="5"/>
  <c r="F844" i="5"/>
  <c r="E844" i="5"/>
  <c r="D844" i="5"/>
  <c r="C844" i="5"/>
  <c r="B844" i="5"/>
  <c r="A844" i="5"/>
  <c r="Y843" i="5"/>
  <c r="X843" i="5"/>
  <c r="W843" i="5"/>
  <c r="U843" i="5" s="1"/>
  <c r="Z843" i="5" s="1"/>
  <c r="V843" i="5"/>
  <c r="G843" i="5"/>
  <c r="F843" i="5"/>
  <c r="E843" i="5"/>
  <c r="D843" i="5"/>
  <c r="C843" i="5"/>
  <c r="B843" i="5"/>
  <c r="A843" i="5"/>
  <c r="Y842" i="5"/>
  <c r="X842" i="5"/>
  <c r="W842" i="5"/>
  <c r="V842" i="5"/>
  <c r="U842" i="5" s="1"/>
  <c r="Z842" i="5" s="1"/>
  <c r="G842" i="5"/>
  <c r="F842" i="5"/>
  <c r="E842" i="5"/>
  <c r="D842" i="5"/>
  <c r="C842" i="5"/>
  <c r="B842" i="5"/>
  <c r="A842" i="5"/>
  <c r="Y841" i="5"/>
  <c r="X841" i="5"/>
  <c r="W841" i="5"/>
  <c r="U841" i="5" s="1"/>
  <c r="V841" i="5"/>
  <c r="G841" i="5"/>
  <c r="F841" i="5"/>
  <c r="E841" i="5"/>
  <c r="D841" i="5"/>
  <c r="C841" i="5"/>
  <c r="B841" i="5"/>
  <c r="A841" i="5"/>
  <c r="Y840" i="5"/>
  <c r="X840" i="5"/>
  <c r="W840" i="5"/>
  <c r="V840" i="5"/>
  <c r="G840" i="5"/>
  <c r="F840" i="5"/>
  <c r="E840" i="5"/>
  <c r="D840" i="5"/>
  <c r="C840" i="5"/>
  <c r="B840" i="5"/>
  <c r="A840" i="5"/>
  <c r="Y839" i="5"/>
  <c r="X839" i="5"/>
  <c r="W839" i="5"/>
  <c r="V839" i="5"/>
  <c r="Z839" i="5" s="1"/>
  <c r="U839" i="5"/>
  <c r="G839" i="5"/>
  <c r="F839" i="5"/>
  <c r="E839" i="5"/>
  <c r="D839" i="5"/>
  <c r="C839" i="5"/>
  <c r="B839" i="5"/>
  <c r="A839" i="5"/>
  <c r="Y838" i="5"/>
  <c r="X838" i="5"/>
  <c r="W838" i="5"/>
  <c r="V838" i="5"/>
  <c r="G838" i="5"/>
  <c r="F838" i="5"/>
  <c r="E838" i="5"/>
  <c r="D838" i="5"/>
  <c r="C838" i="5"/>
  <c r="B838" i="5"/>
  <c r="A838" i="5"/>
  <c r="Y837" i="5"/>
  <c r="X837" i="5"/>
  <c r="W837" i="5"/>
  <c r="V837" i="5"/>
  <c r="Z837" i="5" s="1"/>
  <c r="U837" i="5"/>
  <c r="G837" i="5"/>
  <c r="F837" i="5"/>
  <c r="E837" i="5"/>
  <c r="D837" i="5"/>
  <c r="C837" i="5"/>
  <c r="B837" i="5"/>
  <c r="A837" i="5"/>
  <c r="Y836" i="5"/>
  <c r="X836" i="5"/>
  <c r="W836" i="5"/>
  <c r="V836" i="5"/>
  <c r="U836" i="5" s="1"/>
  <c r="Z836" i="5" s="1"/>
  <c r="G836" i="5"/>
  <c r="F836" i="5"/>
  <c r="E836" i="5"/>
  <c r="D836" i="5"/>
  <c r="C836" i="5"/>
  <c r="B836" i="5"/>
  <c r="A836" i="5"/>
  <c r="Y835" i="5"/>
  <c r="X835" i="5"/>
  <c r="W835" i="5"/>
  <c r="V835" i="5"/>
  <c r="G835" i="5"/>
  <c r="F835" i="5"/>
  <c r="E835" i="5"/>
  <c r="D835" i="5"/>
  <c r="C835" i="5"/>
  <c r="B835" i="5"/>
  <c r="A835" i="5"/>
  <c r="Y834" i="5"/>
  <c r="X834" i="5"/>
  <c r="W834" i="5"/>
  <c r="V834" i="5"/>
  <c r="U834" i="5" s="1"/>
  <c r="Z834" i="5" s="1"/>
  <c r="G834" i="5"/>
  <c r="F834" i="5"/>
  <c r="E834" i="5"/>
  <c r="D834" i="5"/>
  <c r="C834" i="5"/>
  <c r="B834" i="5"/>
  <c r="A834" i="5"/>
  <c r="Y833" i="5"/>
  <c r="X833" i="5"/>
  <c r="W833" i="5"/>
  <c r="U833" i="5" s="1"/>
  <c r="V833" i="5"/>
  <c r="G833" i="5"/>
  <c r="F833" i="5"/>
  <c r="E833" i="5"/>
  <c r="D833" i="5"/>
  <c r="C833" i="5"/>
  <c r="B833" i="5"/>
  <c r="A833" i="5"/>
  <c r="Y832" i="5"/>
  <c r="X832" i="5"/>
  <c r="W832" i="5"/>
  <c r="V832" i="5"/>
  <c r="U832" i="5" s="1"/>
  <c r="G832" i="5"/>
  <c r="F832" i="5"/>
  <c r="E832" i="5"/>
  <c r="D832" i="5"/>
  <c r="C832" i="5"/>
  <c r="B832" i="5"/>
  <c r="A832" i="5"/>
  <c r="Y831" i="5"/>
  <c r="X831" i="5"/>
  <c r="W831" i="5"/>
  <c r="V831" i="5"/>
  <c r="U831" i="5"/>
  <c r="Z831" i="5" s="1"/>
  <c r="G831" i="5"/>
  <c r="F831" i="5"/>
  <c r="E831" i="5"/>
  <c r="D831" i="5"/>
  <c r="C831" i="5"/>
  <c r="B831" i="5"/>
  <c r="A831" i="5"/>
  <c r="Y830" i="5"/>
  <c r="X830" i="5"/>
  <c r="W830" i="5"/>
  <c r="V830" i="5"/>
  <c r="U830" i="5" s="1"/>
  <c r="G830" i="5"/>
  <c r="F830" i="5"/>
  <c r="E830" i="5"/>
  <c r="D830" i="5"/>
  <c r="C830" i="5"/>
  <c r="B830" i="5"/>
  <c r="A830" i="5"/>
  <c r="Y829" i="5"/>
  <c r="X829" i="5"/>
  <c r="W829" i="5"/>
  <c r="V829" i="5"/>
  <c r="U829" i="5"/>
  <c r="Z829" i="5" s="1"/>
  <c r="G829" i="5"/>
  <c r="F829" i="5"/>
  <c r="E829" i="5"/>
  <c r="D829" i="5"/>
  <c r="C829" i="5"/>
  <c r="B829" i="5"/>
  <c r="A829" i="5"/>
  <c r="Y828" i="5"/>
  <c r="X828" i="5"/>
  <c r="U828" i="5" s="1"/>
  <c r="Z828" i="5" s="1"/>
  <c r="W828" i="5"/>
  <c r="V828" i="5"/>
  <c r="G828" i="5"/>
  <c r="F828" i="5"/>
  <c r="E828" i="5"/>
  <c r="D828" i="5"/>
  <c r="C828" i="5"/>
  <c r="B828" i="5"/>
  <c r="A828" i="5"/>
  <c r="Z827" i="5"/>
  <c r="Y827" i="5"/>
  <c r="X827" i="5"/>
  <c r="W827" i="5"/>
  <c r="V827" i="5"/>
  <c r="U827" i="5"/>
  <c r="G827" i="5"/>
  <c r="F827" i="5"/>
  <c r="E827" i="5"/>
  <c r="D827" i="5"/>
  <c r="C827" i="5"/>
  <c r="B827" i="5"/>
  <c r="A827" i="5"/>
  <c r="Y826" i="5"/>
  <c r="X826" i="5"/>
  <c r="W826" i="5"/>
  <c r="V826" i="5"/>
  <c r="G826" i="5"/>
  <c r="F826" i="5"/>
  <c r="E826" i="5"/>
  <c r="D826" i="5"/>
  <c r="C826" i="5"/>
  <c r="B826" i="5"/>
  <c r="A826" i="5"/>
  <c r="Y825" i="5"/>
  <c r="X825" i="5"/>
  <c r="W825" i="5"/>
  <c r="U825" i="5" s="1"/>
  <c r="Z825" i="5" s="1"/>
  <c r="V825" i="5"/>
  <c r="G825" i="5"/>
  <c r="F825" i="5"/>
  <c r="E825" i="5"/>
  <c r="D825" i="5"/>
  <c r="C825" i="5"/>
  <c r="B825" i="5"/>
  <c r="A825" i="5"/>
  <c r="Y824" i="5"/>
  <c r="X824" i="5"/>
  <c r="W824" i="5"/>
  <c r="V824" i="5"/>
  <c r="U824" i="5" s="1"/>
  <c r="Z824" i="5" s="1"/>
  <c r="G824" i="5"/>
  <c r="F824" i="5"/>
  <c r="E824" i="5"/>
  <c r="D824" i="5"/>
  <c r="C824" i="5"/>
  <c r="B824" i="5"/>
  <c r="A824" i="5"/>
  <c r="Y823" i="5"/>
  <c r="X823" i="5"/>
  <c r="W823" i="5"/>
  <c r="U823" i="5" s="1"/>
  <c r="Z823" i="5" s="1"/>
  <c r="V823" i="5"/>
  <c r="G823" i="5"/>
  <c r="F823" i="5"/>
  <c r="E823" i="5"/>
  <c r="D823" i="5"/>
  <c r="C823" i="5"/>
  <c r="B823" i="5"/>
  <c r="A823" i="5"/>
  <c r="Y822" i="5"/>
  <c r="X822" i="5"/>
  <c r="W822" i="5"/>
  <c r="V822" i="5"/>
  <c r="U822" i="5" s="1"/>
  <c r="Z822" i="5" s="1"/>
  <c r="G822" i="5"/>
  <c r="F822" i="5"/>
  <c r="E822" i="5"/>
  <c r="D822" i="5"/>
  <c r="C822" i="5"/>
  <c r="B822" i="5"/>
  <c r="A822" i="5"/>
  <c r="Y821" i="5"/>
  <c r="X821" i="5"/>
  <c r="W821" i="5"/>
  <c r="U821" i="5" s="1"/>
  <c r="V821" i="5"/>
  <c r="G821" i="5"/>
  <c r="F821" i="5"/>
  <c r="E821" i="5"/>
  <c r="D821" i="5"/>
  <c r="C821" i="5"/>
  <c r="B821" i="5"/>
  <c r="A821" i="5"/>
  <c r="Y820" i="5"/>
  <c r="X820" i="5"/>
  <c r="W820" i="5"/>
  <c r="V820" i="5"/>
  <c r="G820" i="5"/>
  <c r="F820" i="5"/>
  <c r="E820" i="5"/>
  <c r="D820" i="5"/>
  <c r="C820" i="5"/>
  <c r="B820" i="5"/>
  <c r="A820" i="5"/>
  <c r="Y819" i="5"/>
  <c r="X819" i="5"/>
  <c r="W819" i="5"/>
  <c r="V819" i="5"/>
  <c r="Z819" i="5" s="1"/>
  <c r="U819" i="5"/>
  <c r="G819" i="5"/>
  <c r="F819" i="5"/>
  <c r="E819" i="5"/>
  <c r="D819" i="5"/>
  <c r="C819" i="5"/>
  <c r="B819" i="5"/>
  <c r="A819" i="5"/>
  <c r="Y818" i="5"/>
  <c r="X818" i="5"/>
  <c r="W818" i="5"/>
  <c r="V818" i="5"/>
  <c r="G818" i="5"/>
  <c r="F818" i="5"/>
  <c r="E818" i="5"/>
  <c r="D818" i="5"/>
  <c r="C818" i="5"/>
  <c r="B818" i="5"/>
  <c r="A818" i="5"/>
  <c r="Y817" i="5"/>
  <c r="X817" i="5"/>
  <c r="W817" i="5"/>
  <c r="V817" i="5"/>
  <c r="Z817" i="5" s="1"/>
  <c r="U817" i="5"/>
  <c r="G817" i="5"/>
  <c r="F817" i="5"/>
  <c r="E817" i="5"/>
  <c r="D817" i="5"/>
  <c r="C817" i="5"/>
  <c r="B817" i="5"/>
  <c r="A817" i="5"/>
  <c r="Y816" i="5"/>
  <c r="X816" i="5"/>
  <c r="W816" i="5"/>
  <c r="V816" i="5"/>
  <c r="U816" i="5" s="1"/>
  <c r="Z816" i="5" s="1"/>
  <c r="G816" i="5"/>
  <c r="F816" i="5"/>
  <c r="E816" i="5"/>
  <c r="D816" i="5"/>
  <c r="C816" i="5"/>
  <c r="B816" i="5"/>
  <c r="A816" i="5"/>
  <c r="Y815" i="5"/>
  <c r="X815" i="5"/>
  <c r="W815" i="5"/>
  <c r="V815" i="5"/>
  <c r="G815" i="5"/>
  <c r="F815" i="5"/>
  <c r="E815" i="5"/>
  <c r="D815" i="5"/>
  <c r="C815" i="5"/>
  <c r="B815" i="5"/>
  <c r="A815" i="5"/>
  <c r="Y814" i="5"/>
  <c r="X814" i="5"/>
  <c r="W814" i="5"/>
  <c r="V814" i="5"/>
  <c r="U814" i="5" s="1"/>
  <c r="Z814" i="5" s="1"/>
  <c r="G814" i="5"/>
  <c r="F814" i="5"/>
  <c r="E814" i="5"/>
  <c r="D814" i="5"/>
  <c r="C814" i="5"/>
  <c r="B814" i="5"/>
  <c r="A814" i="5"/>
  <c r="Y813" i="5"/>
  <c r="X813" i="5"/>
  <c r="W813" i="5"/>
  <c r="U813" i="5" s="1"/>
  <c r="V813" i="5"/>
  <c r="Z813" i="5" s="1"/>
  <c r="G813" i="5"/>
  <c r="F813" i="5"/>
  <c r="E813" i="5"/>
  <c r="D813" i="5"/>
  <c r="C813" i="5"/>
  <c r="B813" i="5"/>
  <c r="A813" i="5"/>
  <c r="Y812" i="5"/>
  <c r="X812" i="5"/>
  <c r="W812" i="5"/>
  <c r="V812" i="5"/>
  <c r="U812" i="5" s="1"/>
  <c r="G812" i="5"/>
  <c r="F812" i="5"/>
  <c r="E812" i="5"/>
  <c r="D812" i="5"/>
  <c r="C812" i="5"/>
  <c r="B812" i="5"/>
  <c r="A812" i="5"/>
  <c r="Y811" i="5"/>
  <c r="X811" i="5"/>
  <c r="W811" i="5"/>
  <c r="V811" i="5"/>
  <c r="U811" i="5"/>
  <c r="Z811" i="5" s="1"/>
  <c r="G811" i="5"/>
  <c r="F811" i="5"/>
  <c r="E811" i="5"/>
  <c r="D811" i="5"/>
  <c r="C811" i="5"/>
  <c r="B811" i="5"/>
  <c r="A811" i="5"/>
  <c r="Y810" i="5"/>
  <c r="X810" i="5"/>
  <c r="W810" i="5"/>
  <c r="V810" i="5"/>
  <c r="U810" i="5" s="1"/>
  <c r="G810" i="5"/>
  <c r="F810" i="5"/>
  <c r="E810" i="5"/>
  <c r="D810" i="5"/>
  <c r="C810" i="5"/>
  <c r="B810" i="5"/>
  <c r="A810" i="5"/>
  <c r="Y809" i="5"/>
  <c r="X809" i="5"/>
  <c r="W809" i="5"/>
  <c r="V809" i="5"/>
  <c r="U809" i="5"/>
  <c r="Z809" i="5" s="1"/>
  <c r="G809" i="5"/>
  <c r="F809" i="5"/>
  <c r="E809" i="5"/>
  <c r="D809" i="5"/>
  <c r="C809" i="5"/>
  <c r="B809" i="5"/>
  <c r="A809" i="5"/>
  <c r="Y808" i="5"/>
  <c r="X808" i="5"/>
  <c r="U808" i="5" s="1"/>
  <c r="Z808" i="5" s="1"/>
  <c r="W808" i="5"/>
  <c r="V808" i="5"/>
  <c r="G808" i="5"/>
  <c r="F808" i="5"/>
  <c r="E808" i="5"/>
  <c r="D808" i="5"/>
  <c r="C808" i="5"/>
  <c r="B808" i="5"/>
  <c r="A808" i="5"/>
  <c r="Z807" i="5"/>
  <c r="Y807" i="5"/>
  <c r="X807" i="5"/>
  <c r="W807" i="5"/>
  <c r="V807" i="5"/>
  <c r="U807" i="5"/>
  <c r="G807" i="5"/>
  <c r="F807" i="5"/>
  <c r="E807" i="5"/>
  <c r="D807" i="5"/>
  <c r="C807" i="5"/>
  <c r="B807" i="5"/>
  <c r="A807" i="5"/>
  <c r="Y806" i="5"/>
  <c r="X806" i="5"/>
  <c r="W806" i="5"/>
  <c r="V806" i="5"/>
  <c r="G806" i="5"/>
  <c r="F806" i="5"/>
  <c r="E806" i="5"/>
  <c r="D806" i="5"/>
  <c r="C806" i="5"/>
  <c r="B806" i="5"/>
  <c r="A806" i="5"/>
  <c r="Y805" i="5"/>
  <c r="X805" i="5"/>
  <c r="W805" i="5"/>
  <c r="U805" i="5" s="1"/>
  <c r="Z805" i="5" s="1"/>
  <c r="V805" i="5"/>
  <c r="G805" i="5"/>
  <c r="F805" i="5"/>
  <c r="E805" i="5"/>
  <c r="D805" i="5"/>
  <c r="C805" i="5"/>
  <c r="B805" i="5"/>
  <c r="A805" i="5"/>
  <c r="Z804" i="5"/>
  <c r="Y804" i="5"/>
  <c r="X804" i="5"/>
  <c r="W804" i="5"/>
  <c r="V804" i="5"/>
  <c r="U804" i="5" s="1"/>
  <c r="G804" i="5"/>
  <c r="F804" i="5"/>
  <c r="E804" i="5"/>
  <c r="D804" i="5"/>
  <c r="C804" i="5"/>
  <c r="B804" i="5"/>
  <c r="A804" i="5"/>
  <c r="Y803" i="5"/>
  <c r="X803" i="5"/>
  <c r="W803" i="5"/>
  <c r="U803" i="5" s="1"/>
  <c r="Z803" i="5" s="1"/>
  <c r="V803" i="5"/>
  <c r="G803" i="5"/>
  <c r="F803" i="5"/>
  <c r="E803" i="5"/>
  <c r="D803" i="5"/>
  <c r="C803" i="5"/>
  <c r="B803" i="5"/>
  <c r="A803" i="5"/>
  <c r="Y802" i="5"/>
  <c r="X802" i="5"/>
  <c r="W802" i="5"/>
  <c r="V802" i="5"/>
  <c r="U802" i="5" s="1"/>
  <c r="Z802" i="5" s="1"/>
  <c r="G802" i="5"/>
  <c r="F802" i="5"/>
  <c r="E802" i="5"/>
  <c r="D802" i="5"/>
  <c r="C802" i="5"/>
  <c r="B802" i="5"/>
  <c r="A802" i="5"/>
  <c r="Y801" i="5"/>
  <c r="X801" i="5"/>
  <c r="W801" i="5"/>
  <c r="U801" i="5" s="1"/>
  <c r="V801" i="5"/>
  <c r="G801" i="5"/>
  <c r="F801" i="5"/>
  <c r="E801" i="5"/>
  <c r="D801" i="5"/>
  <c r="C801" i="5"/>
  <c r="B801" i="5"/>
  <c r="A801" i="5"/>
  <c r="Y800" i="5"/>
  <c r="X800" i="5"/>
  <c r="W800" i="5"/>
  <c r="V800" i="5"/>
  <c r="G800" i="5"/>
  <c r="F800" i="5"/>
  <c r="E800" i="5"/>
  <c r="D800" i="5"/>
  <c r="C800" i="5"/>
  <c r="B800" i="5"/>
  <c r="A800" i="5"/>
  <c r="Y799" i="5"/>
  <c r="X799" i="5"/>
  <c r="W799" i="5"/>
  <c r="V799" i="5"/>
  <c r="Z799" i="5" s="1"/>
  <c r="U799" i="5"/>
  <c r="G799" i="5"/>
  <c r="F799" i="5"/>
  <c r="E799" i="5"/>
  <c r="D799" i="5"/>
  <c r="C799" i="5"/>
  <c r="B799" i="5"/>
  <c r="A799" i="5"/>
  <c r="Y798" i="5"/>
  <c r="X798" i="5"/>
  <c r="W798" i="5"/>
  <c r="V798" i="5"/>
  <c r="G798" i="5"/>
  <c r="F798" i="5"/>
  <c r="E798" i="5"/>
  <c r="D798" i="5"/>
  <c r="C798" i="5"/>
  <c r="B798" i="5"/>
  <c r="A798" i="5"/>
  <c r="Y797" i="5"/>
  <c r="X797" i="5"/>
  <c r="W797" i="5"/>
  <c r="V797" i="5"/>
  <c r="Z797" i="5" s="1"/>
  <c r="U797" i="5"/>
  <c r="G797" i="5"/>
  <c r="F797" i="5"/>
  <c r="E797" i="5"/>
  <c r="D797" i="5"/>
  <c r="C797" i="5"/>
  <c r="B797" i="5"/>
  <c r="A797" i="5"/>
  <c r="Y796" i="5"/>
  <c r="X796" i="5"/>
  <c r="W796" i="5"/>
  <c r="V796" i="5"/>
  <c r="U796" i="5" s="1"/>
  <c r="Z796" i="5" s="1"/>
  <c r="G796" i="5"/>
  <c r="F796" i="5"/>
  <c r="E796" i="5"/>
  <c r="D796" i="5"/>
  <c r="C796" i="5"/>
  <c r="B796" i="5"/>
  <c r="A796" i="5"/>
  <c r="Y795" i="5"/>
  <c r="X795" i="5"/>
  <c r="W795" i="5"/>
  <c r="V795" i="5"/>
  <c r="G795" i="5"/>
  <c r="F795" i="5"/>
  <c r="E795" i="5"/>
  <c r="D795" i="5"/>
  <c r="C795" i="5"/>
  <c r="B795" i="5"/>
  <c r="A795" i="5"/>
  <c r="Y794" i="5"/>
  <c r="X794" i="5"/>
  <c r="W794" i="5"/>
  <c r="V794" i="5"/>
  <c r="U794" i="5" s="1"/>
  <c r="Z794" i="5" s="1"/>
  <c r="G794" i="5"/>
  <c r="F794" i="5"/>
  <c r="E794" i="5"/>
  <c r="D794" i="5"/>
  <c r="C794" i="5"/>
  <c r="B794" i="5"/>
  <c r="A794" i="5"/>
  <c r="Y793" i="5"/>
  <c r="X793" i="5"/>
  <c r="W793" i="5"/>
  <c r="U793" i="5" s="1"/>
  <c r="V793" i="5"/>
  <c r="G793" i="5"/>
  <c r="F793" i="5"/>
  <c r="E793" i="5"/>
  <c r="D793" i="5"/>
  <c r="C793" i="5"/>
  <c r="B793" i="5"/>
  <c r="A793" i="5"/>
  <c r="Y792" i="5"/>
  <c r="X792" i="5"/>
  <c r="W792" i="5"/>
  <c r="V792" i="5"/>
  <c r="U792" i="5"/>
  <c r="G792" i="5"/>
  <c r="F792" i="5"/>
  <c r="E792" i="5"/>
  <c r="D792" i="5"/>
  <c r="C792" i="5"/>
  <c r="B792" i="5"/>
  <c r="A792" i="5"/>
  <c r="Y791" i="5"/>
  <c r="X791" i="5"/>
  <c r="W791" i="5"/>
  <c r="V791" i="5"/>
  <c r="U791" i="5"/>
  <c r="Z791" i="5" s="1"/>
  <c r="G791" i="5"/>
  <c r="F791" i="5"/>
  <c r="E791" i="5"/>
  <c r="D791" i="5"/>
  <c r="C791" i="5"/>
  <c r="B791" i="5"/>
  <c r="A791" i="5"/>
  <c r="Y790" i="5"/>
  <c r="X790" i="5"/>
  <c r="W790" i="5"/>
  <c r="V790" i="5"/>
  <c r="U790" i="5" s="1"/>
  <c r="G790" i="5"/>
  <c r="F790" i="5"/>
  <c r="E790" i="5"/>
  <c r="D790" i="5"/>
  <c r="C790" i="5"/>
  <c r="B790" i="5"/>
  <c r="A790" i="5"/>
  <c r="Y789" i="5"/>
  <c r="X789" i="5"/>
  <c r="W789" i="5"/>
  <c r="V789" i="5"/>
  <c r="U789" i="5"/>
  <c r="Z789" i="5" s="1"/>
  <c r="G789" i="5"/>
  <c r="F789" i="5"/>
  <c r="E789" i="5"/>
  <c r="D789" i="5"/>
  <c r="C789" i="5"/>
  <c r="B789" i="5"/>
  <c r="A789" i="5"/>
  <c r="Y788" i="5"/>
  <c r="X788" i="5"/>
  <c r="U788" i="5" s="1"/>
  <c r="Z788" i="5" s="1"/>
  <c r="W788" i="5"/>
  <c r="V788" i="5"/>
  <c r="G788" i="5"/>
  <c r="F788" i="5"/>
  <c r="E788" i="5"/>
  <c r="D788" i="5"/>
  <c r="C788" i="5"/>
  <c r="B788" i="5"/>
  <c r="A788" i="5"/>
  <c r="Z787" i="5"/>
  <c r="Y787" i="5"/>
  <c r="X787" i="5"/>
  <c r="W787" i="5"/>
  <c r="V787" i="5"/>
  <c r="U787" i="5"/>
  <c r="G787" i="5"/>
  <c r="F787" i="5"/>
  <c r="E787" i="5"/>
  <c r="D787" i="5"/>
  <c r="C787" i="5"/>
  <c r="B787" i="5"/>
  <c r="A787" i="5"/>
  <c r="Y786" i="5"/>
  <c r="X786" i="5"/>
  <c r="W786" i="5"/>
  <c r="V786" i="5"/>
  <c r="G786" i="5"/>
  <c r="F786" i="5"/>
  <c r="E786" i="5"/>
  <c r="D786" i="5"/>
  <c r="C786" i="5"/>
  <c r="B786" i="5"/>
  <c r="A786" i="5"/>
  <c r="Y785" i="5"/>
  <c r="X785" i="5"/>
  <c r="W785" i="5"/>
  <c r="U785" i="5" s="1"/>
  <c r="Z785" i="5" s="1"/>
  <c r="V785" i="5"/>
  <c r="G785" i="5"/>
  <c r="F785" i="5"/>
  <c r="E785" i="5"/>
  <c r="D785" i="5"/>
  <c r="C785" i="5"/>
  <c r="B785" i="5"/>
  <c r="A785" i="5"/>
  <c r="Z784" i="5"/>
  <c r="Y784" i="5"/>
  <c r="X784" i="5"/>
  <c r="W784" i="5"/>
  <c r="V784" i="5"/>
  <c r="U784" i="5" s="1"/>
  <c r="G784" i="5"/>
  <c r="F784" i="5"/>
  <c r="E784" i="5"/>
  <c r="D784" i="5"/>
  <c r="C784" i="5"/>
  <c r="B784" i="5"/>
  <c r="A784" i="5"/>
  <c r="Y783" i="5"/>
  <c r="X783" i="5"/>
  <c r="W783" i="5"/>
  <c r="U783" i="5" s="1"/>
  <c r="Z783" i="5" s="1"/>
  <c r="V783" i="5"/>
  <c r="G783" i="5"/>
  <c r="F783" i="5"/>
  <c r="E783" i="5"/>
  <c r="D783" i="5"/>
  <c r="C783" i="5"/>
  <c r="B783" i="5"/>
  <c r="A783" i="5"/>
  <c r="Y782" i="5"/>
  <c r="X782" i="5"/>
  <c r="W782" i="5"/>
  <c r="V782" i="5"/>
  <c r="U782" i="5" s="1"/>
  <c r="Z782" i="5" s="1"/>
  <c r="G782" i="5"/>
  <c r="F782" i="5"/>
  <c r="E782" i="5"/>
  <c r="D782" i="5"/>
  <c r="C782" i="5"/>
  <c r="B782" i="5"/>
  <c r="A782" i="5"/>
  <c r="Y781" i="5"/>
  <c r="X781" i="5"/>
  <c r="W781" i="5"/>
  <c r="V781" i="5"/>
  <c r="G781" i="5"/>
  <c r="F781" i="5"/>
  <c r="E781" i="5"/>
  <c r="D781" i="5"/>
  <c r="C781" i="5"/>
  <c r="B781" i="5"/>
  <c r="A781" i="5"/>
  <c r="Y780" i="5"/>
  <c r="X780" i="5"/>
  <c r="W780" i="5"/>
  <c r="V780" i="5"/>
  <c r="G780" i="5"/>
  <c r="F780" i="5"/>
  <c r="E780" i="5"/>
  <c r="D780" i="5"/>
  <c r="C780" i="5"/>
  <c r="B780" i="5"/>
  <c r="A780" i="5"/>
  <c r="Y779" i="5"/>
  <c r="X779" i="5"/>
  <c r="W779" i="5"/>
  <c r="V779" i="5"/>
  <c r="Z779" i="5" s="1"/>
  <c r="U779" i="5"/>
  <c r="G779" i="5"/>
  <c r="F779" i="5"/>
  <c r="E779" i="5"/>
  <c r="D779" i="5"/>
  <c r="C779" i="5"/>
  <c r="B779" i="5"/>
  <c r="A779" i="5"/>
  <c r="Y778" i="5"/>
  <c r="X778" i="5"/>
  <c r="W778" i="5"/>
  <c r="V778" i="5"/>
  <c r="U778" i="5" s="1"/>
  <c r="G778" i="5"/>
  <c r="F778" i="5"/>
  <c r="E778" i="5"/>
  <c r="D778" i="5"/>
  <c r="C778" i="5"/>
  <c r="B778" i="5"/>
  <c r="A778" i="5"/>
  <c r="Y777" i="5"/>
  <c r="X777" i="5"/>
  <c r="W777" i="5"/>
  <c r="V777" i="5"/>
  <c r="Z777" i="5" s="1"/>
  <c r="U777" i="5"/>
  <c r="G777" i="5"/>
  <c r="F777" i="5"/>
  <c r="E777" i="5"/>
  <c r="D777" i="5"/>
  <c r="C777" i="5"/>
  <c r="B777" i="5"/>
  <c r="A777" i="5"/>
  <c r="Y776" i="5"/>
  <c r="X776" i="5"/>
  <c r="W776" i="5"/>
  <c r="V776" i="5"/>
  <c r="U776" i="5" s="1"/>
  <c r="Z776" i="5" s="1"/>
  <c r="G776" i="5"/>
  <c r="F776" i="5"/>
  <c r="E776" i="5"/>
  <c r="D776" i="5"/>
  <c r="C776" i="5"/>
  <c r="B776" i="5"/>
  <c r="A776" i="5"/>
  <c r="Y775" i="5"/>
  <c r="X775" i="5"/>
  <c r="W775" i="5"/>
  <c r="V775" i="5"/>
  <c r="G775" i="5"/>
  <c r="F775" i="5"/>
  <c r="E775" i="5"/>
  <c r="D775" i="5"/>
  <c r="C775" i="5"/>
  <c r="B775" i="5"/>
  <c r="A775" i="5"/>
  <c r="Y774" i="5"/>
  <c r="X774" i="5"/>
  <c r="W774" i="5"/>
  <c r="V774" i="5"/>
  <c r="U774" i="5" s="1"/>
  <c r="Z774" i="5" s="1"/>
  <c r="G774" i="5"/>
  <c r="F774" i="5"/>
  <c r="E774" i="5"/>
  <c r="D774" i="5"/>
  <c r="C774" i="5"/>
  <c r="B774" i="5"/>
  <c r="A774" i="5"/>
  <c r="Y773" i="5"/>
  <c r="X773" i="5"/>
  <c r="W773" i="5"/>
  <c r="U773" i="5" s="1"/>
  <c r="V773" i="5"/>
  <c r="G773" i="5"/>
  <c r="F773" i="5"/>
  <c r="E773" i="5"/>
  <c r="D773" i="5"/>
  <c r="C773" i="5"/>
  <c r="B773" i="5"/>
  <c r="A773" i="5"/>
  <c r="Y772" i="5"/>
  <c r="X772" i="5"/>
  <c r="W772" i="5"/>
  <c r="V772" i="5"/>
  <c r="U772" i="5" s="1"/>
  <c r="G772" i="5"/>
  <c r="F772" i="5"/>
  <c r="E772" i="5"/>
  <c r="D772" i="5"/>
  <c r="C772" i="5"/>
  <c r="B772" i="5"/>
  <c r="A772" i="5"/>
  <c r="Y771" i="5"/>
  <c r="X771" i="5"/>
  <c r="W771" i="5"/>
  <c r="V771" i="5"/>
  <c r="U771" i="5"/>
  <c r="Z771" i="5" s="1"/>
  <c r="G771" i="5"/>
  <c r="F771" i="5"/>
  <c r="E771" i="5"/>
  <c r="D771" i="5"/>
  <c r="C771" i="5"/>
  <c r="B771" i="5"/>
  <c r="A771" i="5"/>
  <c r="Y770" i="5"/>
  <c r="X770" i="5"/>
  <c r="W770" i="5"/>
  <c r="V770" i="5"/>
  <c r="U770" i="5" s="1"/>
  <c r="G770" i="5"/>
  <c r="F770" i="5"/>
  <c r="E770" i="5"/>
  <c r="D770" i="5"/>
  <c r="C770" i="5"/>
  <c r="B770" i="5"/>
  <c r="A770" i="5"/>
  <c r="Y769" i="5"/>
  <c r="X769" i="5"/>
  <c r="W769" i="5"/>
  <c r="V769" i="5"/>
  <c r="U769" i="5"/>
  <c r="Z769" i="5" s="1"/>
  <c r="G769" i="5"/>
  <c r="F769" i="5"/>
  <c r="E769" i="5"/>
  <c r="D769" i="5"/>
  <c r="C769" i="5"/>
  <c r="B769" i="5"/>
  <c r="A769" i="5"/>
  <c r="Y768" i="5"/>
  <c r="X768" i="5"/>
  <c r="U768" i="5" s="1"/>
  <c r="Z768" i="5" s="1"/>
  <c r="W768" i="5"/>
  <c r="V768" i="5"/>
  <c r="G768" i="5"/>
  <c r="F768" i="5"/>
  <c r="E768" i="5"/>
  <c r="D768" i="5"/>
  <c r="C768" i="5"/>
  <c r="B768" i="5"/>
  <c r="A768" i="5"/>
  <c r="Z767" i="5"/>
  <c r="Y767" i="5"/>
  <c r="X767" i="5"/>
  <c r="W767" i="5"/>
  <c r="V767" i="5"/>
  <c r="U767" i="5"/>
  <c r="G767" i="5"/>
  <c r="F767" i="5"/>
  <c r="E767" i="5"/>
  <c r="D767" i="5"/>
  <c r="C767" i="5"/>
  <c r="B767" i="5"/>
  <c r="A767" i="5"/>
  <c r="Y766" i="5"/>
  <c r="X766" i="5"/>
  <c r="W766" i="5"/>
  <c r="V766" i="5"/>
  <c r="G766" i="5"/>
  <c r="F766" i="5"/>
  <c r="E766" i="5"/>
  <c r="D766" i="5"/>
  <c r="C766" i="5"/>
  <c r="B766" i="5"/>
  <c r="A766" i="5"/>
  <c r="Y765" i="5"/>
  <c r="X765" i="5"/>
  <c r="W765" i="5"/>
  <c r="U765" i="5" s="1"/>
  <c r="Z765" i="5" s="1"/>
  <c r="V765" i="5"/>
  <c r="G765" i="5"/>
  <c r="F765" i="5"/>
  <c r="E765" i="5"/>
  <c r="D765" i="5"/>
  <c r="C765" i="5"/>
  <c r="B765" i="5"/>
  <c r="A765" i="5"/>
  <c r="Y764" i="5"/>
  <c r="X764" i="5"/>
  <c r="W764" i="5"/>
  <c r="V764" i="5"/>
  <c r="U764" i="5" s="1"/>
  <c r="Z764" i="5" s="1"/>
  <c r="G764" i="5"/>
  <c r="F764" i="5"/>
  <c r="E764" i="5"/>
  <c r="D764" i="5"/>
  <c r="C764" i="5"/>
  <c r="B764" i="5"/>
  <c r="A764" i="5"/>
  <c r="Y763" i="5"/>
  <c r="X763" i="5"/>
  <c r="W763" i="5"/>
  <c r="U763" i="5" s="1"/>
  <c r="Z763" i="5" s="1"/>
  <c r="V763" i="5"/>
  <c r="G763" i="5"/>
  <c r="F763" i="5"/>
  <c r="E763" i="5"/>
  <c r="D763" i="5"/>
  <c r="C763" i="5"/>
  <c r="B763" i="5"/>
  <c r="A763" i="5"/>
  <c r="Y762" i="5"/>
  <c r="X762" i="5"/>
  <c r="W762" i="5"/>
  <c r="V762" i="5"/>
  <c r="U762" i="5" s="1"/>
  <c r="Z762" i="5" s="1"/>
  <c r="G762" i="5"/>
  <c r="F762" i="5"/>
  <c r="E762" i="5"/>
  <c r="D762" i="5"/>
  <c r="C762" i="5"/>
  <c r="B762" i="5"/>
  <c r="A762" i="5"/>
  <c r="Y761" i="5"/>
  <c r="X761" i="5"/>
  <c r="W761" i="5"/>
  <c r="V761" i="5"/>
  <c r="G761" i="5"/>
  <c r="F761" i="5"/>
  <c r="E761" i="5"/>
  <c r="D761" i="5"/>
  <c r="C761" i="5"/>
  <c r="B761" i="5"/>
  <c r="A761" i="5"/>
  <c r="Y760" i="5"/>
  <c r="X760" i="5"/>
  <c r="W760" i="5"/>
  <c r="V760" i="5"/>
  <c r="G760" i="5"/>
  <c r="F760" i="5"/>
  <c r="E760" i="5"/>
  <c r="D760" i="5"/>
  <c r="C760" i="5"/>
  <c r="B760" i="5"/>
  <c r="A760" i="5"/>
  <c r="Y759" i="5"/>
  <c r="X759" i="5"/>
  <c r="W759" i="5"/>
  <c r="V759" i="5"/>
  <c r="Z759" i="5" s="1"/>
  <c r="U759" i="5"/>
  <c r="G759" i="5"/>
  <c r="F759" i="5"/>
  <c r="E759" i="5"/>
  <c r="D759" i="5"/>
  <c r="C759" i="5"/>
  <c r="B759" i="5"/>
  <c r="A759" i="5"/>
  <c r="Y758" i="5"/>
  <c r="X758" i="5"/>
  <c r="W758" i="5"/>
  <c r="V758" i="5"/>
  <c r="G758" i="5"/>
  <c r="F758" i="5"/>
  <c r="E758" i="5"/>
  <c r="D758" i="5"/>
  <c r="C758" i="5"/>
  <c r="B758" i="5"/>
  <c r="A758" i="5"/>
  <c r="Y757" i="5"/>
  <c r="X757" i="5"/>
  <c r="W757" i="5"/>
  <c r="V757" i="5"/>
  <c r="Z757" i="5" s="1"/>
  <c r="U757" i="5"/>
  <c r="G757" i="5"/>
  <c r="F757" i="5"/>
  <c r="E757" i="5"/>
  <c r="D757" i="5"/>
  <c r="C757" i="5"/>
  <c r="B757" i="5"/>
  <c r="A757" i="5"/>
  <c r="Y756" i="5"/>
  <c r="X756" i="5"/>
  <c r="W756" i="5"/>
  <c r="V756" i="5"/>
  <c r="U756" i="5" s="1"/>
  <c r="Z756" i="5" s="1"/>
  <c r="G756" i="5"/>
  <c r="F756" i="5"/>
  <c r="E756" i="5"/>
  <c r="D756" i="5"/>
  <c r="C756" i="5"/>
  <c r="B756" i="5"/>
  <c r="A756" i="5"/>
  <c r="Y755" i="5"/>
  <c r="X755" i="5"/>
  <c r="W755" i="5"/>
  <c r="V755" i="5"/>
  <c r="G755" i="5"/>
  <c r="F755" i="5"/>
  <c r="E755" i="5"/>
  <c r="D755" i="5"/>
  <c r="C755" i="5"/>
  <c r="B755" i="5"/>
  <c r="A755" i="5"/>
  <c r="Y754" i="5"/>
  <c r="X754" i="5"/>
  <c r="W754" i="5"/>
  <c r="V754" i="5"/>
  <c r="U754" i="5" s="1"/>
  <c r="Z754" i="5" s="1"/>
  <c r="G754" i="5"/>
  <c r="F754" i="5"/>
  <c r="E754" i="5"/>
  <c r="D754" i="5"/>
  <c r="C754" i="5"/>
  <c r="B754" i="5"/>
  <c r="A754" i="5"/>
  <c r="Y753" i="5"/>
  <c r="X753" i="5"/>
  <c r="W753" i="5"/>
  <c r="U753" i="5" s="1"/>
  <c r="V753" i="5"/>
  <c r="G753" i="5"/>
  <c r="F753" i="5"/>
  <c r="E753" i="5"/>
  <c r="D753" i="5"/>
  <c r="C753" i="5"/>
  <c r="B753" i="5"/>
  <c r="A753" i="5"/>
  <c r="Y752" i="5"/>
  <c r="X752" i="5"/>
  <c r="W752" i="5"/>
  <c r="V752" i="5"/>
  <c r="U752" i="5" s="1"/>
  <c r="G752" i="5"/>
  <c r="F752" i="5"/>
  <c r="E752" i="5"/>
  <c r="D752" i="5"/>
  <c r="C752" i="5"/>
  <c r="B752" i="5"/>
  <c r="A752" i="5"/>
  <c r="Y751" i="5"/>
  <c r="X751" i="5"/>
  <c r="W751" i="5"/>
  <c r="V751" i="5"/>
  <c r="U751" i="5"/>
  <c r="Z751" i="5" s="1"/>
  <c r="G751" i="5"/>
  <c r="F751" i="5"/>
  <c r="E751" i="5"/>
  <c r="D751" i="5"/>
  <c r="C751" i="5"/>
  <c r="B751" i="5"/>
  <c r="A751" i="5"/>
  <c r="Y750" i="5"/>
  <c r="X750" i="5"/>
  <c r="W750" i="5"/>
  <c r="V750" i="5"/>
  <c r="U750" i="5" s="1"/>
  <c r="G750" i="5"/>
  <c r="F750" i="5"/>
  <c r="E750" i="5"/>
  <c r="D750" i="5"/>
  <c r="C750" i="5"/>
  <c r="B750" i="5"/>
  <c r="A750" i="5"/>
  <c r="Y749" i="5"/>
  <c r="X749" i="5"/>
  <c r="W749" i="5"/>
  <c r="V749" i="5"/>
  <c r="U749" i="5"/>
  <c r="Z749" i="5" s="1"/>
  <c r="G749" i="5"/>
  <c r="F749" i="5"/>
  <c r="E749" i="5"/>
  <c r="D749" i="5"/>
  <c r="C749" i="5"/>
  <c r="B749" i="5"/>
  <c r="A749" i="5"/>
  <c r="Y748" i="5"/>
  <c r="X748" i="5"/>
  <c r="U748" i="5" s="1"/>
  <c r="Z748" i="5" s="1"/>
  <c r="W748" i="5"/>
  <c r="V748" i="5"/>
  <c r="G748" i="5"/>
  <c r="F748" i="5"/>
  <c r="E748" i="5"/>
  <c r="D748" i="5"/>
  <c r="C748" i="5"/>
  <c r="B748" i="5"/>
  <c r="A748" i="5"/>
  <c r="Z747" i="5"/>
  <c r="Y747" i="5"/>
  <c r="X747" i="5"/>
  <c r="W747" i="5"/>
  <c r="V747" i="5"/>
  <c r="U747" i="5"/>
  <c r="G747" i="5"/>
  <c r="F747" i="5"/>
  <c r="E747" i="5"/>
  <c r="D747" i="5"/>
  <c r="C747" i="5"/>
  <c r="B747" i="5"/>
  <c r="A747" i="5"/>
  <c r="Y746" i="5"/>
  <c r="X746" i="5"/>
  <c r="W746" i="5"/>
  <c r="V746" i="5"/>
  <c r="G746" i="5"/>
  <c r="F746" i="5"/>
  <c r="E746" i="5"/>
  <c r="D746" i="5"/>
  <c r="C746" i="5"/>
  <c r="B746" i="5"/>
  <c r="A746" i="5"/>
  <c r="Y745" i="5"/>
  <c r="X745" i="5"/>
  <c r="W745" i="5"/>
  <c r="U745" i="5" s="1"/>
  <c r="Z745" i="5" s="1"/>
  <c r="V745" i="5"/>
  <c r="G745" i="5"/>
  <c r="F745" i="5"/>
  <c r="E745" i="5"/>
  <c r="D745" i="5"/>
  <c r="C745" i="5"/>
  <c r="B745" i="5"/>
  <c r="A745" i="5"/>
  <c r="Y744" i="5"/>
  <c r="X744" i="5"/>
  <c r="W744" i="5"/>
  <c r="V744" i="5"/>
  <c r="U744" i="5" s="1"/>
  <c r="Z744" i="5" s="1"/>
  <c r="G744" i="5"/>
  <c r="F744" i="5"/>
  <c r="E744" i="5"/>
  <c r="D744" i="5"/>
  <c r="C744" i="5"/>
  <c r="B744" i="5"/>
  <c r="A744" i="5"/>
  <c r="Y743" i="5"/>
  <c r="X743" i="5"/>
  <c r="W743" i="5"/>
  <c r="U743" i="5" s="1"/>
  <c r="Z743" i="5" s="1"/>
  <c r="V743" i="5"/>
  <c r="G743" i="5"/>
  <c r="F743" i="5"/>
  <c r="E743" i="5"/>
  <c r="D743" i="5"/>
  <c r="C743" i="5"/>
  <c r="B743" i="5"/>
  <c r="A743" i="5"/>
  <c r="Y742" i="5"/>
  <c r="X742" i="5"/>
  <c r="W742" i="5"/>
  <c r="V742" i="5"/>
  <c r="U742" i="5" s="1"/>
  <c r="Z742" i="5" s="1"/>
  <c r="G742" i="5"/>
  <c r="F742" i="5"/>
  <c r="E742" i="5"/>
  <c r="D742" i="5"/>
  <c r="C742" i="5"/>
  <c r="B742" i="5"/>
  <c r="A742" i="5"/>
  <c r="Y741" i="5"/>
  <c r="X741" i="5"/>
  <c r="W741" i="5"/>
  <c r="U741" i="5" s="1"/>
  <c r="V741" i="5"/>
  <c r="G741" i="5"/>
  <c r="F741" i="5"/>
  <c r="E741" i="5"/>
  <c r="D741" i="5"/>
  <c r="C741" i="5"/>
  <c r="B741" i="5"/>
  <c r="A741" i="5"/>
  <c r="Y740" i="5"/>
  <c r="X740" i="5"/>
  <c r="W740" i="5"/>
  <c r="V740" i="5"/>
  <c r="G740" i="5"/>
  <c r="F740" i="5"/>
  <c r="E740" i="5"/>
  <c r="D740" i="5"/>
  <c r="C740" i="5"/>
  <c r="B740" i="5"/>
  <c r="A740" i="5"/>
  <c r="Y739" i="5"/>
  <c r="X739" i="5"/>
  <c r="W739" i="5"/>
  <c r="V739" i="5"/>
  <c r="Z739" i="5" s="1"/>
  <c r="U739" i="5"/>
  <c r="G739" i="5"/>
  <c r="F739" i="5"/>
  <c r="E739" i="5"/>
  <c r="D739" i="5"/>
  <c r="C739" i="5"/>
  <c r="B739" i="5"/>
  <c r="A739" i="5"/>
  <c r="Y738" i="5"/>
  <c r="X738" i="5"/>
  <c r="W738" i="5"/>
  <c r="V738" i="5"/>
  <c r="G738" i="5"/>
  <c r="F738" i="5"/>
  <c r="E738" i="5"/>
  <c r="D738" i="5"/>
  <c r="C738" i="5"/>
  <c r="B738" i="5"/>
  <c r="A738" i="5"/>
  <c r="Y737" i="5"/>
  <c r="X737" i="5"/>
  <c r="W737" i="5"/>
  <c r="V737" i="5"/>
  <c r="Z737" i="5" s="1"/>
  <c r="U737" i="5"/>
  <c r="G737" i="5"/>
  <c r="F737" i="5"/>
  <c r="E737" i="5"/>
  <c r="D737" i="5"/>
  <c r="C737" i="5"/>
  <c r="B737" i="5"/>
  <c r="A737" i="5"/>
  <c r="Y736" i="5"/>
  <c r="X736" i="5"/>
  <c r="W736" i="5"/>
  <c r="V736" i="5"/>
  <c r="U736" i="5" s="1"/>
  <c r="Z736" i="5" s="1"/>
  <c r="G736" i="5"/>
  <c r="F736" i="5"/>
  <c r="E736" i="5"/>
  <c r="D736" i="5"/>
  <c r="C736" i="5"/>
  <c r="B736" i="5"/>
  <c r="A736" i="5"/>
  <c r="Y735" i="5"/>
  <c r="X735" i="5"/>
  <c r="W735" i="5"/>
  <c r="V735" i="5"/>
  <c r="G735" i="5"/>
  <c r="F735" i="5"/>
  <c r="E735" i="5"/>
  <c r="D735" i="5"/>
  <c r="C735" i="5"/>
  <c r="B735" i="5"/>
  <c r="A735" i="5"/>
  <c r="Y734" i="5"/>
  <c r="X734" i="5"/>
  <c r="W734" i="5"/>
  <c r="V734" i="5"/>
  <c r="U734" i="5" s="1"/>
  <c r="Z734" i="5" s="1"/>
  <c r="G734" i="5"/>
  <c r="F734" i="5"/>
  <c r="E734" i="5"/>
  <c r="D734" i="5"/>
  <c r="C734" i="5"/>
  <c r="B734" i="5"/>
  <c r="A734" i="5"/>
  <c r="Y733" i="5"/>
  <c r="X733" i="5"/>
  <c r="W733" i="5"/>
  <c r="U733" i="5" s="1"/>
  <c r="V733" i="5"/>
  <c r="G733" i="5"/>
  <c r="F733" i="5"/>
  <c r="E733" i="5"/>
  <c r="D733" i="5"/>
  <c r="C733" i="5"/>
  <c r="B733" i="5"/>
  <c r="A733" i="5"/>
  <c r="Y732" i="5"/>
  <c r="X732" i="5"/>
  <c r="W732" i="5"/>
  <c r="V732" i="5"/>
  <c r="U732" i="5" s="1"/>
  <c r="G732" i="5"/>
  <c r="F732" i="5"/>
  <c r="E732" i="5"/>
  <c r="D732" i="5"/>
  <c r="C732" i="5"/>
  <c r="B732" i="5"/>
  <c r="A732" i="5"/>
  <c r="Y731" i="5"/>
  <c r="X731" i="5"/>
  <c r="W731" i="5"/>
  <c r="V731" i="5"/>
  <c r="U731" i="5"/>
  <c r="Z731" i="5" s="1"/>
  <c r="G731" i="5"/>
  <c r="F731" i="5"/>
  <c r="E731" i="5"/>
  <c r="D731" i="5"/>
  <c r="C731" i="5"/>
  <c r="B731" i="5"/>
  <c r="A731" i="5"/>
  <c r="Y730" i="5"/>
  <c r="X730" i="5"/>
  <c r="W730" i="5"/>
  <c r="V730" i="5"/>
  <c r="U730" i="5" s="1"/>
  <c r="G730" i="5"/>
  <c r="F730" i="5"/>
  <c r="E730" i="5"/>
  <c r="D730" i="5"/>
  <c r="C730" i="5"/>
  <c r="B730" i="5"/>
  <c r="A730" i="5"/>
  <c r="Y729" i="5"/>
  <c r="X729" i="5"/>
  <c r="W729" i="5"/>
  <c r="V729" i="5"/>
  <c r="U729" i="5"/>
  <c r="Z729" i="5" s="1"/>
  <c r="G729" i="5"/>
  <c r="F729" i="5"/>
  <c r="E729" i="5"/>
  <c r="D729" i="5"/>
  <c r="C729" i="5"/>
  <c r="B729" i="5"/>
  <c r="A729" i="5"/>
  <c r="Y728" i="5"/>
  <c r="X728" i="5"/>
  <c r="U728" i="5" s="1"/>
  <c r="Z728" i="5" s="1"/>
  <c r="W728" i="5"/>
  <c r="V728" i="5"/>
  <c r="G728" i="5"/>
  <c r="F728" i="5"/>
  <c r="E728" i="5"/>
  <c r="D728" i="5"/>
  <c r="C728" i="5"/>
  <c r="B728" i="5"/>
  <c r="A728" i="5"/>
  <c r="Z727" i="5"/>
  <c r="Y727" i="5"/>
  <c r="X727" i="5"/>
  <c r="W727" i="5"/>
  <c r="V727" i="5"/>
  <c r="U727" i="5"/>
  <c r="G727" i="5"/>
  <c r="F727" i="5"/>
  <c r="E727" i="5"/>
  <c r="D727" i="5"/>
  <c r="C727" i="5"/>
  <c r="B727" i="5"/>
  <c r="A727" i="5"/>
  <c r="Y726" i="5"/>
  <c r="X726" i="5"/>
  <c r="W726" i="5"/>
  <c r="V726" i="5"/>
  <c r="G726" i="5"/>
  <c r="F726" i="5"/>
  <c r="E726" i="5"/>
  <c r="D726" i="5"/>
  <c r="C726" i="5"/>
  <c r="B726" i="5"/>
  <c r="A726" i="5"/>
  <c r="Y725" i="5"/>
  <c r="X725" i="5"/>
  <c r="W725" i="5"/>
  <c r="U725" i="5" s="1"/>
  <c r="Z725" i="5" s="1"/>
  <c r="V725" i="5"/>
  <c r="G725" i="5"/>
  <c r="F725" i="5"/>
  <c r="E725" i="5"/>
  <c r="D725" i="5"/>
  <c r="C725" i="5"/>
  <c r="B725" i="5"/>
  <c r="A725" i="5"/>
  <c r="Y724" i="5"/>
  <c r="X724" i="5"/>
  <c r="W724" i="5"/>
  <c r="V724" i="5"/>
  <c r="U724" i="5" s="1"/>
  <c r="Z724" i="5" s="1"/>
  <c r="G724" i="5"/>
  <c r="F724" i="5"/>
  <c r="E724" i="5"/>
  <c r="D724" i="5"/>
  <c r="C724" i="5"/>
  <c r="B724" i="5"/>
  <c r="A724" i="5"/>
  <c r="Y723" i="5"/>
  <c r="X723" i="5"/>
  <c r="W723" i="5"/>
  <c r="U723" i="5" s="1"/>
  <c r="Z723" i="5" s="1"/>
  <c r="V723" i="5"/>
  <c r="G723" i="5"/>
  <c r="F723" i="5"/>
  <c r="E723" i="5"/>
  <c r="D723" i="5"/>
  <c r="C723" i="5"/>
  <c r="B723" i="5"/>
  <c r="A723" i="5"/>
  <c r="Y722" i="5"/>
  <c r="X722" i="5"/>
  <c r="W722" i="5"/>
  <c r="V722" i="5"/>
  <c r="U722" i="5" s="1"/>
  <c r="Z722" i="5" s="1"/>
  <c r="G722" i="5"/>
  <c r="F722" i="5"/>
  <c r="E722" i="5"/>
  <c r="D722" i="5"/>
  <c r="C722" i="5"/>
  <c r="B722" i="5"/>
  <c r="A722" i="5"/>
  <c r="Y721" i="5"/>
  <c r="X721" i="5"/>
  <c r="W721" i="5"/>
  <c r="U721" i="5" s="1"/>
  <c r="V721" i="5"/>
  <c r="G721" i="5"/>
  <c r="F721" i="5"/>
  <c r="E721" i="5"/>
  <c r="D721" i="5"/>
  <c r="C721" i="5"/>
  <c r="B721" i="5"/>
  <c r="A721" i="5"/>
  <c r="Y720" i="5"/>
  <c r="X720" i="5"/>
  <c r="W720" i="5"/>
  <c r="V720" i="5"/>
  <c r="G720" i="5"/>
  <c r="F720" i="5"/>
  <c r="E720" i="5"/>
  <c r="D720" i="5"/>
  <c r="C720" i="5"/>
  <c r="B720" i="5"/>
  <c r="A720" i="5"/>
  <c r="Y719" i="5"/>
  <c r="X719" i="5"/>
  <c r="W719" i="5"/>
  <c r="V719" i="5"/>
  <c r="Z719" i="5" s="1"/>
  <c r="U719" i="5"/>
  <c r="G719" i="5"/>
  <c r="F719" i="5"/>
  <c r="E719" i="5"/>
  <c r="D719" i="5"/>
  <c r="C719" i="5"/>
  <c r="B719" i="5"/>
  <c r="A719" i="5"/>
  <c r="Y718" i="5"/>
  <c r="X718" i="5"/>
  <c r="W718" i="5"/>
  <c r="V718" i="5"/>
  <c r="G718" i="5"/>
  <c r="F718" i="5"/>
  <c r="E718" i="5"/>
  <c r="D718" i="5"/>
  <c r="C718" i="5"/>
  <c r="B718" i="5"/>
  <c r="A718" i="5"/>
  <c r="Y717" i="5"/>
  <c r="X717" i="5"/>
  <c r="W717" i="5"/>
  <c r="V717" i="5"/>
  <c r="Z717" i="5" s="1"/>
  <c r="U717" i="5"/>
  <c r="G717" i="5"/>
  <c r="F717" i="5"/>
  <c r="E717" i="5"/>
  <c r="D717" i="5"/>
  <c r="C717" i="5"/>
  <c r="B717" i="5"/>
  <c r="A717" i="5"/>
  <c r="Y716" i="5"/>
  <c r="X716" i="5"/>
  <c r="W716" i="5"/>
  <c r="V716" i="5"/>
  <c r="U716" i="5" s="1"/>
  <c r="Z716" i="5" s="1"/>
  <c r="G716" i="5"/>
  <c r="F716" i="5"/>
  <c r="E716" i="5"/>
  <c r="D716" i="5"/>
  <c r="C716" i="5"/>
  <c r="B716" i="5"/>
  <c r="A716" i="5"/>
  <c r="Y715" i="5"/>
  <c r="X715" i="5"/>
  <c r="W715" i="5"/>
  <c r="V715" i="5"/>
  <c r="G715" i="5"/>
  <c r="F715" i="5"/>
  <c r="E715" i="5"/>
  <c r="D715" i="5"/>
  <c r="C715" i="5"/>
  <c r="B715" i="5"/>
  <c r="A715" i="5"/>
  <c r="Y714" i="5"/>
  <c r="X714" i="5"/>
  <c r="W714" i="5"/>
  <c r="V714" i="5"/>
  <c r="U714" i="5" s="1"/>
  <c r="Z714" i="5" s="1"/>
  <c r="G714" i="5"/>
  <c r="F714" i="5"/>
  <c r="E714" i="5"/>
  <c r="D714" i="5"/>
  <c r="C714" i="5"/>
  <c r="B714" i="5"/>
  <c r="A714" i="5"/>
  <c r="Y713" i="5"/>
  <c r="X713" i="5"/>
  <c r="W713" i="5"/>
  <c r="U713" i="5" s="1"/>
  <c r="V713" i="5"/>
  <c r="Z713" i="5" s="1"/>
  <c r="G713" i="5"/>
  <c r="F713" i="5"/>
  <c r="E713" i="5"/>
  <c r="D713" i="5"/>
  <c r="C713" i="5"/>
  <c r="B713" i="5"/>
  <c r="A713" i="5"/>
  <c r="Y712" i="5"/>
  <c r="X712" i="5"/>
  <c r="W712" i="5"/>
  <c r="V712" i="5"/>
  <c r="U712" i="5" s="1"/>
  <c r="G712" i="5"/>
  <c r="F712" i="5"/>
  <c r="E712" i="5"/>
  <c r="D712" i="5"/>
  <c r="C712" i="5"/>
  <c r="B712" i="5"/>
  <c r="A712" i="5"/>
  <c r="Y711" i="5"/>
  <c r="X711" i="5"/>
  <c r="W711" i="5"/>
  <c r="V711" i="5"/>
  <c r="U711" i="5"/>
  <c r="Z711" i="5" s="1"/>
  <c r="G711" i="5"/>
  <c r="F711" i="5"/>
  <c r="E711" i="5"/>
  <c r="D711" i="5"/>
  <c r="C711" i="5"/>
  <c r="B711" i="5"/>
  <c r="A711" i="5"/>
  <c r="Y710" i="5"/>
  <c r="X710" i="5"/>
  <c r="W710" i="5"/>
  <c r="V710" i="5"/>
  <c r="U710" i="5" s="1"/>
  <c r="G710" i="5"/>
  <c r="F710" i="5"/>
  <c r="E710" i="5"/>
  <c r="D710" i="5"/>
  <c r="C710" i="5"/>
  <c r="B710" i="5"/>
  <c r="A710" i="5"/>
  <c r="Y709" i="5"/>
  <c r="X709" i="5"/>
  <c r="W709" i="5"/>
  <c r="V709" i="5"/>
  <c r="U709" i="5"/>
  <c r="Z709" i="5" s="1"/>
  <c r="G709" i="5"/>
  <c r="F709" i="5"/>
  <c r="E709" i="5"/>
  <c r="D709" i="5"/>
  <c r="C709" i="5"/>
  <c r="B709" i="5"/>
  <c r="A709" i="5"/>
  <c r="Y708" i="5"/>
  <c r="X708" i="5"/>
  <c r="U708" i="5" s="1"/>
  <c r="Z708" i="5" s="1"/>
  <c r="W708" i="5"/>
  <c r="V708" i="5"/>
  <c r="G708" i="5"/>
  <c r="F708" i="5"/>
  <c r="E708" i="5"/>
  <c r="D708" i="5"/>
  <c r="C708" i="5"/>
  <c r="B708" i="5"/>
  <c r="A708" i="5"/>
  <c r="Z707" i="5"/>
  <c r="Y707" i="5"/>
  <c r="X707" i="5"/>
  <c r="W707" i="5"/>
  <c r="V707" i="5"/>
  <c r="U707" i="5"/>
  <c r="G707" i="5"/>
  <c r="F707" i="5"/>
  <c r="E707" i="5"/>
  <c r="D707" i="5"/>
  <c r="C707" i="5"/>
  <c r="B707" i="5"/>
  <c r="A707" i="5"/>
  <c r="Y706" i="5"/>
  <c r="X706" i="5"/>
  <c r="W706" i="5"/>
  <c r="V706" i="5"/>
  <c r="G706" i="5"/>
  <c r="F706" i="5"/>
  <c r="E706" i="5"/>
  <c r="D706" i="5"/>
  <c r="C706" i="5"/>
  <c r="B706" i="5"/>
  <c r="A706" i="5"/>
  <c r="Y705" i="5"/>
  <c r="X705" i="5"/>
  <c r="W705" i="5"/>
  <c r="U705" i="5" s="1"/>
  <c r="Z705" i="5" s="1"/>
  <c r="V705" i="5"/>
  <c r="G705" i="5"/>
  <c r="F705" i="5"/>
  <c r="E705" i="5"/>
  <c r="D705" i="5"/>
  <c r="C705" i="5"/>
  <c r="B705" i="5"/>
  <c r="A705" i="5"/>
  <c r="Z704" i="5"/>
  <c r="Y704" i="5"/>
  <c r="X704" i="5"/>
  <c r="W704" i="5"/>
  <c r="V704" i="5"/>
  <c r="U704" i="5" s="1"/>
  <c r="G704" i="5"/>
  <c r="F704" i="5"/>
  <c r="E704" i="5"/>
  <c r="D704" i="5"/>
  <c r="C704" i="5"/>
  <c r="B704" i="5"/>
  <c r="A704" i="5"/>
  <c r="Y703" i="5"/>
  <c r="X703" i="5"/>
  <c r="W703" i="5"/>
  <c r="U703" i="5" s="1"/>
  <c r="Z703" i="5" s="1"/>
  <c r="V703" i="5"/>
  <c r="G703" i="5"/>
  <c r="F703" i="5"/>
  <c r="E703" i="5"/>
  <c r="D703" i="5"/>
  <c r="C703" i="5"/>
  <c r="B703" i="5"/>
  <c r="A703" i="5"/>
  <c r="Y702" i="5"/>
  <c r="X702" i="5"/>
  <c r="W702" i="5"/>
  <c r="V702" i="5"/>
  <c r="U702" i="5" s="1"/>
  <c r="Z702" i="5" s="1"/>
  <c r="G702" i="5"/>
  <c r="F702" i="5"/>
  <c r="E702" i="5"/>
  <c r="D702" i="5"/>
  <c r="C702" i="5"/>
  <c r="B702" i="5"/>
  <c r="A702" i="5"/>
  <c r="Y701" i="5"/>
  <c r="X701" i="5"/>
  <c r="W701" i="5"/>
  <c r="U701" i="5" s="1"/>
  <c r="V701" i="5"/>
  <c r="G701" i="5"/>
  <c r="F701" i="5"/>
  <c r="E701" i="5"/>
  <c r="D701" i="5"/>
  <c r="C701" i="5"/>
  <c r="B701" i="5"/>
  <c r="A701" i="5"/>
  <c r="Y700" i="5"/>
  <c r="X700" i="5"/>
  <c r="W700" i="5"/>
  <c r="V700" i="5"/>
  <c r="G700" i="5"/>
  <c r="F700" i="5"/>
  <c r="E700" i="5"/>
  <c r="D700" i="5"/>
  <c r="C700" i="5"/>
  <c r="B700" i="5"/>
  <c r="A700" i="5"/>
  <c r="Y699" i="5"/>
  <c r="X699" i="5"/>
  <c r="W699" i="5"/>
  <c r="V699" i="5"/>
  <c r="Z699" i="5" s="1"/>
  <c r="U699" i="5"/>
  <c r="G699" i="5"/>
  <c r="F699" i="5"/>
  <c r="E699" i="5"/>
  <c r="D699" i="5"/>
  <c r="C699" i="5"/>
  <c r="B699" i="5"/>
  <c r="A699" i="5"/>
  <c r="Y698" i="5"/>
  <c r="X698" i="5"/>
  <c r="W698" i="5"/>
  <c r="V698" i="5"/>
  <c r="G698" i="5"/>
  <c r="F698" i="5"/>
  <c r="E698" i="5"/>
  <c r="D698" i="5"/>
  <c r="C698" i="5"/>
  <c r="B698" i="5"/>
  <c r="A698" i="5"/>
  <c r="Y697" i="5"/>
  <c r="X697" i="5"/>
  <c r="W697" i="5"/>
  <c r="V697" i="5"/>
  <c r="Z697" i="5" s="1"/>
  <c r="U697" i="5"/>
  <c r="G697" i="5"/>
  <c r="F697" i="5"/>
  <c r="E697" i="5"/>
  <c r="D697" i="5"/>
  <c r="C697" i="5"/>
  <c r="B697" i="5"/>
  <c r="A697" i="5"/>
  <c r="Y696" i="5"/>
  <c r="X696" i="5"/>
  <c r="W696" i="5"/>
  <c r="V696" i="5"/>
  <c r="U696" i="5" s="1"/>
  <c r="Z696" i="5" s="1"/>
  <c r="G696" i="5"/>
  <c r="F696" i="5"/>
  <c r="E696" i="5"/>
  <c r="D696" i="5"/>
  <c r="C696" i="5"/>
  <c r="B696" i="5"/>
  <c r="A696" i="5"/>
  <c r="Y695" i="5"/>
  <c r="X695" i="5"/>
  <c r="W695" i="5"/>
  <c r="V695" i="5"/>
  <c r="G695" i="5"/>
  <c r="F695" i="5"/>
  <c r="E695" i="5"/>
  <c r="D695" i="5"/>
  <c r="C695" i="5"/>
  <c r="B695" i="5"/>
  <c r="A695" i="5"/>
  <c r="Y694" i="5"/>
  <c r="X694" i="5"/>
  <c r="W694" i="5"/>
  <c r="V694" i="5"/>
  <c r="U694" i="5" s="1"/>
  <c r="Z694" i="5" s="1"/>
  <c r="G694" i="5"/>
  <c r="F694" i="5"/>
  <c r="E694" i="5"/>
  <c r="D694" i="5"/>
  <c r="C694" i="5"/>
  <c r="B694" i="5"/>
  <c r="A694" i="5"/>
  <c r="Y693" i="5"/>
  <c r="X693" i="5"/>
  <c r="W693" i="5"/>
  <c r="U693" i="5" s="1"/>
  <c r="V693" i="5"/>
  <c r="G693" i="5"/>
  <c r="F693" i="5"/>
  <c r="E693" i="5"/>
  <c r="D693" i="5"/>
  <c r="C693" i="5"/>
  <c r="B693" i="5"/>
  <c r="A693" i="5"/>
  <c r="Y692" i="5"/>
  <c r="X692" i="5"/>
  <c r="W692" i="5"/>
  <c r="V692" i="5"/>
  <c r="U692" i="5"/>
  <c r="G692" i="5"/>
  <c r="F692" i="5"/>
  <c r="E692" i="5"/>
  <c r="D692" i="5"/>
  <c r="C692" i="5"/>
  <c r="B692" i="5"/>
  <c r="A692" i="5"/>
  <c r="Y691" i="5"/>
  <c r="X691" i="5"/>
  <c r="W691" i="5"/>
  <c r="V691" i="5"/>
  <c r="U691" i="5"/>
  <c r="Z691" i="5" s="1"/>
  <c r="G691" i="5"/>
  <c r="F691" i="5"/>
  <c r="E691" i="5"/>
  <c r="D691" i="5"/>
  <c r="C691" i="5"/>
  <c r="B691" i="5"/>
  <c r="A691" i="5"/>
  <c r="Y690" i="5"/>
  <c r="X690" i="5"/>
  <c r="W690" i="5"/>
  <c r="V690" i="5"/>
  <c r="U690" i="5" s="1"/>
  <c r="G690" i="5"/>
  <c r="F690" i="5"/>
  <c r="E690" i="5"/>
  <c r="D690" i="5"/>
  <c r="C690" i="5"/>
  <c r="B690" i="5"/>
  <c r="A690" i="5"/>
  <c r="Y689" i="5"/>
  <c r="X689" i="5"/>
  <c r="W689" i="5"/>
  <c r="V689" i="5"/>
  <c r="U689" i="5"/>
  <c r="Z689" i="5" s="1"/>
  <c r="G689" i="5"/>
  <c r="F689" i="5"/>
  <c r="E689" i="5"/>
  <c r="D689" i="5"/>
  <c r="C689" i="5"/>
  <c r="B689" i="5"/>
  <c r="A689" i="5"/>
  <c r="Y688" i="5"/>
  <c r="X688" i="5"/>
  <c r="U688" i="5" s="1"/>
  <c r="Z688" i="5" s="1"/>
  <c r="W688" i="5"/>
  <c r="V688" i="5"/>
  <c r="G688" i="5"/>
  <c r="F688" i="5"/>
  <c r="E688" i="5"/>
  <c r="D688" i="5"/>
  <c r="C688" i="5"/>
  <c r="B688" i="5"/>
  <c r="A688" i="5"/>
  <c r="Z687" i="5"/>
  <c r="Y687" i="5"/>
  <c r="X687" i="5"/>
  <c r="W687" i="5"/>
  <c r="V687" i="5"/>
  <c r="U687" i="5"/>
  <c r="G687" i="5"/>
  <c r="F687" i="5"/>
  <c r="E687" i="5"/>
  <c r="D687" i="5"/>
  <c r="C687" i="5"/>
  <c r="B687" i="5"/>
  <c r="A687" i="5"/>
  <c r="Y686" i="5"/>
  <c r="X686" i="5"/>
  <c r="W686" i="5"/>
  <c r="V686" i="5"/>
  <c r="G686" i="5"/>
  <c r="F686" i="5"/>
  <c r="E686" i="5"/>
  <c r="D686" i="5"/>
  <c r="C686" i="5"/>
  <c r="B686" i="5"/>
  <c r="A686" i="5"/>
  <c r="Y685" i="5"/>
  <c r="X685" i="5"/>
  <c r="W685" i="5"/>
  <c r="U685" i="5" s="1"/>
  <c r="Z685" i="5" s="1"/>
  <c r="V685" i="5"/>
  <c r="G685" i="5"/>
  <c r="F685" i="5"/>
  <c r="E685" i="5"/>
  <c r="D685" i="5"/>
  <c r="C685" i="5"/>
  <c r="B685" i="5"/>
  <c r="A685" i="5"/>
  <c r="Z684" i="5"/>
  <c r="Y684" i="5"/>
  <c r="X684" i="5"/>
  <c r="W684" i="5"/>
  <c r="V684" i="5"/>
  <c r="U684" i="5" s="1"/>
  <c r="G684" i="5"/>
  <c r="F684" i="5"/>
  <c r="E684" i="5"/>
  <c r="D684" i="5"/>
  <c r="C684" i="5"/>
  <c r="B684" i="5"/>
  <c r="A684" i="5"/>
  <c r="Y683" i="5"/>
  <c r="X683" i="5"/>
  <c r="W683" i="5"/>
  <c r="U683" i="5" s="1"/>
  <c r="Z683" i="5" s="1"/>
  <c r="V683" i="5"/>
  <c r="G683" i="5"/>
  <c r="F683" i="5"/>
  <c r="E683" i="5"/>
  <c r="D683" i="5"/>
  <c r="C683" i="5"/>
  <c r="B683" i="5"/>
  <c r="A683" i="5"/>
  <c r="Y682" i="5"/>
  <c r="X682" i="5"/>
  <c r="W682" i="5"/>
  <c r="V682" i="5"/>
  <c r="U682" i="5" s="1"/>
  <c r="Z682" i="5" s="1"/>
  <c r="G682" i="5"/>
  <c r="F682" i="5"/>
  <c r="E682" i="5"/>
  <c r="D682" i="5"/>
  <c r="C682" i="5"/>
  <c r="B682" i="5"/>
  <c r="A682" i="5"/>
  <c r="Y681" i="5"/>
  <c r="X681" i="5"/>
  <c r="W681" i="5"/>
  <c r="V681" i="5"/>
  <c r="G681" i="5"/>
  <c r="F681" i="5"/>
  <c r="E681" i="5"/>
  <c r="D681" i="5"/>
  <c r="C681" i="5"/>
  <c r="B681" i="5"/>
  <c r="A681" i="5"/>
  <c r="Y680" i="5"/>
  <c r="X680" i="5"/>
  <c r="W680" i="5"/>
  <c r="V680" i="5"/>
  <c r="G680" i="5"/>
  <c r="F680" i="5"/>
  <c r="E680" i="5"/>
  <c r="D680" i="5"/>
  <c r="C680" i="5"/>
  <c r="B680" i="5"/>
  <c r="A680" i="5"/>
  <c r="Y679" i="5"/>
  <c r="X679" i="5"/>
  <c r="W679" i="5"/>
  <c r="V679" i="5"/>
  <c r="Z679" i="5" s="1"/>
  <c r="U679" i="5"/>
  <c r="G679" i="5"/>
  <c r="F679" i="5"/>
  <c r="E679" i="5"/>
  <c r="D679" i="5"/>
  <c r="C679" i="5"/>
  <c r="B679" i="5"/>
  <c r="A679" i="5"/>
  <c r="Y678" i="5"/>
  <c r="X678" i="5"/>
  <c r="W678" i="5"/>
  <c r="V678" i="5"/>
  <c r="U678" i="5" s="1"/>
  <c r="G678" i="5"/>
  <c r="F678" i="5"/>
  <c r="E678" i="5"/>
  <c r="D678" i="5"/>
  <c r="C678" i="5"/>
  <c r="B678" i="5"/>
  <c r="A678" i="5"/>
  <c r="Y677" i="5"/>
  <c r="X677" i="5"/>
  <c r="W677" i="5"/>
  <c r="V677" i="5"/>
  <c r="Z677" i="5" s="1"/>
  <c r="U677" i="5"/>
  <c r="G677" i="5"/>
  <c r="F677" i="5"/>
  <c r="E677" i="5"/>
  <c r="D677" i="5"/>
  <c r="C677" i="5"/>
  <c r="B677" i="5"/>
  <c r="A677" i="5"/>
  <c r="Y676" i="5"/>
  <c r="X676" i="5"/>
  <c r="W676" i="5"/>
  <c r="V676" i="5"/>
  <c r="U676" i="5" s="1"/>
  <c r="Z676" i="5" s="1"/>
  <c r="G676" i="5"/>
  <c r="F676" i="5"/>
  <c r="E676" i="5"/>
  <c r="D676" i="5"/>
  <c r="C676" i="5"/>
  <c r="B676" i="5"/>
  <c r="A676" i="5"/>
  <c r="Y675" i="5"/>
  <c r="X675" i="5"/>
  <c r="W675" i="5"/>
  <c r="V675" i="5"/>
  <c r="G675" i="5"/>
  <c r="F675" i="5"/>
  <c r="E675" i="5"/>
  <c r="D675" i="5"/>
  <c r="C675" i="5"/>
  <c r="B675" i="5"/>
  <c r="A675" i="5"/>
  <c r="Y674" i="5"/>
  <c r="X674" i="5"/>
  <c r="W674" i="5"/>
  <c r="V674" i="5"/>
  <c r="U674" i="5" s="1"/>
  <c r="Z674" i="5" s="1"/>
  <c r="G674" i="5"/>
  <c r="F674" i="5"/>
  <c r="E674" i="5"/>
  <c r="D674" i="5"/>
  <c r="C674" i="5"/>
  <c r="B674" i="5"/>
  <c r="A674" i="5"/>
  <c r="Y673" i="5"/>
  <c r="X673" i="5"/>
  <c r="W673" i="5"/>
  <c r="U673" i="5" s="1"/>
  <c r="V673" i="5"/>
  <c r="G673" i="5"/>
  <c r="F673" i="5"/>
  <c r="E673" i="5"/>
  <c r="D673" i="5"/>
  <c r="C673" i="5"/>
  <c r="B673" i="5"/>
  <c r="A673" i="5"/>
  <c r="Y672" i="5"/>
  <c r="X672" i="5"/>
  <c r="W672" i="5"/>
  <c r="V672" i="5"/>
  <c r="U672" i="5" s="1"/>
  <c r="G672" i="5"/>
  <c r="F672" i="5"/>
  <c r="E672" i="5"/>
  <c r="D672" i="5"/>
  <c r="C672" i="5"/>
  <c r="B672" i="5"/>
  <c r="A672" i="5"/>
  <c r="Y671" i="5"/>
  <c r="X671" i="5"/>
  <c r="W671" i="5"/>
  <c r="V671" i="5"/>
  <c r="U671" i="5"/>
  <c r="Z671" i="5" s="1"/>
  <c r="G671" i="5"/>
  <c r="F671" i="5"/>
  <c r="E671" i="5"/>
  <c r="D671" i="5"/>
  <c r="C671" i="5"/>
  <c r="B671" i="5"/>
  <c r="A671" i="5"/>
  <c r="Y670" i="5"/>
  <c r="X670" i="5"/>
  <c r="W670" i="5"/>
  <c r="V670" i="5"/>
  <c r="U670" i="5" s="1"/>
  <c r="G670" i="5"/>
  <c r="F670" i="5"/>
  <c r="E670" i="5"/>
  <c r="D670" i="5"/>
  <c r="C670" i="5"/>
  <c r="B670" i="5"/>
  <c r="A670" i="5"/>
  <c r="Y669" i="5"/>
  <c r="X669" i="5"/>
  <c r="W669" i="5"/>
  <c r="V669" i="5"/>
  <c r="U669" i="5"/>
  <c r="Z669" i="5" s="1"/>
  <c r="G669" i="5"/>
  <c r="F669" i="5"/>
  <c r="E669" i="5"/>
  <c r="D669" i="5"/>
  <c r="C669" i="5"/>
  <c r="B669" i="5"/>
  <c r="A669" i="5"/>
  <c r="Y668" i="5"/>
  <c r="X668" i="5"/>
  <c r="U668" i="5" s="1"/>
  <c r="Z668" i="5" s="1"/>
  <c r="W668" i="5"/>
  <c r="V668" i="5"/>
  <c r="G668" i="5"/>
  <c r="F668" i="5"/>
  <c r="E668" i="5"/>
  <c r="D668" i="5"/>
  <c r="C668" i="5"/>
  <c r="B668" i="5"/>
  <c r="A668" i="5"/>
  <c r="Z667" i="5"/>
  <c r="Y667" i="5"/>
  <c r="X667" i="5"/>
  <c r="W667" i="5"/>
  <c r="V667" i="5"/>
  <c r="U667" i="5"/>
  <c r="G667" i="5"/>
  <c r="F667" i="5"/>
  <c r="E667" i="5"/>
  <c r="D667" i="5"/>
  <c r="C667" i="5"/>
  <c r="B667" i="5"/>
  <c r="A667" i="5"/>
  <c r="Y666" i="5"/>
  <c r="X666" i="5"/>
  <c r="W666" i="5"/>
  <c r="V666" i="5"/>
  <c r="G666" i="5"/>
  <c r="F666" i="5"/>
  <c r="E666" i="5"/>
  <c r="D666" i="5"/>
  <c r="C666" i="5"/>
  <c r="B666" i="5"/>
  <c r="A666" i="5"/>
  <c r="Y665" i="5"/>
  <c r="X665" i="5"/>
  <c r="W665" i="5"/>
  <c r="U665" i="5" s="1"/>
  <c r="Z665" i="5" s="1"/>
  <c r="V665" i="5"/>
  <c r="G665" i="5"/>
  <c r="F665" i="5"/>
  <c r="E665" i="5"/>
  <c r="D665" i="5"/>
  <c r="C665" i="5"/>
  <c r="B665" i="5"/>
  <c r="A665" i="5"/>
  <c r="Y664" i="5"/>
  <c r="X664" i="5"/>
  <c r="W664" i="5"/>
  <c r="V664" i="5"/>
  <c r="U664" i="5" s="1"/>
  <c r="Z664" i="5" s="1"/>
  <c r="G664" i="5"/>
  <c r="F664" i="5"/>
  <c r="E664" i="5"/>
  <c r="D664" i="5"/>
  <c r="C664" i="5"/>
  <c r="B664" i="5"/>
  <c r="A664" i="5"/>
  <c r="Y663" i="5"/>
  <c r="X663" i="5"/>
  <c r="W663" i="5"/>
  <c r="U663" i="5" s="1"/>
  <c r="Z663" i="5" s="1"/>
  <c r="V663" i="5"/>
  <c r="G663" i="5"/>
  <c r="F663" i="5"/>
  <c r="E663" i="5"/>
  <c r="D663" i="5"/>
  <c r="C663" i="5"/>
  <c r="B663" i="5"/>
  <c r="A663" i="5"/>
  <c r="Y662" i="5"/>
  <c r="X662" i="5"/>
  <c r="W662" i="5"/>
  <c r="V662" i="5"/>
  <c r="U662" i="5" s="1"/>
  <c r="Z662" i="5" s="1"/>
  <c r="G662" i="5"/>
  <c r="F662" i="5"/>
  <c r="E662" i="5"/>
  <c r="D662" i="5"/>
  <c r="C662" i="5"/>
  <c r="B662" i="5"/>
  <c r="A662" i="5"/>
  <c r="Y661" i="5"/>
  <c r="X661" i="5"/>
  <c r="W661" i="5"/>
  <c r="V661" i="5"/>
  <c r="G661" i="5"/>
  <c r="F661" i="5"/>
  <c r="E661" i="5"/>
  <c r="D661" i="5"/>
  <c r="C661" i="5"/>
  <c r="B661" i="5"/>
  <c r="A661" i="5"/>
  <c r="Y660" i="5"/>
  <c r="X660" i="5"/>
  <c r="W660" i="5"/>
  <c r="V660" i="5"/>
  <c r="G660" i="5"/>
  <c r="F660" i="5"/>
  <c r="E660" i="5"/>
  <c r="D660" i="5"/>
  <c r="C660" i="5"/>
  <c r="B660" i="5"/>
  <c r="A660" i="5"/>
  <c r="Y659" i="5"/>
  <c r="X659" i="5"/>
  <c r="W659" i="5"/>
  <c r="V659" i="5"/>
  <c r="Z659" i="5" s="1"/>
  <c r="U659" i="5"/>
  <c r="G659" i="5"/>
  <c r="F659" i="5"/>
  <c r="E659" i="5"/>
  <c r="D659" i="5"/>
  <c r="C659" i="5"/>
  <c r="B659" i="5"/>
  <c r="A659" i="5"/>
  <c r="Y658" i="5"/>
  <c r="X658" i="5"/>
  <c r="W658" i="5"/>
  <c r="V658" i="5"/>
  <c r="G658" i="5"/>
  <c r="F658" i="5"/>
  <c r="E658" i="5"/>
  <c r="D658" i="5"/>
  <c r="C658" i="5"/>
  <c r="B658" i="5"/>
  <c r="A658" i="5"/>
  <c r="Y657" i="5"/>
  <c r="X657" i="5"/>
  <c r="W657" i="5"/>
  <c r="V657" i="5"/>
  <c r="Z657" i="5" s="1"/>
  <c r="U657" i="5"/>
  <c r="G657" i="5"/>
  <c r="F657" i="5"/>
  <c r="E657" i="5"/>
  <c r="D657" i="5"/>
  <c r="C657" i="5"/>
  <c r="B657" i="5"/>
  <c r="A657" i="5"/>
  <c r="Y656" i="5"/>
  <c r="X656" i="5"/>
  <c r="W656" i="5"/>
  <c r="V656" i="5"/>
  <c r="U656" i="5" s="1"/>
  <c r="Z656" i="5" s="1"/>
  <c r="G656" i="5"/>
  <c r="F656" i="5"/>
  <c r="E656" i="5"/>
  <c r="D656" i="5"/>
  <c r="C656" i="5"/>
  <c r="B656" i="5"/>
  <c r="A656" i="5"/>
  <c r="Y655" i="5"/>
  <c r="X655" i="5"/>
  <c r="W655" i="5"/>
  <c r="V655" i="5"/>
  <c r="G655" i="5"/>
  <c r="F655" i="5"/>
  <c r="E655" i="5"/>
  <c r="D655" i="5"/>
  <c r="C655" i="5"/>
  <c r="B655" i="5"/>
  <c r="A655" i="5"/>
  <c r="Y654" i="5"/>
  <c r="X654" i="5"/>
  <c r="W654" i="5"/>
  <c r="V654" i="5"/>
  <c r="U654" i="5" s="1"/>
  <c r="Z654" i="5" s="1"/>
  <c r="G654" i="5"/>
  <c r="F654" i="5"/>
  <c r="E654" i="5"/>
  <c r="D654" i="5"/>
  <c r="C654" i="5"/>
  <c r="B654" i="5"/>
  <c r="A654" i="5"/>
  <c r="Y653" i="5"/>
  <c r="X653" i="5"/>
  <c r="W653" i="5"/>
  <c r="U653" i="5" s="1"/>
  <c r="V653" i="5"/>
  <c r="G653" i="5"/>
  <c r="F653" i="5"/>
  <c r="E653" i="5"/>
  <c r="D653" i="5"/>
  <c r="C653" i="5"/>
  <c r="B653" i="5"/>
  <c r="A653" i="5"/>
  <c r="Y652" i="5"/>
  <c r="X652" i="5"/>
  <c r="W652" i="5"/>
  <c r="V652" i="5"/>
  <c r="U652" i="5" s="1"/>
  <c r="G652" i="5"/>
  <c r="F652" i="5"/>
  <c r="E652" i="5"/>
  <c r="D652" i="5"/>
  <c r="C652" i="5"/>
  <c r="B652" i="5"/>
  <c r="A652" i="5"/>
  <c r="Y651" i="5"/>
  <c r="X651" i="5"/>
  <c r="W651" i="5"/>
  <c r="V651" i="5"/>
  <c r="U651" i="5"/>
  <c r="Z651" i="5" s="1"/>
  <c r="G651" i="5"/>
  <c r="F651" i="5"/>
  <c r="E651" i="5"/>
  <c r="D651" i="5"/>
  <c r="C651" i="5"/>
  <c r="B651" i="5"/>
  <c r="A651" i="5"/>
  <c r="Y650" i="5"/>
  <c r="X650" i="5"/>
  <c r="W650" i="5"/>
  <c r="V650" i="5"/>
  <c r="U650" i="5" s="1"/>
  <c r="G650" i="5"/>
  <c r="F650" i="5"/>
  <c r="E650" i="5"/>
  <c r="D650" i="5"/>
  <c r="C650" i="5"/>
  <c r="B650" i="5"/>
  <c r="A650" i="5"/>
  <c r="Y649" i="5"/>
  <c r="X649" i="5"/>
  <c r="W649" i="5"/>
  <c r="V649" i="5"/>
  <c r="U649" i="5"/>
  <c r="Z649" i="5" s="1"/>
  <c r="G649" i="5"/>
  <c r="F649" i="5"/>
  <c r="E649" i="5"/>
  <c r="D649" i="5"/>
  <c r="C649" i="5"/>
  <c r="B649" i="5"/>
  <c r="A649" i="5"/>
  <c r="Y648" i="5"/>
  <c r="X648" i="5"/>
  <c r="U648" i="5" s="1"/>
  <c r="Z648" i="5" s="1"/>
  <c r="W648" i="5"/>
  <c r="V648" i="5"/>
  <c r="G648" i="5"/>
  <c r="F648" i="5"/>
  <c r="E648" i="5"/>
  <c r="D648" i="5"/>
  <c r="C648" i="5"/>
  <c r="B648" i="5"/>
  <c r="A648" i="5"/>
  <c r="Z647" i="5"/>
  <c r="Y647" i="5"/>
  <c r="X647" i="5"/>
  <c r="W647" i="5"/>
  <c r="V647" i="5"/>
  <c r="U647" i="5"/>
  <c r="G647" i="5"/>
  <c r="F647" i="5"/>
  <c r="E647" i="5"/>
  <c r="D647" i="5"/>
  <c r="C647" i="5"/>
  <c r="B647" i="5"/>
  <c r="A647" i="5"/>
  <c r="Y646" i="5"/>
  <c r="X646" i="5"/>
  <c r="W646" i="5"/>
  <c r="V646" i="5"/>
  <c r="G646" i="5"/>
  <c r="F646" i="5"/>
  <c r="E646" i="5"/>
  <c r="D646" i="5"/>
  <c r="C646" i="5"/>
  <c r="B646" i="5"/>
  <c r="A646" i="5"/>
  <c r="Y645" i="5"/>
  <c r="X645" i="5"/>
  <c r="W645" i="5"/>
  <c r="U645" i="5" s="1"/>
  <c r="Z645" i="5" s="1"/>
  <c r="V645" i="5"/>
  <c r="G645" i="5"/>
  <c r="F645" i="5"/>
  <c r="E645" i="5"/>
  <c r="D645" i="5"/>
  <c r="C645" i="5"/>
  <c r="B645" i="5"/>
  <c r="A645" i="5"/>
  <c r="Y644" i="5"/>
  <c r="X644" i="5"/>
  <c r="W644" i="5"/>
  <c r="V644" i="5"/>
  <c r="U644" i="5" s="1"/>
  <c r="Z644" i="5" s="1"/>
  <c r="G644" i="5"/>
  <c r="F644" i="5"/>
  <c r="E644" i="5"/>
  <c r="D644" i="5"/>
  <c r="C644" i="5"/>
  <c r="B644" i="5"/>
  <c r="A644" i="5"/>
  <c r="Y643" i="5"/>
  <c r="X643" i="5"/>
  <c r="W643" i="5"/>
  <c r="U643" i="5" s="1"/>
  <c r="Z643" i="5" s="1"/>
  <c r="V643" i="5"/>
  <c r="G643" i="5"/>
  <c r="F643" i="5"/>
  <c r="E643" i="5"/>
  <c r="D643" i="5"/>
  <c r="C643" i="5"/>
  <c r="B643" i="5"/>
  <c r="A643" i="5"/>
  <c r="Y642" i="5"/>
  <c r="X642" i="5"/>
  <c r="W642" i="5"/>
  <c r="V642" i="5"/>
  <c r="U642" i="5" s="1"/>
  <c r="Z642" i="5" s="1"/>
  <c r="G642" i="5"/>
  <c r="F642" i="5"/>
  <c r="E642" i="5"/>
  <c r="D642" i="5"/>
  <c r="C642" i="5"/>
  <c r="B642" i="5"/>
  <c r="A642" i="5"/>
  <c r="Y641" i="5"/>
  <c r="X641" i="5"/>
  <c r="W641" i="5"/>
  <c r="U641" i="5" s="1"/>
  <c r="V641" i="5"/>
  <c r="G641" i="5"/>
  <c r="F641" i="5"/>
  <c r="E641" i="5"/>
  <c r="D641" i="5"/>
  <c r="C641" i="5"/>
  <c r="B641" i="5"/>
  <c r="A641" i="5"/>
  <c r="Y640" i="5"/>
  <c r="X640" i="5"/>
  <c r="W640" i="5"/>
  <c r="V640" i="5"/>
  <c r="G640" i="5"/>
  <c r="F640" i="5"/>
  <c r="E640" i="5"/>
  <c r="D640" i="5"/>
  <c r="C640" i="5"/>
  <c r="B640" i="5"/>
  <c r="A640" i="5"/>
  <c r="Y639" i="5"/>
  <c r="X639" i="5"/>
  <c r="W639" i="5"/>
  <c r="V639" i="5"/>
  <c r="Z639" i="5" s="1"/>
  <c r="U639" i="5"/>
  <c r="G639" i="5"/>
  <c r="F639" i="5"/>
  <c r="E639" i="5"/>
  <c r="D639" i="5"/>
  <c r="C639" i="5"/>
  <c r="B639" i="5"/>
  <c r="A639" i="5"/>
  <c r="Y638" i="5"/>
  <c r="X638" i="5"/>
  <c r="W638" i="5"/>
  <c r="V638" i="5"/>
  <c r="G638" i="5"/>
  <c r="F638" i="5"/>
  <c r="E638" i="5"/>
  <c r="D638" i="5"/>
  <c r="C638" i="5"/>
  <c r="B638" i="5"/>
  <c r="A638" i="5"/>
  <c r="Y637" i="5"/>
  <c r="X637" i="5"/>
  <c r="W637" i="5"/>
  <c r="V637" i="5"/>
  <c r="Z637" i="5" s="1"/>
  <c r="U637" i="5"/>
  <c r="G637" i="5"/>
  <c r="F637" i="5"/>
  <c r="E637" i="5"/>
  <c r="D637" i="5"/>
  <c r="C637" i="5"/>
  <c r="B637" i="5"/>
  <c r="A637" i="5"/>
  <c r="Y636" i="5"/>
  <c r="X636" i="5"/>
  <c r="W636" i="5"/>
  <c r="V636" i="5"/>
  <c r="U636" i="5" s="1"/>
  <c r="Z636" i="5" s="1"/>
  <c r="G636" i="5"/>
  <c r="F636" i="5"/>
  <c r="E636" i="5"/>
  <c r="D636" i="5"/>
  <c r="C636" i="5"/>
  <c r="B636" i="5"/>
  <c r="A636" i="5"/>
  <c r="Y635" i="5"/>
  <c r="X635" i="5"/>
  <c r="W635" i="5"/>
  <c r="V635" i="5"/>
  <c r="G635" i="5"/>
  <c r="F635" i="5"/>
  <c r="E635" i="5"/>
  <c r="D635" i="5"/>
  <c r="C635" i="5"/>
  <c r="B635" i="5"/>
  <c r="A635" i="5"/>
  <c r="Y634" i="5"/>
  <c r="X634" i="5"/>
  <c r="W634" i="5"/>
  <c r="V634" i="5"/>
  <c r="U634" i="5" s="1"/>
  <c r="Z634" i="5" s="1"/>
  <c r="G634" i="5"/>
  <c r="F634" i="5"/>
  <c r="E634" i="5"/>
  <c r="D634" i="5"/>
  <c r="C634" i="5"/>
  <c r="B634" i="5"/>
  <c r="A634" i="5"/>
  <c r="Y633" i="5"/>
  <c r="X633" i="5"/>
  <c r="W633" i="5"/>
  <c r="U633" i="5" s="1"/>
  <c r="V633" i="5"/>
  <c r="G633" i="5"/>
  <c r="F633" i="5"/>
  <c r="E633" i="5"/>
  <c r="D633" i="5"/>
  <c r="C633" i="5"/>
  <c r="B633" i="5"/>
  <c r="A633" i="5"/>
  <c r="Y632" i="5"/>
  <c r="X632" i="5"/>
  <c r="W632" i="5"/>
  <c r="V632" i="5"/>
  <c r="U632" i="5" s="1"/>
  <c r="G632" i="5"/>
  <c r="F632" i="5"/>
  <c r="E632" i="5"/>
  <c r="D632" i="5"/>
  <c r="C632" i="5"/>
  <c r="B632" i="5"/>
  <c r="A632" i="5"/>
  <c r="Y631" i="5"/>
  <c r="X631" i="5"/>
  <c r="W631" i="5"/>
  <c r="V631" i="5"/>
  <c r="U631" i="5"/>
  <c r="Z631" i="5" s="1"/>
  <c r="G631" i="5"/>
  <c r="F631" i="5"/>
  <c r="E631" i="5"/>
  <c r="D631" i="5"/>
  <c r="C631" i="5"/>
  <c r="B631" i="5"/>
  <c r="A631" i="5"/>
  <c r="Y630" i="5"/>
  <c r="X630" i="5"/>
  <c r="W630" i="5"/>
  <c r="V630" i="5"/>
  <c r="U630" i="5" s="1"/>
  <c r="G630" i="5"/>
  <c r="F630" i="5"/>
  <c r="E630" i="5"/>
  <c r="D630" i="5"/>
  <c r="C630" i="5"/>
  <c r="B630" i="5"/>
  <c r="A630" i="5"/>
  <c r="Y629" i="5"/>
  <c r="X629" i="5"/>
  <c r="W629" i="5"/>
  <c r="V629" i="5"/>
  <c r="U629" i="5"/>
  <c r="Z629" i="5" s="1"/>
  <c r="G629" i="5"/>
  <c r="F629" i="5"/>
  <c r="E629" i="5"/>
  <c r="D629" i="5"/>
  <c r="C629" i="5"/>
  <c r="B629" i="5"/>
  <c r="A629" i="5"/>
  <c r="Y628" i="5"/>
  <c r="X628" i="5"/>
  <c r="U628" i="5" s="1"/>
  <c r="Z628" i="5" s="1"/>
  <c r="W628" i="5"/>
  <c r="V628" i="5"/>
  <c r="G628" i="5"/>
  <c r="F628" i="5"/>
  <c r="E628" i="5"/>
  <c r="D628" i="5"/>
  <c r="C628" i="5"/>
  <c r="B628" i="5"/>
  <c r="A628" i="5"/>
  <c r="Z627" i="5"/>
  <c r="Y627" i="5"/>
  <c r="X627" i="5"/>
  <c r="W627" i="5"/>
  <c r="V627" i="5"/>
  <c r="U627" i="5"/>
  <c r="G627" i="5"/>
  <c r="F627" i="5"/>
  <c r="E627" i="5"/>
  <c r="D627" i="5"/>
  <c r="C627" i="5"/>
  <c r="B627" i="5"/>
  <c r="A627" i="5"/>
  <c r="Y626" i="5"/>
  <c r="X626" i="5"/>
  <c r="W626" i="5"/>
  <c r="V626" i="5"/>
  <c r="G626" i="5"/>
  <c r="F626" i="5"/>
  <c r="E626" i="5"/>
  <c r="D626" i="5"/>
  <c r="C626" i="5"/>
  <c r="B626" i="5"/>
  <c r="A626" i="5"/>
  <c r="Y625" i="5"/>
  <c r="X625" i="5"/>
  <c r="W625" i="5"/>
  <c r="U625" i="5" s="1"/>
  <c r="Z625" i="5" s="1"/>
  <c r="V625" i="5"/>
  <c r="G625" i="5"/>
  <c r="F625" i="5"/>
  <c r="E625" i="5"/>
  <c r="D625" i="5"/>
  <c r="C625" i="5"/>
  <c r="B625" i="5"/>
  <c r="A625" i="5"/>
  <c r="Y624" i="5"/>
  <c r="X624" i="5"/>
  <c r="W624" i="5"/>
  <c r="V624" i="5"/>
  <c r="U624" i="5" s="1"/>
  <c r="Z624" i="5" s="1"/>
  <c r="G624" i="5"/>
  <c r="F624" i="5"/>
  <c r="E624" i="5"/>
  <c r="D624" i="5"/>
  <c r="C624" i="5"/>
  <c r="B624" i="5"/>
  <c r="A624" i="5"/>
  <c r="Y623" i="5"/>
  <c r="X623" i="5"/>
  <c r="W623" i="5"/>
  <c r="U623" i="5" s="1"/>
  <c r="Z623" i="5" s="1"/>
  <c r="V623" i="5"/>
  <c r="G623" i="5"/>
  <c r="F623" i="5"/>
  <c r="E623" i="5"/>
  <c r="D623" i="5"/>
  <c r="C623" i="5"/>
  <c r="B623" i="5"/>
  <c r="A623" i="5"/>
  <c r="Y622" i="5"/>
  <c r="X622" i="5"/>
  <c r="W622" i="5"/>
  <c r="V622" i="5"/>
  <c r="U622" i="5" s="1"/>
  <c r="Z622" i="5" s="1"/>
  <c r="G622" i="5"/>
  <c r="F622" i="5"/>
  <c r="E622" i="5"/>
  <c r="D622" i="5"/>
  <c r="C622" i="5"/>
  <c r="B622" i="5"/>
  <c r="A622" i="5"/>
  <c r="Y621" i="5"/>
  <c r="X621" i="5"/>
  <c r="W621" i="5"/>
  <c r="U621" i="5" s="1"/>
  <c r="V621" i="5"/>
  <c r="G621" i="5"/>
  <c r="F621" i="5"/>
  <c r="E621" i="5"/>
  <c r="D621" i="5"/>
  <c r="C621" i="5"/>
  <c r="B621" i="5"/>
  <c r="A621" i="5"/>
  <c r="Y620" i="5"/>
  <c r="X620" i="5"/>
  <c r="W620" i="5"/>
  <c r="V620" i="5"/>
  <c r="G620" i="5"/>
  <c r="F620" i="5"/>
  <c r="E620" i="5"/>
  <c r="D620" i="5"/>
  <c r="C620" i="5"/>
  <c r="B620" i="5"/>
  <c r="A620" i="5"/>
  <c r="Y619" i="5"/>
  <c r="X619" i="5"/>
  <c r="W619" i="5"/>
  <c r="V619" i="5"/>
  <c r="Z619" i="5" s="1"/>
  <c r="U619" i="5"/>
  <c r="G619" i="5"/>
  <c r="F619" i="5"/>
  <c r="E619" i="5"/>
  <c r="D619" i="5"/>
  <c r="C619" i="5"/>
  <c r="B619" i="5"/>
  <c r="A619" i="5"/>
  <c r="Y618" i="5"/>
  <c r="X618" i="5"/>
  <c r="W618" i="5"/>
  <c r="V618" i="5"/>
  <c r="G618" i="5"/>
  <c r="F618" i="5"/>
  <c r="E618" i="5"/>
  <c r="D618" i="5"/>
  <c r="C618" i="5"/>
  <c r="B618" i="5"/>
  <c r="A618" i="5"/>
  <c r="Y617" i="5"/>
  <c r="X617" i="5"/>
  <c r="W617" i="5"/>
  <c r="V617" i="5"/>
  <c r="Z617" i="5" s="1"/>
  <c r="U617" i="5"/>
  <c r="G617" i="5"/>
  <c r="F617" i="5"/>
  <c r="E617" i="5"/>
  <c r="D617" i="5"/>
  <c r="C617" i="5"/>
  <c r="B617" i="5"/>
  <c r="A617" i="5"/>
  <c r="Y616" i="5"/>
  <c r="X616" i="5"/>
  <c r="W616" i="5"/>
  <c r="V616" i="5"/>
  <c r="U616" i="5" s="1"/>
  <c r="Z616" i="5" s="1"/>
  <c r="G616" i="5"/>
  <c r="F616" i="5"/>
  <c r="E616" i="5"/>
  <c r="D616" i="5"/>
  <c r="C616" i="5"/>
  <c r="B616" i="5"/>
  <c r="A616" i="5"/>
  <c r="Y615" i="5"/>
  <c r="X615" i="5"/>
  <c r="W615" i="5"/>
  <c r="V615" i="5"/>
  <c r="G615" i="5"/>
  <c r="F615" i="5"/>
  <c r="E615" i="5"/>
  <c r="D615" i="5"/>
  <c r="C615" i="5"/>
  <c r="B615" i="5"/>
  <c r="A615" i="5"/>
  <c r="Y614" i="5"/>
  <c r="X614" i="5"/>
  <c r="W614" i="5"/>
  <c r="V614" i="5"/>
  <c r="U614" i="5" s="1"/>
  <c r="Z614" i="5" s="1"/>
  <c r="G614" i="5"/>
  <c r="F614" i="5"/>
  <c r="E614" i="5"/>
  <c r="D614" i="5"/>
  <c r="C614" i="5"/>
  <c r="B614" i="5"/>
  <c r="A614" i="5"/>
  <c r="Y613" i="5"/>
  <c r="X613" i="5"/>
  <c r="W613" i="5"/>
  <c r="U613" i="5" s="1"/>
  <c r="V613" i="5"/>
  <c r="Z613" i="5" s="1"/>
  <c r="G613" i="5"/>
  <c r="F613" i="5"/>
  <c r="E613" i="5"/>
  <c r="D613" i="5"/>
  <c r="C613" i="5"/>
  <c r="B613" i="5"/>
  <c r="A613" i="5"/>
  <c r="Y612" i="5"/>
  <c r="X612" i="5"/>
  <c r="W612" i="5"/>
  <c r="V612" i="5"/>
  <c r="U612" i="5" s="1"/>
  <c r="G612" i="5"/>
  <c r="F612" i="5"/>
  <c r="E612" i="5"/>
  <c r="D612" i="5"/>
  <c r="C612" i="5"/>
  <c r="B612" i="5"/>
  <c r="A612" i="5"/>
  <c r="Y611" i="5"/>
  <c r="X611" i="5"/>
  <c r="W611" i="5"/>
  <c r="V611" i="5"/>
  <c r="U611" i="5"/>
  <c r="Z611" i="5" s="1"/>
  <c r="G611" i="5"/>
  <c r="F611" i="5"/>
  <c r="E611" i="5"/>
  <c r="D611" i="5"/>
  <c r="C611" i="5"/>
  <c r="B611" i="5"/>
  <c r="A611" i="5"/>
  <c r="Y610" i="5"/>
  <c r="X610" i="5"/>
  <c r="W610" i="5"/>
  <c r="V610" i="5"/>
  <c r="U610" i="5" s="1"/>
  <c r="G610" i="5"/>
  <c r="F610" i="5"/>
  <c r="E610" i="5"/>
  <c r="D610" i="5"/>
  <c r="C610" i="5"/>
  <c r="B610" i="5"/>
  <c r="A610" i="5"/>
  <c r="Y609" i="5"/>
  <c r="X609" i="5"/>
  <c r="W609" i="5"/>
  <c r="V609" i="5"/>
  <c r="U609" i="5"/>
  <c r="Z609" i="5" s="1"/>
  <c r="G609" i="5"/>
  <c r="F609" i="5"/>
  <c r="E609" i="5"/>
  <c r="D609" i="5"/>
  <c r="C609" i="5"/>
  <c r="B609" i="5"/>
  <c r="A609" i="5"/>
  <c r="Y608" i="5"/>
  <c r="X608" i="5"/>
  <c r="U608" i="5" s="1"/>
  <c r="Z608" i="5" s="1"/>
  <c r="W608" i="5"/>
  <c r="V608" i="5"/>
  <c r="G608" i="5"/>
  <c r="F608" i="5"/>
  <c r="E608" i="5"/>
  <c r="D608" i="5"/>
  <c r="C608" i="5"/>
  <c r="B608" i="5"/>
  <c r="A608" i="5"/>
  <c r="Z607" i="5"/>
  <c r="Y607" i="5"/>
  <c r="X607" i="5"/>
  <c r="W607" i="5"/>
  <c r="V607" i="5"/>
  <c r="U607" i="5"/>
  <c r="G607" i="5"/>
  <c r="F607" i="5"/>
  <c r="E607" i="5"/>
  <c r="D607" i="5"/>
  <c r="C607" i="5"/>
  <c r="B607" i="5"/>
  <c r="A607" i="5"/>
  <c r="Y606" i="5"/>
  <c r="X606" i="5"/>
  <c r="W606" i="5"/>
  <c r="V606" i="5"/>
  <c r="G606" i="5"/>
  <c r="F606" i="5"/>
  <c r="E606" i="5"/>
  <c r="D606" i="5"/>
  <c r="C606" i="5"/>
  <c r="B606" i="5"/>
  <c r="A606" i="5"/>
  <c r="Y605" i="5"/>
  <c r="X605" i="5"/>
  <c r="W605" i="5"/>
  <c r="U605" i="5" s="1"/>
  <c r="Z605" i="5" s="1"/>
  <c r="V605" i="5"/>
  <c r="G605" i="5"/>
  <c r="F605" i="5"/>
  <c r="E605" i="5"/>
  <c r="D605" i="5"/>
  <c r="C605" i="5"/>
  <c r="B605" i="5"/>
  <c r="A605" i="5"/>
  <c r="Z604" i="5"/>
  <c r="Y604" i="5"/>
  <c r="X604" i="5"/>
  <c r="W604" i="5"/>
  <c r="V604" i="5"/>
  <c r="U604" i="5" s="1"/>
  <c r="G604" i="5"/>
  <c r="F604" i="5"/>
  <c r="E604" i="5"/>
  <c r="D604" i="5"/>
  <c r="C604" i="5"/>
  <c r="B604" i="5"/>
  <c r="A604" i="5"/>
  <c r="Y603" i="5"/>
  <c r="X603" i="5"/>
  <c r="W603" i="5"/>
  <c r="U603" i="5" s="1"/>
  <c r="Z603" i="5" s="1"/>
  <c r="V603" i="5"/>
  <c r="G603" i="5"/>
  <c r="F603" i="5"/>
  <c r="E603" i="5"/>
  <c r="D603" i="5"/>
  <c r="C603" i="5"/>
  <c r="B603" i="5"/>
  <c r="A603" i="5"/>
  <c r="Y602" i="5"/>
  <c r="X602" i="5"/>
  <c r="W602" i="5"/>
  <c r="V602" i="5"/>
  <c r="U602" i="5" s="1"/>
  <c r="Z602" i="5" s="1"/>
  <c r="G602" i="5"/>
  <c r="F602" i="5"/>
  <c r="E602" i="5"/>
  <c r="D602" i="5"/>
  <c r="C602" i="5"/>
  <c r="B602" i="5"/>
  <c r="A602" i="5"/>
  <c r="Y601" i="5"/>
  <c r="X601" i="5"/>
  <c r="W601" i="5"/>
  <c r="U601" i="5" s="1"/>
  <c r="V601" i="5"/>
  <c r="G601" i="5"/>
  <c r="F601" i="5"/>
  <c r="E601" i="5"/>
  <c r="D601" i="5"/>
  <c r="C601" i="5"/>
  <c r="B601" i="5"/>
  <c r="A601" i="5"/>
  <c r="Y600" i="5"/>
  <c r="X600" i="5"/>
  <c r="W600" i="5"/>
  <c r="V600" i="5"/>
  <c r="G600" i="5"/>
  <c r="F600" i="5"/>
  <c r="E600" i="5"/>
  <c r="D600" i="5"/>
  <c r="C600" i="5"/>
  <c r="B600" i="5"/>
  <c r="A600" i="5"/>
  <c r="Y599" i="5"/>
  <c r="X599" i="5"/>
  <c r="W599" i="5"/>
  <c r="V599" i="5"/>
  <c r="Z599" i="5" s="1"/>
  <c r="U599" i="5"/>
  <c r="G599" i="5"/>
  <c r="F599" i="5"/>
  <c r="E599" i="5"/>
  <c r="D599" i="5"/>
  <c r="C599" i="5"/>
  <c r="B599" i="5"/>
  <c r="A599" i="5"/>
  <c r="Y598" i="5"/>
  <c r="X598" i="5"/>
  <c r="W598" i="5"/>
  <c r="V598" i="5"/>
  <c r="G598" i="5"/>
  <c r="F598" i="5"/>
  <c r="E598" i="5"/>
  <c r="D598" i="5"/>
  <c r="C598" i="5"/>
  <c r="B598" i="5"/>
  <c r="A598" i="5"/>
  <c r="Y597" i="5"/>
  <c r="X597" i="5"/>
  <c r="W597" i="5"/>
  <c r="V597" i="5"/>
  <c r="Z597" i="5" s="1"/>
  <c r="U597" i="5"/>
  <c r="G597" i="5"/>
  <c r="F597" i="5"/>
  <c r="E597" i="5"/>
  <c r="D597" i="5"/>
  <c r="C597" i="5"/>
  <c r="B597" i="5"/>
  <c r="A597" i="5"/>
  <c r="Y596" i="5"/>
  <c r="X596" i="5"/>
  <c r="W596" i="5"/>
  <c r="V596" i="5"/>
  <c r="U596" i="5" s="1"/>
  <c r="Z596" i="5" s="1"/>
  <c r="G596" i="5"/>
  <c r="F596" i="5"/>
  <c r="E596" i="5"/>
  <c r="D596" i="5"/>
  <c r="C596" i="5"/>
  <c r="B596" i="5"/>
  <c r="A596" i="5"/>
  <c r="Y595" i="5"/>
  <c r="X595" i="5"/>
  <c r="W595" i="5"/>
  <c r="V595" i="5"/>
  <c r="G595" i="5"/>
  <c r="F595" i="5"/>
  <c r="E595" i="5"/>
  <c r="D595" i="5"/>
  <c r="C595" i="5"/>
  <c r="B595" i="5"/>
  <c r="A595" i="5"/>
  <c r="Y594" i="5"/>
  <c r="X594" i="5"/>
  <c r="W594" i="5"/>
  <c r="V594" i="5"/>
  <c r="U594" i="5" s="1"/>
  <c r="Z594" i="5" s="1"/>
  <c r="G594" i="5"/>
  <c r="F594" i="5"/>
  <c r="E594" i="5"/>
  <c r="D594" i="5"/>
  <c r="C594" i="5"/>
  <c r="B594" i="5"/>
  <c r="A594" i="5"/>
  <c r="Y593" i="5"/>
  <c r="X593" i="5"/>
  <c r="W593" i="5"/>
  <c r="U593" i="5" s="1"/>
  <c r="V593" i="5"/>
  <c r="G593" i="5"/>
  <c r="F593" i="5"/>
  <c r="E593" i="5"/>
  <c r="D593" i="5"/>
  <c r="C593" i="5"/>
  <c r="B593" i="5"/>
  <c r="A593" i="5"/>
  <c r="Y592" i="5"/>
  <c r="X592" i="5"/>
  <c r="W592" i="5"/>
  <c r="V592" i="5"/>
  <c r="U592" i="5"/>
  <c r="G592" i="5"/>
  <c r="F592" i="5"/>
  <c r="E592" i="5"/>
  <c r="D592" i="5"/>
  <c r="C592" i="5"/>
  <c r="B592" i="5"/>
  <c r="A592" i="5"/>
  <c r="Y591" i="5"/>
  <c r="X591" i="5"/>
  <c r="W591" i="5"/>
  <c r="V591" i="5"/>
  <c r="U591" i="5"/>
  <c r="Z591" i="5" s="1"/>
  <c r="G591" i="5"/>
  <c r="F591" i="5"/>
  <c r="E591" i="5"/>
  <c r="D591" i="5"/>
  <c r="C591" i="5"/>
  <c r="B591" i="5"/>
  <c r="A591" i="5"/>
  <c r="Y590" i="5"/>
  <c r="X590" i="5"/>
  <c r="W590" i="5"/>
  <c r="V590" i="5"/>
  <c r="U590" i="5" s="1"/>
  <c r="G590" i="5"/>
  <c r="F590" i="5"/>
  <c r="E590" i="5"/>
  <c r="D590" i="5"/>
  <c r="C590" i="5"/>
  <c r="B590" i="5"/>
  <c r="A590" i="5"/>
  <c r="Y589" i="5"/>
  <c r="X589" i="5"/>
  <c r="W589" i="5"/>
  <c r="V589" i="5"/>
  <c r="U589" i="5"/>
  <c r="Z589" i="5" s="1"/>
  <c r="G589" i="5"/>
  <c r="F589" i="5"/>
  <c r="E589" i="5"/>
  <c r="D589" i="5"/>
  <c r="C589" i="5"/>
  <c r="B589" i="5"/>
  <c r="A589" i="5"/>
  <c r="Y588" i="5"/>
  <c r="X588" i="5"/>
  <c r="U588" i="5" s="1"/>
  <c r="Z588" i="5" s="1"/>
  <c r="W588" i="5"/>
  <c r="V588" i="5"/>
  <c r="G588" i="5"/>
  <c r="F588" i="5"/>
  <c r="E588" i="5"/>
  <c r="D588" i="5"/>
  <c r="C588" i="5"/>
  <c r="B588" i="5"/>
  <c r="A588" i="5"/>
  <c r="Z587" i="5"/>
  <c r="Y587" i="5"/>
  <c r="X587" i="5"/>
  <c r="W587" i="5"/>
  <c r="V587" i="5"/>
  <c r="U587" i="5"/>
  <c r="G587" i="5"/>
  <c r="F587" i="5"/>
  <c r="E587" i="5"/>
  <c r="D587" i="5"/>
  <c r="C587" i="5"/>
  <c r="B587" i="5"/>
  <c r="A587" i="5"/>
  <c r="Y586" i="5"/>
  <c r="X586" i="5"/>
  <c r="W586" i="5"/>
  <c r="V586" i="5"/>
  <c r="G586" i="5"/>
  <c r="F586" i="5"/>
  <c r="E586" i="5"/>
  <c r="D586" i="5"/>
  <c r="C586" i="5"/>
  <c r="B586" i="5"/>
  <c r="A586" i="5"/>
  <c r="Y585" i="5"/>
  <c r="X585" i="5"/>
  <c r="W585" i="5"/>
  <c r="U585" i="5" s="1"/>
  <c r="Z585" i="5" s="1"/>
  <c r="V585" i="5"/>
  <c r="G585" i="5"/>
  <c r="F585" i="5"/>
  <c r="E585" i="5"/>
  <c r="D585" i="5"/>
  <c r="C585" i="5"/>
  <c r="B585" i="5"/>
  <c r="A585" i="5"/>
  <c r="Z584" i="5"/>
  <c r="Y584" i="5"/>
  <c r="X584" i="5"/>
  <c r="W584" i="5"/>
  <c r="V584" i="5"/>
  <c r="U584" i="5" s="1"/>
  <c r="G584" i="5"/>
  <c r="F584" i="5"/>
  <c r="E584" i="5"/>
  <c r="D584" i="5"/>
  <c r="C584" i="5"/>
  <c r="B584" i="5"/>
  <c r="A584" i="5"/>
  <c r="Y583" i="5"/>
  <c r="X583" i="5"/>
  <c r="W583" i="5"/>
  <c r="U583" i="5" s="1"/>
  <c r="Z583" i="5" s="1"/>
  <c r="V583" i="5"/>
  <c r="G583" i="5"/>
  <c r="F583" i="5"/>
  <c r="E583" i="5"/>
  <c r="D583" i="5"/>
  <c r="C583" i="5"/>
  <c r="B583" i="5"/>
  <c r="A583" i="5"/>
  <c r="Y582" i="5"/>
  <c r="X582" i="5"/>
  <c r="W582" i="5"/>
  <c r="V582" i="5"/>
  <c r="U582" i="5" s="1"/>
  <c r="Z582" i="5" s="1"/>
  <c r="G582" i="5"/>
  <c r="F582" i="5"/>
  <c r="E582" i="5"/>
  <c r="D582" i="5"/>
  <c r="C582" i="5"/>
  <c r="B582" i="5"/>
  <c r="A582" i="5"/>
  <c r="Y581" i="5"/>
  <c r="X581" i="5"/>
  <c r="W581" i="5"/>
  <c r="V581" i="5"/>
  <c r="G581" i="5"/>
  <c r="F581" i="5"/>
  <c r="E581" i="5"/>
  <c r="D581" i="5"/>
  <c r="C581" i="5"/>
  <c r="B581" i="5"/>
  <c r="A581" i="5"/>
  <c r="Y580" i="5"/>
  <c r="X580" i="5"/>
  <c r="W580" i="5"/>
  <c r="V580" i="5"/>
  <c r="G580" i="5"/>
  <c r="F580" i="5"/>
  <c r="E580" i="5"/>
  <c r="D580" i="5"/>
  <c r="C580" i="5"/>
  <c r="B580" i="5"/>
  <c r="A580" i="5"/>
  <c r="Y579" i="5"/>
  <c r="X579" i="5"/>
  <c r="W579" i="5"/>
  <c r="V579" i="5"/>
  <c r="Z579" i="5" s="1"/>
  <c r="U579" i="5"/>
  <c r="G579" i="5"/>
  <c r="F579" i="5"/>
  <c r="E579" i="5"/>
  <c r="D579" i="5"/>
  <c r="C579" i="5"/>
  <c r="B579" i="5"/>
  <c r="A579" i="5"/>
  <c r="Y578" i="5"/>
  <c r="X578" i="5"/>
  <c r="W578" i="5"/>
  <c r="V578" i="5"/>
  <c r="U578" i="5" s="1"/>
  <c r="G578" i="5"/>
  <c r="F578" i="5"/>
  <c r="E578" i="5"/>
  <c r="D578" i="5"/>
  <c r="C578" i="5"/>
  <c r="B578" i="5"/>
  <c r="A578" i="5"/>
  <c r="Y577" i="5"/>
  <c r="X577" i="5"/>
  <c r="W577" i="5"/>
  <c r="V577" i="5"/>
  <c r="Z577" i="5" s="1"/>
  <c r="U577" i="5"/>
  <c r="G577" i="5"/>
  <c r="F577" i="5"/>
  <c r="E577" i="5"/>
  <c r="D577" i="5"/>
  <c r="C577" i="5"/>
  <c r="B577" i="5"/>
  <c r="A577" i="5"/>
  <c r="Y576" i="5"/>
  <c r="X576" i="5"/>
  <c r="W576" i="5"/>
  <c r="V576" i="5"/>
  <c r="U576" i="5" s="1"/>
  <c r="Z576" i="5" s="1"/>
  <c r="G576" i="5"/>
  <c r="F576" i="5"/>
  <c r="E576" i="5"/>
  <c r="D576" i="5"/>
  <c r="C576" i="5"/>
  <c r="B576" i="5"/>
  <c r="A576" i="5"/>
  <c r="Y575" i="5"/>
  <c r="X575" i="5"/>
  <c r="W575" i="5"/>
  <c r="V575" i="5"/>
  <c r="G575" i="5"/>
  <c r="F575" i="5"/>
  <c r="E575" i="5"/>
  <c r="D575" i="5"/>
  <c r="C575" i="5"/>
  <c r="B575" i="5"/>
  <c r="A575" i="5"/>
  <c r="Y574" i="5"/>
  <c r="X574" i="5"/>
  <c r="W574" i="5"/>
  <c r="V574" i="5"/>
  <c r="U574" i="5" s="1"/>
  <c r="Z574" i="5" s="1"/>
  <c r="G574" i="5"/>
  <c r="F574" i="5"/>
  <c r="E574" i="5"/>
  <c r="D574" i="5"/>
  <c r="C574" i="5"/>
  <c r="B574" i="5"/>
  <c r="A574" i="5"/>
  <c r="Y573" i="5"/>
  <c r="X573" i="5"/>
  <c r="W573" i="5"/>
  <c r="U573" i="5" s="1"/>
  <c r="V573" i="5"/>
  <c r="G573" i="5"/>
  <c r="F573" i="5"/>
  <c r="E573" i="5"/>
  <c r="D573" i="5"/>
  <c r="C573" i="5"/>
  <c r="B573" i="5"/>
  <c r="A573" i="5"/>
  <c r="Y572" i="5"/>
  <c r="X572" i="5"/>
  <c r="W572" i="5"/>
  <c r="V572" i="5"/>
  <c r="U572" i="5" s="1"/>
  <c r="G572" i="5"/>
  <c r="F572" i="5"/>
  <c r="E572" i="5"/>
  <c r="D572" i="5"/>
  <c r="C572" i="5"/>
  <c r="B572" i="5"/>
  <c r="A572" i="5"/>
  <c r="Y571" i="5"/>
  <c r="X571" i="5"/>
  <c r="W571" i="5"/>
  <c r="V571" i="5"/>
  <c r="U571" i="5"/>
  <c r="Z571" i="5" s="1"/>
  <c r="G571" i="5"/>
  <c r="F571" i="5"/>
  <c r="E571" i="5"/>
  <c r="D571" i="5"/>
  <c r="C571" i="5"/>
  <c r="B571" i="5"/>
  <c r="A571" i="5"/>
  <c r="Y570" i="5"/>
  <c r="X570" i="5"/>
  <c r="W570" i="5"/>
  <c r="V570" i="5"/>
  <c r="G570" i="5"/>
  <c r="F570" i="5"/>
  <c r="E570" i="5"/>
  <c r="D570" i="5"/>
  <c r="C570" i="5"/>
  <c r="B570" i="5"/>
  <c r="A570" i="5"/>
  <c r="Y569" i="5"/>
  <c r="X569" i="5"/>
  <c r="W569" i="5"/>
  <c r="V569" i="5"/>
  <c r="U569" i="5"/>
  <c r="Z569" i="5" s="1"/>
  <c r="G569" i="5"/>
  <c r="F569" i="5"/>
  <c r="E569" i="5"/>
  <c r="D569" i="5"/>
  <c r="C569" i="5"/>
  <c r="B569" i="5"/>
  <c r="A569" i="5"/>
  <c r="Y568" i="5"/>
  <c r="X568" i="5"/>
  <c r="U568" i="5" s="1"/>
  <c r="Z568" i="5" s="1"/>
  <c r="W568" i="5"/>
  <c r="V568" i="5"/>
  <c r="G568" i="5"/>
  <c r="F568" i="5"/>
  <c r="E568" i="5"/>
  <c r="D568" i="5"/>
  <c r="C568" i="5"/>
  <c r="B568" i="5"/>
  <c r="A568" i="5"/>
  <c r="Z567" i="5"/>
  <c r="Y567" i="5"/>
  <c r="X567" i="5"/>
  <c r="W567" i="5"/>
  <c r="V567" i="5"/>
  <c r="U567" i="5"/>
  <c r="G567" i="5"/>
  <c r="F567" i="5"/>
  <c r="E567" i="5"/>
  <c r="D567" i="5"/>
  <c r="C567" i="5"/>
  <c r="B567" i="5"/>
  <c r="A567" i="5"/>
  <c r="Y566" i="5"/>
  <c r="X566" i="5"/>
  <c r="W566" i="5"/>
  <c r="V566" i="5"/>
  <c r="G566" i="5"/>
  <c r="F566" i="5"/>
  <c r="E566" i="5"/>
  <c r="D566" i="5"/>
  <c r="C566" i="5"/>
  <c r="B566" i="5"/>
  <c r="A566" i="5"/>
  <c r="Y565" i="5"/>
  <c r="X565" i="5"/>
  <c r="W565" i="5"/>
  <c r="U565" i="5" s="1"/>
  <c r="Z565" i="5" s="1"/>
  <c r="V565" i="5"/>
  <c r="G565" i="5"/>
  <c r="F565" i="5"/>
  <c r="E565" i="5"/>
  <c r="D565" i="5"/>
  <c r="C565" i="5"/>
  <c r="B565" i="5"/>
  <c r="A565" i="5"/>
  <c r="Y564" i="5"/>
  <c r="X564" i="5"/>
  <c r="W564" i="5"/>
  <c r="V564" i="5"/>
  <c r="U564" i="5" s="1"/>
  <c r="Z564" i="5" s="1"/>
  <c r="G564" i="5"/>
  <c r="F564" i="5"/>
  <c r="E564" i="5"/>
  <c r="D564" i="5"/>
  <c r="C564" i="5"/>
  <c r="B564" i="5"/>
  <c r="A564" i="5"/>
  <c r="Y563" i="5"/>
  <c r="X563" i="5"/>
  <c r="W563" i="5"/>
  <c r="U563" i="5" s="1"/>
  <c r="Z563" i="5" s="1"/>
  <c r="V563" i="5"/>
  <c r="G563" i="5"/>
  <c r="F563" i="5"/>
  <c r="E563" i="5"/>
  <c r="D563" i="5"/>
  <c r="C563" i="5"/>
  <c r="B563" i="5"/>
  <c r="A563" i="5"/>
  <c r="Z562" i="5"/>
  <c r="Y562" i="5"/>
  <c r="X562" i="5"/>
  <c r="W562" i="5"/>
  <c r="V562" i="5"/>
  <c r="U562" i="5" s="1"/>
  <c r="G562" i="5"/>
  <c r="F562" i="5"/>
  <c r="E562" i="5"/>
  <c r="D562" i="5"/>
  <c r="C562" i="5"/>
  <c r="B562" i="5"/>
  <c r="A562" i="5"/>
  <c r="Y561" i="5"/>
  <c r="X561" i="5"/>
  <c r="W561" i="5"/>
  <c r="U561" i="5" s="1"/>
  <c r="V561" i="5"/>
  <c r="Z561" i="5" s="1"/>
  <c r="G561" i="5"/>
  <c r="F561" i="5"/>
  <c r="E561" i="5"/>
  <c r="D561" i="5"/>
  <c r="C561" i="5"/>
  <c r="B561" i="5"/>
  <c r="A561" i="5"/>
  <c r="Y560" i="5"/>
  <c r="X560" i="5"/>
  <c r="W560" i="5"/>
  <c r="V560" i="5"/>
  <c r="G560" i="5"/>
  <c r="F560" i="5"/>
  <c r="E560" i="5"/>
  <c r="D560" i="5"/>
  <c r="C560" i="5"/>
  <c r="B560" i="5"/>
  <c r="A560" i="5"/>
  <c r="Y559" i="5"/>
  <c r="X559" i="5"/>
  <c r="W559" i="5"/>
  <c r="V559" i="5"/>
  <c r="Z559" i="5" s="1"/>
  <c r="U559" i="5"/>
  <c r="G559" i="5"/>
  <c r="F559" i="5"/>
  <c r="E559" i="5"/>
  <c r="D559" i="5"/>
  <c r="C559" i="5"/>
  <c r="B559" i="5"/>
  <c r="A559" i="5"/>
  <c r="Y558" i="5"/>
  <c r="X558" i="5"/>
  <c r="W558" i="5"/>
  <c r="V558" i="5"/>
  <c r="U558" i="5" s="1"/>
  <c r="G558" i="5"/>
  <c r="F558" i="5"/>
  <c r="E558" i="5"/>
  <c r="D558" i="5"/>
  <c r="C558" i="5"/>
  <c r="B558" i="5"/>
  <c r="A558" i="5"/>
  <c r="Y557" i="5"/>
  <c r="X557" i="5"/>
  <c r="W557" i="5"/>
  <c r="V557" i="5"/>
  <c r="Z557" i="5" s="1"/>
  <c r="U557" i="5"/>
  <c r="G557" i="5"/>
  <c r="F557" i="5"/>
  <c r="E557" i="5"/>
  <c r="D557" i="5"/>
  <c r="C557" i="5"/>
  <c r="B557" i="5"/>
  <c r="A557" i="5"/>
  <c r="Y556" i="5"/>
  <c r="X556" i="5"/>
  <c r="W556" i="5"/>
  <c r="V556" i="5"/>
  <c r="G556" i="5"/>
  <c r="F556" i="5"/>
  <c r="E556" i="5"/>
  <c r="D556" i="5"/>
  <c r="C556" i="5"/>
  <c r="B556" i="5"/>
  <c r="A556" i="5"/>
  <c r="Y555" i="5"/>
  <c r="X555" i="5"/>
  <c r="W555" i="5"/>
  <c r="V555" i="5"/>
  <c r="G555" i="5"/>
  <c r="F555" i="5"/>
  <c r="E555" i="5"/>
  <c r="D555" i="5"/>
  <c r="C555" i="5"/>
  <c r="B555" i="5"/>
  <c r="A555" i="5"/>
  <c r="Z554" i="5"/>
  <c r="Y554" i="5"/>
  <c r="X554" i="5"/>
  <c r="W554" i="5"/>
  <c r="V554" i="5"/>
  <c r="U554" i="5" s="1"/>
  <c r="G554" i="5"/>
  <c r="F554" i="5"/>
  <c r="E554" i="5"/>
  <c r="D554" i="5"/>
  <c r="C554" i="5"/>
  <c r="B554" i="5"/>
  <c r="A554" i="5"/>
  <c r="Y553" i="5"/>
  <c r="X553" i="5"/>
  <c r="W553" i="5"/>
  <c r="U553" i="5" s="1"/>
  <c r="V553" i="5"/>
  <c r="Z553" i="5" s="1"/>
  <c r="G553" i="5"/>
  <c r="F553" i="5"/>
  <c r="E553" i="5"/>
  <c r="D553" i="5"/>
  <c r="C553" i="5"/>
  <c r="B553" i="5"/>
  <c r="A553" i="5"/>
  <c r="Y552" i="5"/>
  <c r="X552" i="5"/>
  <c r="W552" i="5"/>
  <c r="V552" i="5"/>
  <c r="U552" i="5" s="1"/>
  <c r="G552" i="5"/>
  <c r="F552" i="5"/>
  <c r="E552" i="5"/>
  <c r="D552" i="5"/>
  <c r="C552" i="5"/>
  <c r="B552" i="5"/>
  <c r="A552" i="5"/>
  <c r="Y551" i="5"/>
  <c r="X551" i="5"/>
  <c r="W551" i="5"/>
  <c r="V551" i="5"/>
  <c r="U551" i="5"/>
  <c r="Z551" i="5" s="1"/>
  <c r="G551" i="5"/>
  <c r="F551" i="5"/>
  <c r="E551" i="5"/>
  <c r="D551" i="5"/>
  <c r="C551" i="5"/>
  <c r="B551" i="5"/>
  <c r="A551" i="5"/>
  <c r="Y550" i="5"/>
  <c r="X550" i="5"/>
  <c r="W550" i="5"/>
  <c r="V550" i="5"/>
  <c r="G550" i="5"/>
  <c r="F550" i="5"/>
  <c r="E550" i="5"/>
  <c r="D550" i="5"/>
  <c r="C550" i="5"/>
  <c r="B550" i="5"/>
  <c r="A550" i="5"/>
  <c r="Y549" i="5"/>
  <c r="X549" i="5"/>
  <c r="W549" i="5"/>
  <c r="V549" i="5"/>
  <c r="U549" i="5"/>
  <c r="Z549" i="5" s="1"/>
  <c r="G549" i="5"/>
  <c r="F549" i="5"/>
  <c r="E549" i="5"/>
  <c r="D549" i="5"/>
  <c r="C549" i="5"/>
  <c r="B549" i="5"/>
  <c r="A549" i="5"/>
  <c r="Y548" i="5"/>
  <c r="X548" i="5"/>
  <c r="U548" i="5" s="1"/>
  <c r="Z548" i="5" s="1"/>
  <c r="W548" i="5"/>
  <c r="V548" i="5"/>
  <c r="G548" i="5"/>
  <c r="F548" i="5"/>
  <c r="E548" i="5"/>
  <c r="D548" i="5"/>
  <c r="C548" i="5"/>
  <c r="B548" i="5"/>
  <c r="A548" i="5"/>
  <c r="Z547" i="5"/>
  <c r="Y547" i="5"/>
  <c r="X547" i="5"/>
  <c r="W547" i="5"/>
  <c r="V547" i="5"/>
  <c r="U547" i="5"/>
  <c r="G547" i="5"/>
  <c r="F547" i="5"/>
  <c r="E547" i="5"/>
  <c r="D547" i="5"/>
  <c r="C547" i="5"/>
  <c r="B547" i="5"/>
  <c r="A547" i="5"/>
  <c r="Y546" i="5"/>
  <c r="X546" i="5"/>
  <c r="W546" i="5"/>
  <c r="V546" i="5"/>
  <c r="G546" i="5"/>
  <c r="F546" i="5"/>
  <c r="E546" i="5"/>
  <c r="D546" i="5"/>
  <c r="C546" i="5"/>
  <c r="B546" i="5"/>
  <c r="A546" i="5"/>
  <c r="Y545" i="5"/>
  <c r="X545" i="5"/>
  <c r="W545" i="5"/>
  <c r="U545" i="5" s="1"/>
  <c r="Z545" i="5" s="1"/>
  <c r="V545" i="5"/>
  <c r="G545" i="5"/>
  <c r="F545" i="5"/>
  <c r="E545" i="5"/>
  <c r="D545" i="5"/>
  <c r="C545" i="5"/>
  <c r="B545" i="5"/>
  <c r="A545" i="5"/>
  <c r="Y544" i="5"/>
  <c r="X544" i="5"/>
  <c r="W544" i="5"/>
  <c r="V544" i="5"/>
  <c r="U544" i="5" s="1"/>
  <c r="Z544" i="5" s="1"/>
  <c r="G544" i="5"/>
  <c r="F544" i="5"/>
  <c r="E544" i="5"/>
  <c r="D544" i="5"/>
  <c r="C544" i="5"/>
  <c r="B544" i="5"/>
  <c r="A544" i="5"/>
  <c r="Y543" i="5"/>
  <c r="X543" i="5"/>
  <c r="W543" i="5"/>
  <c r="U543" i="5" s="1"/>
  <c r="Z543" i="5" s="1"/>
  <c r="V543" i="5"/>
  <c r="G543" i="5"/>
  <c r="F543" i="5"/>
  <c r="E543" i="5"/>
  <c r="D543" i="5"/>
  <c r="C543" i="5"/>
  <c r="B543" i="5"/>
  <c r="A543" i="5"/>
  <c r="Z542" i="5"/>
  <c r="Y542" i="5"/>
  <c r="X542" i="5"/>
  <c r="W542" i="5"/>
  <c r="V542" i="5"/>
  <c r="U542" i="5" s="1"/>
  <c r="G542" i="5"/>
  <c r="F542" i="5"/>
  <c r="E542" i="5"/>
  <c r="D542" i="5"/>
  <c r="C542" i="5"/>
  <c r="B542" i="5"/>
  <c r="A542" i="5"/>
  <c r="Y541" i="5"/>
  <c r="X541" i="5"/>
  <c r="W541" i="5"/>
  <c r="V541" i="5"/>
  <c r="G541" i="5"/>
  <c r="F541" i="5"/>
  <c r="E541" i="5"/>
  <c r="D541" i="5"/>
  <c r="C541" i="5"/>
  <c r="B541" i="5"/>
  <c r="A541" i="5"/>
  <c r="Y540" i="5"/>
  <c r="X540" i="5"/>
  <c r="W540" i="5"/>
  <c r="V540" i="5"/>
  <c r="G540" i="5"/>
  <c r="F540" i="5"/>
  <c r="E540" i="5"/>
  <c r="D540" i="5"/>
  <c r="C540" i="5"/>
  <c r="B540" i="5"/>
  <c r="A540" i="5"/>
  <c r="Y539" i="5"/>
  <c r="X539" i="5"/>
  <c r="W539" i="5"/>
  <c r="V539" i="5"/>
  <c r="Z539" i="5" s="1"/>
  <c r="U539" i="5"/>
  <c r="G539" i="5"/>
  <c r="F539" i="5"/>
  <c r="E539" i="5"/>
  <c r="D539" i="5"/>
  <c r="C539" i="5"/>
  <c r="B539" i="5"/>
  <c r="A539" i="5"/>
  <c r="Y538" i="5"/>
  <c r="X538" i="5"/>
  <c r="W538" i="5"/>
  <c r="V538" i="5"/>
  <c r="G538" i="5"/>
  <c r="F538" i="5"/>
  <c r="E538" i="5"/>
  <c r="D538" i="5"/>
  <c r="C538" i="5"/>
  <c r="B538" i="5"/>
  <c r="A538" i="5"/>
  <c r="Y537" i="5"/>
  <c r="X537" i="5"/>
  <c r="W537" i="5"/>
  <c r="V537" i="5"/>
  <c r="Z537" i="5" s="1"/>
  <c r="U537" i="5"/>
  <c r="G537" i="5"/>
  <c r="F537" i="5"/>
  <c r="E537" i="5"/>
  <c r="D537" i="5"/>
  <c r="C537" i="5"/>
  <c r="B537" i="5"/>
  <c r="A537" i="5"/>
  <c r="Y536" i="5"/>
  <c r="X536" i="5"/>
  <c r="W536" i="5"/>
  <c r="V536" i="5"/>
  <c r="U536" i="5" s="1"/>
  <c r="Z536" i="5" s="1"/>
  <c r="G536" i="5"/>
  <c r="F536" i="5"/>
  <c r="E536" i="5"/>
  <c r="D536" i="5"/>
  <c r="C536" i="5"/>
  <c r="B536" i="5"/>
  <c r="A536" i="5"/>
  <c r="Y535" i="5"/>
  <c r="X535" i="5"/>
  <c r="W535" i="5"/>
  <c r="U535" i="5" s="1"/>
  <c r="V535" i="5"/>
  <c r="G535" i="5"/>
  <c r="F535" i="5"/>
  <c r="E535" i="5"/>
  <c r="D535" i="5"/>
  <c r="C535" i="5"/>
  <c r="B535" i="5"/>
  <c r="A535" i="5"/>
  <c r="Z534" i="5"/>
  <c r="Y534" i="5"/>
  <c r="X534" i="5"/>
  <c r="W534" i="5"/>
  <c r="V534" i="5"/>
  <c r="U534" i="5" s="1"/>
  <c r="G534" i="5"/>
  <c r="F534" i="5"/>
  <c r="E534" i="5"/>
  <c r="D534" i="5"/>
  <c r="C534" i="5"/>
  <c r="B534" i="5"/>
  <c r="A534" i="5"/>
  <c r="Y533" i="5"/>
  <c r="X533" i="5"/>
  <c r="W533" i="5"/>
  <c r="U533" i="5" s="1"/>
  <c r="V533" i="5"/>
  <c r="Z533" i="5" s="1"/>
  <c r="G533" i="5"/>
  <c r="F533" i="5"/>
  <c r="E533" i="5"/>
  <c r="D533" i="5"/>
  <c r="C533" i="5"/>
  <c r="B533" i="5"/>
  <c r="A533" i="5"/>
  <c r="Y532" i="5"/>
  <c r="X532" i="5"/>
  <c r="W532" i="5"/>
  <c r="V532" i="5"/>
  <c r="U532" i="5"/>
  <c r="G532" i="5"/>
  <c r="F532" i="5"/>
  <c r="E532" i="5"/>
  <c r="D532" i="5"/>
  <c r="C532" i="5"/>
  <c r="B532" i="5"/>
  <c r="A532" i="5"/>
  <c r="Y531" i="5"/>
  <c r="X531" i="5"/>
  <c r="W531" i="5"/>
  <c r="V531" i="5"/>
  <c r="U531" i="5"/>
  <c r="Z531" i="5" s="1"/>
  <c r="G531" i="5"/>
  <c r="F531" i="5"/>
  <c r="E531" i="5"/>
  <c r="D531" i="5"/>
  <c r="C531" i="5"/>
  <c r="B531" i="5"/>
  <c r="A531" i="5"/>
  <c r="Z530" i="5"/>
  <c r="Y530" i="5"/>
  <c r="X530" i="5"/>
  <c r="W530" i="5"/>
  <c r="V530" i="5"/>
  <c r="U530" i="5" s="1"/>
  <c r="G530" i="5"/>
  <c r="F530" i="5"/>
  <c r="E530" i="5"/>
  <c r="D530" i="5"/>
  <c r="C530" i="5"/>
  <c r="B530" i="5"/>
  <c r="A530" i="5"/>
  <c r="Y529" i="5"/>
  <c r="X529" i="5"/>
  <c r="W529" i="5"/>
  <c r="V529" i="5"/>
  <c r="U529" i="5"/>
  <c r="Z529" i="5" s="1"/>
  <c r="G529" i="5"/>
  <c r="F529" i="5"/>
  <c r="E529" i="5"/>
  <c r="D529" i="5"/>
  <c r="C529" i="5"/>
  <c r="B529" i="5"/>
  <c r="A529" i="5"/>
  <c r="Y528" i="5"/>
  <c r="X528" i="5"/>
  <c r="U528" i="5" s="1"/>
  <c r="Z528" i="5" s="1"/>
  <c r="W528" i="5"/>
  <c r="V528" i="5"/>
  <c r="G528" i="5"/>
  <c r="F528" i="5"/>
  <c r="E528" i="5"/>
  <c r="D528" i="5"/>
  <c r="C528" i="5"/>
  <c r="B528" i="5"/>
  <c r="A528" i="5"/>
  <c r="Y527" i="5"/>
  <c r="X527" i="5"/>
  <c r="W527" i="5"/>
  <c r="V527" i="5"/>
  <c r="U527" i="5"/>
  <c r="Z527" i="5" s="1"/>
  <c r="G527" i="5"/>
  <c r="F527" i="5"/>
  <c r="E527" i="5"/>
  <c r="D527" i="5"/>
  <c r="C527" i="5"/>
  <c r="B527" i="5"/>
  <c r="A527" i="5"/>
  <c r="Y526" i="5"/>
  <c r="X526" i="5"/>
  <c r="W526" i="5"/>
  <c r="V526" i="5"/>
  <c r="G526" i="5"/>
  <c r="F526" i="5"/>
  <c r="E526" i="5"/>
  <c r="D526" i="5"/>
  <c r="C526" i="5"/>
  <c r="B526" i="5"/>
  <c r="A526" i="5"/>
  <c r="Y525" i="5"/>
  <c r="X525" i="5"/>
  <c r="W525" i="5"/>
  <c r="U525" i="5" s="1"/>
  <c r="Z525" i="5" s="1"/>
  <c r="V525" i="5"/>
  <c r="G525" i="5"/>
  <c r="F525" i="5"/>
  <c r="E525" i="5"/>
  <c r="D525" i="5"/>
  <c r="C525" i="5"/>
  <c r="B525" i="5"/>
  <c r="A525" i="5"/>
  <c r="Y524" i="5"/>
  <c r="X524" i="5"/>
  <c r="W524" i="5"/>
  <c r="V524" i="5"/>
  <c r="G524" i="5"/>
  <c r="F524" i="5"/>
  <c r="E524" i="5"/>
  <c r="D524" i="5"/>
  <c r="C524" i="5"/>
  <c r="B524" i="5"/>
  <c r="A524" i="5"/>
  <c r="Y523" i="5"/>
  <c r="X523" i="5"/>
  <c r="W523" i="5"/>
  <c r="U523" i="5" s="1"/>
  <c r="Z523" i="5" s="1"/>
  <c r="V523" i="5"/>
  <c r="G523" i="5"/>
  <c r="F523" i="5"/>
  <c r="E523" i="5"/>
  <c r="D523" i="5"/>
  <c r="C523" i="5"/>
  <c r="B523" i="5"/>
  <c r="A523" i="5"/>
  <c r="Z522" i="5"/>
  <c r="Y522" i="5"/>
  <c r="X522" i="5"/>
  <c r="W522" i="5"/>
  <c r="V522" i="5"/>
  <c r="U522" i="5" s="1"/>
  <c r="G522" i="5"/>
  <c r="F522" i="5"/>
  <c r="E522" i="5"/>
  <c r="D522" i="5"/>
  <c r="C522" i="5"/>
  <c r="B522" i="5"/>
  <c r="A522" i="5"/>
  <c r="Y521" i="5"/>
  <c r="X521" i="5"/>
  <c r="W521" i="5"/>
  <c r="V521" i="5"/>
  <c r="G521" i="5"/>
  <c r="F521" i="5"/>
  <c r="E521" i="5"/>
  <c r="D521" i="5"/>
  <c r="C521" i="5"/>
  <c r="B521" i="5"/>
  <c r="A521" i="5"/>
  <c r="Y520" i="5"/>
  <c r="X520" i="5"/>
  <c r="W520" i="5"/>
  <c r="V520" i="5"/>
  <c r="G520" i="5"/>
  <c r="F520" i="5"/>
  <c r="E520" i="5"/>
  <c r="D520" i="5"/>
  <c r="C520" i="5"/>
  <c r="B520" i="5"/>
  <c r="A520" i="5"/>
  <c r="Y519" i="5"/>
  <c r="X519" i="5"/>
  <c r="W519" i="5"/>
  <c r="V519" i="5"/>
  <c r="U519" i="5"/>
  <c r="G519" i="5"/>
  <c r="F519" i="5"/>
  <c r="E519" i="5"/>
  <c r="D519" i="5"/>
  <c r="C519" i="5"/>
  <c r="B519" i="5"/>
  <c r="A519" i="5"/>
  <c r="Y518" i="5"/>
  <c r="X518" i="5"/>
  <c r="W518" i="5"/>
  <c r="V518" i="5"/>
  <c r="G518" i="5"/>
  <c r="F518" i="5"/>
  <c r="E518" i="5"/>
  <c r="D518" i="5"/>
  <c r="C518" i="5"/>
  <c r="B518" i="5"/>
  <c r="A518" i="5"/>
  <c r="Y517" i="5"/>
  <c r="X517" i="5"/>
  <c r="W517" i="5"/>
  <c r="V517" i="5"/>
  <c r="Z517" i="5" s="1"/>
  <c r="U517" i="5"/>
  <c r="G517" i="5"/>
  <c r="F517" i="5"/>
  <c r="E517" i="5"/>
  <c r="D517" i="5"/>
  <c r="C517" i="5"/>
  <c r="B517" i="5"/>
  <c r="A517" i="5"/>
  <c r="Y516" i="5"/>
  <c r="X516" i="5"/>
  <c r="U516" i="5" s="1"/>
  <c r="Z516" i="5" s="1"/>
  <c r="W516" i="5"/>
  <c r="V516" i="5"/>
  <c r="G516" i="5"/>
  <c r="F516" i="5"/>
  <c r="E516" i="5"/>
  <c r="D516" i="5"/>
  <c r="C516" i="5"/>
  <c r="B516" i="5"/>
  <c r="A516" i="5"/>
  <c r="Y515" i="5"/>
  <c r="X515" i="5"/>
  <c r="W515" i="5"/>
  <c r="V515" i="5"/>
  <c r="U515" i="5"/>
  <c r="G515" i="5"/>
  <c r="F515" i="5"/>
  <c r="E515" i="5"/>
  <c r="D515" i="5"/>
  <c r="C515" i="5"/>
  <c r="B515" i="5"/>
  <c r="A515" i="5"/>
  <c r="Z514" i="5"/>
  <c r="Y514" i="5"/>
  <c r="X514" i="5"/>
  <c r="W514" i="5"/>
  <c r="V514" i="5"/>
  <c r="U514" i="5" s="1"/>
  <c r="G514" i="5"/>
  <c r="F514" i="5"/>
  <c r="E514" i="5"/>
  <c r="D514" i="5"/>
  <c r="C514" i="5"/>
  <c r="B514" i="5"/>
  <c r="A514" i="5"/>
  <c r="Y513" i="5"/>
  <c r="X513" i="5"/>
  <c r="W513" i="5"/>
  <c r="U513" i="5" s="1"/>
  <c r="V513" i="5"/>
  <c r="Z513" i="5" s="1"/>
  <c r="G513" i="5"/>
  <c r="F513" i="5"/>
  <c r="E513" i="5"/>
  <c r="D513" i="5"/>
  <c r="C513" i="5"/>
  <c r="B513" i="5"/>
  <c r="A513" i="5"/>
  <c r="Y512" i="5"/>
  <c r="X512" i="5"/>
  <c r="W512" i="5"/>
  <c r="V512" i="5"/>
  <c r="U512" i="5"/>
  <c r="G512" i="5"/>
  <c r="F512" i="5"/>
  <c r="E512" i="5"/>
  <c r="D512" i="5"/>
  <c r="C512" i="5"/>
  <c r="B512" i="5"/>
  <c r="A512" i="5"/>
  <c r="Y511" i="5"/>
  <c r="X511" i="5"/>
  <c r="W511" i="5"/>
  <c r="V511" i="5"/>
  <c r="U511" i="5"/>
  <c r="Z511" i="5" s="1"/>
  <c r="G511" i="5"/>
  <c r="F511" i="5"/>
  <c r="E511" i="5"/>
  <c r="D511" i="5"/>
  <c r="C511" i="5"/>
  <c r="B511" i="5"/>
  <c r="A511" i="5"/>
  <c r="Z510" i="5"/>
  <c r="Y510" i="5"/>
  <c r="X510" i="5"/>
  <c r="W510" i="5"/>
  <c r="V510" i="5"/>
  <c r="U510" i="5" s="1"/>
  <c r="G510" i="5"/>
  <c r="F510" i="5"/>
  <c r="E510" i="5"/>
  <c r="D510" i="5"/>
  <c r="C510" i="5"/>
  <c r="B510" i="5"/>
  <c r="A510" i="5"/>
  <c r="Y509" i="5"/>
  <c r="X509" i="5"/>
  <c r="W509" i="5"/>
  <c r="V509" i="5"/>
  <c r="U509" i="5"/>
  <c r="Z509" i="5" s="1"/>
  <c r="G509" i="5"/>
  <c r="F509" i="5"/>
  <c r="E509" i="5"/>
  <c r="D509" i="5"/>
  <c r="C509" i="5"/>
  <c r="B509" i="5"/>
  <c r="A509" i="5"/>
  <c r="Y508" i="5"/>
  <c r="X508" i="5"/>
  <c r="U508" i="5" s="1"/>
  <c r="Z508" i="5" s="1"/>
  <c r="W508" i="5"/>
  <c r="V508" i="5"/>
  <c r="G508" i="5"/>
  <c r="F508" i="5"/>
  <c r="E508" i="5"/>
  <c r="D508" i="5"/>
  <c r="C508" i="5"/>
  <c r="B508" i="5"/>
  <c r="A508" i="5"/>
  <c r="Y507" i="5"/>
  <c r="X507" i="5"/>
  <c r="W507" i="5"/>
  <c r="V507" i="5"/>
  <c r="U507" i="5"/>
  <c r="Z507" i="5" s="1"/>
  <c r="G507" i="5"/>
  <c r="F507" i="5"/>
  <c r="E507" i="5"/>
  <c r="D507" i="5"/>
  <c r="C507" i="5"/>
  <c r="B507" i="5"/>
  <c r="A507" i="5"/>
  <c r="Y506" i="5"/>
  <c r="X506" i="5"/>
  <c r="W506" i="5"/>
  <c r="V506" i="5"/>
  <c r="G506" i="5"/>
  <c r="F506" i="5"/>
  <c r="E506" i="5"/>
  <c r="D506" i="5"/>
  <c r="C506" i="5"/>
  <c r="B506" i="5"/>
  <c r="A506" i="5"/>
  <c r="Y505" i="5"/>
  <c r="X505" i="5"/>
  <c r="W505" i="5"/>
  <c r="U505" i="5" s="1"/>
  <c r="Z505" i="5" s="1"/>
  <c r="V505" i="5"/>
  <c r="G505" i="5"/>
  <c r="F505" i="5"/>
  <c r="E505" i="5"/>
  <c r="D505" i="5"/>
  <c r="C505" i="5"/>
  <c r="B505" i="5"/>
  <c r="A505" i="5"/>
  <c r="Z504" i="5"/>
  <c r="Y504" i="5"/>
  <c r="X504" i="5"/>
  <c r="W504" i="5"/>
  <c r="V504" i="5"/>
  <c r="U504" i="5" s="1"/>
  <c r="G504" i="5"/>
  <c r="F504" i="5"/>
  <c r="E504" i="5"/>
  <c r="D504" i="5"/>
  <c r="C504" i="5"/>
  <c r="B504" i="5"/>
  <c r="A504" i="5"/>
  <c r="Y503" i="5"/>
  <c r="X503" i="5"/>
  <c r="W503" i="5"/>
  <c r="U503" i="5" s="1"/>
  <c r="Z503" i="5" s="1"/>
  <c r="V503" i="5"/>
  <c r="G503" i="5"/>
  <c r="F503" i="5"/>
  <c r="E503" i="5"/>
  <c r="D503" i="5"/>
  <c r="C503" i="5"/>
  <c r="B503" i="5"/>
  <c r="A503" i="5"/>
  <c r="Z502" i="5"/>
  <c r="Y502" i="5"/>
  <c r="X502" i="5"/>
  <c r="W502" i="5"/>
  <c r="V502" i="5"/>
  <c r="U502" i="5" s="1"/>
  <c r="G502" i="5"/>
  <c r="F502" i="5"/>
  <c r="E502" i="5"/>
  <c r="D502" i="5"/>
  <c r="C502" i="5"/>
  <c r="B502" i="5"/>
  <c r="A502" i="5"/>
  <c r="Y501" i="5"/>
  <c r="X501" i="5"/>
  <c r="W501" i="5"/>
  <c r="V501" i="5"/>
  <c r="G501" i="5"/>
  <c r="F501" i="5"/>
  <c r="E501" i="5"/>
  <c r="D501" i="5"/>
  <c r="C501" i="5"/>
  <c r="B501" i="5"/>
  <c r="A501" i="5"/>
  <c r="Y500" i="5"/>
  <c r="X500" i="5"/>
  <c r="W500" i="5"/>
  <c r="V500" i="5"/>
  <c r="G500" i="5"/>
  <c r="F500" i="5"/>
  <c r="E500" i="5"/>
  <c r="D500" i="5"/>
  <c r="C500" i="5"/>
  <c r="B500" i="5"/>
  <c r="A500" i="5"/>
  <c r="Y499" i="5"/>
  <c r="X499" i="5"/>
  <c r="W499" i="5"/>
  <c r="V499" i="5"/>
  <c r="Z499" i="5" s="1"/>
  <c r="U499" i="5"/>
  <c r="G499" i="5"/>
  <c r="F499" i="5"/>
  <c r="E499" i="5"/>
  <c r="D499" i="5"/>
  <c r="C499" i="5"/>
  <c r="B499" i="5"/>
  <c r="A499" i="5"/>
  <c r="Y498" i="5"/>
  <c r="X498" i="5"/>
  <c r="W498" i="5"/>
  <c r="V498" i="5"/>
  <c r="G498" i="5"/>
  <c r="F498" i="5"/>
  <c r="E498" i="5"/>
  <c r="D498" i="5"/>
  <c r="C498" i="5"/>
  <c r="B498" i="5"/>
  <c r="A498" i="5"/>
  <c r="Y497" i="5"/>
  <c r="X497" i="5"/>
  <c r="W497" i="5"/>
  <c r="V497" i="5"/>
  <c r="Z497" i="5" s="1"/>
  <c r="U497" i="5"/>
  <c r="G497" i="5"/>
  <c r="F497" i="5"/>
  <c r="E497" i="5"/>
  <c r="D497" i="5"/>
  <c r="C497" i="5"/>
  <c r="B497" i="5"/>
  <c r="A497" i="5"/>
  <c r="Y496" i="5"/>
  <c r="X496" i="5"/>
  <c r="U496" i="5" s="1"/>
  <c r="Z496" i="5" s="1"/>
  <c r="W496" i="5"/>
  <c r="V496" i="5"/>
  <c r="G496" i="5"/>
  <c r="F496" i="5"/>
  <c r="E496" i="5"/>
  <c r="D496" i="5"/>
  <c r="C496" i="5"/>
  <c r="B496" i="5"/>
  <c r="A496" i="5"/>
  <c r="Y495" i="5"/>
  <c r="X495" i="5"/>
  <c r="W495" i="5"/>
  <c r="V495" i="5"/>
  <c r="U495" i="5" s="1"/>
  <c r="G495" i="5"/>
  <c r="F495" i="5"/>
  <c r="E495" i="5"/>
  <c r="D495" i="5"/>
  <c r="C495" i="5"/>
  <c r="B495" i="5"/>
  <c r="A495" i="5"/>
  <c r="Y494" i="5"/>
  <c r="X494" i="5"/>
  <c r="W494" i="5"/>
  <c r="V494" i="5"/>
  <c r="U494" i="5" s="1"/>
  <c r="Z494" i="5" s="1"/>
  <c r="G494" i="5"/>
  <c r="F494" i="5"/>
  <c r="E494" i="5"/>
  <c r="D494" i="5"/>
  <c r="C494" i="5"/>
  <c r="B494" i="5"/>
  <c r="A494" i="5"/>
  <c r="Y493" i="5"/>
  <c r="X493" i="5"/>
  <c r="W493" i="5"/>
  <c r="U493" i="5" s="1"/>
  <c r="V493" i="5"/>
  <c r="Z493" i="5" s="1"/>
  <c r="G493" i="5"/>
  <c r="F493" i="5"/>
  <c r="E493" i="5"/>
  <c r="D493" i="5"/>
  <c r="C493" i="5"/>
  <c r="B493" i="5"/>
  <c r="A493" i="5"/>
  <c r="Y492" i="5"/>
  <c r="X492" i="5"/>
  <c r="W492" i="5"/>
  <c r="V492" i="5"/>
  <c r="U492" i="5" s="1"/>
  <c r="G492" i="5"/>
  <c r="F492" i="5"/>
  <c r="E492" i="5"/>
  <c r="D492" i="5"/>
  <c r="C492" i="5"/>
  <c r="B492" i="5"/>
  <c r="A492" i="5"/>
  <c r="Y491" i="5"/>
  <c r="X491" i="5"/>
  <c r="W491" i="5"/>
  <c r="V491" i="5"/>
  <c r="U491" i="5"/>
  <c r="Z491" i="5" s="1"/>
  <c r="G491" i="5"/>
  <c r="F491" i="5"/>
  <c r="E491" i="5"/>
  <c r="D491" i="5"/>
  <c r="C491" i="5"/>
  <c r="B491" i="5"/>
  <c r="A491" i="5"/>
  <c r="Y490" i="5"/>
  <c r="X490" i="5"/>
  <c r="W490" i="5"/>
  <c r="V490" i="5"/>
  <c r="U490" i="5" s="1"/>
  <c r="G490" i="5"/>
  <c r="F490" i="5"/>
  <c r="E490" i="5"/>
  <c r="D490" i="5"/>
  <c r="C490" i="5"/>
  <c r="B490" i="5"/>
  <c r="A490" i="5"/>
  <c r="Y489" i="5"/>
  <c r="X489" i="5"/>
  <c r="W489" i="5"/>
  <c r="V489" i="5"/>
  <c r="U489" i="5"/>
  <c r="Z489" i="5" s="1"/>
  <c r="G489" i="5"/>
  <c r="F489" i="5"/>
  <c r="E489" i="5"/>
  <c r="D489" i="5"/>
  <c r="C489" i="5"/>
  <c r="B489" i="5"/>
  <c r="A489" i="5"/>
  <c r="Y488" i="5"/>
  <c r="X488" i="5"/>
  <c r="U488" i="5" s="1"/>
  <c r="Z488" i="5" s="1"/>
  <c r="W488" i="5"/>
  <c r="V488" i="5"/>
  <c r="G488" i="5"/>
  <c r="F488" i="5"/>
  <c r="E488" i="5"/>
  <c r="D488" i="5"/>
  <c r="C488" i="5"/>
  <c r="B488" i="5"/>
  <c r="A488" i="5"/>
  <c r="Z487" i="5"/>
  <c r="Y487" i="5"/>
  <c r="X487" i="5"/>
  <c r="W487" i="5"/>
  <c r="V487" i="5"/>
  <c r="U487" i="5"/>
  <c r="G487" i="5"/>
  <c r="F487" i="5"/>
  <c r="E487" i="5"/>
  <c r="D487" i="5"/>
  <c r="C487" i="5"/>
  <c r="B487" i="5"/>
  <c r="A487" i="5"/>
  <c r="Y486" i="5"/>
  <c r="X486" i="5"/>
  <c r="W486" i="5"/>
  <c r="V486" i="5"/>
  <c r="G486" i="5"/>
  <c r="F486" i="5"/>
  <c r="E486" i="5"/>
  <c r="D486" i="5"/>
  <c r="C486" i="5"/>
  <c r="B486" i="5"/>
  <c r="A486" i="5"/>
  <c r="Y485" i="5"/>
  <c r="X485" i="5"/>
  <c r="W485" i="5"/>
  <c r="U485" i="5" s="1"/>
  <c r="Z485" i="5" s="1"/>
  <c r="V485" i="5"/>
  <c r="G485" i="5"/>
  <c r="F485" i="5"/>
  <c r="E485" i="5"/>
  <c r="D485" i="5"/>
  <c r="C485" i="5"/>
  <c r="B485" i="5"/>
  <c r="A485" i="5"/>
  <c r="Y484" i="5"/>
  <c r="X484" i="5"/>
  <c r="W484" i="5"/>
  <c r="V484" i="5"/>
  <c r="U484" i="5" s="1"/>
  <c r="Z484" i="5" s="1"/>
  <c r="G484" i="5"/>
  <c r="F484" i="5"/>
  <c r="E484" i="5"/>
  <c r="D484" i="5"/>
  <c r="C484" i="5"/>
  <c r="B484" i="5"/>
  <c r="A484" i="5"/>
  <c r="Y483" i="5"/>
  <c r="X483" i="5"/>
  <c r="W483" i="5"/>
  <c r="U483" i="5" s="1"/>
  <c r="Z483" i="5" s="1"/>
  <c r="V483" i="5"/>
  <c r="G483" i="5"/>
  <c r="F483" i="5"/>
  <c r="E483" i="5"/>
  <c r="D483" i="5"/>
  <c r="C483" i="5"/>
  <c r="B483" i="5"/>
  <c r="A483" i="5"/>
  <c r="Y482" i="5"/>
  <c r="X482" i="5"/>
  <c r="W482" i="5"/>
  <c r="V482" i="5"/>
  <c r="U482" i="5" s="1"/>
  <c r="G482" i="5"/>
  <c r="F482" i="5"/>
  <c r="E482" i="5"/>
  <c r="D482" i="5"/>
  <c r="C482" i="5"/>
  <c r="B482" i="5"/>
  <c r="A482" i="5"/>
  <c r="Y481" i="5"/>
  <c r="X481" i="5"/>
  <c r="W481" i="5"/>
  <c r="U481" i="5" s="1"/>
  <c r="V481" i="5"/>
  <c r="Z481" i="5" s="1"/>
  <c r="G481" i="5"/>
  <c r="F481" i="5"/>
  <c r="E481" i="5"/>
  <c r="D481" i="5"/>
  <c r="C481" i="5"/>
  <c r="B481" i="5"/>
  <c r="A481" i="5"/>
  <c r="Y480" i="5"/>
  <c r="X480" i="5"/>
  <c r="W480" i="5"/>
  <c r="V480" i="5"/>
  <c r="G480" i="5"/>
  <c r="F480" i="5"/>
  <c r="E480" i="5"/>
  <c r="D480" i="5"/>
  <c r="C480" i="5"/>
  <c r="B480" i="5"/>
  <c r="A480" i="5"/>
  <c r="Y479" i="5"/>
  <c r="X479" i="5"/>
  <c r="W479" i="5"/>
  <c r="V479" i="5"/>
  <c r="Z479" i="5" s="1"/>
  <c r="U479" i="5"/>
  <c r="G479" i="5"/>
  <c r="F479" i="5"/>
  <c r="E479" i="5"/>
  <c r="D479" i="5"/>
  <c r="C479" i="5"/>
  <c r="B479" i="5"/>
  <c r="A479" i="5"/>
  <c r="Y478" i="5"/>
  <c r="X478" i="5"/>
  <c r="W478" i="5"/>
  <c r="V478" i="5"/>
  <c r="G478" i="5"/>
  <c r="F478" i="5"/>
  <c r="E478" i="5"/>
  <c r="D478" i="5"/>
  <c r="C478" i="5"/>
  <c r="B478" i="5"/>
  <c r="A478" i="5"/>
  <c r="Y477" i="5"/>
  <c r="X477" i="5"/>
  <c r="W477" i="5"/>
  <c r="V477" i="5"/>
  <c r="Z477" i="5" s="1"/>
  <c r="U477" i="5"/>
  <c r="G477" i="5"/>
  <c r="F477" i="5"/>
  <c r="E477" i="5"/>
  <c r="D477" i="5"/>
  <c r="C477" i="5"/>
  <c r="B477" i="5"/>
  <c r="A477" i="5"/>
  <c r="Y476" i="5"/>
  <c r="X476" i="5"/>
  <c r="U476" i="5" s="1"/>
  <c r="Z476" i="5" s="1"/>
  <c r="W476" i="5"/>
  <c r="V476" i="5"/>
  <c r="G476" i="5"/>
  <c r="F476" i="5"/>
  <c r="E476" i="5"/>
  <c r="D476" i="5"/>
  <c r="C476" i="5"/>
  <c r="B476" i="5"/>
  <c r="A476" i="5"/>
  <c r="Y475" i="5"/>
  <c r="X475" i="5"/>
  <c r="W475" i="5"/>
  <c r="V475" i="5"/>
  <c r="U475" i="5" s="1"/>
  <c r="G475" i="5"/>
  <c r="F475" i="5"/>
  <c r="E475" i="5"/>
  <c r="D475" i="5"/>
  <c r="C475" i="5"/>
  <c r="B475" i="5"/>
  <c r="A475" i="5"/>
  <c r="Y474" i="5"/>
  <c r="X474" i="5"/>
  <c r="W474" i="5"/>
  <c r="V474" i="5"/>
  <c r="U474" i="5" s="1"/>
  <c r="Z474" i="5" s="1"/>
  <c r="G474" i="5"/>
  <c r="F474" i="5"/>
  <c r="E474" i="5"/>
  <c r="D474" i="5"/>
  <c r="C474" i="5"/>
  <c r="B474" i="5"/>
  <c r="A474" i="5"/>
  <c r="Y473" i="5"/>
  <c r="X473" i="5"/>
  <c r="W473" i="5"/>
  <c r="U473" i="5" s="1"/>
  <c r="V473" i="5"/>
  <c r="G473" i="5"/>
  <c r="F473" i="5"/>
  <c r="E473" i="5"/>
  <c r="D473" i="5"/>
  <c r="C473" i="5"/>
  <c r="B473" i="5"/>
  <c r="A473" i="5"/>
  <c r="Y472" i="5"/>
  <c r="X472" i="5"/>
  <c r="W472" i="5"/>
  <c r="V472" i="5"/>
  <c r="U472" i="5" s="1"/>
  <c r="G472" i="5"/>
  <c r="F472" i="5"/>
  <c r="E472" i="5"/>
  <c r="D472" i="5"/>
  <c r="C472" i="5"/>
  <c r="B472" i="5"/>
  <c r="A472" i="5"/>
  <c r="Y471" i="5"/>
  <c r="X471" i="5"/>
  <c r="W471" i="5"/>
  <c r="V471" i="5"/>
  <c r="U471" i="5"/>
  <c r="Z471" i="5" s="1"/>
  <c r="G471" i="5"/>
  <c r="F471" i="5"/>
  <c r="E471" i="5"/>
  <c r="D471" i="5"/>
  <c r="C471" i="5"/>
  <c r="B471" i="5"/>
  <c r="A471" i="5"/>
  <c r="Y470" i="5"/>
  <c r="X470" i="5"/>
  <c r="W470" i="5"/>
  <c r="V470" i="5"/>
  <c r="U470" i="5" s="1"/>
  <c r="G470" i="5"/>
  <c r="F470" i="5"/>
  <c r="E470" i="5"/>
  <c r="D470" i="5"/>
  <c r="C470" i="5"/>
  <c r="B470" i="5"/>
  <c r="A470" i="5"/>
  <c r="Y469" i="5"/>
  <c r="X469" i="5"/>
  <c r="W469" i="5"/>
  <c r="V469" i="5"/>
  <c r="U469" i="5"/>
  <c r="Z469" i="5" s="1"/>
  <c r="G469" i="5"/>
  <c r="F469" i="5"/>
  <c r="E469" i="5"/>
  <c r="D469" i="5"/>
  <c r="C469" i="5"/>
  <c r="B469" i="5"/>
  <c r="A469" i="5"/>
  <c r="Y468" i="5"/>
  <c r="X468" i="5"/>
  <c r="U468" i="5" s="1"/>
  <c r="Z468" i="5" s="1"/>
  <c r="W468" i="5"/>
  <c r="V468" i="5"/>
  <c r="G468" i="5"/>
  <c r="F468" i="5"/>
  <c r="E468" i="5"/>
  <c r="D468" i="5"/>
  <c r="C468" i="5"/>
  <c r="B468" i="5"/>
  <c r="A468" i="5"/>
  <c r="Z467" i="5"/>
  <c r="Y467" i="5"/>
  <c r="X467" i="5"/>
  <c r="W467" i="5"/>
  <c r="V467" i="5"/>
  <c r="U467" i="5"/>
  <c r="G467" i="5"/>
  <c r="F467" i="5"/>
  <c r="E467" i="5"/>
  <c r="D467" i="5"/>
  <c r="C467" i="5"/>
  <c r="B467" i="5"/>
  <c r="A467" i="5"/>
  <c r="Y466" i="5"/>
  <c r="X466" i="5"/>
  <c r="W466" i="5"/>
  <c r="V466" i="5"/>
  <c r="U466" i="5" s="1"/>
  <c r="Z466" i="5" s="1"/>
  <c r="G466" i="5"/>
  <c r="F466" i="5"/>
  <c r="E466" i="5"/>
  <c r="D466" i="5"/>
  <c r="C466" i="5"/>
  <c r="B466" i="5"/>
  <c r="A466" i="5"/>
  <c r="Y465" i="5"/>
  <c r="X465" i="5"/>
  <c r="W465" i="5"/>
  <c r="U465" i="5" s="1"/>
  <c r="Z465" i="5" s="1"/>
  <c r="V465" i="5"/>
  <c r="G465" i="5"/>
  <c r="F465" i="5"/>
  <c r="E465" i="5"/>
  <c r="D465" i="5"/>
  <c r="C465" i="5"/>
  <c r="B465" i="5"/>
  <c r="A465" i="5"/>
  <c r="Y464" i="5"/>
  <c r="X464" i="5"/>
  <c r="W464" i="5"/>
  <c r="V464" i="5"/>
  <c r="G464" i="5"/>
  <c r="F464" i="5"/>
  <c r="E464" i="5"/>
  <c r="D464" i="5"/>
  <c r="C464" i="5"/>
  <c r="B464" i="5"/>
  <c r="A464" i="5"/>
  <c r="Y463" i="5"/>
  <c r="X463" i="5"/>
  <c r="W463" i="5"/>
  <c r="U463" i="5" s="1"/>
  <c r="Z463" i="5" s="1"/>
  <c r="V463" i="5"/>
  <c r="G463" i="5"/>
  <c r="F463" i="5"/>
  <c r="E463" i="5"/>
  <c r="D463" i="5"/>
  <c r="C463" i="5"/>
  <c r="B463" i="5"/>
  <c r="A463" i="5"/>
  <c r="Y462" i="5"/>
  <c r="X462" i="5"/>
  <c r="W462" i="5"/>
  <c r="V462" i="5"/>
  <c r="U462" i="5" s="1"/>
  <c r="G462" i="5"/>
  <c r="F462" i="5"/>
  <c r="E462" i="5"/>
  <c r="D462" i="5"/>
  <c r="C462" i="5"/>
  <c r="B462" i="5"/>
  <c r="A462" i="5"/>
  <c r="Y461" i="5"/>
  <c r="X461" i="5"/>
  <c r="W461" i="5"/>
  <c r="V461" i="5"/>
  <c r="G461" i="5"/>
  <c r="F461" i="5"/>
  <c r="E461" i="5"/>
  <c r="D461" i="5"/>
  <c r="C461" i="5"/>
  <c r="B461" i="5"/>
  <c r="A461" i="5"/>
  <c r="Y460" i="5"/>
  <c r="X460" i="5"/>
  <c r="W460" i="5"/>
  <c r="V460" i="5"/>
  <c r="G460" i="5"/>
  <c r="F460" i="5"/>
  <c r="E460" i="5"/>
  <c r="D460" i="5"/>
  <c r="C460" i="5"/>
  <c r="B460" i="5"/>
  <c r="A460" i="5"/>
  <c r="Y459" i="5"/>
  <c r="X459" i="5"/>
  <c r="W459" i="5"/>
  <c r="V459" i="5"/>
  <c r="Z459" i="5" s="1"/>
  <c r="U459" i="5"/>
  <c r="G459" i="5"/>
  <c r="F459" i="5"/>
  <c r="E459" i="5"/>
  <c r="D459" i="5"/>
  <c r="C459" i="5"/>
  <c r="B459" i="5"/>
  <c r="A459" i="5"/>
  <c r="Y458" i="5"/>
  <c r="X458" i="5"/>
  <c r="W458" i="5"/>
  <c r="V458" i="5"/>
  <c r="G458" i="5"/>
  <c r="F458" i="5"/>
  <c r="E458" i="5"/>
  <c r="D458" i="5"/>
  <c r="C458" i="5"/>
  <c r="B458" i="5"/>
  <c r="A458" i="5"/>
  <c r="Y457" i="5"/>
  <c r="X457" i="5"/>
  <c r="W457" i="5"/>
  <c r="V457" i="5"/>
  <c r="Z457" i="5" s="1"/>
  <c r="U457" i="5"/>
  <c r="G457" i="5"/>
  <c r="F457" i="5"/>
  <c r="E457" i="5"/>
  <c r="D457" i="5"/>
  <c r="C457" i="5"/>
  <c r="B457" i="5"/>
  <c r="A457" i="5"/>
  <c r="Y456" i="5"/>
  <c r="X456" i="5"/>
  <c r="U456" i="5" s="1"/>
  <c r="Z456" i="5" s="1"/>
  <c r="W456" i="5"/>
  <c r="V456" i="5"/>
  <c r="G456" i="5"/>
  <c r="F456" i="5"/>
  <c r="E456" i="5"/>
  <c r="D456" i="5"/>
  <c r="C456" i="5"/>
  <c r="B456" i="5"/>
  <c r="A456" i="5"/>
  <c r="Y455" i="5"/>
  <c r="X455" i="5"/>
  <c r="W455" i="5"/>
  <c r="V455" i="5"/>
  <c r="U455" i="5" s="1"/>
  <c r="G455" i="5"/>
  <c r="F455" i="5"/>
  <c r="E455" i="5"/>
  <c r="D455" i="5"/>
  <c r="C455" i="5"/>
  <c r="B455" i="5"/>
  <c r="A455" i="5"/>
  <c r="Z454" i="5"/>
  <c r="Y454" i="5"/>
  <c r="X454" i="5"/>
  <c r="W454" i="5"/>
  <c r="V454" i="5"/>
  <c r="U454" i="5" s="1"/>
  <c r="G454" i="5"/>
  <c r="F454" i="5"/>
  <c r="E454" i="5"/>
  <c r="D454" i="5"/>
  <c r="C454" i="5"/>
  <c r="B454" i="5"/>
  <c r="A454" i="5"/>
  <c r="Y453" i="5"/>
  <c r="X453" i="5"/>
  <c r="W453" i="5"/>
  <c r="U453" i="5" s="1"/>
  <c r="V453" i="5"/>
  <c r="G453" i="5"/>
  <c r="F453" i="5"/>
  <c r="E453" i="5"/>
  <c r="D453" i="5"/>
  <c r="C453" i="5"/>
  <c r="B453" i="5"/>
  <c r="A453" i="5"/>
  <c r="Y452" i="5"/>
  <c r="X452" i="5"/>
  <c r="W452" i="5"/>
  <c r="V452" i="5"/>
  <c r="U452" i="5"/>
  <c r="G452" i="5"/>
  <c r="F452" i="5"/>
  <c r="E452" i="5"/>
  <c r="D452" i="5"/>
  <c r="C452" i="5"/>
  <c r="B452" i="5"/>
  <c r="A452" i="5"/>
  <c r="Y451" i="5"/>
  <c r="X451" i="5"/>
  <c r="W451" i="5"/>
  <c r="V451" i="5"/>
  <c r="U451" i="5"/>
  <c r="Z451" i="5" s="1"/>
  <c r="G451" i="5"/>
  <c r="F451" i="5"/>
  <c r="E451" i="5"/>
  <c r="D451" i="5"/>
  <c r="C451" i="5"/>
  <c r="B451" i="5"/>
  <c r="A451" i="5"/>
  <c r="Y450" i="5"/>
  <c r="X450" i="5"/>
  <c r="W450" i="5"/>
  <c r="V450" i="5"/>
  <c r="U450" i="5" s="1"/>
  <c r="G450" i="5"/>
  <c r="F450" i="5"/>
  <c r="E450" i="5"/>
  <c r="D450" i="5"/>
  <c r="C450" i="5"/>
  <c r="B450" i="5"/>
  <c r="A450" i="5"/>
  <c r="Y449" i="5"/>
  <c r="X449" i="5"/>
  <c r="W449" i="5"/>
  <c r="V449" i="5"/>
  <c r="U449" i="5"/>
  <c r="Z449" i="5" s="1"/>
  <c r="G449" i="5"/>
  <c r="F449" i="5"/>
  <c r="E449" i="5"/>
  <c r="D449" i="5"/>
  <c r="C449" i="5"/>
  <c r="B449" i="5"/>
  <c r="A449" i="5"/>
  <c r="Y448" i="5"/>
  <c r="X448" i="5"/>
  <c r="U448" i="5" s="1"/>
  <c r="Z448" i="5" s="1"/>
  <c r="W448" i="5"/>
  <c r="V448" i="5"/>
  <c r="G448" i="5"/>
  <c r="F448" i="5"/>
  <c r="E448" i="5"/>
  <c r="D448" i="5"/>
  <c r="C448" i="5"/>
  <c r="B448" i="5"/>
  <c r="A448" i="5"/>
  <c r="Z447" i="5"/>
  <c r="Y447" i="5"/>
  <c r="X447" i="5"/>
  <c r="W447" i="5"/>
  <c r="V447" i="5"/>
  <c r="U447" i="5"/>
  <c r="G447" i="5"/>
  <c r="F447" i="5"/>
  <c r="E447" i="5"/>
  <c r="D447" i="5"/>
  <c r="C447" i="5"/>
  <c r="B447" i="5"/>
  <c r="A447" i="5"/>
  <c r="Y446" i="5"/>
  <c r="X446" i="5"/>
  <c r="W446" i="5"/>
  <c r="V446" i="5"/>
  <c r="U446" i="5" s="1"/>
  <c r="Z446" i="5" s="1"/>
  <c r="G446" i="5"/>
  <c r="F446" i="5"/>
  <c r="E446" i="5"/>
  <c r="D446" i="5"/>
  <c r="C446" i="5"/>
  <c r="B446" i="5"/>
  <c r="A446" i="5"/>
  <c r="Y445" i="5"/>
  <c r="X445" i="5"/>
  <c r="W445" i="5"/>
  <c r="U445" i="5" s="1"/>
  <c r="Z445" i="5" s="1"/>
  <c r="V445" i="5"/>
  <c r="G445" i="5"/>
  <c r="F445" i="5"/>
  <c r="E445" i="5"/>
  <c r="D445" i="5"/>
  <c r="C445" i="5"/>
  <c r="B445" i="5"/>
  <c r="A445" i="5"/>
  <c r="Y444" i="5"/>
  <c r="X444" i="5"/>
  <c r="W444" i="5"/>
  <c r="V444" i="5"/>
  <c r="U444" i="5" s="1"/>
  <c r="Z444" i="5" s="1"/>
  <c r="G444" i="5"/>
  <c r="F444" i="5"/>
  <c r="E444" i="5"/>
  <c r="D444" i="5"/>
  <c r="C444" i="5"/>
  <c r="B444" i="5"/>
  <c r="A444" i="5"/>
  <c r="Y443" i="5"/>
  <c r="X443" i="5"/>
  <c r="W443" i="5"/>
  <c r="U443" i="5" s="1"/>
  <c r="Z443" i="5" s="1"/>
  <c r="V443" i="5"/>
  <c r="G443" i="5"/>
  <c r="F443" i="5"/>
  <c r="E443" i="5"/>
  <c r="D443" i="5"/>
  <c r="C443" i="5"/>
  <c r="B443" i="5"/>
  <c r="A443" i="5"/>
  <c r="Z442" i="5"/>
  <c r="Y442" i="5"/>
  <c r="X442" i="5"/>
  <c r="W442" i="5"/>
  <c r="V442" i="5"/>
  <c r="U442" i="5" s="1"/>
  <c r="G442" i="5"/>
  <c r="F442" i="5"/>
  <c r="E442" i="5"/>
  <c r="D442" i="5"/>
  <c r="C442" i="5"/>
  <c r="B442" i="5"/>
  <c r="A442" i="5"/>
  <c r="Y441" i="5"/>
  <c r="X441" i="5"/>
  <c r="W441" i="5"/>
  <c r="V441" i="5"/>
  <c r="G441" i="5"/>
  <c r="F441" i="5"/>
  <c r="E441" i="5"/>
  <c r="D441" i="5"/>
  <c r="C441" i="5"/>
  <c r="B441" i="5"/>
  <c r="A441" i="5"/>
  <c r="Y440" i="5"/>
  <c r="X440" i="5"/>
  <c r="W440" i="5"/>
  <c r="V440" i="5"/>
  <c r="G440" i="5"/>
  <c r="F440" i="5"/>
  <c r="E440" i="5"/>
  <c r="D440" i="5"/>
  <c r="C440" i="5"/>
  <c r="B440" i="5"/>
  <c r="A440" i="5"/>
  <c r="Y439" i="5"/>
  <c r="X439" i="5"/>
  <c r="W439" i="5"/>
  <c r="V439" i="5"/>
  <c r="Z439" i="5" s="1"/>
  <c r="U439" i="5"/>
  <c r="G439" i="5"/>
  <c r="F439" i="5"/>
  <c r="E439" i="5"/>
  <c r="D439" i="5"/>
  <c r="C439" i="5"/>
  <c r="B439" i="5"/>
  <c r="A439" i="5"/>
  <c r="Y438" i="5"/>
  <c r="X438" i="5"/>
  <c r="W438" i="5"/>
  <c r="V438" i="5"/>
  <c r="G438" i="5"/>
  <c r="F438" i="5"/>
  <c r="E438" i="5"/>
  <c r="D438" i="5"/>
  <c r="C438" i="5"/>
  <c r="B438" i="5"/>
  <c r="A438" i="5"/>
  <c r="Y437" i="5"/>
  <c r="X437" i="5"/>
  <c r="W437" i="5"/>
  <c r="V437" i="5"/>
  <c r="Z437" i="5" s="1"/>
  <c r="U437" i="5"/>
  <c r="G437" i="5"/>
  <c r="F437" i="5"/>
  <c r="E437" i="5"/>
  <c r="D437" i="5"/>
  <c r="C437" i="5"/>
  <c r="B437" i="5"/>
  <c r="A437" i="5"/>
  <c r="Y436" i="5"/>
  <c r="X436" i="5"/>
  <c r="U436" i="5" s="1"/>
  <c r="Z436" i="5" s="1"/>
  <c r="W436" i="5"/>
  <c r="V436" i="5"/>
  <c r="G436" i="5"/>
  <c r="F436" i="5"/>
  <c r="E436" i="5"/>
  <c r="D436" i="5"/>
  <c r="C436" i="5"/>
  <c r="B436" i="5"/>
  <c r="A436" i="5"/>
  <c r="Y435" i="5"/>
  <c r="X435" i="5"/>
  <c r="W435" i="5"/>
  <c r="U435" i="5" s="1"/>
  <c r="V435" i="5"/>
  <c r="G435" i="5"/>
  <c r="F435" i="5"/>
  <c r="E435" i="5"/>
  <c r="D435" i="5"/>
  <c r="C435" i="5"/>
  <c r="B435" i="5"/>
  <c r="A435" i="5"/>
  <c r="Z434" i="5"/>
  <c r="Y434" i="5"/>
  <c r="X434" i="5"/>
  <c r="W434" i="5"/>
  <c r="V434" i="5"/>
  <c r="U434" i="5" s="1"/>
  <c r="G434" i="5"/>
  <c r="F434" i="5"/>
  <c r="E434" i="5"/>
  <c r="D434" i="5"/>
  <c r="C434" i="5"/>
  <c r="B434" i="5"/>
  <c r="A434" i="5"/>
  <c r="Y433" i="5"/>
  <c r="X433" i="5"/>
  <c r="W433" i="5"/>
  <c r="U433" i="5" s="1"/>
  <c r="V433" i="5"/>
  <c r="Z433" i="5" s="1"/>
  <c r="G433" i="5"/>
  <c r="F433" i="5"/>
  <c r="E433" i="5"/>
  <c r="D433" i="5"/>
  <c r="C433" i="5"/>
  <c r="B433" i="5"/>
  <c r="A433" i="5"/>
  <c r="Y432" i="5"/>
  <c r="X432" i="5"/>
  <c r="W432" i="5"/>
  <c r="V432" i="5"/>
  <c r="U432" i="5"/>
  <c r="G432" i="5"/>
  <c r="F432" i="5"/>
  <c r="E432" i="5"/>
  <c r="D432" i="5"/>
  <c r="C432" i="5"/>
  <c r="B432" i="5"/>
  <c r="A432" i="5"/>
  <c r="Y431" i="5"/>
  <c r="X431" i="5"/>
  <c r="W431" i="5"/>
  <c r="V431" i="5"/>
  <c r="U431" i="5"/>
  <c r="Z431" i="5" s="1"/>
  <c r="G431" i="5"/>
  <c r="F431" i="5"/>
  <c r="E431" i="5"/>
  <c r="D431" i="5"/>
  <c r="C431" i="5"/>
  <c r="B431" i="5"/>
  <c r="A431" i="5"/>
  <c r="Z430" i="5"/>
  <c r="Y430" i="5"/>
  <c r="X430" i="5"/>
  <c r="W430" i="5"/>
  <c r="V430" i="5"/>
  <c r="U430" i="5" s="1"/>
  <c r="G430" i="5"/>
  <c r="F430" i="5"/>
  <c r="E430" i="5"/>
  <c r="D430" i="5"/>
  <c r="C430" i="5"/>
  <c r="B430" i="5"/>
  <c r="A430" i="5"/>
  <c r="Y429" i="5"/>
  <c r="X429" i="5"/>
  <c r="W429" i="5"/>
  <c r="V429" i="5"/>
  <c r="U429" i="5"/>
  <c r="Z429" i="5" s="1"/>
  <c r="G429" i="5"/>
  <c r="F429" i="5"/>
  <c r="E429" i="5"/>
  <c r="D429" i="5"/>
  <c r="C429" i="5"/>
  <c r="B429" i="5"/>
  <c r="A429" i="5"/>
  <c r="Y428" i="5"/>
  <c r="X428" i="5"/>
  <c r="U428" i="5" s="1"/>
  <c r="Z428" i="5" s="1"/>
  <c r="W428" i="5"/>
  <c r="V428" i="5"/>
  <c r="G428" i="5"/>
  <c r="F428" i="5"/>
  <c r="E428" i="5"/>
  <c r="D428" i="5"/>
  <c r="C428" i="5"/>
  <c r="B428" i="5"/>
  <c r="A428" i="5"/>
  <c r="Y427" i="5"/>
  <c r="X427" i="5"/>
  <c r="W427" i="5"/>
  <c r="V427" i="5"/>
  <c r="U427" i="5"/>
  <c r="Z427" i="5" s="1"/>
  <c r="G427" i="5"/>
  <c r="F427" i="5"/>
  <c r="E427" i="5"/>
  <c r="D427" i="5"/>
  <c r="C427" i="5"/>
  <c r="B427" i="5"/>
  <c r="A427" i="5"/>
  <c r="Y426" i="5"/>
  <c r="X426" i="5"/>
  <c r="W426" i="5"/>
  <c r="V426" i="5"/>
  <c r="U426" i="5" s="1"/>
  <c r="Z426" i="5" s="1"/>
  <c r="G426" i="5"/>
  <c r="F426" i="5"/>
  <c r="E426" i="5"/>
  <c r="D426" i="5"/>
  <c r="C426" i="5"/>
  <c r="B426" i="5"/>
  <c r="A426" i="5"/>
  <c r="Y425" i="5"/>
  <c r="X425" i="5"/>
  <c r="W425" i="5"/>
  <c r="U425" i="5" s="1"/>
  <c r="Z425" i="5" s="1"/>
  <c r="V425" i="5"/>
  <c r="G425" i="5"/>
  <c r="F425" i="5"/>
  <c r="E425" i="5"/>
  <c r="D425" i="5"/>
  <c r="C425" i="5"/>
  <c r="B425" i="5"/>
  <c r="A425" i="5"/>
  <c r="Y424" i="5"/>
  <c r="X424" i="5"/>
  <c r="W424" i="5"/>
  <c r="V424" i="5"/>
  <c r="G424" i="5"/>
  <c r="F424" i="5"/>
  <c r="E424" i="5"/>
  <c r="D424" i="5"/>
  <c r="C424" i="5"/>
  <c r="B424" i="5"/>
  <c r="A424" i="5"/>
  <c r="Y423" i="5"/>
  <c r="X423" i="5"/>
  <c r="W423" i="5"/>
  <c r="U423" i="5" s="1"/>
  <c r="Z423" i="5" s="1"/>
  <c r="V423" i="5"/>
  <c r="G423" i="5"/>
  <c r="F423" i="5"/>
  <c r="E423" i="5"/>
  <c r="D423" i="5"/>
  <c r="C423" i="5"/>
  <c r="B423" i="5"/>
  <c r="A423" i="5"/>
  <c r="Z422" i="5"/>
  <c r="Y422" i="5"/>
  <c r="X422" i="5"/>
  <c r="W422" i="5"/>
  <c r="V422" i="5"/>
  <c r="U422" i="5" s="1"/>
  <c r="G422" i="5"/>
  <c r="F422" i="5"/>
  <c r="E422" i="5"/>
  <c r="D422" i="5"/>
  <c r="C422" i="5"/>
  <c r="B422" i="5"/>
  <c r="A422" i="5"/>
  <c r="Y421" i="5"/>
  <c r="X421" i="5"/>
  <c r="W421" i="5"/>
  <c r="V421" i="5"/>
  <c r="G421" i="5"/>
  <c r="F421" i="5"/>
  <c r="E421" i="5"/>
  <c r="D421" i="5"/>
  <c r="C421" i="5"/>
  <c r="B421" i="5"/>
  <c r="A421" i="5"/>
  <c r="Y420" i="5"/>
  <c r="X420" i="5"/>
  <c r="W420" i="5"/>
  <c r="V420" i="5"/>
  <c r="G420" i="5"/>
  <c r="F420" i="5"/>
  <c r="E420" i="5"/>
  <c r="D420" i="5"/>
  <c r="C420" i="5"/>
  <c r="B420" i="5"/>
  <c r="A420" i="5"/>
  <c r="Y419" i="5"/>
  <c r="X419" i="5"/>
  <c r="W419" i="5"/>
  <c r="V419" i="5"/>
  <c r="U419" i="5"/>
  <c r="G419" i="5"/>
  <c r="F419" i="5"/>
  <c r="E419" i="5"/>
  <c r="D419" i="5"/>
  <c r="C419" i="5"/>
  <c r="B419" i="5"/>
  <c r="A419" i="5"/>
  <c r="Y418" i="5"/>
  <c r="X418" i="5"/>
  <c r="W418" i="5"/>
  <c r="V418" i="5"/>
  <c r="G418" i="5"/>
  <c r="F418" i="5"/>
  <c r="E418" i="5"/>
  <c r="D418" i="5"/>
  <c r="C418" i="5"/>
  <c r="B418" i="5"/>
  <c r="A418" i="5"/>
  <c r="Y417" i="5"/>
  <c r="X417" i="5"/>
  <c r="W417" i="5"/>
  <c r="V417" i="5"/>
  <c r="Z417" i="5" s="1"/>
  <c r="U417" i="5"/>
  <c r="G417" i="5"/>
  <c r="F417" i="5"/>
  <c r="E417" i="5"/>
  <c r="D417" i="5"/>
  <c r="C417" i="5"/>
  <c r="B417" i="5"/>
  <c r="A417" i="5"/>
  <c r="Y416" i="5"/>
  <c r="X416" i="5"/>
  <c r="U416" i="5" s="1"/>
  <c r="Z416" i="5" s="1"/>
  <c r="W416" i="5"/>
  <c r="V416" i="5"/>
  <c r="G416" i="5"/>
  <c r="F416" i="5"/>
  <c r="E416" i="5"/>
  <c r="D416" i="5"/>
  <c r="C416" i="5"/>
  <c r="B416" i="5"/>
  <c r="A416" i="5"/>
  <c r="Y415" i="5"/>
  <c r="X415" i="5"/>
  <c r="W415" i="5"/>
  <c r="V415" i="5"/>
  <c r="U415" i="5"/>
  <c r="G415" i="5"/>
  <c r="F415" i="5"/>
  <c r="E415" i="5"/>
  <c r="D415" i="5"/>
  <c r="C415" i="5"/>
  <c r="B415" i="5"/>
  <c r="A415" i="5"/>
  <c r="Z414" i="5"/>
  <c r="Y414" i="5"/>
  <c r="X414" i="5"/>
  <c r="W414" i="5"/>
  <c r="V414" i="5"/>
  <c r="U414" i="5" s="1"/>
  <c r="G414" i="5"/>
  <c r="F414" i="5"/>
  <c r="E414" i="5"/>
  <c r="D414" i="5"/>
  <c r="C414" i="5"/>
  <c r="B414" i="5"/>
  <c r="A414" i="5"/>
  <c r="Y413" i="5"/>
  <c r="X413" i="5"/>
  <c r="W413" i="5"/>
  <c r="U413" i="5" s="1"/>
  <c r="V413" i="5"/>
  <c r="Z413" i="5" s="1"/>
  <c r="G413" i="5"/>
  <c r="F413" i="5"/>
  <c r="E413" i="5"/>
  <c r="D413" i="5"/>
  <c r="C413" i="5"/>
  <c r="B413" i="5"/>
  <c r="A413" i="5"/>
  <c r="Y412" i="5"/>
  <c r="X412" i="5"/>
  <c r="W412" i="5"/>
  <c r="V412" i="5"/>
  <c r="U412" i="5"/>
  <c r="G412" i="5"/>
  <c r="F412" i="5"/>
  <c r="E412" i="5"/>
  <c r="D412" i="5"/>
  <c r="C412" i="5"/>
  <c r="B412" i="5"/>
  <c r="A412" i="5"/>
  <c r="Y411" i="5"/>
  <c r="X411" i="5"/>
  <c r="W411" i="5"/>
  <c r="V411" i="5"/>
  <c r="U411" i="5"/>
  <c r="Z411" i="5" s="1"/>
  <c r="G411" i="5"/>
  <c r="F411" i="5"/>
  <c r="E411" i="5"/>
  <c r="D411" i="5"/>
  <c r="C411" i="5"/>
  <c r="B411" i="5"/>
  <c r="A411" i="5"/>
  <c r="Z410" i="5"/>
  <c r="Y410" i="5"/>
  <c r="X410" i="5"/>
  <c r="W410" i="5"/>
  <c r="V410" i="5"/>
  <c r="U410" i="5" s="1"/>
  <c r="G410" i="5"/>
  <c r="F410" i="5"/>
  <c r="E410" i="5"/>
  <c r="D410" i="5"/>
  <c r="C410" i="5"/>
  <c r="B410" i="5"/>
  <c r="A410" i="5"/>
  <c r="Y409" i="5"/>
  <c r="X409" i="5"/>
  <c r="W409" i="5"/>
  <c r="V409" i="5"/>
  <c r="U409" i="5"/>
  <c r="Z409" i="5" s="1"/>
  <c r="G409" i="5"/>
  <c r="F409" i="5"/>
  <c r="E409" i="5"/>
  <c r="D409" i="5"/>
  <c r="C409" i="5"/>
  <c r="B409" i="5"/>
  <c r="A409" i="5"/>
  <c r="Y408" i="5"/>
  <c r="X408" i="5"/>
  <c r="U408" i="5" s="1"/>
  <c r="Z408" i="5" s="1"/>
  <c r="W408" i="5"/>
  <c r="V408" i="5"/>
  <c r="G408" i="5"/>
  <c r="F408" i="5"/>
  <c r="E408" i="5"/>
  <c r="D408" i="5"/>
  <c r="C408" i="5"/>
  <c r="B408" i="5"/>
  <c r="A408" i="5"/>
  <c r="Y407" i="5"/>
  <c r="X407" i="5"/>
  <c r="W407" i="5"/>
  <c r="V407" i="5"/>
  <c r="U407" i="5"/>
  <c r="Z407" i="5" s="1"/>
  <c r="G407" i="5"/>
  <c r="F407" i="5"/>
  <c r="E407" i="5"/>
  <c r="D407" i="5"/>
  <c r="C407" i="5"/>
  <c r="B407" i="5"/>
  <c r="A407" i="5"/>
  <c r="Y406" i="5"/>
  <c r="X406" i="5"/>
  <c r="W406" i="5"/>
  <c r="V406" i="5"/>
  <c r="G406" i="5"/>
  <c r="F406" i="5"/>
  <c r="E406" i="5"/>
  <c r="D406" i="5"/>
  <c r="C406" i="5"/>
  <c r="B406" i="5"/>
  <c r="A406" i="5"/>
  <c r="Y405" i="5"/>
  <c r="X405" i="5"/>
  <c r="W405" i="5"/>
  <c r="U405" i="5" s="1"/>
  <c r="Z405" i="5" s="1"/>
  <c r="V405" i="5"/>
  <c r="G405" i="5"/>
  <c r="F405" i="5"/>
  <c r="E405" i="5"/>
  <c r="D405" i="5"/>
  <c r="C405" i="5"/>
  <c r="B405" i="5"/>
  <c r="A405" i="5"/>
  <c r="Z404" i="5"/>
  <c r="Y404" i="5"/>
  <c r="X404" i="5"/>
  <c r="W404" i="5"/>
  <c r="V404" i="5"/>
  <c r="U404" i="5" s="1"/>
  <c r="G404" i="5"/>
  <c r="F404" i="5"/>
  <c r="E404" i="5"/>
  <c r="D404" i="5"/>
  <c r="C404" i="5"/>
  <c r="B404" i="5"/>
  <c r="A404" i="5"/>
  <c r="Y403" i="5"/>
  <c r="X403" i="5"/>
  <c r="W403" i="5"/>
  <c r="U403" i="5" s="1"/>
  <c r="Z403" i="5" s="1"/>
  <c r="V403" i="5"/>
  <c r="G403" i="5"/>
  <c r="F403" i="5"/>
  <c r="E403" i="5"/>
  <c r="D403" i="5"/>
  <c r="C403" i="5"/>
  <c r="B403" i="5"/>
  <c r="A403" i="5"/>
  <c r="Z402" i="5"/>
  <c r="Y402" i="5"/>
  <c r="X402" i="5"/>
  <c r="W402" i="5"/>
  <c r="V402" i="5"/>
  <c r="U402" i="5" s="1"/>
  <c r="G402" i="5"/>
  <c r="F402" i="5"/>
  <c r="E402" i="5"/>
  <c r="D402" i="5"/>
  <c r="C402" i="5"/>
  <c r="B402" i="5"/>
  <c r="A402" i="5"/>
  <c r="Y401" i="5"/>
  <c r="X401" i="5"/>
  <c r="W401" i="5"/>
  <c r="V401" i="5"/>
  <c r="G401" i="5"/>
  <c r="F401" i="5"/>
  <c r="E401" i="5"/>
  <c r="D401" i="5"/>
  <c r="C401" i="5"/>
  <c r="B401" i="5"/>
  <c r="A401" i="5"/>
  <c r="Y400" i="5"/>
  <c r="X400" i="5"/>
  <c r="W400" i="5"/>
  <c r="V400" i="5"/>
  <c r="G400" i="5"/>
  <c r="F400" i="5"/>
  <c r="E400" i="5"/>
  <c r="D400" i="5"/>
  <c r="C400" i="5"/>
  <c r="B400" i="5"/>
  <c r="A400" i="5"/>
  <c r="Y399" i="5"/>
  <c r="X399" i="5"/>
  <c r="W399" i="5"/>
  <c r="V399" i="5"/>
  <c r="Z399" i="5" s="1"/>
  <c r="U399" i="5"/>
  <c r="G399" i="5"/>
  <c r="F399" i="5"/>
  <c r="E399" i="5"/>
  <c r="D399" i="5"/>
  <c r="C399" i="5"/>
  <c r="B399" i="5"/>
  <c r="A399" i="5"/>
  <c r="Y398" i="5"/>
  <c r="X398" i="5"/>
  <c r="W398" i="5"/>
  <c r="V398" i="5"/>
  <c r="G398" i="5"/>
  <c r="F398" i="5"/>
  <c r="E398" i="5"/>
  <c r="D398" i="5"/>
  <c r="C398" i="5"/>
  <c r="B398" i="5"/>
  <c r="A398" i="5"/>
  <c r="Y397" i="5"/>
  <c r="X397" i="5"/>
  <c r="W397" i="5"/>
  <c r="V397" i="5"/>
  <c r="U397" i="5"/>
  <c r="G397" i="5"/>
  <c r="F397" i="5"/>
  <c r="E397" i="5"/>
  <c r="D397" i="5"/>
  <c r="C397" i="5"/>
  <c r="B397" i="5"/>
  <c r="A397" i="5"/>
  <c r="Y396" i="5"/>
  <c r="X396" i="5"/>
  <c r="W396" i="5"/>
  <c r="V396" i="5"/>
  <c r="U396" i="5"/>
  <c r="Z396" i="5" s="1"/>
  <c r="G396" i="5"/>
  <c r="F396" i="5"/>
  <c r="E396" i="5"/>
  <c r="D396" i="5"/>
  <c r="C396" i="5"/>
  <c r="B396" i="5"/>
  <c r="A396" i="5"/>
  <c r="Y395" i="5"/>
  <c r="X395" i="5"/>
  <c r="W395" i="5"/>
  <c r="U395" i="5" s="1"/>
  <c r="V395" i="5"/>
  <c r="G395" i="5"/>
  <c r="F395" i="5"/>
  <c r="E395" i="5"/>
  <c r="D395" i="5"/>
  <c r="C395" i="5"/>
  <c r="B395" i="5"/>
  <c r="A395" i="5"/>
  <c r="Y394" i="5"/>
  <c r="X394" i="5"/>
  <c r="W394" i="5"/>
  <c r="V394" i="5"/>
  <c r="U394" i="5" s="1"/>
  <c r="G394" i="5"/>
  <c r="F394" i="5"/>
  <c r="E394" i="5"/>
  <c r="D394" i="5"/>
  <c r="C394" i="5"/>
  <c r="B394" i="5"/>
  <c r="A394" i="5"/>
  <c r="Y393" i="5"/>
  <c r="X393" i="5"/>
  <c r="W393" i="5"/>
  <c r="V393" i="5"/>
  <c r="G393" i="5"/>
  <c r="F393" i="5"/>
  <c r="E393" i="5"/>
  <c r="D393" i="5"/>
  <c r="C393" i="5"/>
  <c r="B393" i="5"/>
  <c r="A393" i="5"/>
  <c r="Y392" i="5"/>
  <c r="X392" i="5"/>
  <c r="W392" i="5"/>
  <c r="V392" i="5"/>
  <c r="U392" i="5"/>
  <c r="Z392" i="5" s="1"/>
  <c r="G392" i="5"/>
  <c r="F392" i="5"/>
  <c r="E392" i="5"/>
  <c r="D392" i="5"/>
  <c r="C392" i="5"/>
  <c r="B392" i="5"/>
  <c r="A392" i="5"/>
  <c r="Y391" i="5"/>
  <c r="X391" i="5"/>
  <c r="W391" i="5"/>
  <c r="V391" i="5"/>
  <c r="U391" i="5"/>
  <c r="Z391" i="5" s="1"/>
  <c r="G391" i="5"/>
  <c r="F391" i="5"/>
  <c r="E391" i="5"/>
  <c r="D391" i="5"/>
  <c r="C391" i="5"/>
  <c r="B391" i="5"/>
  <c r="A391" i="5"/>
  <c r="Y390" i="5"/>
  <c r="X390" i="5"/>
  <c r="W390" i="5"/>
  <c r="V390" i="5"/>
  <c r="U390" i="5" s="1"/>
  <c r="G390" i="5"/>
  <c r="F390" i="5"/>
  <c r="E390" i="5"/>
  <c r="D390" i="5"/>
  <c r="C390" i="5"/>
  <c r="B390" i="5"/>
  <c r="A390" i="5"/>
  <c r="Y389" i="5"/>
  <c r="X389" i="5"/>
  <c r="W389" i="5"/>
  <c r="V389" i="5"/>
  <c r="U389" i="5"/>
  <c r="Z389" i="5" s="1"/>
  <c r="G389" i="5"/>
  <c r="F389" i="5"/>
  <c r="E389" i="5"/>
  <c r="D389" i="5"/>
  <c r="C389" i="5"/>
  <c r="B389" i="5"/>
  <c r="A389" i="5"/>
  <c r="Y388" i="5"/>
  <c r="X388" i="5"/>
  <c r="U388" i="5" s="1"/>
  <c r="Z388" i="5" s="1"/>
  <c r="W388" i="5"/>
  <c r="V388" i="5"/>
  <c r="G388" i="5"/>
  <c r="F388" i="5"/>
  <c r="E388" i="5"/>
  <c r="D388" i="5"/>
  <c r="C388" i="5"/>
  <c r="B388" i="5"/>
  <c r="A388" i="5"/>
  <c r="Z387" i="5"/>
  <c r="Y387" i="5"/>
  <c r="X387" i="5"/>
  <c r="W387" i="5"/>
  <c r="V387" i="5"/>
  <c r="U387" i="5"/>
  <c r="G387" i="5"/>
  <c r="F387" i="5"/>
  <c r="E387" i="5"/>
  <c r="D387" i="5"/>
  <c r="C387" i="5"/>
  <c r="B387" i="5"/>
  <c r="A387" i="5"/>
  <c r="Y386" i="5"/>
  <c r="X386" i="5"/>
  <c r="W386" i="5"/>
  <c r="V386" i="5"/>
  <c r="U386" i="5" s="1"/>
  <c r="Z386" i="5" s="1"/>
  <c r="G386" i="5"/>
  <c r="F386" i="5"/>
  <c r="E386" i="5"/>
  <c r="D386" i="5"/>
  <c r="C386" i="5"/>
  <c r="B386" i="5"/>
  <c r="A386" i="5"/>
  <c r="Y385" i="5"/>
  <c r="X385" i="5"/>
  <c r="W385" i="5"/>
  <c r="V385" i="5"/>
  <c r="G385" i="5"/>
  <c r="F385" i="5"/>
  <c r="E385" i="5"/>
  <c r="D385" i="5"/>
  <c r="C385" i="5"/>
  <c r="B385" i="5"/>
  <c r="A385" i="5"/>
  <c r="Y384" i="5"/>
  <c r="X384" i="5"/>
  <c r="W384" i="5"/>
  <c r="V384" i="5"/>
  <c r="U384" i="5" s="1"/>
  <c r="Z384" i="5" s="1"/>
  <c r="G384" i="5"/>
  <c r="F384" i="5"/>
  <c r="E384" i="5"/>
  <c r="D384" i="5"/>
  <c r="C384" i="5"/>
  <c r="B384" i="5"/>
  <c r="A384" i="5"/>
  <c r="Y383" i="5"/>
  <c r="X383" i="5"/>
  <c r="W383" i="5"/>
  <c r="U383" i="5" s="1"/>
  <c r="Z383" i="5" s="1"/>
  <c r="V383" i="5"/>
  <c r="G383" i="5"/>
  <c r="F383" i="5"/>
  <c r="E383" i="5"/>
  <c r="D383" i="5"/>
  <c r="C383" i="5"/>
  <c r="B383" i="5"/>
  <c r="A383" i="5"/>
  <c r="Z382" i="5"/>
  <c r="Y382" i="5"/>
  <c r="X382" i="5"/>
  <c r="W382" i="5"/>
  <c r="V382" i="5"/>
  <c r="U382" i="5" s="1"/>
  <c r="G382" i="5"/>
  <c r="F382" i="5"/>
  <c r="E382" i="5"/>
  <c r="D382" i="5"/>
  <c r="C382" i="5"/>
  <c r="B382" i="5"/>
  <c r="A382" i="5"/>
  <c r="Y381" i="5"/>
  <c r="X381" i="5"/>
  <c r="W381" i="5"/>
  <c r="V381" i="5"/>
  <c r="G381" i="5"/>
  <c r="F381" i="5"/>
  <c r="E381" i="5"/>
  <c r="D381" i="5"/>
  <c r="C381" i="5"/>
  <c r="B381" i="5"/>
  <c r="A381" i="5"/>
  <c r="Y380" i="5"/>
  <c r="X380" i="5"/>
  <c r="W380" i="5"/>
  <c r="V380" i="5"/>
  <c r="G380" i="5"/>
  <c r="F380" i="5"/>
  <c r="E380" i="5"/>
  <c r="D380" i="5"/>
  <c r="C380" i="5"/>
  <c r="B380" i="5"/>
  <c r="A380" i="5"/>
  <c r="Y379" i="5"/>
  <c r="X379" i="5"/>
  <c r="W379" i="5"/>
  <c r="V379" i="5"/>
  <c r="U379" i="5"/>
  <c r="G379" i="5"/>
  <c r="F379" i="5"/>
  <c r="E379" i="5"/>
  <c r="D379" i="5"/>
  <c r="C379" i="5"/>
  <c r="B379" i="5"/>
  <c r="A379" i="5"/>
  <c r="Y378" i="5"/>
  <c r="X378" i="5"/>
  <c r="W378" i="5"/>
  <c r="V378" i="5"/>
  <c r="U378" i="5" s="1"/>
  <c r="G378" i="5"/>
  <c r="F378" i="5"/>
  <c r="E378" i="5"/>
  <c r="D378" i="5"/>
  <c r="C378" i="5"/>
  <c r="B378" i="5"/>
  <c r="A378" i="5"/>
  <c r="Y377" i="5"/>
  <c r="X377" i="5"/>
  <c r="U377" i="5" s="1"/>
  <c r="W377" i="5"/>
  <c r="V377" i="5"/>
  <c r="G377" i="5"/>
  <c r="F377" i="5"/>
  <c r="E377" i="5"/>
  <c r="D377" i="5"/>
  <c r="C377" i="5"/>
  <c r="B377" i="5"/>
  <c r="A377" i="5"/>
  <c r="Y376" i="5"/>
  <c r="X376" i="5"/>
  <c r="U376" i="5" s="1"/>
  <c r="Z376" i="5" s="1"/>
  <c r="W376" i="5"/>
  <c r="V376" i="5"/>
  <c r="G376" i="5"/>
  <c r="F376" i="5"/>
  <c r="E376" i="5"/>
  <c r="D376" i="5"/>
  <c r="C376" i="5"/>
  <c r="B376" i="5"/>
  <c r="A376" i="5"/>
  <c r="Y375" i="5"/>
  <c r="X375" i="5"/>
  <c r="W375" i="5"/>
  <c r="V375" i="5"/>
  <c r="U375" i="5" s="1"/>
  <c r="G375" i="5"/>
  <c r="F375" i="5"/>
  <c r="E375" i="5"/>
  <c r="D375" i="5"/>
  <c r="C375" i="5"/>
  <c r="B375" i="5"/>
  <c r="A375" i="5"/>
  <c r="Y374" i="5"/>
  <c r="X374" i="5"/>
  <c r="W374" i="5"/>
  <c r="V374" i="5"/>
  <c r="U374" i="5" s="1"/>
  <c r="G374" i="5"/>
  <c r="F374" i="5"/>
  <c r="E374" i="5"/>
  <c r="D374" i="5"/>
  <c r="C374" i="5"/>
  <c r="B374" i="5"/>
  <c r="A374" i="5"/>
  <c r="Y373" i="5"/>
  <c r="X373" i="5"/>
  <c r="W373" i="5"/>
  <c r="V373" i="5"/>
  <c r="G373" i="5"/>
  <c r="F373" i="5"/>
  <c r="E373" i="5"/>
  <c r="D373" i="5"/>
  <c r="C373" i="5"/>
  <c r="B373" i="5"/>
  <c r="A373" i="5"/>
  <c r="Y372" i="5"/>
  <c r="X372" i="5"/>
  <c r="W372" i="5"/>
  <c r="V372" i="5"/>
  <c r="G372" i="5"/>
  <c r="F372" i="5"/>
  <c r="E372" i="5"/>
  <c r="D372" i="5"/>
  <c r="C372" i="5"/>
  <c r="B372" i="5"/>
  <c r="A372" i="5"/>
  <c r="Y371" i="5"/>
  <c r="X371" i="5"/>
  <c r="W371" i="5"/>
  <c r="V371" i="5"/>
  <c r="U371" i="5" s="1"/>
  <c r="Z371" i="5" s="1"/>
  <c r="G371" i="5"/>
  <c r="F371" i="5"/>
  <c r="E371" i="5"/>
  <c r="D371" i="5"/>
  <c r="C371" i="5"/>
  <c r="B371" i="5"/>
  <c r="A371" i="5"/>
  <c r="Y370" i="5"/>
  <c r="X370" i="5"/>
  <c r="W370" i="5"/>
  <c r="V370" i="5"/>
  <c r="G370" i="5"/>
  <c r="F370" i="5"/>
  <c r="E370" i="5"/>
  <c r="D370" i="5"/>
  <c r="C370" i="5"/>
  <c r="B370" i="5"/>
  <c r="A370" i="5"/>
  <c r="Y369" i="5"/>
  <c r="X369" i="5"/>
  <c r="W369" i="5"/>
  <c r="V369" i="5"/>
  <c r="U369" i="5"/>
  <c r="Z369" i="5" s="1"/>
  <c r="G369" i="5"/>
  <c r="F369" i="5"/>
  <c r="E369" i="5"/>
  <c r="D369" i="5"/>
  <c r="C369" i="5"/>
  <c r="B369" i="5"/>
  <c r="A369" i="5"/>
  <c r="Y368" i="5"/>
  <c r="X368" i="5"/>
  <c r="W368" i="5"/>
  <c r="V368" i="5"/>
  <c r="U368" i="5"/>
  <c r="Z368" i="5" s="1"/>
  <c r="G368" i="5"/>
  <c r="F368" i="5"/>
  <c r="E368" i="5"/>
  <c r="D368" i="5"/>
  <c r="C368" i="5"/>
  <c r="B368" i="5"/>
  <c r="A368" i="5"/>
  <c r="Y367" i="5"/>
  <c r="X367" i="5"/>
  <c r="W367" i="5"/>
  <c r="U367" i="5" s="1"/>
  <c r="Z367" i="5" s="1"/>
  <c r="V367" i="5"/>
  <c r="G367" i="5"/>
  <c r="F367" i="5"/>
  <c r="E367" i="5"/>
  <c r="D367" i="5"/>
  <c r="C367" i="5"/>
  <c r="B367" i="5"/>
  <c r="A367" i="5"/>
  <c r="Z366" i="5"/>
  <c r="Y366" i="5"/>
  <c r="X366" i="5"/>
  <c r="W366" i="5"/>
  <c r="V366" i="5"/>
  <c r="U366" i="5" s="1"/>
  <c r="G366" i="5"/>
  <c r="F366" i="5"/>
  <c r="E366" i="5"/>
  <c r="D366" i="5"/>
  <c r="C366" i="5"/>
  <c r="B366" i="5"/>
  <c r="A366" i="5"/>
  <c r="Y365" i="5"/>
  <c r="X365" i="5"/>
  <c r="W365" i="5"/>
  <c r="V365" i="5"/>
  <c r="G365" i="5"/>
  <c r="F365" i="5"/>
  <c r="E365" i="5"/>
  <c r="D365" i="5"/>
  <c r="C365" i="5"/>
  <c r="B365" i="5"/>
  <c r="A365" i="5"/>
  <c r="Y364" i="5"/>
  <c r="X364" i="5"/>
  <c r="W364" i="5"/>
  <c r="V364" i="5"/>
  <c r="U364" i="5" s="1"/>
  <c r="G364" i="5"/>
  <c r="F364" i="5"/>
  <c r="E364" i="5"/>
  <c r="D364" i="5"/>
  <c r="C364" i="5"/>
  <c r="B364" i="5"/>
  <c r="A364" i="5"/>
  <c r="Y363" i="5"/>
  <c r="X363" i="5"/>
  <c r="W363" i="5"/>
  <c r="V363" i="5"/>
  <c r="U363" i="5"/>
  <c r="Z363" i="5" s="1"/>
  <c r="G363" i="5"/>
  <c r="F363" i="5"/>
  <c r="E363" i="5"/>
  <c r="D363" i="5"/>
  <c r="C363" i="5"/>
  <c r="B363" i="5"/>
  <c r="A363" i="5"/>
  <c r="Z362" i="5"/>
  <c r="Y362" i="5"/>
  <c r="X362" i="5"/>
  <c r="W362" i="5"/>
  <c r="V362" i="5"/>
  <c r="U362" i="5" s="1"/>
  <c r="G362" i="5"/>
  <c r="F362" i="5"/>
  <c r="E362" i="5"/>
  <c r="D362" i="5"/>
  <c r="C362" i="5"/>
  <c r="B362" i="5"/>
  <c r="A362" i="5"/>
  <c r="Y361" i="5"/>
  <c r="X361" i="5"/>
  <c r="W361" i="5"/>
  <c r="V361" i="5"/>
  <c r="U361" i="5"/>
  <c r="G361" i="5"/>
  <c r="F361" i="5"/>
  <c r="E361" i="5"/>
  <c r="D361" i="5"/>
  <c r="C361" i="5"/>
  <c r="B361" i="5"/>
  <c r="A361" i="5"/>
  <c r="Y360" i="5"/>
  <c r="X360" i="5"/>
  <c r="W360" i="5"/>
  <c r="V360" i="5"/>
  <c r="G360" i="5"/>
  <c r="F360" i="5"/>
  <c r="E360" i="5"/>
  <c r="D360" i="5"/>
  <c r="C360" i="5"/>
  <c r="B360" i="5"/>
  <c r="A360" i="5"/>
  <c r="Y359" i="5"/>
  <c r="X359" i="5"/>
  <c r="W359" i="5"/>
  <c r="V359" i="5"/>
  <c r="U359" i="5"/>
  <c r="G359" i="5"/>
  <c r="F359" i="5"/>
  <c r="E359" i="5"/>
  <c r="D359" i="5"/>
  <c r="C359" i="5"/>
  <c r="B359" i="5"/>
  <c r="A359" i="5"/>
  <c r="Y358" i="5"/>
  <c r="X358" i="5"/>
  <c r="W358" i="5"/>
  <c r="V358" i="5"/>
  <c r="U358" i="5" s="1"/>
  <c r="G358" i="5"/>
  <c r="F358" i="5"/>
  <c r="E358" i="5"/>
  <c r="D358" i="5"/>
  <c r="C358" i="5"/>
  <c r="B358" i="5"/>
  <c r="A358" i="5"/>
  <c r="Y357" i="5"/>
  <c r="X357" i="5"/>
  <c r="W357" i="5"/>
  <c r="U357" i="5" s="1"/>
  <c r="V357" i="5"/>
  <c r="G357" i="5"/>
  <c r="F357" i="5"/>
  <c r="E357" i="5"/>
  <c r="D357" i="5"/>
  <c r="C357" i="5"/>
  <c r="B357" i="5"/>
  <c r="A357" i="5"/>
  <c r="Z356" i="5"/>
  <c r="Y356" i="5"/>
  <c r="X356" i="5"/>
  <c r="W356" i="5"/>
  <c r="V356" i="5"/>
  <c r="U356" i="5"/>
  <c r="G356" i="5"/>
  <c r="F356" i="5"/>
  <c r="E356" i="5"/>
  <c r="D356" i="5"/>
  <c r="C356" i="5"/>
  <c r="B356" i="5"/>
  <c r="A356" i="5"/>
  <c r="Y355" i="5"/>
  <c r="X355" i="5"/>
  <c r="W355" i="5"/>
  <c r="V355" i="5"/>
  <c r="U355" i="5" s="1"/>
  <c r="G355" i="5"/>
  <c r="F355" i="5"/>
  <c r="E355" i="5"/>
  <c r="D355" i="5"/>
  <c r="C355" i="5"/>
  <c r="B355" i="5"/>
  <c r="A355" i="5"/>
  <c r="Y354" i="5"/>
  <c r="X354" i="5"/>
  <c r="W354" i="5"/>
  <c r="V354" i="5"/>
  <c r="G354" i="5"/>
  <c r="F354" i="5"/>
  <c r="E354" i="5"/>
  <c r="D354" i="5"/>
  <c r="C354" i="5"/>
  <c r="B354" i="5"/>
  <c r="A354" i="5"/>
  <c r="Y353" i="5"/>
  <c r="X353" i="5"/>
  <c r="W353" i="5"/>
  <c r="V353" i="5"/>
  <c r="G353" i="5"/>
  <c r="F353" i="5"/>
  <c r="E353" i="5"/>
  <c r="D353" i="5"/>
  <c r="C353" i="5"/>
  <c r="B353" i="5"/>
  <c r="A353" i="5"/>
  <c r="Y352" i="5"/>
  <c r="X352" i="5"/>
  <c r="U352" i="5" s="1"/>
  <c r="Z352" i="5" s="1"/>
  <c r="W352" i="5"/>
  <c r="V352" i="5"/>
  <c r="G352" i="5"/>
  <c r="F352" i="5"/>
  <c r="E352" i="5"/>
  <c r="D352" i="5"/>
  <c r="C352" i="5"/>
  <c r="B352" i="5"/>
  <c r="A352" i="5"/>
  <c r="Z351" i="5"/>
  <c r="Y351" i="5"/>
  <c r="X351" i="5"/>
  <c r="W351" i="5"/>
  <c r="V351" i="5"/>
  <c r="U351" i="5"/>
  <c r="G351" i="5"/>
  <c r="F351" i="5"/>
  <c r="E351" i="5"/>
  <c r="D351" i="5"/>
  <c r="C351" i="5"/>
  <c r="B351" i="5"/>
  <c r="A351" i="5"/>
  <c r="Y350" i="5"/>
  <c r="X350" i="5"/>
  <c r="W350" i="5"/>
  <c r="V350" i="5"/>
  <c r="U350" i="5"/>
  <c r="Z350" i="5" s="1"/>
  <c r="G350" i="5"/>
  <c r="F350" i="5"/>
  <c r="E350" i="5"/>
  <c r="D350" i="5"/>
  <c r="C350" i="5"/>
  <c r="B350" i="5"/>
  <c r="A350" i="5"/>
  <c r="Y349" i="5"/>
  <c r="X349" i="5"/>
  <c r="W349" i="5"/>
  <c r="U349" i="5" s="1"/>
  <c r="Z349" i="5" s="1"/>
  <c r="V349" i="5"/>
  <c r="G349" i="5"/>
  <c r="F349" i="5"/>
  <c r="E349" i="5"/>
  <c r="D349" i="5"/>
  <c r="C349" i="5"/>
  <c r="B349" i="5"/>
  <c r="A349" i="5"/>
  <c r="Y348" i="5"/>
  <c r="X348" i="5"/>
  <c r="U348" i="5" s="1"/>
  <c r="Z348" i="5" s="1"/>
  <c r="W348" i="5"/>
  <c r="V348" i="5"/>
  <c r="G348" i="5"/>
  <c r="F348" i="5"/>
  <c r="E348" i="5"/>
  <c r="D348" i="5"/>
  <c r="C348" i="5"/>
  <c r="B348" i="5"/>
  <c r="A348" i="5"/>
  <c r="Z347" i="5"/>
  <c r="Y347" i="5"/>
  <c r="X347" i="5"/>
  <c r="W347" i="5"/>
  <c r="V347" i="5"/>
  <c r="U347" i="5"/>
  <c r="G347" i="5"/>
  <c r="F347" i="5"/>
  <c r="E347" i="5"/>
  <c r="D347" i="5"/>
  <c r="C347" i="5"/>
  <c r="B347" i="5"/>
  <c r="A347" i="5"/>
  <c r="Y346" i="5"/>
  <c r="X346" i="5"/>
  <c r="W346" i="5"/>
  <c r="V346" i="5"/>
  <c r="G346" i="5"/>
  <c r="F346" i="5"/>
  <c r="E346" i="5"/>
  <c r="D346" i="5"/>
  <c r="C346" i="5"/>
  <c r="B346" i="5"/>
  <c r="A346" i="5"/>
  <c r="Y345" i="5"/>
  <c r="X345" i="5"/>
  <c r="W345" i="5"/>
  <c r="U345" i="5" s="1"/>
  <c r="Z345" i="5" s="1"/>
  <c r="V345" i="5"/>
  <c r="G345" i="5"/>
  <c r="F345" i="5"/>
  <c r="E345" i="5"/>
  <c r="D345" i="5"/>
  <c r="C345" i="5"/>
  <c r="B345" i="5"/>
  <c r="A345" i="5"/>
  <c r="Y344" i="5"/>
  <c r="X344" i="5"/>
  <c r="W344" i="5"/>
  <c r="V344" i="5"/>
  <c r="G344" i="5"/>
  <c r="F344" i="5"/>
  <c r="E344" i="5"/>
  <c r="D344" i="5"/>
  <c r="C344" i="5"/>
  <c r="B344" i="5"/>
  <c r="A344" i="5"/>
  <c r="Z343" i="5"/>
  <c r="Y343" i="5"/>
  <c r="X343" i="5"/>
  <c r="W343" i="5"/>
  <c r="V343" i="5"/>
  <c r="U343" i="5"/>
  <c r="G343" i="5"/>
  <c r="F343" i="5"/>
  <c r="E343" i="5"/>
  <c r="D343" i="5"/>
  <c r="C343" i="5"/>
  <c r="B343" i="5"/>
  <c r="A343" i="5"/>
  <c r="Y342" i="5"/>
  <c r="X342" i="5"/>
  <c r="W342" i="5"/>
  <c r="V342" i="5"/>
  <c r="G342" i="5"/>
  <c r="F342" i="5"/>
  <c r="E342" i="5"/>
  <c r="D342" i="5"/>
  <c r="C342" i="5"/>
  <c r="B342" i="5"/>
  <c r="A342" i="5"/>
  <c r="Y341" i="5"/>
  <c r="X341" i="5"/>
  <c r="W341" i="5"/>
  <c r="V341" i="5"/>
  <c r="U341" i="5"/>
  <c r="G341" i="5"/>
  <c r="F341" i="5"/>
  <c r="E341" i="5"/>
  <c r="D341" i="5"/>
  <c r="C341" i="5"/>
  <c r="B341" i="5"/>
  <c r="A341" i="5"/>
  <c r="Y340" i="5"/>
  <c r="X340" i="5"/>
  <c r="W340" i="5"/>
  <c r="V340" i="5"/>
  <c r="G340" i="5"/>
  <c r="F340" i="5"/>
  <c r="E340" i="5"/>
  <c r="D340" i="5"/>
  <c r="C340" i="5"/>
  <c r="B340" i="5"/>
  <c r="A340" i="5"/>
  <c r="Y339" i="5"/>
  <c r="X339" i="5"/>
  <c r="W339" i="5"/>
  <c r="U339" i="5" s="1"/>
  <c r="V339" i="5"/>
  <c r="G339" i="5"/>
  <c r="F339" i="5"/>
  <c r="E339" i="5"/>
  <c r="D339" i="5"/>
  <c r="C339" i="5"/>
  <c r="B339" i="5"/>
  <c r="A339" i="5"/>
  <c r="Z338" i="5"/>
  <c r="Y338" i="5"/>
  <c r="X338" i="5"/>
  <c r="W338" i="5"/>
  <c r="V338" i="5"/>
  <c r="U338" i="5" s="1"/>
  <c r="G338" i="5"/>
  <c r="F338" i="5"/>
  <c r="E338" i="5"/>
  <c r="D338" i="5"/>
  <c r="C338" i="5"/>
  <c r="B338" i="5"/>
  <c r="A338" i="5"/>
  <c r="Y337" i="5"/>
  <c r="X337" i="5"/>
  <c r="U337" i="5" s="1"/>
  <c r="W337" i="5"/>
  <c r="V337" i="5"/>
  <c r="G337" i="5"/>
  <c r="F337" i="5"/>
  <c r="E337" i="5"/>
  <c r="D337" i="5"/>
  <c r="C337" i="5"/>
  <c r="B337" i="5"/>
  <c r="A337" i="5"/>
  <c r="Y336" i="5"/>
  <c r="X336" i="5"/>
  <c r="W336" i="5"/>
  <c r="V336" i="5"/>
  <c r="Z336" i="5" s="1"/>
  <c r="U336" i="5"/>
  <c r="G336" i="5"/>
  <c r="F336" i="5"/>
  <c r="E336" i="5"/>
  <c r="D336" i="5"/>
  <c r="C336" i="5"/>
  <c r="B336" i="5"/>
  <c r="A336" i="5"/>
  <c r="Y335" i="5"/>
  <c r="X335" i="5"/>
  <c r="W335" i="5"/>
  <c r="V335" i="5"/>
  <c r="G335" i="5"/>
  <c r="F335" i="5"/>
  <c r="E335" i="5"/>
  <c r="D335" i="5"/>
  <c r="C335" i="5"/>
  <c r="B335" i="5"/>
  <c r="A335" i="5"/>
  <c r="Z334" i="5"/>
  <c r="Y334" i="5"/>
  <c r="X334" i="5"/>
  <c r="W334" i="5"/>
  <c r="V334" i="5"/>
  <c r="U334" i="5" s="1"/>
  <c r="G334" i="5"/>
  <c r="F334" i="5"/>
  <c r="E334" i="5"/>
  <c r="D334" i="5"/>
  <c r="C334" i="5"/>
  <c r="B334" i="5"/>
  <c r="A334" i="5"/>
  <c r="Y333" i="5"/>
  <c r="X333" i="5"/>
  <c r="W333" i="5"/>
  <c r="V333" i="5"/>
  <c r="U333" i="5"/>
  <c r="G333" i="5"/>
  <c r="F333" i="5"/>
  <c r="E333" i="5"/>
  <c r="D333" i="5"/>
  <c r="C333" i="5"/>
  <c r="B333" i="5"/>
  <c r="A333" i="5"/>
  <c r="Y332" i="5"/>
  <c r="X332" i="5"/>
  <c r="W332" i="5"/>
  <c r="V332" i="5"/>
  <c r="U332" i="5"/>
  <c r="Z332" i="5" s="1"/>
  <c r="G332" i="5"/>
  <c r="F332" i="5"/>
  <c r="E332" i="5"/>
  <c r="D332" i="5"/>
  <c r="C332" i="5"/>
  <c r="B332" i="5"/>
  <c r="A332" i="5"/>
  <c r="Y331" i="5"/>
  <c r="X331" i="5"/>
  <c r="W331" i="5"/>
  <c r="V331" i="5"/>
  <c r="U331" i="5" s="1"/>
  <c r="Z331" i="5" s="1"/>
  <c r="G331" i="5"/>
  <c r="F331" i="5"/>
  <c r="E331" i="5"/>
  <c r="D331" i="5"/>
  <c r="C331" i="5"/>
  <c r="B331" i="5"/>
  <c r="A331" i="5"/>
  <c r="Z330" i="5"/>
  <c r="Y330" i="5"/>
  <c r="X330" i="5"/>
  <c r="W330" i="5"/>
  <c r="V330" i="5"/>
  <c r="U330" i="5"/>
  <c r="G330" i="5"/>
  <c r="F330" i="5"/>
  <c r="E330" i="5"/>
  <c r="D330" i="5"/>
  <c r="C330" i="5"/>
  <c r="B330" i="5"/>
  <c r="A330" i="5"/>
  <c r="Y329" i="5"/>
  <c r="X329" i="5"/>
  <c r="W329" i="5"/>
  <c r="V329" i="5"/>
  <c r="U329" i="5"/>
  <c r="Z329" i="5" s="1"/>
  <c r="G329" i="5"/>
  <c r="F329" i="5"/>
  <c r="E329" i="5"/>
  <c r="D329" i="5"/>
  <c r="C329" i="5"/>
  <c r="B329" i="5"/>
  <c r="A329" i="5"/>
  <c r="Y328" i="5"/>
  <c r="X328" i="5"/>
  <c r="W328" i="5"/>
  <c r="V328" i="5"/>
  <c r="U328" i="5"/>
  <c r="Z328" i="5" s="1"/>
  <c r="G328" i="5"/>
  <c r="F328" i="5"/>
  <c r="E328" i="5"/>
  <c r="D328" i="5"/>
  <c r="C328" i="5"/>
  <c r="B328" i="5"/>
  <c r="A328" i="5"/>
  <c r="Y327" i="5"/>
  <c r="X327" i="5"/>
  <c r="W327" i="5"/>
  <c r="U327" i="5" s="1"/>
  <c r="Z327" i="5" s="1"/>
  <c r="V327" i="5"/>
  <c r="G327" i="5"/>
  <c r="F327" i="5"/>
  <c r="E327" i="5"/>
  <c r="D327" i="5"/>
  <c r="C327" i="5"/>
  <c r="B327" i="5"/>
  <c r="A327" i="5"/>
  <c r="Y326" i="5"/>
  <c r="X326" i="5"/>
  <c r="W326" i="5"/>
  <c r="V326" i="5"/>
  <c r="G326" i="5"/>
  <c r="F326" i="5"/>
  <c r="E326" i="5"/>
  <c r="D326" i="5"/>
  <c r="C326" i="5"/>
  <c r="B326" i="5"/>
  <c r="A326" i="5"/>
  <c r="Y325" i="5"/>
  <c r="X325" i="5"/>
  <c r="W325" i="5"/>
  <c r="U325" i="5" s="1"/>
  <c r="Z325" i="5" s="1"/>
  <c r="V325" i="5"/>
  <c r="G325" i="5"/>
  <c r="F325" i="5"/>
  <c r="E325" i="5"/>
  <c r="D325" i="5"/>
  <c r="C325" i="5"/>
  <c r="B325" i="5"/>
  <c r="A325" i="5"/>
  <c r="Y324" i="5"/>
  <c r="X324" i="5"/>
  <c r="W324" i="5"/>
  <c r="V324" i="5"/>
  <c r="U324" i="5" s="1"/>
  <c r="G324" i="5"/>
  <c r="F324" i="5"/>
  <c r="E324" i="5"/>
  <c r="D324" i="5"/>
  <c r="C324" i="5"/>
  <c r="B324" i="5"/>
  <c r="A324" i="5"/>
  <c r="Y323" i="5"/>
  <c r="X323" i="5"/>
  <c r="W323" i="5"/>
  <c r="U323" i="5" s="1"/>
  <c r="Z323" i="5" s="1"/>
  <c r="V323" i="5"/>
  <c r="G323" i="5"/>
  <c r="F323" i="5"/>
  <c r="E323" i="5"/>
  <c r="D323" i="5"/>
  <c r="C323" i="5"/>
  <c r="B323" i="5"/>
  <c r="A323" i="5"/>
  <c r="Y322" i="5"/>
  <c r="X322" i="5"/>
  <c r="W322" i="5"/>
  <c r="V322" i="5"/>
  <c r="G322" i="5"/>
  <c r="F322" i="5"/>
  <c r="E322" i="5"/>
  <c r="D322" i="5"/>
  <c r="C322" i="5"/>
  <c r="B322" i="5"/>
  <c r="A322" i="5"/>
  <c r="Y321" i="5"/>
  <c r="X321" i="5"/>
  <c r="W321" i="5"/>
  <c r="U321" i="5" s="1"/>
  <c r="V321" i="5"/>
  <c r="G321" i="5"/>
  <c r="F321" i="5"/>
  <c r="E321" i="5"/>
  <c r="D321" i="5"/>
  <c r="C321" i="5"/>
  <c r="B321" i="5"/>
  <c r="A321" i="5"/>
  <c r="Y320" i="5"/>
  <c r="X320" i="5"/>
  <c r="W320" i="5"/>
  <c r="V320" i="5"/>
  <c r="G320" i="5"/>
  <c r="F320" i="5"/>
  <c r="E320" i="5"/>
  <c r="D320" i="5"/>
  <c r="C320" i="5"/>
  <c r="B320" i="5"/>
  <c r="A320" i="5"/>
  <c r="Y319" i="5"/>
  <c r="X319" i="5"/>
  <c r="W319" i="5"/>
  <c r="V319" i="5"/>
  <c r="U319" i="5"/>
  <c r="G319" i="5"/>
  <c r="F319" i="5"/>
  <c r="E319" i="5"/>
  <c r="D319" i="5"/>
  <c r="C319" i="5"/>
  <c r="B319" i="5"/>
  <c r="A319" i="5"/>
  <c r="Y318" i="5"/>
  <c r="X318" i="5"/>
  <c r="W318" i="5"/>
  <c r="V318" i="5"/>
  <c r="G318" i="5"/>
  <c r="F318" i="5"/>
  <c r="E318" i="5"/>
  <c r="D318" i="5"/>
  <c r="C318" i="5"/>
  <c r="B318" i="5"/>
  <c r="A318" i="5"/>
  <c r="Y317" i="5"/>
  <c r="X317" i="5"/>
  <c r="W317" i="5"/>
  <c r="U317" i="5" s="1"/>
  <c r="V317" i="5"/>
  <c r="G317" i="5"/>
  <c r="F317" i="5"/>
  <c r="E317" i="5"/>
  <c r="D317" i="5"/>
  <c r="C317" i="5"/>
  <c r="B317" i="5"/>
  <c r="A317" i="5"/>
  <c r="Y316" i="5"/>
  <c r="X316" i="5"/>
  <c r="W316" i="5"/>
  <c r="U316" i="5" s="1"/>
  <c r="Z316" i="5" s="1"/>
  <c r="V316" i="5"/>
  <c r="G316" i="5"/>
  <c r="F316" i="5"/>
  <c r="E316" i="5"/>
  <c r="D316" i="5"/>
  <c r="C316" i="5"/>
  <c r="B316" i="5"/>
  <c r="A316" i="5"/>
  <c r="Y315" i="5"/>
  <c r="X315" i="5"/>
  <c r="W315" i="5"/>
  <c r="V315" i="5"/>
  <c r="U315" i="5"/>
  <c r="G315" i="5"/>
  <c r="F315" i="5"/>
  <c r="E315" i="5"/>
  <c r="D315" i="5"/>
  <c r="C315" i="5"/>
  <c r="B315" i="5"/>
  <c r="A315" i="5"/>
  <c r="Y314" i="5"/>
  <c r="X314" i="5"/>
  <c r="W314" i="5"/>
  <c r="V314" i="5"/>
  <c r="U314" i="5" s="1"/>
  <c r="G314" i="5"/>
  <c r="F314" i="5"/>
  <c r="E314" i="5"/>
  <c r="D314" i="5"/>
  <c r="C314" i="5"/>
  <c r="B314" i="5"/>
  <c r="A314" i="5"/>
  <c r="Y313" i="5"/>
  <c r="X313" i="5"/>
  <c r="W313" i="5"/>
  <c r="V313" i="5"/>
  <c r="U313" i="5" s="1"/>
  <c r="G313" i="5"/>
  <c r="F313" i="5"/>
  <c r="E313" i="5"/>
  <c r="D313" i="5"/>
  <c r="C313" i="5"/>
  <c r="B313" i="5"/>
  <c r="A313" i="5"/>
  <c r="Z312" i="5"/>
  <c r="Y312" i="5"/>
  <c r="X312" i="5"/>
  <c r="W312" i="5"/>
  <c r="V312" i="5"/>
  <c r="U312" i="5"/>
  <c r="G312" i="5"/>
  <c r="F312" i="5"/>
  <c r="E312" i="5"/>
  <c r="D312" i="5"/>
  <c r="C312" i="5"/>
  <c r="B312" i="5"/>
  <c r="A312" i="5"/>
  <c r="Z311" i="5"/>
  <c r="Y311" i="5"/>
  <c r="X311" i="5"/>
  <c r="W311" i="5"/>
  <c r="V311" i="5"/>
  <c r="U311" i="5"/>
  <c r="G311" i="5"/>
  <c r="F311" i="5"/>
  <c r="E311" i="5"/>
  <c r="D311" i="5"/>
  <c r="C311" i="5"/>
  <c r="B311" i="5"/>
  <c r="A311" i="5"/>
  <c r="Y310" i="5"/>
  <c r="X310" i="5"/>
  <c r="W310" i="5"/>
  <c r="V310" i="5"/>
  <c r="G310" i="5"/>
  <c r="F310" i="5"/>
  <c r="E310" i="5"/>
  <c r="D310" i="5"/>
  <c r="C310" i="5"/>
  <c r="B310" i="5"/>
  <c r="A310" i="5"/>
  <c r="Y309" i="5"/>
  <c r="X309" i="5"/>
  <c r="W309" i="5"/>
  <c r="U309" i="5" s="1"/>
  <c r="Z309" i="5" s="1"/>
  <c r="V309" i="5"/>
  <c r="G309" i="5"/>
  <c r="F309" i="5"/>
  <c r="E309" i="5"/>
  <c r="D309" i="5"/>
  <c r="C309" i="5"/>
  <c r="B309" i="5"/>
  <c r="A309" i="5"/>
  <c r="Z308" i="5"/>
  <c r="Y308" i="5"/>
  <c r="X308" i="5"/>
  <c r="W308" i="5"/>
  <c r="V308" i="5"/>
  <c r="U308" i="5"/>
  <c r="G308" i="5"/>
  <c r="F308" i="5"/>
  <c r="E308" i="5"/>
  <c r="D308" i="5"/>
  <c r="C308" i="5"/>
  <c r="B308" i="5"/>
  <c r="A308" i="5"/>
  <c r="Y307" i="5"/>
  <c r="X307" i="5"/>
  <c r="W307" i="5"/>
  <c r="U307" i="5" s="1"/>
  <c r="Z307" i="5" s="1"/>
  <c r="V307" i="5"/>
  <c r="G307" i="5"/>
  <c r="F307" i="5"/>
  <c r="E307" i="5"/>
  <c r="D307" i="5"/>
  <c r="C307" i="5"/>
  <c r="B307" i="5"/>
  <c r="A307" i="5"/>
  <c r="Y306" i="5"/>
  <c r="X306" i="5"/>
  <c r="W306" i="5"/>
  <c r="V306" i="5"/>
  <c r="U306" i="5" s="1"/>
  <c r="G306" i="5"/>
  <c r="F306" i="5"/>
  <c r="E306" i="5"/>
  <c r="D306" i="5"/>
  <c r="C306" i="5"/>
  <c r="B306" i="5"/>
  <c r="A306" i="5"/>
  <c r="Y305" i="5"/>
  <c r="X305" i="5"/>
  <c r="W305" i="5"/>
  <c r="V305" i="5"/>
  <c r="G305" i="5"/>
  <c r="F305" i="5"/>
  <c r="E305" i="5"/>
  <c r="D305" i="5"/>
  <c r="C305" i="5"/>
  <c r="B305" i="5"/>
  <c r="A305" i="5"/>
  <c r="Z304" i="5"/>
  <c r="Y304" i="5"/>
  <c r="X304" i="5"/>
  <c r="W304" i="5"/>
  <c r="V304" i="5"/>
  <c r="U304" i="5" s="1"/>
  <c r="G304" i="5"/>
  <c r="F304" i="5"/>
  <c r="E304" i="5"/>
  <c r="D304" i="5"/>
  <c r="C304" i="5"/>
  <c r="B304" i="5"/>
  <c r="A304" i="5"/>
  <c r="Y303" i="5"/>
  <c r="X303" i="5"/>
  <c r="W303" i="5"/>
  <c r="U303" i="5" s="1"/>
  <c r="Z303" i="5" s="1"/>
  <c r="V303" i="5"/>
  <c r="G303" i="5"/>
  <c r="F303" i="5"/>
  <c r="E303" i="5"/>
  <c r="D303" i="5"/>
  <c r="C303" i="5"/>
  <c r="B303" i="5"/>
  <c r="A303" i="5"/>
  <c r="Y302" i="5"/>
  <c r="X302" i="5"/>
  <c r="W302" i="5"/>
  <c r="V302" i="5"/>
  <c r="U302" i="5" s="1"/>
  <c r="G302" i="5"/>
  <c r="F302" i="5"/>
  <c r="E302" i="5"/>
  <c r="D302" i="5"/>
  <c r="C302" i="5"/>
  <c r="B302" i="5"/>
  <c r="A302" i="5"/>
  <c r="Y301" i="5"/>
  <c r="X301" i="5"/>
  <c r="W301" i="5"/>
  <c r="U301" i="5" s="1"/>
  <c r="V301" i="5"/>
  <c r="G301" i="5"/>
  <c r="F301" i="5"/>
  <c r="E301" i="5"/>
  <c r="D301" i="5"/>
  <c r="C301" i="5"/>
  <c r="B301" i="5"/>
  <c r="A301" i="5"/>
  <c r="Y300" i="5"/>
  <c r="X300" i="5"/>
  <c r="W300" i="5"/>
  <c r="V300" i="5"/>
  <c r="G300" i="5"/>
  <c r="F300" i="5"/>
  <c r="E300" i="5"/>
  <c r="D300" i="5"/>
  <c r="C300" i="5"/>
  <c r="B300" i="5"/>
  <c r="A300" i="5"/>
  <c r="Y299" i="5"/>
  <c r="X299" i="5"/>
  <c r="W299" i="5"/>
  <c r="V299" i="5"/>
  <c r="U299" i="5"/>
  <c r="G299" i="5"/>
  <c r="F299" i="5"/>
  <c r="E299" i="5"/>
  <c r="D299" i="5"/>
  <c r="C299" i="5"/>
  <c r="B299" i="5"/>
  <c r="A299" i="5"/>
  <c r="Y298" i="5"/>
  <c r="X298" i="5"/>
  <c r="W298" i="5"/>
  <c r="V298" i="5"/>
  <c r="G298" i="5"/>
  <c r="F298" i="5"/>
  <c r="E298" i="5"/>
  <c r="D298" i="5"/>
  <c r="C298" i="5"/>
  <c r="B298" i="5"/>
  <c r="A298" i="5"/>
  <c r="Y297" i="5"/>
  <c r="X297" i="5"/>
  <c r="W297" i="5"/>
  <c r="U297" i="5" s="1"/>
  <c r="V297" i="5"/>
  <c r="G297" i="5"/>
  <c r="F297" i="5"/>
  <c r="E297" i="5"/>
  <c r="D297" i="5"/>
  <c r="C297" i="5"/>
  <c r="B297" i="5"/>
  <c r="A297" i="5"/>
  <c r="Y296" i="5"/>
  <c r="X296" i="5"/>
  <c r="W296" i="5"/>
  <c r="V296" i="5"/>
  <c r="U296" i="5" s="1"/>
  <c r="G296" i="5"/>
  <c r="F296" i="5"/>
  <c r="E296" i="5"/>
  <c r="D296" i="5"/>
  <c r="C296" i="5"/>
  <c r="B296" i="5"/>
  <c r="A296" i="5"/>
  <c r="Y295" i="5"/>
  <c r="X295" i="5"/>
  <c r="W295" i="5"/>
  <c r="V295" i="5"/>
  <c r="U295" i="5"/>
  <c r="G295" i="5"/>
  <c r="F295" i="5"/>
  <c r="E295" i="5"/>
  <c r="D295" i="5"/>
  <c r="C295" i="5"/>
  <c r="B295" i="5"/>
  <c r="A295" i="5"/>
  <c r="Y294" i="5"/>
  <c r="X294" i="5"/>
  <c r="W294" i="5"/>
  <c r="V294" i="5"/>
  <c r="U294" i="5" s="1"/>
  <c r="G294" i="5"/>
  <c r="F294" i="5"/>
  <c r="E294" i="5"/>
  <c r="D294" i="5"/>
  <c r="C294" i="5"/>
  <c r="B294" i="5"/>
  <c r="A294" i="5"/>
  <c r="Y293" i="5"/>
  <c r="X293" i="5"/>
  <c r="W293" i="5"/>
  <c r="U293" i="5" s="1"/>
  <c r="V293" i="5"/>
  <c r="G293" i="5"/>
  <c r="F293" i="5"/>
  <c r="E293" i="5"/>
  <c r="D293" i="5"/>
  <c r="C293" i="5"/>
  <c r="B293" i="5"/>
  <c r="A293" i="5"/>
  <c r="Y292" i="5"/>
  <c r="X292" i="5"/>
  <c r="W292" i="5"/>
  <c r="V292" i="5"/>
  <c r="G292" i="5"/>
  <c r="F292" i="5"/>
  <c r="E292" i="5"/>
  <c r="D292" i="5"/>
  <c r="C292" i="5"/>
  <c r="B292" i="5"/>
  <c r="A292" i="5"/>
  <c r="Y291" i="5"/>
  <c r="X291" i="5"/>
  <c r="W291" i="5"/>
  <c r="V291" i="5"/>
  <c r="U291" i="5" s="1"/>
  <c r="Z291" i="5" s="1"/>
  <c r="G291" i="5"/>
  <c r="F291" i="5"/>
  <c r="E291" i="5"/>
  <c r="D291" i="5"/>
  <c r="C291" i="5"/>
  <c r="B291" i="5"/>
  <c r="A291" i="5"/>
  <c r="Y290" i="5"/>
  <c r="X290" i="5"/>
  <c r="W290" i="5"/>
  <c r="V290" i="5"/>
  <c r="G290" i="5"/>
  <c r="F290" i="5"/>
  <c r="E290" i="5"/>
  <c r="D290" i="5"/>
  <c r="C290" i="5"/>
  <c r="B290" i="5"/>
  <c r="A290" i="5"/>
  <c r="Y289" i="5"/>
  <c r="X289" i="5"/>
  <c r="W289" i="5"/>
  <c r="U289" i="5" s="1"/>
  <c r="Z289" i="5" s="1"/>
  <c r="V289" i="5"/>
  <c r="G289" i="5"/>
  <c r="F289" i="5"/>
  <c r="E289" i="5"/>
  <c r="D289" i="5"/>
  <c r="C289" i="5"/>
  <c r="B289" i="5"/>
  <c r="A289" i="5"/>
  <c r="Y288" i="5"/>
  <c r="X288" i="5"/>
  <c r="U288" i="5" s="1"/>
  <c r="Z288" i="5" s="1"/>
  <c r="W288" i="5"/>
  <c r="V288" i="5"/>
  <c r="G288" i="5"/>
  <c r="F288" i="5"/>
  <c r="E288" i="5"/>
  <c r="D288" i="5"/>
  <c r="C288" i="5"/>
  <c r="B288" i="5"/>
  <c r="A288" i="5"/>
  <c r="Y287" i="5"/>
  <c r="X287" i="5"/>
  <c r="W287" i="5"/>
  <c r="U287" i="5" s="1"/>
  <c r="Z287" i="5" s="1"/>
  <c r="V287" i="5"/>
  <c r="G287" i="5"/>
  <c r="F287" i="5"/>
  <c r="E287" i="5"/>
  <c r="D287" i="5"/>
  <c r="C287" i="5"/>
  <c r="B287" i="5"/>
  <c r="A287" i="5"/>
  <c r="Y286" i="5"/>
  <c r="X286" i="5"/>
  <c r="W286" i="5"/>
  <c r="V286" i="5"/>
  <c r="U286" i="5" s="1"/>
  <c r="G286" i="5"/>
  <c r="F286" i="5"/>
  <c r="E286" i="5"/>
  <c r="D286" i="5"/>
  <c r="C286" i="5"/>
  <c r="B286" i="5"/>
  <c r="A286" i="5"/>
  <c r="Y285" i="5"/>
  <c r="X285" i="5"/>
  <c r="W285" i="5"/>
  <c r="U285" i="5" s="1"/>
  <c r="Z285" i="5" s="1"/>
  <c r="V285" i="5"/>
  <c r="G285" i="5"/>
  <c r="F285" i="5"/>
  <c r="E285" i="5"/>
  <c r="D285" i="5"/>
  <c r="C285" i="5"/>
  <c r="B285" i="5"/>
  <c r="A285" i="5"/>
  <c r="Z284" i="5"/>
  <c r="Y284" i="5"/>
  <c r="X284" i="5"/>
  <c r="W284" i="5"/>
  <c r="V284" i="5"/>
  <c r="U284" i="5" s="1"/>
  <c r="G284" i="5"/>
  <c r="F284" i="5"/>
  <c r="E284" i="5"/>
  <c r="D284" i="5"/>
  <c r="C284" i="5"/>
  <c r="B284" i="5"/>
  <c r="A284" i="5"/>
  <c r="Y283" i="5"/>
  <c r="X283" i="5"/>
  <c r="W283" i="5"/>
  <c r="U283" i="5" s="1"/>
  <c r="Z283" i="5" s="1"/>
  <c r="V283" i="5"/>
  <c r="G283" i="5"/>
  <c r="F283" i="5"/>
  <c r="E283" i="5"/>
  <c r="D283" i="5"/>
  <c r="C283" i="5"/>
  <c r="B283" i="5"/>
  <c r="A283" i="5"/>
  <c r="Y282" i="5"/>
  <c r="X282" i="5"/>
  <c r="W282" i="5"/>
  <c r="V282" i="5"/>
  <c r="G282" i="5"/>
  <c r="F282" i="5"/>
  <c r="E282" i="5"/>
  <c r="D282" i="5"/>
  <c r="C282" i="5"/>
  <c r="B282" i="5"/>
  <c r="A282" i="5"/>
  <c r="Y281" i="5"/>
  <c r="X281" i="5"/>
  <c r="W281" i="5"/>
  <c r="V281" i="5"/>
  <c r="U281" i="5"/>
  <c r="G281" i="5"/>
  <c r="F281" i="5"/>
  <c r="E281" i="5"/>
  <c r="D281" i="5"/>
  <c r="C281" i="5"/>
  <c r="B281" i="5"/>
  <c r="A281" i="5"/>
  <c r="Y280" i="5"/>
  <c r="X280" i="5"/>
  <c r="W280" i="5"/>
  <c r="V280" i="5"/>
  <c r="G280" i="5"/>
  <c r="F280" i="5"/>
  <c r="E280" i="5"/>
  <c r="D280" i="5"/>
  <c r="C280" i="5"/>
  <c r="B280" i="5"/>
  <c r="A280" i="5"/>
  <c r="Y279" i="5"/>
  <c r="X279" i="5"/>
  <c r="W279" i="5"/>
  <c r="V279" i="5"/>
  <c r="U279" i="5" s="1"/>
  <c r="G279" i="5"/>
  <c r="F279" i="5"/>
  <c r="E279" i="5"/>
  <c r="D279" i="5"/>
  <c r="C279" i="5"/>
  <c r="B279" i="5"/>
  <c r="A279" i="5"/>
  <c r="Y278" i="5"/>
  <c r="X278" i="5"/>
  <c r="W278" i="5"/>
  <c r="V278" i="5"/>
  <c r="G278" i="5"/>
  <c r="F278" i="5"/>
  <c r="E278" i="5"/>
  <c r="D278" i="5"/>
  <c r="C278" i="5"/>
  <c r="B278" i="5"/>
  <c r="A278" i="5"/>
  <c r="Y277" i="5"/>
  <c r="X277" i="5"/>
  <c r="W277" i="5"/>
  <c r="V277" i="5"/>
  <c r="U277" i="5" s="1"/>
  <c r="G277" i="5"/>
  <c r="F277" i="5"/>
  <c r="E277" i="5"/>
  <c r="D277" i="5"/>
  <c r="C277" i="5"/>
  <c r="B277" i="5"/>
  <c r="A277" i="5"/>
  <c r="Y276" i="5"/>
  <c r="X276" i="5"/>
  <c r="W276" i="5"/>
  <c r="V276" i="5"/>
  <c r="Z276" i="5" s="1"/>
  <c r="U276" i="5"/>
  <c r="G276" i="5"/>
  <c r="F276" i="5"/>
  <c r="E276" i="5"/>
  <c r="D276" i="5"/>
  <c r="C276" i="5"/>
  <c r="B276" i="5"/>
  <c r="A276" i="5"/>
  <c r="Y275" i="5"/>
  <c r="X275" i="5"/>
  <c r="W275" i="5"/>
  <c r="V275" i="5"/>
  <c r="U275" i="5"/>
  <c r="G275" i="5"/>
  <c r="F275" i="5"/>
  <c r="E275" i="5"/>
  <c r="D275" i="5"/>
  <c r="C275" i="5"/>
  <c r="B275" i="5"/>
  <c r="A275" i="5"/>
  <c r="Y274" i="5"/>
  <c r="X274" i="5"/>
  <c r="W274" i="5"/>
  <c r="U274" i="5" s="1"/>
  <c r="Z274" i="5" s="1"/>
  <c r="V274" i="5"/>
  <c r="G274" i="5"/>
  <c r="F274" i="5"/>
  <c r="E274" i="5"/>
  <c r="D274" i="5"/>
  <c r="C274" i="5"/>
  <c r="B274" i="5"/>
  <c r="A274" i="5"/>
  <c r="Y273" i="5"/>
  <c r="X273" i="5"/>
  <c r="W273" i="5"/>
  <c r="V273" i="5"/>
  <c r="U273" i="5"/>
  <c r="G273" i="5"/>
  <c r="F273" i="5"/>
  <c r="E273" i="5"/>
  <c r="D273" i="5"/>
  <c r="C273" i="5"/>
  <c r="B273" i="5"/>
  <c r="A273" i="5"/>
  <c r="Z272" i="5"/>
  <c r="Y272" i="5"/>
  <c r="X272" i="5"/>
  <c r="W272" i="5"/>
  <c r="V272" i="5"/>
  <c r="U272" i="5"/>
  <c r="G272" i="5"/>
  <c r="F272" i="5"/>
  <c r="E272" i="5"/>
  <c r="D272" i="5"/>
  <c r="C272" i="5"/>
  <c r="B272" i="5"/>
  <c r="A272" i="5"/>
  <c r="Y271" i="5"/>
  <c r="X271" i="5"/>
  <c r="W271" i="5"/>
  <c r="V271" i="5"/>
  <c r="G271" i="5"/>
  <c r="F271" i="5"/>
  <c r="E271" i="5"/>
  <c r="D271" i="5"/>
  <c r="C271" i="5"/>
  <c r="B271" i="5"/>
  <c r="A271" i="5"/>
  <c r="Y270" i="5"/>
  <c r="X270" i="5"/>
  <c r="W270" i="5"/>
  <c r="V270" i="5"/>
  <c r="U270" i="5" s="1"/>
  <c r="Z270" i="5" s="1"/>
  <c r="G270" i="5"/>
  <c r="F270" i="5"/>
  <c r="E270" i="5"/>
  <c r="D270" i="5"/>
  <c r="C270" i="5"/>
  <c r="B270" i="5"/>
  <c r="A270" i="5"/>
  <c r="Y269" i="5"/>
  <c r="X269" i="5"/>
  <c r="W269" i="5"/>
  <c r="V269" i="5"/>
  <c r="U269" i="5"/>
  <c r="Z269" i="5" s="1"/>
  <c r="G269" i="5"/>
  <c r="F269" i="5"/>
  <c r="E269" i="5"/>
  <c r="D269" i="5"/>
  <c r="C269" i="5"/>
  <c r="B269" i="5"/>
  <c r="A269" i="5"/>
  <c r="Y268" i="5"/>
  <c r="X268" i="5"/>
  <c r="W268" i="5"/>
  <c r="V268" i="5"/>
  <c r="U268" i="5"/>
  <c r="Z268" i="5" s="1"/>
  <c r="G268" i="5"/>
  <c r="F268" i="5"/>
  <c r="E268" i="5"/>
  <c r="D268" i="5"/>
  <c r="C268" i="5"/>
  <c r="B268" i="5"/>
  <c r="A268" i="5"/>
  <c r="Y267" i="5"/>
  <c r="X267" i="5"/>
  <c r="W267" i="5"/>
  <c r="U267" i="5" s="1"/>
  <c r="Z267" i="5" s="1"/>
  <c r="V267" i="5"/>
  <c r="G267" i="5"/>
  <c r="F267" i="5"/>
  <c r="E267" i="5"/>
  <c r="D267" i="5"/>
  <c r="C267" i="5"/>
  <c r="B267" i="5"/>
  <c r="A267" i="5"/>
  <c r="Y266" i="5"/>
  <c r="X266" i="5"/>
  <c r="W266" i="5"/>
  <c r="V266" i="5"/>
  <c r="G266" i="5"/>
  <c r="F266" i="5"/>
  <c r="E266" i="5"/>
  <c r="D266" i="5"/>
  <c r="C266" i="5"/>
  <c r="B266" i="5"/>
  <c r="A266" i="5"/>
  <c r="Y265" i="5"/>
  <c r="X265" i="5"/>
  <c r="W265" i="5"/>
  <c r="U265" i="5" s="1"/>
  <c r="Z265" i="5" s="1"/>
  <c r="V265" i="5"/>
  <c r="G265" i="5"/>
  <c r="F265" i="5"/>
  <c r="E265" i="5"/>
  <c r="D265" i="5"/>
  <c r="C265" i="5"/>
  <c r="B265" i="5"/>
  <c r="A265" i="5"/>
  <c r="Y264" i="5"/>
  <c r="X264" i="5"/>
  <c r="W264" i="5"/>
  <c r="V264" i="5"/>
  <c r="U264" i="5" s="1"/>
  <c r="G264" i="5"/>
  <c r="F264" i="5"/>
  <c r="E264" i="5"/>
  <c r="D264" i="5"/>
  <c r="C264" i="5"/>
  <c r="B264" i="5"/>
  <c r="A264" i="5"/>
  <c r="Y263" i="5"/>
  <c r="X263" i="5"/>
  <c r="W263" i="5"/>
  <c r="U263" i="5" s="1"/>
  <c r="Z263" i="5" s="1"/>
  <c r="V263" i="5"/>
  <c r="G263" i="5"/>
  <c r="F263" i="5"/>
  <c r="E263" i="5"/>
  <c r="D263" i="5"/>
  <c r="C263" i="5"/>
  <c r="B263" i="5"/>
  <c r="A263" i="5"/>
  <c r="Y262" i="5"/>
  <c r="X262" i="5"/>
  <c r="W262" i="5"/>
  <c r="V262" i="5"/>
  <c r="G262" i="5"/>
  <c r="F262" i="5"/>
  <c r="E262" i="5"/>
  <c r="D262" i="5"/>
  <c r="C262" i="5"/>
  <c r="B262" i="5"/>
  <c r="A262" i="5"/>
  <c r="Y261" i="5"/>
  <c r="X261" i="5"/>
  <c r="W261" i="5"/>
  <c r="U261" i="5" s="1"/>
  <c r="V261" i="5"/>
  <c r="G261" i="5"/>
  <c r="F261" i="5"/>
  <c r="E261" i="5"/>
  <c r="D261" i="5"/>
  <c r="C261" i="5"/>
  <c r="B261" i="5"/>
  <c r="A261" i="5"/>
  <c r="Y260" i="5"/>
  <c r="X260" i="5"/>
  <c r="W260" i="5"/>
  <c r="V260" i="5"/>
  <c r="G260" i="5"/>
  <c r="F260" i="5"/>
  <c r="E260" i="5"/>
  <c r="D260" i="5"/>
  <c r="C260" i="5"/>
  <c r="B260" i="5"/>
  <c r="A260" i="5"/>
  <c r="Y259" i="5"/>
  <c r="X259" i="5"/>
  <c r="W259" i="5"/>
  <c r="V259" i="5"/>
  <c r="U259" i="5"/>
  <c r="G259" i="5"/>
  <c r="F259" i="5"/>
  <c r="E259" i="5"/>
  <c r="D259" i="5"/>
  <c r="C259" i="5"/>
  <c r="B259" i="5"/>
  <c r="A259" i="5"/>
  <c r="Y258" i="5"/>
  <c r="X258" i="5"/>
  <c r="W258" i="5"/>
  <c r="V258" i="5"/>
  <c r="G258" i="5"/>
  <c r="F258" i="5"/>
  <c r="E258" i="5"/>
  <c r="D258" i="5"/>
  <c r="C258" i="5"/>
  <c r="B258" i="5"/>
  <c r="A258" i="5"/>
  <c r="Y257" i="5"/>
  <c r="X257" i="5"/>
  <c r="W257" i="5"/>
  <c r="V257" i="5"/>
  <c r="U257" i="5" s="1"/>
  <c r="G257" i="5"/>
  <c r="F257" i="5"/>
  <c r="E257" i="5"/>
  <c r="D257" i="5"/>
  <c r="C257" i="5"/>
  <c r="B257" i="5"/>
  <c r="A257" i="5"/>
  <c r="Y256" i="5"/>
  <c r="X256" i="5"/>
  <c r="W256" i="5"/>
  <c r="U256" i="5" s="1"/>
  <c r="Z256" i="5" s="1"/>
  <c r="V256" i="5"/>
  <c r="G256" i="5"/>
  <c r="F256" i="5"/>
  <c r="E256" i="5"/>
  <c r="D256" i="5"/>
  <c r="C256" i="5"/>
  <c r="B256" i="5"/>
  <c r="A256" i="5"/>
  <c r="Y255" i="5"/>
  <c r="X255" i="5"/>
  <c r="W255" i="5"/>
  <c r="V255" i="5"/>
  <c r="U255" i="5"/>
  <c r="G255" i="5"/>
  <c r="F255" i="5"/>
  <c r="E255" i="5"/>
  <c r="D255" i="5"/>
  <c r="C255" i="5"/>
  <c r="B255" i="5"/>
  <c r="A255" i="5"/>
  <c r="Y254" i="5"/>
  <c r="X254" i="5"/>
  <c r="W254" i="5"/>
  <c r="V254" i="5"/>
  <c r="G254" i="5"/>
  <c r="F254" i="5"/>
  <c r="E254" i="5"/>
  <c r="D254" i="5"/>
  <c r="C254" i="5"/>
  <c r="B254" i="5"/>
  <c r="A254" i="5"/>
  <c r="Y253" i="5"/>
  <c r="X253" i="5"/>
  <c r="W253" i="5"/>
  <c r="U253" i="5" s="1"/>
  <c r="V253" i="5"/>
  <c r="G253" i="5"/>
  <c r="F253" i="5"/>
  <c r="E253" i="5"/>
  <c r="D253" i="5"/>
  <c r="C253" i="5"/>
  <c r="B253" i="5"/>
  <c r="A253" i="5"/>
  <c r="Z252" i="5"/>
  <c r="Y252" i="5"/>
  <c r="X252" i="5"/>
  <c r="W252" i="5"/>
  <c r="V252" i="5"/>
  <c r="U252" i="5"/>
  <c r="G252" i="5"/>
  <c r="F252" i="5"/>
  <c r="E252" i="5"/>
  <c r="D252" i="5"/>
  <c r="C252" i="5"/>
  <c r="B252" i="5"/>
  <c r="A252" i="5"/>
  <c r="Y251" i="5"/>
  <c r="X251" i="5"/>
  <c r="W251" i="5"/>
  <c r="V251" i="5"/>
  <c r="U251" i="5"/>
  <c r="Z251" i="5" s="1"/>
  <c r="G251" i="5"/>
  <c r="F251" i="5"/>
  <c r="E251" i="5"/>
  <c r="D251" i="5"/>
  <c r="C251" i="5"/>
  <c r="B251" i="5"/>
  <c r="A251" i="5"/>
  <c r="Y250" i="5"/>
  <c r="X250" i="5"/>
  <c r="W250" i="5"/>
  <c r="V250" i="5"/>
  <c r="U250" i="5" s="1"/>
  <c r="Z250" i="5" s="1"/>
  <c r="G250" i="5"/>
  <c r="F250" i="5"/>
  <c r="E250" i="5"/>
  <c r="D250" i="5"/>
  <c r="C250" i="5"/>
  <c r="B250" i="5"/>
  <c r="A250" i="5"/>
  <c r="Z249" i="5"/>
  <c r="Y249" i="5"/>
  <c r="X249" i="5"/>
  <c r="W249" i="5"/>
  <c r="V249" i="5"/>
  <c r="U249" i="5"/>
  <c r="G249" i="5"/>
  <c r="F249" i="5"/>
  <c r="E249" i="5"/>
  <c r="D249" i="5"/>
  <c r="C249" i="5"/>
  <c r="B249" i="5"/>
  <c r="A249" i="5"/>
  <c r="Z248" i="5"/>
  <c r="Y248" i="5"/>
  <c r="X248" i="5"/>
  <c r="W248" i="5"/>
  <c r="V248" i="5"/>
  <c r="U248" i="5"/>
  <c r="G248" i="5"/>
  <c r="F248" i="5"/>
  <c r="E248" i="5"/>
  <c r="D248" i="5"/>
  <c r="C248" i="5"/>
  <c r="B248" i="5"/>
  <c r="A248" i="5"/>
  <c r="Z247" i="5"/>
  <c r="Y247" i="5"/>
  <c r="X247" i="5"/>
  <c r="W247" i="5"/>
  <c r="V247" i="5"/>
  <c r="U247" i="5"/>
  <c r="G247" i="5"/>
  <c r="F247" i="5"/>
  <c r="E247" i="5"/>
  <c r="D247" i="5"/>
  <c r="C247" i="5"/>
  <c r="B247" i="5"/>
  <c r="A247" i="5"/>
  <c r="Y246" i="5"/>
  <c r="X246" i="5"/>
  <c r="W246" i="5"/>
  <c r="V246" i="5"/>
  <c r="G246" i="5"/>
  <c r="F246" i="5"/>
  <c r="E246" i="5"/>
  <c r="D246" i="5"/>
  <c r="C246" i="5"/>
  <c r="B246" i="5"/>
  <c r="A246" i="5"/>
  <c r="Y245" i="5"/>
  <c r="X245" i="5"/>
  <c r="W245" i="5"/>
  <c r="U245" i="5" s="1"/>
  <c r="Z245" i="5" s="1"/>
  <c r="V245" i="5"/>
  <c r="G245" i="5"/>
  <c r="F245" i="5"/>
  <c r="E245" i="5"/>
  <c r="D245" i="5"/>
  <c r="C245" i="5"/>
  <c r="B245" i="5"/>
  <c r="A245" i="5"/>
  <c r="Y244" i="5"/>
  <c r="X244" i="5"/>
  <c r="W244" i="5"/>
  <c r="V244" i="5"/>
  <c r="U244" i="5" s="1"/>
  <c r="G244" i="5"/>
  <c r="F244" i="5"/>
  <c r="E244" i="5"/>
  <c r="D244" i="5"/>
  <c r="C244" i="5"/>
  <c r="B244" i="5"/>
  <c r="A244" i="5"/>
  <c r="Y243" i="5"/>
  <c r="X243" i="5"/>
  <c r="W243" i="5"/>
  <c r="V243" i="5"/>
  <c r="U243" i="5"/>
  <c r="Z243" i="5" s="1"/>
  <c r="G243" i="5"/>
  <c r="F243" i="5"/>
  <c r="E243" i="5"/>
  <c r="D243" i="5"/>
  <c r="C243" i="5"/>
  <c r="B243" i="5"/>
  <c r="A243" i="5"/>
  <c r="Y242" i="5"/>
  <c r="X242" i="5"/>
  <c r="W242" i="5"/>
  <c r="V242" i="5"/>
  <c r="G242" i="5"/>
  <c r="F242" i="5"/>
  <c r="E242" i="5"/>
  <c r="D242" i="5"/>
  <c r="C242" i="5"/>
  <c r="B242" i="5"/>
  <c r="A242" i="5"/>
  <c r="Y241" i="5"/>
  <c r="X241" i="5"/>
  <c r="W241" i="5"/>
  <c r="U241" i="5" s="1"/>
  <c r="V241" i="5"/>
  <c r="G241" i="5"/>
  <c r="F241" i="5"/>
  <c r="E241" i="5"/>
  <c r="D241" i="5"/>
  <c r="C241" i="5"/>
  <c r="B241" i="5"/>
  <c r="A241" i="5"/>
  <c r="Y240" i="5"/>
  <c r="X240" i="5"/>
  <c r="W240" i="5"/>
  <c r="V240" i="5"/>
  <c r="G240" i="5"/>
  <c r="F240" i="5"/>
  <c r="E240" i="5"/>
  <c r="D240" i="5"/>
  <c r="C240" i="5"/>
  <c r="B240" i="5"/>
  <c r="A240" i="5"/>
  <c r="Y239" i="5"/>
  <c r="X239" i="5"/>
  <c r="W239" i="5"/>
  <c r="V239" i="5"/>
  <c r="U239" i="5"/>
  <c r="G239" i="5"/>
  <c r="F239" i="5"/>
  <c r="E239" i="5"/>
  <c r="D239" i="5"/>
  <c r="C239" i="5"/>
  <c r="B239" i="5"/>
  <c r="A239" i="5"/>
  <c r="Y238" i="5"/>
  <c r="X238" i="5"/>
  <c r="W238" i="5"/>
  <c r="V238" i="5"/>
  <c r="U238" i="5" s="1"/>
  <c r="G238" i="5"/>
  <c r="F238" i="5"/>
  <c r="E238" i="5"/>
  <c r="D238" i="5"/>
  <c r="C238" i="5"/>
  <c r="B238" i="5"/>
  <c r="A238" i="5"/>
  <c r="Y237" i="5"/>
  <c r="X237" i="5"/>
  <c r="W237" i="5"/>
  <c r="V237" i="5"/>
  <c r="U237" i="5" s="1"/>
  <c r="G237" i="5"/>
  <c r="F237" i="5"/>
  <c r="E237" i="5"/>
  <c r="D237" i="5"/>
  <c r="C237" i="5"/>
  <c r="B237" i="5"/>
  <c r="A237" i="5"/>
  <c r="Y236" i="5"/>
  <c r="X236" i="5"/>
  <c r="W236" i="5"/>
  <c r="V236" i="5"/>
  <c r="U236" i="5" s="1"/>
  <c r="Z236" i="5" s="1"/>
  <c r="G236" i="5"/>
  <c r="F236" i="5"/>
  <c r="E236" i="5"/>
  <c r="D236" i="5"/>
  <c r="C236" i="5"/>
  <c r="B236" i="5"/>
  <c r="A236" i="5"/>
  <c r="Y235" i="5"/>
  <c r="X235" i="5"/>
  <c r="W235" i="5"/>
  <c r="U235" i="5" s="1"/>
  <c r="V235" i="5"/>
  <c r="G235" i="5"/>
  <c r="F235" i="5"/>
  <c r="E235" i="5"/>
  <c r="D235" i="5"/>
  <c r="C235" i="5"/>
  <c r="B235" i="5"/>
  <c r="A235" i="5"/>
  <c r="Y234" i="5"/>
  <c r="X234" i="5"/>
  <c r="W234" i="5"/>
  <c r="V234" i="5"/>
  <c r="G234" i="5"/>
  <c r="F234" i="5"/>
  <c r="E234" i="5"/>
  <c r="D234" i="5"/>
  <c r="C234" i="5"/>
  <c r="B234" i="5"/>
  <c r="A234" i="5"/>
  <c r="Y233" i="5"/>
  <c r="X233" i="5"/>
  <c r="W233" i="5"/>
  <c r="V233" i="5"/>
  <c r="U233" i="5" s="1"/>
  <c r="G233" i="5"/>
  <c r="F233" i="5"/>
  <c r="E233" i="5"/>
  <c r="D233" i="5"/>
  <c r="C233" i="5"/>
  <c r="B233" i="5"/>
  <c r="A233" i="5"/>
  <c r="Y232" i="5"/>
  <c r="X232" i="5"/>
  <c r="W232" i="5"/>
  <c r="V232" i="5"/>
  <c r="U232" i="5"/>
  <c r="Z232" i="5" s="1"/>
  <c r="G232" i="5"/>
  <c r="F232" i="5"/>
  <c r="E232" i="5"/>
  <c r="D232" i="5"/>
  <c r="C232" i="5"/>
  <c r="B232" i="5"/>
  <c r="A232" i="5"/>
  <c r="Y231" i="5"/>
  <c r="X231" i="5"/>
  <c r="W231" i="5"/>
  <c r="V231" i="5"/>
  <c r="Z231" i="5" s="1"/>
  <c r="U231" i="5"/>
  <c r="G231" i="5"/>
  <c r="F231" i="5"/>
  <c r="E231" i="5"/>
  <c r="D231" i="5"/>
  <c r="C231" i="5"/>
  <c r="B231" i="5"/>
  <c r="A231" i="5"/>
  <c r="Y230" i="5"/>
  <c r="X230" i="5"/>
  <c r="W230" i="5"/>
  <c r="V230" i="5"/>
  <c r="Z230" i="5" s="1"/>
  <c r="U230" i="5"/>
  <c r="G230" i="5"/>
  <c r="F230" i="5"/>
  <c r="E230" i="5"/>
  <c r="D230" i="5"/>
  <c r="C230" i="5"/>
  <c r="B230" i="5"/>
  <c r="A230" i="5"/>
  <c r="Y229" i="5"/>
  <c r="X229" i="5"/>
  <c r="W229" i="5"/>
  <c r="U229" i="5" s="1"/>
  <c r="Z229" i="5" s="1"/>
  <c r="V229" i="5"/>
  <c r="G229" i="5"/>
  <c r="F229" i="5"/>
  <c r="E229" i="5"/>
  <c r="D229" i="5"/>
  <c r="C229" i="5"/>
  <c r="B229" i="5"/>
  <c r="A229" i="5"/>
  <c r="Z228" i="5"/>
  <c r="Y228" i="5"/>
  <c r="X228" i="5"/>
  <c r="W228" i="5"/>
  <c r="V228" i="5"/>
  <c r="U228" i="5"/>
  <c r="G228" i="5"/>
  <c r="F228" i="5"/>
  <c r="E228" i="5"/>
  <c r="D228" i="5"/>
  <c r="C228" i="5"/>
  <c r="B228" i="5"/>
  <c r="A228" i="5"/>
  <c r="Y227" i="5"/>
  <c r="X227" i="5"/>
  <c r="W227" i="5"/>
  <c r="V227" i="5"/>
  <c r="U227" i="5"/>
  <c r="Z227" i="5" s="1"/>
  <c r="G227" i="5"/>
  <c r="F227" i="5"/>
  <c r="E227" i="5"/>
  <c r="D227" i="5"/>
  <c r="C227" i="5"/>
  <c r="B227" i="5"/>
  <c r="A227" i="5"/>
  <c r="Z226" i="5"/>
  <c r="Y226" i="5"/>
  <c r="X226" i="5"/>
  <c r="W226" i="5"/>
  <c r="V226" i="5"/>
  <c r="U226" i="5" s="1"/>
  <c r="G226" i="5"/>
  <c r="F226" i="5"/>
  <c r="E226" i="5"/>
  <c r="D226" i="5"/>
  <c r="C226" i="5"/>
  <c r="B226" i="5"/>
  <c r="A226" i="5"/>
  <c r="Y225" i="5"/>
  <c r="X225" i="5"/>
  <c r="W225" i="5"/>
  <c r="U225" i="5" s="1"/>
  <c r="Z225" i="5" s="1"/>
  <c r="V225" i="5"/>
  <c r="G225" i="5"/>
  <c r="F225" i="5"/>
  <c r="E225" i="5"/>
  <c r="D225" i="5"/>
  <c r="C225" i="5"/>
  <c r="B225" i="5"/>
  <c r="A225" i="5"/>
  <c r="Y224" i="5"/>
  <c r="X224" i="5"/>
  <c r="W224" i="5"/>
  <c r="V224" i="5"/>
  <c r="G224" i="5"/>
  <c r="F224" i="5"/>
  <c r="E224" i="5"/>
  <c r="D224" i="5"/>
  <c r="C224" i="5"/>
  <c r="B224" i="5"/>
  <c r="A224" i="5"/>
  <c r="Y223" i="5"/>
  <c r="X223" i="5"/>
  <c r="W223" i="5"/>
  <c r="U223" i="5" s="1"/>
  <c r="Z223" i="5" s="1"/>
  <c r="V223" i="5"/>
  <c r="G223" i="5"/>
  <c r="F223" i="5"/>
  <c r="E223" i="5"/>
  <c r="D223" i="5"/>
  <c r="C223" i="5"/>
  <c r="B223" i="5"/>
  <c r="A223" i="5"/>
  <c r="Y222" i="5"/>
  <c r="X222" i="5"/>
  <c r="W222" i="5"/>
  <c r="V222" i="5"/>
  <c r="G222" i="5"/>
  <c r="F222" i="5"/>
  <c r="E222" i="5"/>
  <c r="D222" i="5"/>
  <c r="C222" i="5"/>
  <c r="B222" i="5"/>
  <c r="A222" i="5"/>
  <c r="Y221" i="5"/>
  <c r="X221" i="5"/>
  <c r="W221" i="5"/>
  <c r="U221" i="5" s="1"/>
  <c r="V221" i="5"/>
  <c r="G221" i="5"/>
  <c r="F221" i="5"/>
  <c r="E221" i="5"/>
  <c r="D221" i="5"/>
  <c r="C221" i="5"/>
  <c r="B221" i="5"/>
  <c r="A221" i="5"/>
  <c r="Z220" i="5"/>
  <c r="Y220" i="5"/>
  <c r="X220" i="5"/>
  <c r="W220" i="5"/>
  <c r="V220" i="5"/>
  <c r="U220" i="5" s="1"/>
  <c r="G220" i="5"/>
  <c r="F220" i="5"/>
  <c r="E220" i="5"/>
  <c r="D220" i="5"/>
  <c r="C220" i="5"/>
  <c r="B220" i="5"/>
  <c r="A220" i="5"/>
  <c r="Y219" i="5"/>
  <c r="X219" i="5"/>
  <c r="W219" i="5"/>
  <c r="V219" i="5"/>
  <c r="U219" i="5" s="1"/>
  <c r="G219" i="5"/>
  <c r="F219" i="5"/>
  <c r="E219" i="5"/>
  <c r="D219" i="5"/>
  <c r="C219" i="5"/>
  <c r="B219" i="5"/>
  <c r="A219" i="5"/>
  <c r="Y218" i="5"/>
  <c r="X218" i="5"/>
  <c r="W218" i="5"/>
  <c r="V218" i="5"/>
  <c r="G218" i="5"/>
  <c r="F218" i="5"/>
  <c r="E218" i="5"/>
  <c r="D218" i="5"/>
  <c r="C218" i="5"/>
  <c r="B218" i="5"/>
  <c r="A218" i="5"/>
  <c r="Y217" i="5"/>
  <c r="X217" i="5"/>
  <c r="W217" i="5"/>
  <c r="V217" i="5"/>
  <c r="U217" i="5" s="1"/>
  <c r="G217" i="5"/>
  <c r="F217" i="5"/>
  <c r="E217" i="5"/>
  <c r="D217" i="5"/>
  <c r="C217" i="5"/>
  <c r="B217" i="5"/>
  <c r="A217" i="5"/>
  <c r="Y216" i="5"/>
  <c r="X216" i="5"/>
  <c r="W216" i="5"/>
  <c r="V216" i="5"/>
  <c r="U216" i="5"/>
  <c r="Z216" i="5" s="1"/>
  <c r="G216" i="5"/>
  <c r="F216" i="5"/>
  <c r="E216" i="5"/>
  <c r="D216" i="5"/>
  <c r="C216" i="5"/>
  <c r="B216" i="5"/>
  <c r="A216" i="5"/>
  <c r="Y215" i="5"/>
  <c r="X215" i="5"/>
  <c r="W215" i="5"/>
  <c r="V215" i="5"/>
  <c r="U215" i="5"/>
  <c r="G215" i="5"/>
  <c r="F215" i="5"/>
  <c r="E215" i="5"/>
  <c r="D215" i="5"/>
  <c r="C215" i="5"/>
  <c r="B215" i="5"/>
  <c r="A215" i="5"/>
  <c r="Y214" i="5"/>
  <c r="X214" i="5"/>
  <c r="W214" i="5"/>
  <c r="V214" i="5"/>
  <c r="U214" i="5"/>
  <c r="Z214" i="5" s="1"/>
  <c r="G214" i="5"/>
  <c r="F214" i="5"/>
  <c r="E214" i="5"/>
  <c r="D214" i="5"/>
  <c r="C214" i="5"/>
  <c r="B214" i="5"/>
  <c r="A214" i="5"/>
  <c r="Y213" i="5"/>
  <c r="X213" i="5"/>
  <c r="W213" i="5"/>
  <c r="V213" i="5"/>
  <c r="U213" i="5" s="1"/>
  <c r="G213" i="5"/>
  <c r="F213" i="5"/>
  <c r="E213" i="5"/>
  <c r="D213" i="5"/>
  <c r="C213" i="5"/>
  <c r="B213" i="5"/>
  <c r="A213" i="5"/>
  <c r="Y212" i="5"/>
  <c r="X212" i="5"/>
  <c r="W212" i="5"/>
  <c r="V212" i="5"/>
  <c r="U212" i="5" s="1"/>
  <c r="Z212" i="5" s="1"/>
  <c r="G212" i="5"/>
  <c r="F212" i="5"/>
  <c r="E212" i="5"/>
  <c r="D212" i="5"/>
  <c r="C212" i="5"/>
  <c r="B212" i="5"/>
  <c r="A212" i="5"/>
  <c r="Y211" i="5"/>
  <c r="X211" i="5"/>
  <c r="W211" i="5"/>
  <c r="V211" i="5"/>
  <c r="G211" i="5"/>
  <c r="F211" i="5"/>
  <c r="E211" i="5"/>
  <c r="D211" i="5"/>
  <c r="C211" i="5"/>
  <c r="B211" i="5"/>
  <c r="A211" i="5"/>
  <c r="Y210" i="5"/>
  <c r="X210" i="5"/>
  <c r="W210" i="5"/>
  <c r="V210" i="5"/>
  <c r="Z210" i="5" s="1"/>
  <c r="U210" i="5"/>
  <c r="G210" i="5"/>
  <c r="F210" i="5"/>
  <c r="E210" i="5"/>
  <c r="D210" i="5"/>
  <c r="C210" i="5"/>
  <c r="B210" i="5"/>
  <c r="A210" i="5"/>
  <c r="Y209" i="5"/>
  <c r="X209" i="5"/>
  <c r="W209" i="5"/>
  <c r="U209" i="5" s="1"/>
  <c r="Z209" i="5" s="1"/>
  <c r="V209" i="5"/>
  <c r="G209" i="5"/>
  <c r="F209" i="5"/>
  <c r="E209" i="5"/>
  <c r="D209" i="5"/>
  <c r="C209" i="5"/>
  <c r="B209" i="5"/>
  <c r="A209" i="5"/>
  <c r="Z208" i="5"/>
  <c r="Y208" i="5"/>
  <c r="X208" i="5"/>
  <c r="W208" i="5"/>
  <c r="V208" i="5"/>
  <c r="U208" i="5"/>
  <c r="G208" i="5"/>
  <c r="F208" i="5"/>
  <c r="E208" i="5"/>
  <c r="D208" i="5"/>
  <c r="C208" i="5"/>
  <c r="B208" i="5"/>
  <c r="A208" i="5"/>
  <c r="Y207" i="5"/>
  <c r="X207" i="5"/>
  <c r="W207" i="5"/>
  <c r="U207" i="5" s="1"/>
  <c r="Z207" i="5" s="1"/>
  <c r="V207" i="5"/>
  <c r="G207" i="5"/>
  <c r="F207" i="5"/>
  <c r="E207" i="5"/>
  <c r="D207" i="5"/>
  <c r="C207" i="5"/>
  <c r="B207" i="5"/>
  <c r="A207" i="5"/>
  <c r="Y206" i="5"/>
  <c r="X206" i="5"/>
  <c r="W206" i="5"/>
  <c r="V206" i="5"/>
  <c r="U206" i="5" s="1"/>
  <c r="G206" i="5"/>
  <c r="F206" i="5"/>
  <c r="E206" i="5"/>
  <c r="D206" i="5"/>
  <c r="C206" i="5"/>
  <c r="B206" i="5"/>
  <c r="A206" i="5"/>
  <c r="Y205" i="5"/>
  <c r="X205" i="5"/>
  <c r="W205" i="5"/>
  <c r="V205" i="5"/>
  <c r="U205" i="5"/>
  <c r="Z205" i="5" s="1"/>
  <c r="G205" i="5"/>
  <c r="F205" i="5"/>
  <c r="E205" i="5"/>
  <c r="D205" i="5"/>
  <c r="C205" i="5"/>
  <c r="B205" i="5"/>
  <c r="A205" i="5"/>
  <c r="Y204" i="5"/>
  <c r="X204" i="5"/>
  <c r="W204" i="5"/>
  <c r="V204" i="5"/>
  <c r="U204" i="5" s="1"/>
  <c r="G204" i="5"/>
  <c r="F204" i="5"/>
  <c r="E204" i="5"/>
  <c r="D204" i="5"/>
  <c r="C204" i="5"/>
  <c r="B204" i="5"/>
  <c r="A204" i="5"/>
  <c r="Y203" i="5"/>
  <c r="X203" i="5"/>
  <c r="W203" i="5"/>
  <c r="V203" i="5"/>
  <c r="U203" i="5"/>
  <c r="Z203" i="5" s="1"/>
  <c r="G203" i="5"/>
  <c r="F203" i="5"/>
  <c r="E203" i="5"/>
  <c r="D203" i="5"/>
  <c r="C203" i="5"/>
  <c r="B203" i="5"/>
  <c r="A203" i="5"/>
  <c r="Y202" i="5"/>
  <c r="X202" i="5"/>
  <c r="W202" i="5"/>
  <c r="V202" i="5"/>
  <c r="G202" i="5"/>
  <c r="F202" i="5"/>
  <c r="E202" i="5"/>
  <c r="D202" i="5"/>
  <c r="C202" i="5"/>
  <c r="B202" i="5"/>
  <c r="A202" i="5"/>
  <c r="Y201" i="5"/>
  <c r="X201" i="5"/>
  <c r="W201" i="5"/>
  <c r="U201" i="5" s="1"/>
  <c r="V201" i="5"/>
  <c r="G201" i="5"/>
  <c r="F201" i="5"/>
  <c r="E201" i="5"/>
  <c r="D201" i="5"/>
  <c r="C201" i="5"/>
  <c r="B201" i="5"/>
  <c r="A201" i="5"/>
  <c r="Y200" i="5"/>
  <c r="X200" i="5"/>
  <c r="W200" i="5"/>
  <c r="V200" i="5"/>
  <c r="G200" i="5"/>
  <c r="F200" i="5"/>
  <c r="E200" i="5"/>
  <c r="D200" i="5"/>
  <c r="C200" i="5"/>
  <c r="B200" i="5"/>
  <c r="A200" i="5"/>
  <c r="Y199" i="5"/>
  <c r="X199" i="5"/>
  <c r="W199" i="5"/>
  <c r="V199" i="5"/>
  <c r="U199" i="5"/>
  <c r="G199" i="5"/>
  <c r="F199" i="5"/>
  <c r="E199" i="5"/>
  <c r="D199" i="5"/>
  <c r="C199" i="5"/>
  <c r="B199" i="5"/>
  <c r="A199" i="5"/>
  <c r="Y198" i="5"/>
  <c r="X198" i="5"/>
  <c r="W198" i="5"/>
  <c r="V198" i="5"/>
  <c r="U198" i="5" s="1"/>
  <c r="G198" i="5"/>
  <c r="F198" i="5"/>
  <c r="E198" i="5"/>
  <c r="D198" i="5"/>
  <c r="C198" i="5"/>
  <c r="B198" i="5"/>
  <c r="A198" i="5"/>
  <c r="Y197" i="5"/>
  <c r="X197" i="5"/>
  <c r="W197" i="5"/>
  <c r="V197" i="5"/>
  <c r="U197" i="5" s="1"/>
  <c r="G197" i="5"/>
  <c r="F197" i="5"/>
  <c r="E197" i="5"/>
  <c r="D197" i="5"/>
  <c r="C197" i="5"/>
  <c r="B197" i="5"/>
  <c r="A197" i="5"/>
  <c r="Y196" i="5"/>
  <c r="X196" i="5"/>
  <c r="W196" i="5"/>
  <c r="V196" i="5"/>
  <c r="U196" i="5" s="1"/>
  <c r="Z196" i="5" s="1"/>
  <c r="G196" i="5"/>
  <c r="F196" i="5"/>
  <c r="E196" i="5"/>
  <c r="D196" i="5"/>
  <c r="C196" i="5"/>
  <c r="B196" i="5"/>
  <c r="A196" i="5"/>
  <c r="Y195" i="5"/>
  <c r="X195" i="5"/>
  <c r="W195" i="5"/>
  <c r="U195" i="5" s="1"/>
  <c r="V195" i="5"/>
  <c r="G195" i="5"/>
  <c r="F195" i="5"/>
  <c r="E195" i="5"/>
  <c r="D195" i="5"/>
  <c r="C195" i="5"/>
  <c r="B195" i="5"/>
  <c r="A195" i="5"/>
  <c r="Y194" i="5"/>
  <c r="X194" i="5"/>
  <c r="W194" i="5"/>
  <c r="V194" i="5"/>
  <c r="G194" i="5"/>
  <c r="F194" i="5"/>
  <c r="E194" i="5"/>
  <c r="D194" i="5"/>
  <c r="C194" i="5"/>
  <c r="B194" i="5"/>
  <c r="A194" i="5"/>
  <c r="Y193" i="5"/>
  <c r="X193" i="5"/>
  <c r="W193" i="5"/>
  <c r="V193" i="5"/>
  <c r="U193" i="5" s="1"/>
  <c r="G193" i="5"/>
  <c r="F193" i="5"/>
  <c r="E193" i="5"/>
  <c r="D193" i="5"/>
  <c r="C193" i="5"/>
  <c r="B193" i="5"/>
  <c r="A193" i="5"/>
  <c r="Y192" i="5"/>
  <c r="X192" i="5"/>
  <c r="W192" i="5"/>
  <c r="V192" i="5"/>
  <c r="U192" i="5"/>
  <c r="Z192" i="5" s="1"/>
  <c r="G192" i="5"/>
  <c r="F192" i="5"/>
  <c r="E192" i="5"/>
  <c r="D192" i="5"/>
  <c r="C192" i="5"/>
  <c r="B192" i="5"/>
  <c r="A192" i="5"/>
  <c r="Y191" i="5"/>
  <c r="X191" i="5"/>
  <c r="W191" i="5"/>
  <c r="V191" i="5"/>
  <c r="Z191" i="5" s="1"/>
  <c r="U191" i="5"/>
  <c r="G191" i="5"/>
  <c r="F191" i="5"/>
  <c r="E191" i="5"/>
  <c r="D191" i="5"/>
  <c r="C191" i="5"/>
  <c r="B191" i="5"/>
  <c r="A191" i="5"/>
  <c r="Y190" i="5"/>
  <c r="X190" i="5"/>
  <c r="W190" i="5"/>
  <c r="V190" i="5"/>
  <c r="Z190" i="5" s="1"/>
  <c r="U190" i="5"/>
  <c r="G190" i="5"/>
  <c r="F190" i="5"/>
  <c r="E190" i="5"/>
  <c r="D190" i="5"/>
  <c r="C190" i="5"/>
  <c r="B190" i="5"/>
  <c r="A190" i="5"/>
  <c r="Y189" i="5"/>
  <c r="X189" i="5"/>
  <c r="W189" i="5"/>
  <c r="U189" i="5" s="1"/>
  <c r="Z189" i="5" s="1"/>
  <c r="V189" i="5"/>
  <c r="G189" i="5"/>
  <c r="F189" i="5"/>
  <c r="E189" i="5"/>
  <c r="D189" i="5"/>
  <c r="C189" i="5"/>
  <c r="B189" i="5"/>
  <c r="A189" i="5"/>
  <c r="Z188" i="5"/>
  <c r="Y188" i="5"/>
  <c r="X188" i="5"/>
  <c r="W188" i="5"/>
  <c r="V188" i="5"/>
  <c r="U188" i="5"/>
  <c r="G188" i="5"/>
  <c r="F188" i="5"/>
  <c r="E188" i="5"/>
  <c r="D188" i="5"/>
  <c r="C188" i="5"/>
  <c r="B188" i="5"/>
  <c r="A188" i="5"/>
  <c r="Y187" i="5"/>
  <c r="X187" i="5"/>
  <c r="W187" i="5"/>
  <c r="V187" i="5"/>
  <c r="U187" i="5"/>
  <c r="Z187" i="5" s="1"/>
  <c r="G187" i="5"/>
  <c r="F187" i="5"/>
  <c r="E187" i="5"/>
  <c r="D187" i="5"/>
  <c r="C187" i="5"/>
  <c r="B187" i="5"/>
  <c r="A187" i="5"/>
  <c r="Y186" i="5"/>
  <c r="X186" i="5"/>
  <c r="W186" i="5"/>
  <c r="V186" i="5"/>
  <c r="G186" i="5"/>
  <c r="F186" i="5"/>
  <c r="E186" i="5"/>
  <c r="D186" i="5"/>
  <c r="C186" i="5"/>
  <c r="B186" i="5"/>
  <c r="A186" i="5"/>
  <c r="Y185" i="5"/>
  <c r="X185" i="5"/>
  <c r="W185" i="5"/>
  <c r="U185" i="5" s="1"/>
  <c r="Z185" i="5" s="1"/>
  <c r="V185" i="5"/>
  <c r="G185" i="5"/>
  <c r="F185" i="5"/>
  <c r="E185" i="5"/>
  <c r="D185" i="5"/>
  <c r="C185" i="5"/>
  <c r="B185" i="5"/>
  <c r="A185" i="5"/>
  <c r="Y184" i="5"/>
  <c r="X184" i="5"/>
  <c r="W184" i="5"/>
  <c r="V184" i="5"/>
  <c r="G184" i="5"/>
  <c r="F184" i="5"/>
  <c r="E184" i="5"/>
  <c r="D184" i="5"/>
  <c r="C184" i="5"/>
  <c r="B184" i="5"/>
  <c r="A184" i="5"/>
  <c r="Y183" i="5"/>
  <c r="X183" i="5"/>
  <c r="W183" i="5"/>
  <c r="U183" i="5" s="1"/>
  <c r="Z183" i="5" s="1"/>
  <c r="V183" i="5"/>
  <c r="G183" i="5"/>
  <c r="F183" i="5"/>
  <c r="E183" i="5"/>
  <c r="D183" i="5"/>
  <c r="C183" i="5"/>
  <c r="B183" i="5"/>
  <c r="A183" i="5"/>
  <c r="Y182" i="5"/>
  <c r="X182" i="5"/>
  <c r="W182" i="5"/>
  <c r="V182" i="5"/>
  <c r="G182" i="5"/>
  <c r="F182" i="5"/>
  <c r="E182" i="5"/>
  <c r="D182" i="5"/>
  <c r="C182" i="5"/>
  <c r="B182" i="5"/>
  <c r="A182" i="5"/>
  <c r="Y181" i="5"/>
  <c r="X181" i="5"/>
  <c r="W181" i="5"/>
  <c r="U181" i="5" s="1"/>
  <c r="V181" i="5"/>
  <c r="G181" i="5"/>
  <c r="F181" i="5"/>
  <c r="E181" i="5"/>
  <c r="D181" i="5"/>
  <c r="C181" i="5"/>
  <c r="B181" i="5"/>
  <c r="A181" i="5"/>
  <c r="Z180" i="5"/>
  <c r="Y180" i="5"/>
  <c r="X180" i="5"/>
  <c r="W180" i="5"/>
  <c r="V180" i="5"/>
  <c r="U180" i="5" s="1"/>
  <c r="G180" i="5"/>
  <c r="F180" i="5"/>
  <c r="E180" i="5"/>
  <c r="D180" i="5"/>
  <c r="C180" i="5"/>
  <c r="B180" i="5"/>
  <c r="A180" i="5"/>
  <c r="Y179" i="5"/>
  <c r="X179" i="5"/>
  <c r="W179" i="5"/>
  <c r="V179" i="5"/>
  <c r="U179" i="5" s="1"/>
  <c r="G179" i="5"/>
  <c r="F179" i="5"/>
  <c r="E179" i="5"/>
  <c r="D179" i="5"/>
  <c r="C179" i="5"/>
  <c r="B179" i="5"/>
  <c r="A179" i="5"/>
  <c r="Y178" i="5"/>
  <c r="X178" i="5"/>
  <c r="W178" i="5"/>
  <c r="V178" i="5"/>
  <c r="G178" i="5"/>
  <c r="F178" i="5"/>
  <c r="E178" i="5"/>
  <c r="D178" i="5"/>
  <c r="C178" i="5"/>
  <c r="B178" i="5"/>
  <c r="A178" i="5"/>
  <c r="Y177" i="5"/>
  <c r="X177" i="5"/>
  <c r="W177" i="5"/>
  <c r="V177" i="5"/>
  <c r="U177" i="5" s="1"/>
  <c r="G177" i="5"/>
  <c r="F177" i="5"/>
  <c r="E177" i="5"/>
  <c r="D177" i="5"/>
  <c r="C177" i="5"/>
  <c r="B177" i="5"/>
  <c r="A177" i="5"/>
  <c r="Y176" i="5"/>
  <c r="X176" i="5"/>
  <c r="W176" i="5"/>
  <c r="V176" i="5"/>
  <c r="U176" i="5"/>
  <c r="Z176" i="5" s="1"/>
  <c r="G176" i="5"/>
  <c r="F176" i="5"/>
  <c r="E176" i="5"/>
  <c r="D176" i="5"/>
  <c r="C176" i="5"/>
  <c r="B176" i="5"/>
  <c r="A176" i="5"/>
  <c r="Y175" i="5"/>
  <c r="X175" i="5"/>
  <c r="W175" i="5"/>
  <c r="V175" i="5"/>
  <c r="U175" i="5"/>
  <c r="G175" i="5"/>
  <c r="F175" i="5"/>
  <c r="E175" i="5"/>
  <c r="D175" i="5"/>
  <c r="C175" i="5"/>
  <c r="B175" i="5"/>
  <c r="A175" i="5"/>
  <c r="Y174" i="5"/>
  <c r="X174" i="5"/>
  <c r="W174" i="5"/>
  <c r="V174" i="5"/>
  <c r="U174" i="5"/>
  <c r="Z174" i="5" s="1"/>
  <c r="G174" i="5"/>
  <c r="F174" i="5"/>
  <c r="E174" i="5"/>
  <c r="D174" i="5"/>
  <c r="C174" i="5"/>
  <c r="B174" i="5"/>
  <c r="A174" i="5"/>
  <c r="Y173" i="5"/>
  <c r="X173" i="5"/>
  <c r="W173" i="5"/>
  <c r="V173" i="5"/>
  <c r="U173" i="5" s="1"/>
  <c r="G173" i="5"/>
  <c r="F173" i="5"/>
  <c r="E173" i="5"/>
  <c r="D173" i="5"/>
  <c r="C173" i="5"/>
  <c r="B173" i="5"/>
  <c r="A173" i="5"/>
  <c r="Y172" i="5"/>
  <c r="X172" i="5"/>
  <c r="W172" i="5"/>
  <c r="V172" i="5"/>
  <c r="U172" i="5" s="1"/>
  <c r="Z172" i="5" s="1"/>
  <c r="G172" i="5"/>
  <c r="F172" i="5"/>
  <c r="E172" i="5"/>
  <c r="D172" i="5"/>
  <c r="C172" i="5"/>
  <c r="B172" i="5"/>
  <c r="A172" i="5"/>
  <c r="Y171" i="5"/>
  <c r="X171" i="5"/>
  <c r="W171" i="5"/>
  <c r="V171" i="5"/>
  <c r="G171" i="5"/>
  <c r="F171" i="5"/>
  <c r="E171" i="5"/>
  <c r="D171" i="5"/>
  <c r="C171" i="5"/>
  <c r="B171" i="5"/>
  <c r="A171" i="5"/>
  <c r="Y170" i="5"/>
  <c r="X170" i="5"/>
  <c r="W170" i="5"/>
  <c r="V170" i="5"/>
  <c r="Z170" i="5" s="1"/>
  <c r="U170" i="5"/>
  <c r="G170" i="5"/>
  <c r="F170" i="5"/>
  <c r="E170" i="5"/>
  <c r="D170" i="5"/>
  <c r="C170" i="5"/>
  <c r="B170" i="5"/>
  <c r="A170" i="5"/>
  <c r="Y169" i="5"/>
  <c r="X169" i="5"/>
  <c r="W169" i="5"/>
  <c r="U169" i="5" s="1"/>
  <c r="Z169" i="5" s="1"/>
  <c r="V169" i="5"/>
  <c r="G169" i="5"/>
  <c r="F169" i="5"/>
  <c r="E169" i="5"/>
  <c r="D169" i="5"/>
  <c r="C169" i="5"/>
  <c r="B169" i="5"/>
  <c r="A169" i="5"/>
  <c r="Y168" i="5"/>
  <c r="X168" i="5"/>
  <c r="U168" i="5" s="1"/>
  <c r="Z168" i="5" s="1"/>
  <c r="W168" i="5"/>
  <c r="V168" i="5"/>
  <c r="G168" i="5"/>
  <c r="F168" i="5"/>
  <c r="E168" i="5"/>
  <c r="D168" i="5"/>
  <c r="C168" i="5"/>
  <c r="B168" i="5"/>
  <c r="A168" i="5"/>
  <c r="Y167" i="5"/>
  <c r="X167" i="5"/>
  <c r="W167" i="5"/>
  <c r="U167" i="5" s="1"/>
  <c r="Z167" i="5" s="1"/>
  <c r="V167" i="5"/>
  <c r="G167" i="5"/>
  <c r="F167" i="5"/>
  <c r="E167" i="5"/>
  <c r="D167" i="5"/>
  <c r="C167" i="5"/>
  <c r="B167" i="5"/>
  <c r="A167" i="5"/>
  <c r="Y166" i="5"/>
  <c r="X166" i="5"/>
  <c r="W166" i="5"/>
  <c r="V166" i="5"/>
  <c r="U166" i="5" s="1"/>
  <c r="G166" i="5"/>
  <c r="F166" i="5"/>
  <c r="E166" i="5"/>
  <c r="D166" i="5"/>
  <c r="C166" i="5"/>
  <c r="B166" i="5"/>
  <c r="A166" i="5"/>
  <c r="Y165" i="5"/>
  <c r="X165" i="5"/>
  <c r="W165" i="5"/>
  <c r="V165" i="5"/>
  <c r="U165" i="5"/>
  <c r="Z165" i="5" s="1"/>
  <c r="G165" i="5"/>
  <c r="F165" i="5"/>
  <c r="E165" i="5"/>
  <c r="D165" i="5"/>
  <c r="C165" i="5"/>
  <c r="B165" i="5"/>
  <c r="A165" i="5"/>
  <c r="Y164" i="5"/>
  <c r="X164" i="5"/>
  <c r="W164" i="5"/>
  <c r="V164" i="5"/>
  <c r="U164" i="5" s="1"/>
  <c r="G164" i="5"/>
  <c r="F164" i="5"/>
  <c r="E164" i="5"/>
  <c r="D164" i="5"/>
  <c r="C164" i="5"/>
  <c r="B164" i="5"/>
  <c r="A164" i="5"/>
  <c r="Y163" i="5"/>
  <c r="X163" i="5"/>
  <c r="W163" i="5"/>
  <c r="V163" i="5"/>
  <c r="U163" i="5"/>
  <c r="Z163" i="5" s="1"/>
  <c r="G163" i="5"/>
  <c r="F163" i="5"/>
  <c r="E163" i="5"/>
  <c r="D163" i="5"/>
  <c r="C163" i="5"/>
  <c r="B163" i="5"/>
  <c r="A163" i="5"/>
  <c r="Y162" i="5"/>
  <c r="X162" i="5"/>
  <c r="W162" i="5"/>
  <c r="V162" i="5"/>
  <c r="G162" i="5"/>
  <c r="F162" i="5"/>
  <c r="E162" i="5"/>
  <c r="D162" i="5"/>
  <c r="C162" i="5"/>
  <c r="B162" i="5"/>
  <c r="A162" i="5"/>
  <c r="Y161" i="5"/>
  <c r="X161" i="5"/>
  <c r="W161" i="5"/>
  <c r="U161" i="5" s="1"/>
  <c r="V161" i="5"/>
  <c r="G161" i="5"/>
  <c r="F161" i="5"/>
  <c r="E161" i="5"/>
  <c r="D161" i="5"/>
  <c r="C161" i="5"/>
  <c r="B161" i="5"/>
  <c r="A161" i="5"/>
  <c r="Y160" i="5"/>
  <c r="X160" i="5"/>
  <c r="W160" i="5"/>
  <c r="V160" i="5"/>
  <c r="G160" i="5"/>
  <c r="F160" i="5"/>
  <c r="E160" i="5"/>
  <c r="D160" i="5"/>
  <c r="C160" i="5"/>
  <c r="B160" i="5"/>
  <c r="A160" i="5"/>
  <c r="Y159" i="5"/>
  <c r="X159" i="5"/>
  <c r="W159" i="5"/>
  <c r="V159" i="5"/>
  <c r="U159" i="5"/>
  <c r="G159" i="5"/>
  <c r="F159" i="5"/>
  <c r="E159" i="5"/>
  <c r="D159" i="5"/>
  <c r="C159" i="5"/>
  <c r="B159" i="5"/>
  <c r="A159" i="5"/>
  <c r="Y158" i="5"/>
  <c r="X158" i="5"/>
  <c r="W158" i="5"/>
  <c r="V158" i="5"/>
  <c r="U158" i="5" s="1"/>
  <c r="G158" i="5"/>
  <c r="F158" i="5"/>
  <c r="E158" i="5"/>
  <c r="D158" i="5"/>
  <c r="C158" i="5"/>
  <c r="B158" i="5"/>
  <c r="A158" i="5"/>
  <c r="Y157" i="5"/>
  <c r="X157" i="5"/>
  <c r="W157" i="5"/>
  <c r="V157" i="5"/>
  <c r="U157" i="5" s="1"/>
  <c r="G157" i="5"/>
  <c r="F157" i="5"/>
  <c r="E157" i="5"/>
  <c r="D157" i="5"/>
  <c r="C157" i="5"/>
  <c r="B157" i="5"/>
  <c r="A157" i="5"/>
  <c r="Y156" i="5"/>
  <c r="X156" i="5"/>
  <c r="W156" i="5"/>
  <c r="V156" i="5"/>
  <c r="U156" i="5" s="1"/>
  <c r="Z156" i="5" s="1"/>
  <c r="G156" i="5"/>
  <c r="F156" i="5"/>
  <c r="E156" i="5"/>
  <c r="D156" i="5"/>
  <c r="C156" i="5"/>
  <c r="B156" i="5"/>
  <c r="A156" i="5"/>
  <c r="Y155" i="5"/>
  <c r="X155" i="5"/>
  <c r="W155" i="5"/>
  <c r="U155" i="5" s="1"/>
  <c r="V155" i="5"/>
  <c r="G155" i="5"/>
  <c r="F155" i="5"/>
  <c r="E155" i="5"/>
  <c r="D155" i="5"/>
  <c r="C155" i="5"/>
  <c r="B155" i="5"/>
  <c r="A155" i="5"/>
  <c r="Y154" i="5"/>
  <c r="X154" i="5"/>
  <c r="W154" i="5"/>
  <c r="V154" i="5"/>
  <c r="G154" i="5"/>
  <c r="F154" i="5"/>
  <c r="E154" i="5"/>
  <c r="D154" i="5"/>
  <c r="C154" i="5"/>
  <c r="B154" i="5"/>
  <c r="A154" i="5"/>
  <c r="Y153" i="5"/>
  <c r="X153" i="5"/>
  <c r="W153" i="5"/>
  <c r="V153" i="5"/>
  <c r="U153" i="5" s="1"/>
  <c r="G153" i="5"/>
  <c r="F153" i="5"/>
  <c r="E153" i="5"/>
  <c r="D153" i="5"/>
  <c r="C153" i="5"/>
  <c r="B153" i="5"/>
  <c r="A153" i="5"/>
  <c r="Y152" i="5"/>
  <c r="X152" i="5"/>
  <c r="W152" i="5"/>
  <c r="V152" i="5"/>
  <c r="U152" i="5"/>
  <c r="Z152" i="5" s="1"/>
  <c r="G152" i="5"/>
  <c r="F152" i="5"/>
  <c r="E152" i="5"/>
  <c r="D152" i="5"/>
  <c r="C152" i="5"/>
  <c r="B152" i="5"/>
  <c r="A152" i="5"/>
  <c r="Y151" i="5"/>
  <c r="X151" i="5"/>
  <c r="W151" i="5"/>
  <c r="V151" i="5"/>
  <c r="Z151" i="5" s="1"/>
  <c r="U151" i="5"/>
  <c r="G151" i="5"/>
  <c r="F151" i="5"/>
  <c r="E151" i="5"/>
  <c r="D151" i="5"/>
  <c r="C151" i="5"/>
  <c r="B151" i="5"/>
  <c r="A151" i="5"/>
  <c r="Y150" i="5"/>
  <c r="X150" i="5"/>
  <c r="W150" i="5"/>
  <c r="V150" i="5"/>
  <c r="Z150" i="5" s="1"/>
  <c r="U150" i="5"/>
  <c r="G150" i="5"/>
  <c r="F150" i="5"/>
  <c r="E150" i="5"/>
  <c r="D150" i="5"/>
  <c r="C150" i="5"/>
  <c r="B150" i="5"/>
  <c r="A150" i="5"/>
  <c r="Y149" i="5"/>
  <c r="X149" i="5"/>
  <c r="W149" i="5"/>
  <c r="U149" i="5" s="1"/>
  <c r="Z149" i="5" s="1"/>
  <c r="V149" i="5"/>
  <c r="G149" i="5"/>
  <c r="F149" i="5"/>
  <c r="E149" i="5"/>
  <c r="D149" i="5"/>
  <c r="C149" i="5"/>
  <c r="B149" i="5"/>
  <c r="A149" i="5"/>
  <c r="Z148" i="5"/>
  <c r="Y148" i="5"/>
  <c r="X148" i="5"/>
  <c r="W148" i="5"/>
  <c r="V148" i="5"/>
  <c r="U148" i="5"/>
  <c r="G148" i="5"/>
  <c r="F148" i="5"/>
  <c r="E148" i="5"/>
  <c r="D148" i="5"/>
  <c r="C148" i="5"/>
  <c r="B148" i="5"/>
  <c r="A148" i="5"/>
  <c r="Y147" i="5"/>
  <c r="X147" i="5"/>
  <c r="W147" i="5"/>
  <c r="V147" i="5"/>
  <c r="U147" i="5"/>
  <c r="Z147" i="5" s="1"/>
  <c r="G147" i="5"/>
  <c r="F147" i="5"/>
  <c r="E147" i="5"/>
  <c r="D147" i="5"/>
  <c r="C147" i="5"/>
  <c r="B147" i="5"/>
  <c r="A147" i="5"/>
  <c r="Y146" i="5"/>
  <c r="X146" i="5"/>
  <c r="W146" i="5"/>
  <c r="V146" i="5"/>
  <c r="G146" i="5"/>
  <c r="F146" i="5"/>
  <c r="E146" i="5"/>
  <c r="D146" i="5"/>
  <c r="C146" i="5"/>
  <c r="B146" i="5"/>
  <c r="A146" i="5"/>
  <c r="Y145" i="5"/>
  <c r="X145" i="5"/>
  <c r="W145" i="5"/>
  <c r="U145" i="5" s="1"/>
  <c r="Z145" i="5" s="1"/>
  <c r="V145" i="5"/>
  <c r="G145" i="5"/>
  <c r="F145" i="5"/>
  <c r="E145" i="5"/>
  <c r="D145" i="5"/>
  <c r="C145" i="5"/>
  <c r="B145" i="5"/>
  <c r="A145" i="5"/>
  <c r="Y144" i="5"/>
  <c r="X144" i="5"/>
  <c r="W144" i="5"/>
  <c r="V144" i="5"/>
  <c r="G144" i="5"/>
  <c r="F144" i="5"/>
  <c r="E144" i="5"/>
  <c r="D144" i="5"/>
  <c r="C144" i="5"/>
  <c r="B144" i="5"/>
  <c r="A144" i="5"/>
  <c r="Y143" i="5"/>
  <c r="X143" i="5"/>
  <c r="W143" i="5"/>
  <c r="U143" i="5" s="1"/>
  <c r="Z143" i="5" s="1"/>
  <c r="V143" i="5"/>
  <c r="G143" i="5"/>
  <c r="F143" i="5"/>
  <c r="E143" i="5"/>
  <c r="D143" i="5"/>
  <c r="C143" i="5"/>
  <c r="B143" i="5"/>
  <c r="A143" i="5"/>
  <c r="Y142" i="5"/>
  <c r="X142" i="5"/>
  <c r="W142" i="5"/>
  <c r="V142" i="5"/>
  <c r="G142" i="5"/>
  <c r="F142" i="5"/>
  <c r="E142" i="5"/>
  <c r="D142" i="5"/>
  <c r="C142" i="5"/>
  <c r="B142" i="5"/>
  <c r="A142" i="5"/>
  <c r="Y141" i="5"/>
  <c r="X141" i="5"/>
  <c r="W141" i="5"/>
  <c r="U141" i="5" s="1"/>
  <c r="V141" i="5"/>
  <c r="G141" i="5"/>
  <c r="F141" i="5"/>
  <c r="E141" i="5"/>
  <c r="D141" i="5"/>
  <c r="C141" i="5"/>
  <c r="B141" i="5"/>
  <c r="A141" i="5"/>
  <c r="Z140" i="5"/>
  <c r="Y140" i="5"/>
  <c r="X140" i="5"/>
  <c r="W140" i="5"/>
  <c r="V140" i="5"/>
  <c r="U140" i="5" s="1"/>
  <c r="G140" i="5"/>
  <c r="F140" i="5"/>
  <c r="E140" i="5"/>
  <c r="D140" i="5"/>
  <c r="C140" i="5"/>
  <c r="B140" i="5"/>
  <c r="A140" i="5"/>
  <c r="Y139" i="5"/>
  <c r="X139" i="5"/>
  <c r="W139" i="5"/>
  <c r="V139" i="5"/>
  <c r="U139" i="5" s="1"/>
  <c r="G139" i="5"/>
  <c r="F139" i="5"/>
  <c r="E139" i="5"/>
  <c r="D139" i="5"/>
  <c r="C139" i="5"/>
  <c r="B139" i="5"/>
  <c r="A139" i="5"/>
  <c r="Y138" i="5"/>
  <c r="X138" i="5"/>
  <c r="W138" i="5"/>
  <c r="V138" i="5"/>
  <c r="G138" i="5"/>
  <c r="F138" i="5"/>
  <c r="E138" i="5"/>
  <c r="D138" i="5"/>
  <c r="C138" i="5"/>
  <c r="B138" i="5"/>
  <c r="A138" i="5"/>
  <c r="Y137" i="5"/>
  <c r="X137" i="5"/>
  <c r="W137" i="5"/>
  <c r="V137" i="5"/>
  <c r="U137" i="5" s="1"/>
  <c r="G137" i="5"/>
  <c r="F137" i="5"/>
  <c r="E137" i="5"/>
  <c r="D137" i="5"/>
  <c r="C137" i="5"/>
  <c r="B137" i="5"/>
  <c r="A137" i="5"/>
  <c r="Y136" i="5"/>
  <c r="X136" i="5"/>
  <c r="W136" i="5"/>
  <c r="V136" i="5"/>
  <c r="U136" i="5"/>
  <c r="Z136" i="5" s="1"/>
  <c r="G136" i="5"/>
  <c r="F136" i="5"/>
  <c r="E136" i="5"/>
  <c r="D136" i="5"/>
  <c r="C136" i="5"/>
  <c r="B136" i="5"/>
  <c r="A136" i="5"/>
  <c r="Y135" i="5"/>
  <c r="X135" i="5"/>
  <c r="W135" i="5"/>
  <c r="V135" i="5"/>
  <c r="U135" i="5"/>
  <c r="G135" i="5"/>
  <c r="F135" i="5"/>
  <c r="E135" i="5"/>
  <c r="D135" i="5"/>
  <c r="C135" i="5"/>
  <c r="B135" i="5"/>
  <c r="A135" i="5"/>
  <c r="Y134" i="5"/>
  <c r="X134" i="5"/>
  <c r="W134" i="5"/>
  <c r="V134" i="5"/>
  <c r="U134" i="5"/>
  <c r="Z134" i="5" s="1"/>
  <c r="G134" i="5"/>
  <c r="F134" i="5"/>
  <c r="E134" i="5"/>
  <c r="D134" i="5"/>
  <c r="C134" i="5"/>
  <c r="B134" i="5"/>
  <c r="A134" i="5"/>
  <c r="Y133" i="5"/>
  <c r="X133" i="5"/>
  <c r="W133" i="5"/>
  <c r="V133" i="5"/>
  <c r="U133" i="5" s="1"/>
  <c r="G133" i="5"/>
  <c r="F133" i="5"/>
  <c r="E133" i="5"/>
  <c r="D133" i="5"/>
  <c r="C133" i="5"/>
  <c r="B133" i="5"/>
  <c r="A133" i="5"/>
  <c r="Y132" i="5"/>
  <c r="X132" i="5"/>
  <c r="W132" i="5"/>
  <c r="V132" i="5"/>
  <c r="U132" i="5" s="1"/>
  <c r="Z132" i="5" s="1"/>
  <c r="G132" i="5"/>
  <c r="F132" i="5"/>
  <c r="E132" i="5"/>
  <c r="D132" i="5"/>
  <c r="C132" i="5"/>
  <c r="B132" i="5"/>
  <c r="A132" i="5"/>
  <c r="Y131" i="5"/>
  <c r="X131" i="5"/>
  <c r="W131" i="5"/>
  <c r="V131" i="5"/>
  <c r="G131" i="5"/>
  <c r="F131" i="5"/>
  <c r="E131" i="5"/>
  <c r="D131" i="5"/>
  <c r="C131" i="5"/>
  <c r="B131" i="5"/>
  <c r="A131" i="5"/>
  <c r="Y130" i="5"/>
  <c r="X130" i="5"/>
  <c r="W130" i="5"/>
  <c r="V130" i="5"/>
  <c r="Z130" i="5" s="1"/>
  <c r="U130" i="5"/>
  <c r="G130" i="5"/>
  <c r="F130" i="5"/>
  <c r="E130" i="5"/>
  <c r="D130" i="5"/>
  <c r="C130" i="5"/>
  <c r="B130" i="5"/>
  <c r="A130" i="5"/>
  <c r="Y129" i="5"/>
  <c r="X129" i="5"/>
  <c r="W129" i="5"/>
  <c r="U129" i="5" s="1"/>
  <c r="Z129" i="5" s="1"/>
  <c r="V129" i="5"/>
  <c r="G129" i="5"/>
  <c r="F129" i="5"/>
  <c r="E129" i="5"/>
  <c r="D129" i="5"/>
  <c r="C129" i="5"/>
  <c r="B129" i="5"/>
  <c r="A129" i="5"/>
  <c r="Y128" i="5"/>
  <c r="X128" i="5"/>
  <c r="U128" i="5" s="1"/>
  <c r="Z128" i="5" s="1"/>
  <c r="W128" i="5"/>
  <c r="V128" i="5"/>
  <c r="G128" i="5"/>
  <c r="F128" i="5"/>
  <c r="E128" i="5"/>
  <c r="D128" i="5"/>
  <c r="C128" i="5"/>
  <c r="B128" i="5"/>
  <c r="A128" i="5"/>
  <c r="Y127" i="5"/>
  <c r="X127" i="5"/>
  <c r="W127" i="5"/>
  <c r="U127" i="5" s="1"/>
  <c r="Z127" i="5" s="1"/>
  <c r="V127" i="5"/>
  <c r="G127" i="5"/>
  <c r="F127" i="5"/>
  <c r="E127" i="5"/>
  <c r="D127" i="5"/>
  <c r="C127" i="5"/>
  <c r="B127" i="5"/>
  <c r="A127" i="5"/>
  <c r="Y126" i="5"/>
  <c r="X126" i="5"/>
  <c r="W126" i="5"/>
  <c r="V126" i="5"/>
  <c r="U126" i="5" s="1"/>
  <c r="G126" i="5"/>
  <c r="F126" i="5"/>
  <c r="E126" i="5"/>
  <c r="D126" i="5"/>
  <c r="C126" i="5"/>
  <c r="B126" i="5"/>
  <c r="A126" i="5"/>
  <c r="Y125" i="5"/>
  <c r="X125" i="5"/>
  <c r="W125" i="5"/>
  <c r="V125" i="5"/>
  <c r="U125" i="5"/>
  <c r="Z125" i="5" s="1"/>
  <c r="G125" i="5"/>
  <c r="F125" i="5"/>
  <c r="E125" i="5"/>
  <c r="D125" i="5"/>
  <c r="C125" i="5"/>
  <c r="B125" i="5"/>
  <c r="A125" i="5"/>
  <c r="Y124" i="5"/>
  <c r="X124" i="5"/>
  <c r="W124" i="5"/>
  <c r="V124" i="5"/>
  <c r="Z124" i="5" s="1"/>
  <c r="U124" i="5"/>
  <c r="G124" i="5"/>
  <c r="F124" i="5"/>
  <c r="E124" i="5"/>
  <c r="D124" i="5"/>
  <c r="C124" i="5"/>
  <c r="B124" i="5"/>
  <c r="A124" i="5"/>
  <c r="Y123" i="5"/>
  <c r="X123" i="5"/>
  <c r="W123" i="5"/>
  <c r="V123" i="5"/>
  <c r="Z123" i="5" s="1"/>
  <c r="U123" i="5"/>
  <c r="G123" i="5"/>
  <c r="F123" i="5"/>
  <c r="E123" i="5"/>
  <c r="D123" i="5"/>
  <c r="C123" i="5"/>
  <c r="B123" i="5"/>
  <c r="A123" i="5"/>
  <c r="Y122" i="5"/>
  <c r="X122" i="5"/>
  <c r="W122" i="5"/>
  <c r="U122" i="5" s="1"/>
  <c r="Z122" i="5" s="1"/>
  <c r="V122" i="5"/>
  <c r="G122" i="5"/>
  <c r="F122" i="5"/>
  <c r="E122" i="5"/>
  <c r="D122" i="5"/>
  <c r="C122" i="5"/>
  <c r="B122" i="5"/>
  <c r="A122" i="5"/>
  <c r="Z121" i="5"/>
  <c r="Y121" i="5"/>
  <c r="X121" i="5"/>
  <c r="W121" i="5"/>
  <c r="V121" i="5"/>
  <c r="U121" i="5"/>
  <c r="G121" i="5"/>
  <c r="F121" i="5"/>
  <c r="E121" i="5"/>
  <c r="D121" i="5"/>
  <c r="C121" i="5"/>
  <c r="B121" i="5"/>
  <c r="A121" i="5"/>
  <c r="Y120" i="5"/>
  <c r="X120" i="5"/>
  <c r="W120" i="5"/>
  <c r="V120" i="5"/>
  <c r="U120" i="5"/>
  <c r="Z120" i="5" s="1"/>
  <c r="G120" i="5"/>
  <c r="F120" i="5"/>
  <c r="E120" i="5"/>
  <c r="D120" i="5"/>
  <c r="C120" i="5"/>
  <c r="B120" i="5"/>
  <c r="A120" i="5"/>
  <c r="Y119" i="5"/>
  <c r="X119" i="5"/>
  <c r="W119" i="5"/>
  <c r="V119" i="5"/>
  <c r="U119" i="5" s="1"/>
  <c r="Z119" i="5" s="1"/>
  <c r="G119" i="5"/>
  <c r="F119" i="5"/>
  <c r="E119" i="5"/>
  <c r="D119" i="5"/>
  <c r="C119" i="5"/>
  <c r="B119" i="5"/>
  <c r="A119" i="5"/>
  <c r="Z118" i="5"/>
  <c r="Y118" i="5"/>
  <c r="X118" i="5"/>
  <c r="W118" i="5"/>
  <c r="V118" i="5"/>
  <c r="U118" i="5"/>
  <c r="G118" i="5"/>
  <c r="F118" i="5"/>
  <c r="E118" i="5"/>
  <c r="D118" i="5"/>
  <c r="C118" i="5"/>
  <c r="B118" i="5"/>
  <c r="A118" i="5"/>
  <c r="Y117" i="5"/>
  <c r="X117" i="5"/>
  <c r="W117" i="5"/>
  <c r="V117" i="5"/>
  <c r="U117" i="5" s="1"/>
  <c r="Z117" i="5" s="1"/>
  <c r="G117" i="5"/>
  <c r="F117" i="5"/>
  <c r="E117" i="5"/>
  <c r="D117" i="5"/>
  <c r="C117" i="5"/>
  <c r="B117" i="5"/>
  <c r="A117" i="5"/>
  <c r="Y116" i="5"/>
  <c r="X116" i="5"/>
  <c r="W116" i="5"/>
  <c r="V116" i="5"/>
  <c r="G116" i="5"/>
  <c r="F116" i="5"/>
  <c r="E116" i="5"/>
  <c r="D116" i="5"/>
  <c r="C116" i="5"/>
  <c r="B116" i="5"/>
  <c r="A116" i="5"/>
  <c r="Y115" i="5"/>
  <c r="X115" i="5"/>
  <c r="W115" i="5"/>
  <c r="V115" i="5"/>
  <c r="U115" i="5" s="1"/>
  <c r="Z115" i="5" s="1"/>
  <c r="G115" i="5"/>
  <c r="F115" i="5"/>
  <c r="E115" i="5"/>
  <c r="D115" i="5"/>
  <c r="C115" i="5"/>
  <c r="B115" i="5"/>
  <c r="A115" i="5"/>
  <c r="Y114" i="5"/>
  <c r="X114" i="5"/>
  <c r="W114" i="5"/>
  <c r="V114" i="5"/>
  <c r="G114" i="5"/>
  <c r="F114" i="5"/>
  <c r="E114" i="5"/>
  <c r="D114" i="5"/>
  <c r="C114" i="5"/>
  <c r="B114" i="5"/>
  <c r="A114" i="5"/>
  <c r="Y113" i="5"/>
  <c r="X113" i="5"/>
  <c r="W113" i="5"/>
  <c r="V113" i="5"/>
  <c r="Z113" i="5" s="1"/>
  <c r="U113" i="5"/>
  <c r="G113" i="5"/>
  <c r="F113" i="5"/>
  <c r="E113" i="5"/>
  <c r="D113" i="5"/>
  <c r="C113" i="5"/>
  <c r="B113" i="5"/>
  <c r="A113" i="5"/>
  <c r="Y112" i="5"/>
  <c r="X112" i="5"/>
  <c r="W112" i="5"/>
  <c r="U112" i="5" s="1"/>
  <c r="Z112" i="5" s="1"/>
  <c r="V112" i="5"/>
  <c r="G112" i="5"/>
  <c r="F112" i="5"/>
  <c r="E112" i="5"/>
  <c r="D112" i="5"/>
  <c r="C112" i="5"/>
  <c r="B112" i="5"/>
  <c r="A112" i="5"/>
  <c r="Y111" i="5"/>
  <c r="X111" i="5"/>
  <c r="W111" i="5"/>
  <c r="U111" i="5" s="1"/>
  <c r="Z111" i="5" s="1"/>
  <c r="V111" i="5"/>
  <c r="G111" i="5"/>
  <c r="F111" i="5"/>
  <c r="E111" i="5"/>
  <c r="D111" i="5"/>
  <c r="C111" i="5"/>
  <c r="B111" i="5"/>
  <c r="A111" i="5"/>
  <c r="Y110" i="5"/>
  <c r="X110" i="5"/>
  <c r="W110" i="5"/>
  <c r="V110" i="5"/>
  <c r="G110" i="5"/>
  <c r="F110" i="5"/>
  <c r="E110" i="5"/>
  <c r="D110" i="5"/>
  <c r="C110" i="5"/>
  <c r="B110" i="5"/>
  <c r="A110" i="5"/>
  <c r="Y109" i="5"/>
  <c r="X109" i="5"/>
  <c r="W109" i="5"/>
  <c r="V109" i="5"/>
  <c r="U109" i="5" s="1"/>
  <c r="G109" i="5"/>
  <c r="F109" i="5"/>
  <c r="E109" i="5"/>
  <c r="D109" i="5"/>
  <c r="C109" i="5"/>
  <c r="B109" i="5"/>
  <c r="A109" i="5"/>
  <c r="Y108" i="5"/>
  <c r="X108" i="5"/>
  <c r="W108" i="5"/>
  <c r="V108" i="5"/>
  <c r="U108" i="5" s="1"/>
  <c r="Z108" i="5" s="1"/>
  <c r="G108" i="5"/>
  <c r="F108" i="5"/>
  <c r="E108" i="5"/>
  <c r="D108" i="5"/>
  <c r="C108" i="5"/>
  <c r="B108" i="5"/>
  <c r="A108" i="5"/>
  <c r="Y107" i="5"/>
  <c r="X107" i="5"/>
  <c r="W107" i="5"/>
  <c r="V107" i="5"/>
  <c r="Z107" i="5" s="1"/>
  <c r="U107" i="5"/>
  <c r="G107" i="5"/>
  <c r="F107" i="5"/>
  <c r="E107" i="5"/>
  <c r="D107" i="5"/>
  <c r="C107" i="5"/>
  <c r="B107" i="5"/>
  <c r="A107" i="5"/>
  <c r="Y106" i="5"/>
  <c r="X106" i="5"/>
  <c r="W106" i="5"/>
  <c r="V106" i="5"/>
  <c r="Z106" i="5" s="1"/>
  <c r="U106" i="5"/>
  <c r="G106" i="5"/>
  <c r="F106" i="5"/>
  <c r="E106" i="5"/>
  <c r="D106" i="5"/>
  <c r="C106" i="5"/>
  <c r="B106" i="5"/>
  <c r="A106" i="5"/>
  <c r="Y105" i="5"/>
  <c r="X105" i="5"/>
  <c r="W105" i="5"/>
  <c r="V105" i="5"/>
  <c r="U105" i="5"/>
  <c r="Z105" i="5" s="1"/>
  <c r="G105" i="5"/>
  <c r="F105" i="5"/>
  <c r="E105" i="5"/>
  <c r="D105" i="5"/>
  <c r="C105" i="5"/>
  <c r="B105" i="5"/>
  <c r="A105" i="5"/>
  <c r="Y104" i="5"/>
  <c r="X104" i="5"/>
  <c r="W104" i="5"/>
  <c r="V104" i="5"/>
  <c r="Z104" i="5" s="1"/>
  <c r="U104" i="5"/>
  <c r="G104" i="5"/>
  <c r="F104" i="5"/>
  <c r="E104" i="5"/>
  <c r="D104" i="5"/>
  <c r="C104" i="5"/>
  <c r="B104" i="5"/>
  <c r="A104" i="5"/>
  <c r="Y103" i="5"/>
  <c r="X103" i="5"/>
  <c r="W103" i="5"/>
  <c r="V103" i="5"/>
  <c r="Z103" i="5" s="1"/>
  <c r="U103" i="5"/>
  <c r="G103" i="5"/>
  <c r="F103" i="5"/>
  <c r="E103" i="5"/>
  <c r="D103" i="5"/>
  <c r="C103" i="5"/>
  <c r="B103" i="5"/>
  <c r="A103" i="5"/>
  <c r="Y102" i="5"/>
  <c r="X102" i="5"/>
  <c r="W102" i="5"/>
  <c r="U102" i="5" s="1"/>
  <c r="Z102" i="5" s="1"/>
  <c r="V102" i="5"/>
  <c r="G102" i="5"/>
  <c r="F102" i="5"/>
  <c r="E102" i="5"/>
  <c r="D102" i="5"/>
  <c r="C102" i="5"/>
  <c r="B102" i="5"/>
  <c r="A102" i="5"/>
  <c r="Z101" i="5"/>
  <c r="Y101" i="5"/>
  <c r="X101" i="5"/>
  <c r="W101" i="5"/>
  <c r="V101" i="5"/>
  <c r="U101" i="5"/>
  <c r="G101" i="5"/>
  <c r="F101" i="5"/>
  <c r="E101" i="5"/>
  <c r="D101" i="5"/>
  <c r="C101" i="5"/>
  <c r="B101" i="5"/>
  <c r="A101" i="5"/>
  <c r="Y100" i="5"/>
  <c r="X100" i="5"/>
  <c r="W100" i="5"/>
  <c r="V100" i="5"/>
  <c r="U100" i="5"/>
  <c r="Z100" i="5" s="1"/>
  <c r="G100" i="5"/>
  <c r="F100" i="5"/>
  <c r="E100" i="5"/>
  <c r="D100" i="5"/>
  <c r="C100" i="5"/>
  <c r="B100" i="5"/>
  <c r="A100" i="5"/>
  <c r="Y99" i="5"/>
  <c r="X99" i="5"/>
  <c r="W99" i="5"/>
  <c r="V99" i="5"/>
  <c r="U99" i="5" s="1"/>
  <c r="Z99" i="5" s="1"/>
  <c r="G99" i="5"/>
  <c r="F99" i="5"/>
  <c r="E99" i="5"/>
  <c r="D99" i="5"/>
  <c r="C99" i="5"/>
  <c r="B99" i="5"/>
  <c r="A99" i="5"/>
  <c r="Z98" i="5"/>
  <c r="Y98" i="5"/>
  <c r="X98" i="5"/>
  <c r="W98" i="5"/>
  <c r="V98" i="5"/>
  <c r="U98" i="5"/>
  <c r="G98" i="5"/>
  <c r="F98" i="5"/>
  <c r="E98" i="5"/>
  <c r="D98" i="5"/>
  <c r="C98" i="5"/>
  <c r="B98" i="5"/>
  <c r="A98" i="5"/>
  <c r="Y97" i="5"/>
  <c r="X97" i="5"/>
  <c r="W97" i="5"/>
  <c r="V97" i="5"/>
  <c r="U97" i="5" s="1"/>
  <c r="Z97" i="5" s="1"/>
  <c r="G97" i="5"/>
  <c r="F97" i="5"/>
  <c r="E97" i="5"/>
  <c r="D97" i="5"/>
  <c r="C97" i="5"/>
  <c r="B97" i="5"/>
  <c r="A97" i="5"/>
  <c r="Y96" i="5"/>
  <c r="X96" i="5"/>
  <c r="W96" i="5"/>
  <c r="V96" i="5"/>
  <c r="G96" i="5"/>
  <c r="F96" i="5"/>
  <c r="E96" i="5"/>
  <c r="D96" i="5"/>
  <c r="C96" i="5"/>
  <c r="B96" i="5"/>
  <c r="A96" i="5"/>
  <c r="Y95" i="5"/>
  <c r="X95" i="5"/>
  <c r="W95" i="5"/>
  <c r="V95" i="5"/>
  <c r="U95" i="5" s="1"/>
  <c r="Z95" i="5" s="1"/>
  <c r="G95" i="5"/>
  <c r="F95" i="5"/>
  <c r="E95" i="5"/>
  <c r="D95" i="5"/>
  <c r="C95" i="5"/>
  <c r="B95" i="5"/>
  <c r="A95" i="5"/>
  <c r="Y94" i="5"/>
  <c r="X94" i="5"/>
  <c r="W94" i="5"/>
  <c r="V94" i="5"/>
  <c r="G94" i="5"/>
  <c r="F94" i="5"/>
  <c r="E94" i="5"/>
  <c r="D94" i="5"/>
  <c r="C94" i="5"/>
  <c r="B94" i="5"/>
  <c r="A94" i="5"/>
  <c r="Y93" i="5"/>
  <c r="X93" i="5"/>
  <c r="W93" i="5"/>
  <c r="V93" i="5"/>
  <c r="Z93" i="5" s="1"/>
  <c r="U93" i="5"/>
  <c r="G93" i="5"/>
  <c r="F93" i="5"/>
  <c r="E93" i="5"/>
  <c r="D93" i="5"/>
  <c r="C93" i="5"/>
  <c r="B93" i="5"/>
  <c r="A93" i="5"/>
  <c r="Y92" i="5"/>
  <c r="X92" i="5"/>
  <c r="W92" i="5"/>
  <c r="U92" i="5" s="1"/>
  <c r="Z92" i="5" s="1"/>
  <c r="V92" i="5"/>
  <c r="G92" i="5"/>
  <c r="F92" i="5"/>
  <c r="E92" i="5"/>
  <c r="D92" i="5"/>
  <c r="C92" i="5"/>
  <c r="B92" i="5"/>
  <c r="A92" i="5"/>
  <c r="Y91" i="5"/>
  <c r="X91" i="5"/>
  <c r="W91" i="5"/>
  <c r="U91" i="5" s="1"/>
  <c r="Z91" i="5" s="1"/>
  <c r="V91" i="5"/>
  <c r="G91" i="5"/>
  <c r="F91" i="5"/>
  <c r="E91" i="5"/>
  <c r="D91" i="5"/>
  <c r="C91" i="5"/>
  <c r="B91" i="5"/>
  <c r="A91" i="5"/>
  <c r="Y90" i="5"/>
  <c r="X90" i="5"/>
  <c r="W90" i="5"/>
  <c r="V90" i="5"/>
  <c r="G90" i="5"/>
  <c r="F90" i="5"/>
  <c r="E90" i="5"/>
  <c r="D90" i="5"/>
  <c r="C90" i="5"/>
  <c r="B90" i="5"/>
  <c r="A90" i="5"/>
  <c r="Y89" i="5"/>
  <c r="X89" i="5"/>
  <c r="W89" i="5"/>
  <c r="V89" i="5"/>
  <c r="U89" i="5" s="1"/>
  <c r="G89" i="5"/>
  <c r="F89" i="5"/>
  <c r="E89" i="5"/>
  <c r="D89" i="5"/>
  <c r="C89" i="5"/>
  <c r="B89" i="5"/>
  <c r="A89" i="5"/>
  <c r="Y88" i="5"/>
  <c r="X88" i="5"/>
  <c r="W88" i="5"/>
  <c r="V88" i="5"/>
  <c r="U88" i="5" s="1"/>
  <c r="Z88" i="5" s="1"/>
  <c r="G88" i="5"/>
  <c r="F88" i="5"/>
  <c r="E88" i="5"/>
  <c r="D88" i="5"/>
  <c r="C88" i="5"/>
  <c r="B88" i="5"/>
  <c r="A88" i="5"/>
  <c r="Y87" i="5"/>
  <c r="X87" i="5"/>
  <c r="W87" i="5"/>
  <c r="V87" i="5"/>
  <c r="Z87" i="5" s="1"/>
  <c r="U87" i="5"/>
  <c r="G87" i="5"/>
  <c r="F87" i="5"/>
  <c r="E87" i="5"/>
  <c r="D87" i="5"/>
  <c r="C87" i="5"/>
  <c r="B87" i="5"/>
  <c r="A87" i="5"/>
  <c r="Y86" i="5"/>
  <c r="X86" i="5"/>
  <c r="W86" i="5"/>
  <c r="V86" i="5"/>
  <c r="Z86" i="5" s="1"/>
  <c r="U86" i="5"/>
  <c r="G86" i="5"/>
  <c r="F86" i="5"/>
  <c r="E86" i="5"/>
  <c r="D86" i="5"/>
  <c r="C86" i="5"/>
  <c r="B86" i="5"/>
  <c r="A86" i="5"/>
  <c r="Y85" i="5"/>
  <c r="X85" i="5"/>
  <c r="W85" i="5"/>
  <c r="V85" i="5"/>
  <c r="U85" i="5"/>
  <c r="Z85" i="5" s="1"/>
  <c r="G85" i="5"/>
  <c r="F85" i="5"/>
  <c r="E85" i="5"/>
  <c r="D85" i="5"/>
  <c r="C85" i="5"/>
  <c r="B85" i="5"/>
  <c r="A85" i="5"/>
  <c r="Y84" i="5"/>
  <c r="X84" i="5"/>
  <c r="W84" i="5"/>
  <c r="V84" i="5"/>
  <c r="Z84" i="5" s="1"/>
  <c r="U84" i="5"/>
  <c r="G84" i="5"/>
  <c r="F84" i="5"/>
  <c r="E84" i="5"/>
  <c r="D84" i="5"/>
  <c r="C84" i="5"/>
  <c r="B84" i="5"/>
  <c r="A84" i="5"/>
  <c r="Y83" i="5"/>
  <c r="X83" i="5"/>
  <c r="W83" i="5"/>
  <c r="V83" i="5"/>
  <c r="Z83" i="5" s="1"/>
  <c r="U83" i="5"/>
  <c r="G83" i="5"/>
  <c r="F83" i="5"/>
  <c r="E83" i="5"/>
  <c r="D83" i="5"/>
  <c r="C83" i="5"/>
  <c r="B83" i="5"/>
  <c r="A83" i="5"/>
  <c r="Y82" i="5"/>
  <c r="X82" i="5"/>
  <c r="W82" i="5"/>
  <c r="U82" i="5" s="1"/>
  <c r="Z82" i="5" s="1"/>
  <c r="V82" i="5"/>
  <c r="G82" i="5"/>
  <c r="F82" i="5"/>
  <c r="E82" i="5"/>
  <c r="D82" i="5"/>
  <c r="C82" i="5"/>
  <c r="B82" i="5"/>
  <c r="A82" i="5"/>
  <c r="Z81" i="5"/>
  <c r="Y81" i="5"/>
  <c r="X81" i="5"/>
  <c r="W81" i="5"/>
  <c r="V81" i="5"/>
  <c r="U81" i="5"/>
  <c r="G81" i="5"/>
  <c r="F81" i="5"/>
  <c r="E81" i="5"/>
  <c r="D81" i="5"/>
  <c r="C81" i="5"/>
  <c r="B81" i="5"/>
  <c r="A81" i="5"/>
  <c r="Y80" i="5"/>
  <c r="X80" i="5"/>
  <c r="W80" i="5"/>
  <c r="V80" i="5"/>
  <c r="U80" i="5"/>
  <c r="Z80" i="5" s="1"/>
  <c r="G80" i="5"/>
  <c r="F80" i="5"/>
  <c r="E80" i="5"/>
  <c r="D80" i="5"/>
  <c r="C80" i="5"/>
  <c r="B80" i="5"/>
  <c r="A80" i="5"/>
  <c r="Y79" i="5"/>
  <c r="X79" i="5"/>
  <c r="W79" i="5"/>
  <c r="V79" i="5"/>
  <c r="U79" i="5" s="1"/>
  <c r="Z79" i="5" s="1"/>
  <c r="G79" i="5"/>
  <c r="F79" i="5"/>
  <c r="E79" i="5"/>
  <c r="D79" i="5"/>
  <c r="C79" i="5"/>
  <c r="B79" i="5"/>
  <c r="A79" i="5"/>
  <c r="Z78" i="5"/>
  <c r="Y78" i="5"/>
  <c r="X78" i="5"/>
  <c r="W78" i="5"/>
  <c r="V78" i="5"/>
  <c r="U78" i="5"/>
  <c r="G78" i="5"/>
  <c r="F78" i="5"/>
  <c r="E78" i="5"/>
  <c r="D78" i="5"/>
  <c r="C78" i="5"/>
  <c r="B78" i="5"/>
  <c r="A78" i="5"/>
  <c r="Y77" i="5"/>
  <c r="X77" i="5"/>
  <c r="W77" i="5"/>
  <c r="V77" i="5"/>
  <c r="U77" i="5" s="1"/>
  <c r="Z77" i="5" s="1"/>
  <c r="G77" i="5"/>
  <c r="F77" i="5"/>
  <c r="E77" i="5"/>
  <c r="D77" i="5"/>
  <c r="C77" i="5"/>
  <c r="B77" i="5"/>
  <c r="A77" i="5"/>
  <c r="Y76" i="5"/>
  <c r="X76" i="5"/>
  <c r="W76" i="5"/>
  <c r="V76" i="5"/>
  <c r="G76" i="5"/>
  <c r="F76" i="5"/>
  <c r="E76" i="5"/>
  <c r="D76" i="5"/>
  <c r="C76" i="5"/>
  <c r="B76" i="5"/>
  <c r="A76" i="5"/>
  <c r="Y75" i="5"/>
  <c r="X75" i="5"/>
  <c r="W75" i="5"/>
  <c r="V75" i="5"/>
  <c r="U75" i="5" s="1"/>
  <c r="Z75" i="5" s="1"/>
  <c r="G75" i="5"/>
  <c r="F75" i="5"/>
  <c r="E75" i="5"/>
  <c r="D75" i="5"/>
  <c r="C75" i="5"/>
  <c r="B75" i="5"/>
  <c r="A75" i="5"/>
  <c r="Y74" i="5"/>
  <c r="X74" i="5"/>
  <c r="W74" i="5"/>
  <c r="V74" i="5"/>
  <c r="G74" i="5"/>
  <c r="F74" i="5"/>
  <c r="E74" i="5"/>
  <c r="D74" i="5"/>
  <c r="C74" i="5"/>
  <c r="B74" i="5"/>
  <c r="A74" i="5"/>
  <c r="Y73" i="5"/>
  <c r="X73" i="5"/>
  <c r="W73" i="5"/>
  <c r="V73" i="5"/>
  <c r="Z73" i="5" s="1"/>
  <c r="U73" i="5"/>
  <c r="G73" i="5"/>
  <c r="F73" i="5"/>
  <c r="E73" i="5"/>
  <c r="D73" i="5"/>
  <c r="C73" i="5"/>
  <c r="B73" i="5"/>
  <c r="A73" i="5"/>
  <c r="Y72" i="5"/>
  <c r="X72" i="5"/>
  <c r="W72" i="5"/>
  <c r="U72" i="5" s="1"/>
  <c r="Z72" i="5" s="1"/>
  <c r="V72" i="5"/>
  <c r="G72" i="5"/>
  <c r="F72" i="5"/>
  <c r="E72" i="5"/>
  <c r="D72" i="5"/>
  <c r="C72" i="5"/>
  <c r="B72" i="5"/>
  <c r="A72" i="5"/>
  <c r="Y71" i="5"/>
  <c r="X71" i="5"/>
  <c r="W71" i="5"/>
  <c r="U71" i="5" s="1"/>
  <c r="Z71" i="5" s="1"/>
  <c r="V71" i="5"/>
  <c r="G71" i="5"/>
  <c r="F71" i="5"/>
  <c r="E71" i="5"/>
  <c r="D71" i="5"/>
  <c r="C71" i="5"/>
  <c r="B71" i="5"/>
  <c r="A71" i="5"/>
  <c r="Y70" i="5"/>
  <c r="X70" i="5"/>
  <c r="W70" i="5"/>
  <c r="V70" i="5"/>
  <c r="G70" i="5"/>
  <c r="F70" i="5"/>
  <c r="E70" i="5"/>
  <c r="D70" i="5"/>
  <c r="C70" i="5"/>
  <c r="B70" i="5"/>
  <c r="A70" i="5"/>
  <c r="Y69" i="5"/>
  <c r="X69" i="5"/>
  <c r="W69" i="5"/>
  <c r="V69" i="5"/>
  <c r="U69" i="5" s="1"/>
  <c r="G69" i="5"/>
  <c r="F69" i="5"/>
  <c r="E69" i="5"/>
  <c r="D69" i="5"/>
  <c r="C69" i="5"/>
  <c r="B69" i="5"/>
  <c r="A69" i="5"/>
  <c r="Y68" i="5"/>
  <c r="X68" i="5"/>
  <c r="W68" i="5"/>
  <c r="V68" i="5"/>
  <c r="U68" i="5" s="1"/>
  <c r="Z68" i="5" s="1"/>
  <c r="G68" i="5"/>
  <c r="F68" i="5"/>
  <c r="E68" i="5"/>
  <c r="D68" i="5"/>
  <c r="C68" i="5"/>
  <c r="B68" i="5"/>
  <c r="A68" i="5"/>
  <c r="Y67" i="5"/>
  <c r="X67" i="5"/>
  <c r="W67" i="5"/>
  <c r="V67" i="5"/>
  <c r="Z67" i="5" s="1"/>
  <c r="U67" i="5"/>
  <c r="G67" i="5"/>
  <c r="F67" i="5"/>
  <c r="E67" i="5"/>
  <c r="D67" i="5"/>
  <c r="C67" i="5"/>
  <c r="B67" i="5"/>
  <c r="A67" i="5"/>
  <c r="Y66" i="5"/>
  <c r="X66" i="5"/>
  <c r="W66" i="5"/>
  <c r="V66" i="5"/>
  <c r="Z66" i="5" s="1"/>
  <c r="U66" i="5"/>
  <c r="G66" i="5"/>
  <c r="F66" i="5"/>
  <c r="E66" i="5"/>
  <c r="D66" i="5"/>
  <c r="C66" i="5"/>
  <c r="B66" i="5"/>
  <c r="A66" i="5"/>
  <c r="Y65" i="5"/>
  <c r="X65" i="5"/>
  <c r="W65" i="5"/>
  <c r="V65" i="5"/>
  <c r="U65" i="5"/>
  <c r="Z65" i="5" s="1"/>
  <c r="G65" i="5"/>
  <c r="F65" i="5"/>
  <c r="E65" i="5"/>
  <c r="D65" i="5"/>
  <c r="C65" i="5"/>
  <c r="B65" i="5"/>
  <c r="A65" i="5"/>
  <c r="Y64" i="5"/>
  <c r="X64" i="5"/>
  <c r="W64" i="5"/>
  <c r="V64" i="5"/>
  <c r="Z64" i="5" s="1"/>
  <c r="U64" i="5"/>
  <c r="G64" i="5"/>
  <c r="F64" i="5"/>
  <c r="E64" i="5"/>
  <c r="D64" i="5"/>
  <c r="C64" i="5"/>
  <c r="B64" i="5"/>
  <c r="A64" i="5"/>
  <c r="Y63" i="5"/>
  <c r="X63" i="5"/>
  <c r="W63" i="5"/>
  <c r="V63" i="5"/>
  <c r="Z63" i="5" s="1"/>
  <c r="U63" i="5"/>
  <c r="G63" i="5"/>
  <c r="F63" i="5"/>
  <c r="E63" i="5"/>
  <c r="D63" i="5"/>
  <c r="C63" i="5"/>
  <c r="B63" i="5"/>
  <c r="A63" i="5"/>
  <c r="Y62" i="5"/>
  <c r="X62" i="5"/>
  <c r="W62" i="5"/>
  <c r="U62" i="5" s="1"/>
  <c r="Z62" i="5" s="1"/>
  <c r="V62" i="5"/>
  <c r="G62" i="5"/>
  <c r="F62" i="5"/>
  <c r="E62" i="5"/>
  <c r="D62" i="5"/>
  <c r="C62" i="5"/>
  <c r="B62" i="5"/>
  <c r="A62" i="5"/>
  <c r="Z61" i="5"/>
  <c r="Y61" i="5"/>
  <c r="X61" i="5"/>
  <c r="W61" i="5"/>
  <c r="V61" i="5"/>
  <c r="U61" i="5"/>
  <c r="G61" i="5"/>
  <c r="F61" i="5"/>
  <c r="E61" i="5"/>
  <c r="D61" i="5"/>
  <c r="C61" i="5"/>
  <c r="B61" i="5"/>
  <c r="A61" i="5"/>
  <c r="Y60" i="5"/>
  <c r="X60" i="5"/>
  <c r="W60" i="5"/>
  <c r="V60" i="5"/>
  <c r="U60" i="5"/>
  <c r="Z60" i="5" s="1"/>
  <c r="G60" i="5"/>
  <c r="F60" i="5"/>
  <c r="E60" i="5"/>
  <c r="D60" i="5"/>
  <c r="C60" i="5"/>
  <c r="B60" i="5"/>
  <c r="A60" i="5"/>
  <c r="Y59" i="5"/>
  <c r="X59" i="5"/>
  <c r="W59" i="5"/>
  <c r="V59" i="5"/>
  <c r="U59" i="5" s="1"/>
  <c r="Z59" i="5" s="1"/>
  <c r="G59" i="5"/>
  <c r="F59" i="5"/>
  <c r="E59" i="5"/>
  <c r="D59" i="5"/>
  <c r="C59" i="5"/>
  <c r="B59" i="5"/>
  <c r="A59" i="5"/>
  <c r="Z58" i="5"/>
  <c r="Y58" i="5"/>
  <c r="X58" i="5"/>
  <c r="W58" i="5"/>
  <c r="V58" i="5"/>
  <c r="U58" i="5"/>
  <c r="G58" i="5"/>
  <c r="F58" i="5"/>
  <c r="E58" i="5"/>
  <c r="D58" i="5"/>
  <c r="C58" i="5"/>
  <c r="B58" i="5"/>
  <c r="A58" i="5"/>
  <c r="Y57" i="5"/>
  <c r="X57" i="5"/>
  <c r="W57" i="5"/>
  <c r="V57" i="5"/>
  <c r="U57" i="5" s="1"/>
  <c r="Z57" i="5" s="1"/>
  <c r="G57" i="5"/>
  <c r="F57" i="5"/>
  <c r="E57" i="5"/>
  <c r="D57" i="5"/>
  <c r="C57" i="5"/>
  <c r="B57" i="5"/>
  <c r="A57" i="5"/>
  <c r="Y56" i="5"/>
  <c r="X56" i="5"/>
  <c r="W56" i="5"/>
  <c r="V56" i="5"/>
  <c r="G56" i="5"/>
  <c r="F56" i="5"/>
  <c r="E56" i="5"/>
  <c r="D56" i="5"/>
  <c r="C56" i="5"/>
  <c r="B56" i="5"/>
  <c r="A56" i="5"/>
  <c r="Y55" i="5"/>
  <c r="X55" i="5"/>
  <c r="W55" i="5"/>
  <c r="V55" i="5"/>
  <c r="U55" i="5" s="1"/>
  <c r="Z55" i="5" s="1"/>
  <c r="G55" i="5"/>
  <c r="F55" i="5"/>
  <c r="E55" i="5"/>
  <c r="D55" i="5"/>
  <c r="C55" i="5"/>
  <c r="B55" i="5"/>
  <c r="A55" i="5"/>
  <c r="Y54" i="5"/>
  <c r="X54" i="5"/>
  <c r="W54" i="5"/>
  <c r="V54" i="5"/>
  <c r="G54" i="5"/>
  <c r="F54" i="5"/>
  <c r="E54" i="5"/>
  <c r="D54" i="5"/>
  <c r="C54" i="5"/>
  <c r="B54" i="5"/>
  <c r="A54" i="5"/>
  <c r="Y53" i="5"/>
  <c r="X53" i="5"/>
  <c r="W53" i="5"/>
  <c r="V53" i="5"/>
  <c r="Z53" i="5" s="1"/>
  <c r="U53" i="5"/>
  <c r="G53" i="5"/>
  <c r="F53" i="5"/>
  <c r="E53" i="5"/>
  <c r="D53" i="5"/>
  <c r="C53" i="5"/>
  <c r="B53" i="5"/>
  <c r="A53" i="5"/>
  <c r="Y52" i="5"/>
  <c r="X52" i="5"/>
  <c r="W52" i="5"/>
  <c r="U52" i="5" s="1"/>
  <c r="Z52" i="5" s="1"/>
  <c r="V52" i="5"/>
  <c r="G52" i="5"/>
  <c r="F52" i="5"/>
  <c r="E52" i="5"/>
  <c r="D52" i="5"/>
  <c r="C52" i="5"/>
  <c r="B52" i="5"/>
  <c r="A52" i="5"/>
  <c r="Y51" i="5"/>
  <c r="X51" i="5"/>
  <c r="W51" i="5"/>
  <c r="U51" i="5" s="1"/>
  <c r="Z51" i="5" s="1"/>
  <c r="V51" i="5"/>
  <c r="G51" i="5"/>
  <c r="F51" i="5"/>
  <c r="E51" i="5"/>
  <c r="D51" i="5"/>
  <c r="C51" i="5"/>
  <c r="B51" i="5"/>
  <c r="A51" i="5"/>
  <c r="Y50" i="5"/>
  <c r="X50" i="5"/>
  <c r="W50" i="5"/>
  <c r="V50" i="5"/>
  <c r="G50" i="5"/>
  <c r="F50" i="5"/>
  <c r="E50" i="5"/>
  <c r="D50" i="5"/>
  <c r="C50" i="5"/>
  <c r="B50" i="5"/>
  <c r="A50" i="5"/>
  <c r="Y49" i="5"/>
  <c r="X49" i="5"/>
  <c r="W49" i="5"/>
  <c r="V49" i="5"/>
  <c r="U49" i="5" s="1"/>
  <c r="G49" i="5"/>
  <c r="F49" i="5"/>
  <c r="E49" i="5"/>
  <c r="D49" i="5"/>
  <c r="C49" i="5"/>
  <c r="B49" i="5"/>
  <c r="A49" i="5"/>
  <c r="Y48" i="5"/>
  <c r="X48" i="5"/>
  <c r="W48" i="5"/>
  <c r="V48" i="5"/>
  <c r="U48" i="5" s="1"/>
  <c r="Z48" i="5" s="1"/>
  <c r="G48" i="5"/>
  <c r="F48" i="5"/>
  <c r="E48" i="5"/>
  <c r="D48" i="5"/>
  <c r="C48" i="5"/>
  <c r="B48" i="5"/>
  <c r="A48" i="5"/>
  <c r="Y47" i="5"/>
  <c r="X47" i="5"/>
  <c r="W47" i="5"/>
  <c r="V47" i="5"/>
  <c r="Z47" i="5" s="1"/>
  <c r="U47" i="5"/>
  <c r="G47" i="5"/>
  <c r="F47" i="5"/>
  <c r="E47" i="5"/>
  <c r="D47" i="5"/>
  <c r="C47" i="5"/>
  <c r="B47" i="5"/>
  <c r="A47" i="5"/>
  <c r="Y46" i="5"/>
  <c r="X46" i="5"/>
  <c r="W46" i="5"/>
  <c r="V46" i="5"/>
  <c r="Z46" i="5" s="1"/>
  <c r="U46" i="5"/>
  <c r="G46" i="5"/>
  <c r="F46" i="5"/>
  <c r="E46" i="5"/>
  <c r="D46" i="5"/>
  <c r="C46" i="5"/>
  <c r="B46" i="5"/>
  <c r="A46" i="5"/>
  <c r="Y45" i="5"/>
  <c r="X45" i="5"/>
  <c r="W45" i="5"/>
  <c r="V45" i="5"/>
  <c r="U45" i="5"/>
  <c r="Z45" i="5" s="1"/>
  <c r="G45" i="5"/>
  <c r="F45" i="5"/>
  <c r="E45" i="5"/>
  <c r="D45" i="5"/>
  <c r="C45" i="5"/>
  <c r="B45" i="5"/>
  <c r="A45" i="5"/>
  <c r="Y44" i="5"/>
  <c r="X44" i="5"/>
  <c r="W44" i="5"/>
  <c r="V44" i="5"/>
  <c r="Z44" i="5" s="1"/>
  <c r="U44" i="5"/>
  <c r="G44" i="5"/>
  <c r="F44" i="5"/>
  <c r="E44" i="5"/>
  <c r="D44" i="5"/>
  <c r="C44" i="5"/>
  <c r="B44" i="5"/>
  <c r="A44" i="5"/>
  <c r="Y43" i="5"/>
  <c r="X43" i="5"/>
  <c r="W43" i="5"/>
  <c r="V43" i="5"/>
  <c r="Z43" i="5" s="1"/>
  <c r="U43" i="5"/>
  <c r="G43" i="5"/>
  <c r="F43" i="5"/>
  <c r="E43" i="5"/>
  <c r="D43" i="5"/>
  <c r="C43" i="5"/>
  <c r="B43" i="5"/>
  <c r="A43" i="5"/>
  <c r="Y42" i="5"/>
  <c r="X42" i="5"/>
  <c r="W42" i="5"/>
  <c r="U42" i="5" s="1"/>
  <c r="Z42" i="5" s="1"/>
  <c r="V42" i="5"/>
  <c r="G42" i="5"/>
  <c r="F42" i="5"/>
  <c r="E42" i="5"/>
  <c r="D42" i="5"/>
  <c r="C42" i="5"/>
  <c r="B42" i="5"/>
  <c r="A42" i="5"/>
  <c r="Z41" i="5"/>
  <c r="Y41" i="5"/>
  <c r="X41" i="5"/>
  <c r="W41" i="5"/>
  <c r="V41" i="5"/>
  <c r="U41" i="5"/>
  <c r="G41" i="5"/>
  <c r="F41" i="5"/>
  <c r="E41" i="5"/>
  <c r="D41" i="5"/>
  <c r="C41" i="5"/>
  <c r="B41" i="5"/>
  <c r="A41" i="5"/>
  <c r="Y40" i="5"/>
  <c r="X40" i="5"/>
  <c r="W40" i="5"/>
  <c r="V40" i="5"/>
  <c r="U40" i="5"/>
  <c r="Z40" i="5" s="1"/>
  <c r="G40" i="5"/>
  <c r="F40" i="5"/>
  <c r="E40" i="5"/>
  <c r="D40" i="5"/>
  <c r="C40" i="5"/>
  <c r="B40" i="5"/>
  <c r="A40" i="5"/>
  <c r="Y39" i="5"/>
  <c r="X39" i="5"/>
  <c r="W39" i="5"/>
  <c r="V39" i="5"/>
  <c r="U39" i="5" s="1"/>
  <c r="Z39" i="5" s="1"/>
  <c r="G39" i="5"/>
  <c r="F39" i="5"/>
  <c r="E39" i="5"/>
  <c r="D39" i="5"/>
  <c r="C39" i="5"/>
  <c r="B39" i="5"/>
  <c r="A39" i="5"/>
  <c r="Z38" i="5"/>
  <c r="Y38" i="5"/>
  <c r="X38" i="5"/>
  <c r="W38" i="5"/>
  <c r="V38" i="5"/>
  <c r="U38" i="5"/>
  <c r="G38" i="5"/>
  <c r="F38" i="5"/>
  <c r="E38" i="5"/>
  <c r="D38" i="5"/>
  <c r="C38" i="5"/>
  <c r="B38" i="5"/>
  <c r="A38" i="5"/>
  <c r="Y37" i="5"/>
  <c r="X37" i="5"/>
  <c r="W37" i="5"/>
  <c r="V37" i="5"/>
  <c r="U37" i="5" s="1"/>
  <c r="Z37" i="5" s="1"/>
  <c r="G37" i="5"/>
  <c r="F37" i="5"/>
  <c r="E37" i="5"/>
  <c r="D37" i="5"/>
  <c r="C37" i="5"/>
  <c r="B37" i="5"/>
  <c r="A37" i="5"/>
  <c r="Y36" i="5"/>
  <c r="X36" i="5"/>
  <c r="W36" i="5"/>
  <c r="V36" i="5"/>
  <c r="G36" i="5"/>
  <c r="F36" i="5"/>
  <c r="E36" i="5"/>
  <c r="D36" i="5"/>
  <c r="C36" i="5"/>
  <c r="B36" i="5"/>
  <c r="A36" i="5"/>
  <c r="Y35" i="5"/>
  <c r="X35" i="5"/>
  <c r="W35" i="5"/>
  <c r="V35" i="5"/>
  <c r="U35" i="5" s="1"/>
  <c r="Z35" i="5" s="1"/>
  <c r="G35" i="5"/>
  <c r="F35" i="5"/>
  <c r="E35" i="5"/>
  <c r="D35" i="5"/>
  <c r="C35" i="5"/>
  <c r="B35" i="5"/>
  <c r="A35" i="5"/>
  <c r="Y34" i="5"/>
  <c r="X34" i="5"/>
  <c r="W34" i="5"/>
  <c r="V34" i="5"/>
  <c r="G34" i="5"/>
  <c r="F34" i="5"/>
  <c r="E34" i="5"/>
  <c r="D34" i="5"/>
  <c r="C34" i="5"/>
  <c r="B34" i="5"/>
  <c r="A34" i="5"/>
  <c r="Y33" i="5"/>
  <c r="X33" i="5"/>
  <c r="W33" i="5"/>
  <c r="V33" i="5"/>
  <c r="Z33" i="5" s="1"/>
  <c r="U33" i="5"/>
  <c r="G33" i="5"/>
  <c r="F33" i="5"/>
  <c r="E33" i="5"/>
  <c r="D33" i="5"/>
  <c r="C33" i="5"/>
  <c r="B33" i="5"/>
  <c r="A33" i="5"/>
  <c r="Y32" i="5"/>
  <c r="X32" i="5"/>
  <c r="W32" i="5"/>
  <c r="U32" i="5" s="1"/>
  <c r="Z32" i="5" s="1"/>
  <c r="V32" i="5"/>
  <c r="G32" i="5"/>
  <c r="F32" i="5"/>
  <c r="E32" i="5"/>
  <c r="D32" i="5"/>
  <c r="C32" i="5"/>
  <c r="B32" i="5"/>
  <c r="A32" i="5"/>
  <c r="Y31" i="5"/>
  <c r="X31" i="5"/>
  <c r="W31" i="5"/>
  <c r="U31" i="5" s="1"/>
  <c r="Z31" i="5" s="1"/>
  <c r="V31" i="5"/>
  <c r="G31" i="5"/>
  <c r="F31" i="5"/>
  <c r="E31" i="5"/>
  <c r="D31" i="5"/>
  <c r="C31" i="5"/>
  <c r="B31" i="5"/>
  <c r="A31" i="5"/>
  <c r="Y30" i="5"/>
  <c r="X30" i="5"/>
  <c r="W30" i="5"/>
  <c r="V30" i="5"/>
  <c r="G30" i="5"/>
  <c r="F30" i="5"/>
  <c r="E30" i="5"/>
  <c r="D30" i="5"/>
  <c r="C30" i="5"/>
  <c r="B30" i="5"/>
  <c r="A30" i="5"/>
  <c r="Y29" i="5"/>
  <c r="X29" i="5"/>
  <c r="W29" i="5"/>
  <c r="V29" i="5"/>
  <c r="U29" i="5" s="1"/>
  <c r="G29" i="5"/>
  <c r="F29" i="5"/>
  <c r="E29" i="5"/>
  <c r="D29" i="5"/>
  <c r="C29" i="5"/>
  <c r="B29" i="5"/>
  <c r="A29" i="5"/>
  <c r="Y28" i="5"/>
  <c r="X28" i="5"/>
  <c r="W28" i="5"/>
  <c r="V28" i="5"/>
  <c r="U28" i="5" s="1"/>
  <c r="Z28" i="5" s="1"/>
  <c r="G28" i="5"/>
  <c r="F28" i="5"/>
  <c r="E28" i="5"/>
  <c r="D28" i="5"/>
  <c r="C28" i="5"/>
  <c r="B28" i="5"/>
  <c r="A28" i="5"/>
  <c r="Y27" i="5"/>
  <c r="X27" i="5"/>
  <c r="W27" i="5"/>
  <c r="V27" i="5"/>
  <c r="Z27" i="5" s="1"/>
  <c r="U27" i="5"/>
  <c r="G27" i="5"/>
  <c r="F27" i="5"/>
  <c r="E27" i="5"/>
  <c r="D27" i="5"/>
  <c r="C27" i="5"/>
  <c r="B27" i="5"/>
  <c r="A27" i="5"/>
  <c r="Y26" i="5"/>
  <c r="X26" i="5"/>
  <c r="W26" i="5"/>
  <c r="V26" i="5"/>
  <c r="Z26" i="5" s="1"/>
  <c r="U26" i="5"/>
  <c r="G26" i="5"/>
  <c r="F26" i="5"/>
  <c r="E26" i="5"/>
  <c r="D26" i="5"/>
  <c r="C26" i="5"/>
  <c r="B26" i="5"/>
  <c r="A26" i="5"/>
  <c r="Y25" i="5"/>
  <c r="X25" i="5"/>
  <c r="W25" i="5"/>
  <c r="V25" i="5"/>
  <c r="U25" i="5"/>
  <c r="Z25" i="5" s="1"/>
  <c r="G25" i="5"/>
  <c r="F25" i="5"/>
  <c r="E25" i="5"/>
  <c r="D25" i="5"/>
  <c r="C25" i="5"/>
  <c r="B25" i="5"/>
  <c r="A25" i="5"/>
  <c r="Y24" i="5"/>
  <c r="X24" i="5"/>
  <c r="W24" i="5"/>
  <c r="V24" i="5"/>
  <c r="Z24" i="5" s="1"/>
  <c r="U24" i="5"/>
  <c r="G24" i="5"/>
  <c r="F24" i="5"/>
  <c r="E24" i="5"/>
  <c r="D24" i="5"/>
  <c r="C24" i="5"/>
  <c r="B24" i="5"/>
  <c r="A24" i="5"/>
  <c r="Y23" i="5"/>
  <c r="X23" i="5"/>
  <c r="W23" i="5"/>
  <c r="V23" i="5"/>
  <c r="Z23" i="5" s="1"/>
  <c r="U23" i="5"/>
  <c r="G23" i="5"/>
  <c r="F23" i="5"/>
  <c r="E23" i="5"/>
  <c r="D23" i="5"/>
  <c r="C23" i="5"/>
  <c r="B23" i="5"/>
  <c r="A23" i="5"/>
  <c r="Y22" i="5"/>
  <c r="X22" i="5"/>
  <c r="W22" i="5"/>
  <c r="U22" i="5" s="1"/>
  <c r="Z22" i="5" s="1"/>
  <c r="V22" i="5"/>
  <c r="G22" i="5"/>
  <c r="F22" i="5"/>
  <c r="E22" i="5"/>
  <c r="D22" i="5"/>
  <c r="C22" i="5"/>
  <c r="B22" i="5"/>
  <c r="A22" i="5"/>
  <c r="Z21" i="5"/>
  <c r="Y21" i="5"/>
  <c r="X21" i="5"/>
  <c r="W21" i="5"/>
  <c r="V21" i="5"/>
  <c r="U21" i="5"/>
  <c r="G21" i="5"/>
  <c r="F21" i="5"/>
  <c r="E21" i="5"/>
  <c r="D21" i="5"/>
  <c r="C21" i="5"/>
  <c r="B21" i="5"/>
  <c r="A21" i="5"/>
  <c r="Y20" i="5"/>
  <c r="X20" i="5"/>
  <c r="W20" i="5"/>
  <c r="V20" i="5"/>
  <c r="U20" i="5"/>
  <c r="Z20" i="5" s="1"/>
  <c r="G20" i="5"/>
  <c r="F20" i="5"/>
  <c r="E20" i="5"/>
  <c r="D20" i="5"/>
  <c r="C20" i="5"/>
  <c r="B20" i="5"/>
  <c r="A20" i="5"/>
  <c r="Y19" i="5"/>
  <c r="X19" i="5"/>
  <c r="W19" i="5"/>
  <c r="V19" i="5"/>
  <c r="U19" i="5" s="1"/>
  <c r="Z19" i="5" s="1"/>
  <c r="G19" i="5"/>
  <c r="F19" i="5"/>
  <c r="E19" i="5"/>
  <c r="D19" i="5"/>
  <c r="C19" i="5"/>
  <c r="B19" i="5"/>
  <c r="A19" i="5"/>
  <c r="Z18" i="5"/>
  <c r="Y18" i="5"/>
  <c r="X18" i="5"/>
  <c r="W18" i="5"/>
  <c r="V18" i="5"/>
  <c r="U18" i="5"/>
  <c r="G18" i="5"/>
  <c r="F18" i="5"/>
  <c r="E18" i="5"/>
  <c r="D18" i="5"/>
  <c r="C18" i="5"/>
  <c r="B18" i="5"/>
  <c r="A18" i="5"/>
  <c r="Y17" i="5"/>
  <c r="X17" i="5"/>
  <c r="W17" i="5"/>
  <c r="V17" i="5"/>
  <c r="U17" i="5" s="1"/>
  <c r="Z17" i="5" s="1"/>
  <c r="G17" i="5"/>
  <c r="F17" i="5"/>
  <c r="E17" i="5"/>
  <c r="D17" i="5"/>
  <c r="C17" i="5"/>
  <c r="B17" i="5"/>
  <c r="A17" i="5"/>
  <c r="Y16" i="5"/>
  <c r="X16" i="5"/>
  <c r="W16" i="5"/>
  <c r="V16" i="5"/>
  <c r="G16" i="5"/>
  <c r="F16" i="5"/>
  <c r="E16" i="5"/>
  <c r="D16" i="5"/>
  <c r="C16" i="5"/>
  <c r="B16" i="5"/>
  <c r="A16" i="5"/>
  <c r="Y15" i="5"/>
  <c r="X15" i="5"/>
  <c r="W15" i="5"/>
  <c r="V15" i="5"/>
  <c r="U15" i="5" s="1"/>
  <c r="Z15" i="5" s="1"/>
  <c r="G15" i="5"/>
  <c r="F15" i="5"/>
  <c r="E15" i="5"/>
  <c r="D15" i="5"/>
  <c r="C15" i="5"/>
  <c r="B15" i="5"/>
  <c r="A15" i="5"/>
  <c r="Y14" i="5"/>
  <c r="X14" i="5"/>
  <c r="W14" i="5"/>
  <c r="V14" i="5"/>
  <c r="G14" i="5"/>
  <c r="F14" i="5"/>
  <c r="E14" i="5"/>
  <c r="D14" i="5"/>
  <c r="C14" i="5"/>
  <c r="B14" i="5"/>
  <c r="A14" i="5"/>
  <c r="Y13" i="5"/>
  <c r="X13" i="5"/>
  <c r="W13" i="5"/>
  <c r="V13" i="5"/>
  <c r="Z13" i="5" s="1"/>
  <c r="U13" i="5"/>
  <c r="G13" i="5"/>
  <c r="F13" i="5"/>
  <c r="E13" i="5"/>
  <c r="D13" i="5"/>
  <c r="C13" i="5"/>
  <c r="B13" i="5"/>
  <c r="A13" i="5"/>
  <c r="Y12" i="5"/>
  <c r="X12" i="5"/>
  <c r="W12" i="5"/>
  <c r="U12" i="5" s="1"/>
  <c r="Z12" i="5" s="1"/>
  <c r="V12" i="5"/>
  <c r="G12" i="5"/>
  <c r="F12" i="5"/>
  <c r="E12" i="5"/>
  <c r="D12" i="5"/>
  <c r="C12" i="5"/>
  <c r="B12" i="5"/>
  <c r="A12" i="5"/>
  <c r="Y11" i="5"/>
  <c r="X11" i="5"/>
  <c r="W11" i="5"/>
  <c r="U11" i="5" s="1"/>
  <c r="Z11" i="5" s="1"/>
  <c r="V11" i="5"/>
  <c r="G11" i="5"/>
  <c r="F11" i="5"/>
  <c r="E11" i="5"/>
  <c r="D11" i="5"/>
  <c r="C11" i="5"/>
  <c r="B11" i="5"/>
  <c r="A11" i="5"/>
  <c r="Y10" i="5"/>
  <c r="X10" i="5"/>
  <c r="W10" i="5"/>
  <c r="V10" i="5"/>
  <c r="G10" i="5"/>
  <c r="F10" i="5"/>
  <c r="E10" i="5"/>
  <c r="D10" i="5"/>
  <c r="C10" i="5"/>
  <c r="B10" i="5"/>
  <c r="A10" i="5"/>
  <c r="Y9" i="5"/>
  <c r="X9" i="5"/>
  <c r="F11" i="1" s="1"/>
  <c r="W9" i="5"/>
  <c r="V9" i="5"/>
  <c r="U9" i="5" s="1"/>
  <c r="G9" i="5"/>
  <c r="F9" i="5"/>
  <c r="E9" i="5"/>
  <c r="D9" i="5"/>
  <c r="C9" i="5"/>
  <c r="B9" i="5"/>
  <c r="A9" i="5"/>
  <c r="Y8" i="5"/>
  <c r="X8" i="5"/>
  <c r="W8" i="5"/>
  <c r="V8" i="5"/>
  <c r="U8" i="5" s="1"/>
  <c r="Z8" i="5" s="1"/>
  <c r="G8" i="5"/>
  <c r="F8" i="5"/>
  <c r="E8" i="5"/>
  <c r="D8" i="5"/>
  <c r="C8" i="5"/>
  <c r="B8" i="5"/>
  <c r="A8" i="5"/>
  <c r="Y7" i="5"/>
  <c r="X7" i="5"/>
  <c r="W7" i="5"/>
  <c r="V7" i="5"/>
  <c r="Z7" i="5" s="1"/>
  <c r="U7" i="5"/>
  <c r="G7" i="5"/>
  <c r="F7" i="5"/>
  <c r="E7" i="5"/>
  <c r="D7" i="5"/>
  <c r="C7" i="5"/>
  <c r="B7" i="5"/>
  <c r="A7" i="5"/>
  <c r="Y6" i="5"/>
  <c r="X6" i="5"/>
  <c r="W6" i="5"/>
  <c r="V6" i="5"/>
  <c r="Z6" i="5" s="1"/>
  <c r="U6" i="5"/>
  <c r="G6" i="5"/>
  <c r="F6" i="5"/>
  <c r="E6" i="5"/>
  <c r="D6" i="5"/>
  <c r="C6" i="5"/>
  <c r="B6" i="5"/>
  <c r="A6" i="5"/>
  <c r="Y5" i="5"/>
  <c r="X5" i="5"/>
  <c r="W5" i="5"/>
  <c r="V5" i="5"/>
  <c r="U5" i="5"/>
  <c r="Z5" i="5" s="1"/>
  <c r="G5" i="5"/>
  <c r="F5" i="5"/>
  <c r="E5" i="5"/>
  <c r="D5" i="5"/>
  <c r="C5" i="5"/>
  <c r="B5" i="5"/>
  <c r="A5" i="5"/>
  <c r="Y4" i="5"/>
  <c r="X4" i="5"/>
  <c r="W4" i="5"/>
  <c r="C187" i="4" s="1"/>
  <c r="V4" i="5"/>
  <c r="Z4" i="5" s="1"/>
  <c r="U4" i="5"/>
  <c r="G4" i="5"/>
  <c r="F4" i="5"/>
  <c r="E4" i="5"/>
  <c r="D4" i="5"/>
  <c r="C4" i="5"/>
  <c r="B4" i="5"/>
  <c r="A4" i="5"/>
  <c r="G175" i="4"/>
  <c r="F175" i="4"/>
  <c r="E175" i="4"/>
  <c r="D175" i="4"/>
  <c r="C175" i="4"/>
  <c r="B175" i="4"/>
  <c r="A175" i="4"/>
  <c r="G174" i="4"/>
  <c r="F174" i="4"/>
  <c r="E174" i="4"/>
  <c r="D174" i="4"/>
  <c r="C174" i="4"/>
  <c r="B174" i="4"/>
  <c r="A174" i="4"/>
  <c r="G173" i="4"/>
  <c r="F173" i="4"/>
  <c r="E173" i="4"/>
  <c r="D173" i="4"/>
  <c r="C173" i="4"/>
  <c r="B173" i="4"/>
  <c r="A173" i="4"/>
  <c r="G172" i="4"/>
  <c r="F172" i="4"/>
  <c r="E172" i="4"/>
  <c r="D172" i="4"/>
  <c r="C172" i="4"/>
  <c r="B172" i="4"/>
  <c r="A172" i="4"/>
  <c r="G171" i="4"/>
  <c r="F171" i="4"/>
  <c r="E171" i="4"/>
  <c r="D171" i="4"/>
  <c r="C171" i="4"/>
  <c r="B171" i="4"/>
  <c r="A171" i="4"/>
  <c r="G170" i="4"/>
  <c r="F170" i="4"/>
  <c r="E170" i="4"/>
  <c r="D170" i="4"/>
  <c r="C170" i="4"/>
  <c r="B170" i="4"/>
  <c r="A170" i="4"/>
  <c r="G169" i="4"/>
  <c r="F169" i="4"/>
  <c r="E169" i="4"/>
  <c r="D169" i="4"/>
  <c r="C169" i="4"/>
  <c r="B169" i="4"/>
  <c r="A169" i="4"/>
  <c r="G168" i="4"/>
  <c r="F168" i="4"/>
  <c r="E168" i="4"/>
  <c r="D168" i="4"/>
  <c r="C168" i="4"/>
  <c r="B168" i="4"/>
  <c r="A168" i="4"/>
  <c r="G167" i="4"/>
  <c r="F167" i="4"/>
  <c r="E167" i="4"/>
  <c r="D167" i="4"/>
  <c r="C167" i="4"/>
  <c r="B167" i="4"/>
  <c r="A167" i="4"/>
  <c r="G166" i="4"/>
  <c r="F166" i="4"/>
  <c r="E166" i="4"/>
  <c r="D166" i="4"/>
  <c r="C166" i="4"/>
  <c r="B166" i="4"/>
  <c r="A166" i="4"/>
  <c r="G165" i="4"/>
  <c r="F165" i="4"/>
  <c r="E165" i="4"/>
  <c r="D165" i="4"/>
  <c r="C165" i="4"/>
  <c r="B165" i="4"/>
  <c r="A165" i="4"/>
  <c r="G164" i="4"/>
  <c r="F164" i="4"/>
  <c r="E164" i="4"/>
  <c r="D164" i="4"/>
  <c r="C164" i="4"/>
  <c r="B164" i="4"/>
  <c r="A164" i="4"/>
  <c r="G163" i="4"/>
  <c r="F163" i="4"/>
  <c r="E163" i="4"/>
  <c r="D163" i="4"/>
  <c r="C163" i="4"/>
  <c r="B163" i="4"/>
  <c r="A163" i="4"/>
  <c r="G162" i="4"/>
  <c r="F162" i="4"/>
  <c r="E162" i="4"/>
  <c r="D162" i="4"/>
  <c r="C162" i="4"/>
  <c r="B162" i="4"/>
  <c r="A162" i="4"/>
  <c r="G161" i="4"/>
  <c r="F161" i="4"/>
  <c r="E161" i="4"/>
  <c r="D161" i="4"/>
  <c r="C161" i="4"/>
  <c r="B161" i="4"/>
  <c r="A161" i="4"/>
  <c r="G160" i="4"/>
  <c r="F160" i="4"/>
  <c r="E160" i="4"/>
  <c r="D160" i="4"/>
  <c r="C160" i="4"/>
  <c r="B160" i="4"/>
  <c r="A160" i="4"/>
  <c r="G159" i="4"/>
  <c r="F159" i="4"/>
  <c r="E159" i="4"/>
  <c r="D159" i="4"/>
  <c r="C159" i="4"/>
  <c r="B159" i="4"/>
  <c r="A159" i="4"/>
  <c r="G158" i="4"/>
  <c r="F158" i="4"/>
  <c r="E158" i="4"/>
  <c r="D158" i="4"/>
  <c r="C158" i="4"/>
  <c r="B158" i="4"/>
  <c r="A158" i="4"/>
  <c r="G157" i="4"/>
  <c r="F157" i="4"/>
  <c r="E157" i="4"/>
  <c r="D157" i="4"/>
  <c r="C157" i="4"/>
  <c r="B157" i="4"/>
  <c r="A157" i="4"/>
  <c r="G156" i="4"/>
  <c r="F156" i="4"/>
  <c r="E156" i="4"/>
  <c r="D156" i="4"/>
  <c r="C156" i="4"/>
  <c r="B156" i="4"/>
  <c r="A156" i="4"/>
  <c r="G155" i="4"/>
  <c r="F155" i="4"/>
  <c r="E155" i="4"/>
  <c r="D155" i="4"/>
  <c r="C155" i="4"/>
  <c r="B155" i="4"/>
  <c r="A155" i="4"/>
  <c r="G154" i="4"/>
  <c r="F154" i="4"/>
  <c r="E154" i="4"/>
  <c r="D154" i="4"/>
  <c r="C154" i="4"/>
  <c r="B154" i="4"/>
  <c r="A154" i="4"/>
  <c r="G153" i="4"/>
  <c r="F153" i="4"/>
  <c r="E153" i="4"/>
  <c r="D153" i="4"/>
  <c r="C153" i="4"/>
  <c r="B153" i="4"/>
  <c r="A153" i="4"/>
  <c r="G152" i="4"/>
  <c r="F152" i="4"/>
  <c r="E152" i="4"/>
  <c r="D152" i="4"/>
  <c r="C152" i="4"/>
  <c r="B152" i="4"/>
  <c r="A152" i="4"/>
  <c r="G151" i="4"/>
  <c r="F151" i="4"/>
  <c r="E151" i="4"/>
  <c r="D151" i="4"/>
  <c r="C151" i="4"/>
  <c r="B151" i="4"/>
  <c r="A151" i="4"/>
  <c r="G150" i="4"/>
  <c r="F150" i="4"/>
  <c r="E150" i="4"/>
  <c r="D150" i="4"/>
  <c r="C150" i="4"/>
  <c r="B150" i="4"/>
  <c r="A150" i="4"/>
  <c r="G149" i="4"/>
  <c r="F149" i="4"/>
  <c r="E149" i="4"/>
  <c r="D149" i="4"/>
  <c r="C149" i="4"/>
  <c r="B149" i="4"/>
  <c r="A149" i="4"/>
  <c r="G148" i="4"/>
  <c r="F148" i="4"/>
  <c r="E148" i="4"/>
  <c r="D148" i="4"/>
  <c r="C148" i="4"/>
  <c r="B148" i="4"/>
  <c r="A148" i="4"/>
  <c r="G147" i="4"/>
  <c r="F147" i="4"/>
  <c r="E147" i="4"/>
  <c r="D147" i="4"/>
  <c r="C147" i="4"/>
  <c r="B147" i="4"/>
  <c r="A147" i="4"/>
  <c r="G146" i="4"/>
  <c r="F146" i="4"/>
  <c r="E146" i="4"/>
  <c r="D146" i="4"/>
  <c r="C146" i="4"/>
  <c r="B146" i="4"/>
  <c r="A146" i="4"/>
  <c r="G145" i="4"/>
  <c r="F145" i="4"/>
  <c r="E145" i="4"/>
  <c r="D145" i="4"/>
  <c r="C145" i="4"/>
  <c r="B145" i="4"/>
  <c r="A145" i="4"/>
  <c r="G144" i="4"/>
  <c r="F144" i="4"/>
  <c r="E144" i="4"/>
  <c r="D144" i="4"/>
  <c r="C144" i="4"/>
  <c r="B144" i="4"/>
  <c r="A144" i="4"/>
  <c r="G143" i="4"/>
  <c r="F143" i="4"/>
  <c r="E143" i="4"/>
  <c r="D143" i="4"/>
  <c r="C143" i="4"/>
  <c r="B143" i="4"/>
  <c r="A143" i="4"/>
  <c r="G142" i="4"/>
  <c r="F142" i="4"/>
  <c r="E142" i="4"/>
  <c r="D142" i="4"/>
  <c r="C142" i="4"/>
  <c r="B142" i="4"/>
  <c r="A142" i="4"/>
  <c r="G141" i="4"/>
  <c r="F141" i="4"/>
  <c r="E141" i="4"/>
  <c r="D141" i="4"/>
  <c r="C141" i="4"/>
  <c r="B141" i="4"/>
  <c r="A141" i="4"/>
  <c r="G140" i="4"/>
  <c r="F140" i="4"/>
  <c r="E140" i="4"/>
  <c r="D140" i="4"/>
  <c r="C140" i="4"/>
  <c r="B140" i="4"/>
  <c r="A140" i="4"/>
  <c r="G139" i="4"/>
  <c r="F139" i="4"/>
  <c r="E139" i="4"/>
  <c r="D139" i="4"/>
  <c r="C139" i="4"/>
  <c r="B139" i="4"/>
  <c r="A139" i="4"/>
  <c r="G138" i="4"/>
  <c r="F138" i="4"/>
  <c r="E138" i="4"/>
  <c r="D138" i="4"/>
  <c r="C138" i="4"/>
  <c r="B138" i="4"/>
  <c r="A138" i="4"/>
  <c r="G137" i="4"/>
  <c r="F137" i="4"/>
  <c r="E137" i="4"/>
  <c r="D137" i="4"/>
  <c r="C137" i="4"/>
  <c r="B137" i="4"/>
  <c r="A137" i="4"/>
  <c r="G136" i="4"/>
  <c r="F136" i="4"/>
  <c r="E136" i="4"/>
  <c r="D136" i="4"/>
  <c r="C136" i="4"/>
  <c r="B136" i="4"/>
  <c r="A136" i="4"/>
  <c r="G135" i="4"/>
  <c r="F135" i="4"/>
  <c r="E135" i="4"/>
  <c r="D135" i="4"/>
  <c r="C135" i="4"/>
  <c r="B135" i="4"/>
  <c r="A135" i="4"/>
  <c r="G134" i="4"/>
  <c r="F134" i="4"/>
  <c r="E134" i="4"/>
  <c r="D134" i="4"/>
  <c r="C134" i="4"/>
  <c r="B134" i="4"/>
  <c r="A134" i="4"/>
  <c r="G133" i="4"/>
  <c r="F133" i="4"/>
  <c r="E133" i="4"/>
  <c r="D133" i="4"/>
  <c r="C133" i="4"/>
  <c r="B133" i="4"/>
  <c r="A133" i="4"/>
  <c r="G132" i="4"/>
  <c r="F132" i="4"/>
  <c r="E132" i="4"/>
  <c r="D132" i="4"/>
  <c r="C132" i="4"/>
  <c r="B132" i="4"/>
  <c r="A132" i="4"/>
  <c r="G131" i="4"/>
  <c r="F131" i="4"/>
  <c r="E131" i="4"/>
  <c r="D131" i="4"/>
  <c r="C131" i="4"/>
  <c r="B131" i="4"/>
  <c r="A131" i="4"/>
  <c r="G130" i="4"/>
  <c r="F130" i="4"/>
  <c r="E130" i="4"/>
  <c r="D130" i="4"/>
  <c r="C130" i="4"/>
  <c r="B130" i="4"/>
  <c r="A130" i="4"/>
  <c r="G129" i="4"/>
  <c r="F129" i="4"/>
  <c r="E129" i="4"/>
  <c r="D129" i="4"/>
  <c r="C129" i="4"/>
  <c r="B129" i="4"/>
  <c r="A129" i="4"/>
  <c r="G128" i="4"/>
  <c r="F128" i="4"/>
  <c r="E128" i="4"/>
  <c r="D128" i="4"/>
  <c r="C128" i="4"/>
  <c r="B128" i="4"/>
  <c r="A128" i="4"/>
  <c r="G127" i="4"/>
  <c r="F127" i="4"/>
  <c r="E127" i="4"/>
  <c r="D127" i="4"/>
  <c r="C127" i="4"/>
  <c r="B127" i="4"/>
  <c r="A127" i="4"/>
  <c r="G126" i="4"/>
  <c r="F126" i="4"/>
  <c r="E126" i="4"/>
  <c r="D126" i="4"/>
  <c r="C126" i="4"/>
  <c r="B126" i="4"/>
  <c r="A126" i="4"/>
  <c r="G125" i="4"/>
  <c r="F125" i="4"/>
  <c r="E125" i="4"/>
  <c r="D125" i="4"/>
  <c r="C125" i="4"/>
  <c r="B125" i="4"/>
  <c r="A125" i="4"/>
  <c r="G124" i="4"/>
  <c r="F124" i="4"/>
  <c r="E124" i="4"/>
  <c r="D124" i="4"/>
  <c r="C124" i="4"/>
  <c r="B124" i="4"/>
  <c r="A124" i="4"/>
  <c r="G123" i="4"/>
  <c r="F123" i="4"/>
  <c r="E123" i="4"/>
  <c r="D123" i="4"/>
  <c r="C123" i="4"/>
  <c r="B123" i="4"/>
  <c r="A123" i="4"/>
  <c r="G122" i="4"/>
  <c r="F122" i="4"/>
  <c r="E122" i="4"/>
  <c r="D122" i="4"/>
  <c r="C122" i="4"/>
  <c r="B122" i="4"/>
  <c r="A122" i="4"/>
  <c r="G121" i="4"/>
  <c r="F121" i="4"/>
  <c r="E121" i="4"/>
  <c r="D121" i="4"/>
  <c r="C121" i="4"/>
  <c r="B121" i="4"/>
  <c r="A121" i="4"/>
  <c r="G120" i="4"/>
  <c r="F120" i="4"/>
  <c r="E120" i="4"/>
  <c r="D120" i="4"/>
  <c r="C120" i="4"/>
  <c r="B120" i="4"/>
  <c r="A120" i="4"/>
  <c r="G119" i="4"/>
  <c r="F119" i="4"/>
  <c r="E119" i="4"/>
  <c r="D119" i="4"/>
  <c r="C119" i="4"/>
  <c r="B119" i="4"/>
  <c r="A119" i="4"/>
  <c r="G118" i="4"/>
  <c r="F118" i="4"/>
  <c r="E118" i="4"/>
  <c r="D118" i="4"/>
  <c r="C118" i="4"/>
  <c r="B118" i="4"/>
  <c r="A118" i="4"/>
  <c r="G117" i="4"/>
  <c r="F117" i="4"/>
  <c r="E117" i="4"/>
  <c r="D117" i="4"/>
  <c r="C117" i="4"/>
  <c r="B117" i="4"/>
  <c r="A117" i="4"/>
  <c r="G116" i="4"/>
  <c r="F116" i="4"/>
  <c r="E116" i="4"/>
  <c r="D116" i="4"/>
  <c r="C116" i="4"/>
  <c r="B116" i="4"/>
  <c r="A116" i="4"/>
  <c r="G115" i="4"/>
  <c r="F115" i="4"/>
  <c r="E115" i="4"/>
  <c r="D115" i="4"/>
  <c r="C115" i="4"/>
  <c r="B115" i="4"/>
  <c r="A115" i="4"/>
  <c r="G114" i="4"/>
  <c r="F114" i="4"/>
  <c r="E114" i="4"/>
  <c r="D114" i="4"/>
  <c r="C114" i="4"/>
  <c r="B114" i="4"/>
  <c r="A114" i="4"/>
  <c r="G113" i="4"/>
  <c r="F113" i="4"/>
  <c r="E113" i="4"/>
  <c r="D113" i="4"/>
  <c r="C113" i="4"/>
  <c r="B113" i="4"/>
  <c r="A113" i="4"/>
  <c r="G112" i="4"/>
  <c r="F112" i="4"/>
  <c r="E112" i="4"/>
  <c r="D112" i="4"/>
  <c r="C112" i="4"/>
  <c r="B112" i="4"/>
  <c r="A112" i="4"/>
  <c r="G111" i="4"/>
  <c r="F111" i="4"/>
  <c r="E111" i="4"/>
  <c r="D111" i="4"/>
  <c r="C111" i="4"/>
  <c r="B111" i="4"/>
  <c r="A111" i="4"/>
  <c r="G110" i="4"/>
  <c r="F110" i="4"/>
  <c r="E110" i="4"/>
  <c r="D110" i="4"/>
  <c r="C110" i="4"/>
  <c r="B110" i="4"/>
  <c r="A110" i="4"/>
  <c r="G109" i="4"/>
  <c r="F109" i="4"/>
  <c r="E109" i="4"/>
  <c r="D109" i="4"/>
  <c r="C109" i="4"/>
  <c r="B109" i="4"/>
  <c r="A109" i="4"/>
  <c r="G108" i="4"/>
  <c r="F108" i="4"/>
  <c r="E108" i="4"/>
  <c r="D108" i="4"/>
  <c r="C108" i="4"/>
  <c r="B108" i="4"/>
  <c r="A108" i="4"/>
  <c r="G107" i="4"/>
  <c r="F107" i="4"/>
  <c r="E107" i="4"/>
  <c r="D107" i="4"/>
  <c r="C107" i="4"/>
  <c r="B107" i="4"/>
  <c r="A107" i="4"/>
  <c r="G106" i="4"/>
  <c r="F106" i="4"/>
  <c r="E106" i="4"/>
  <c r="D106" i="4"/>
  <c r="C106" i="4"/>
  <c r="B106" i="4"/>
  <c r="A106" i="4"/>
  <c r="G105" i="4"/>
  <c r="F105" i="4"/>
  <c r="E105" i="4"/>
  <c r="D105" i="4"/>
  <c r="C105" i="4"/>
  <c r="B105" i="4"/>
  <c r="A105" i="4"/>
  <c r="G104" i="4"/>
  <c r="F104" i="4"/>
  <c r="E104" i="4"/>
  <c r="D104" i="4"/>
  <c r="C104" i="4"/>
  <c r="B104" i="4"/>
  <c r="A104" i="4"/>
  <c r="G103" i="4"/>
  <c r="F103" i="4"/>
  <c r="E103" i="4"/>
  <c r="D103" i="4"/>
  <c r="C103" i="4"/>
  <c r="B103" i="4"/>
  <c r="A103" i="4"/>
  <c r="G102" i="4"/>
  <c r="F102" i="4"/>
  <c r="E102" i="4"/>
  <c r="D102" i="4"/>
  <c r="C102" i="4"/>
  <c r="B102" i="4"/>
  <c r="A102" i="4"/>
  <c r="G101" i="4"/>
  <c r="F101" i="4"/>
  <c r="E101" i="4"/>
  <c r="D101" i="4"/>
  <c r="C101" i="4"/>
  <c r="B101" i="4"/>
  <c r="A101" i="4"/>
  <c r="G100" i="4"/>
  <c r="F100" i="4"/>
  <c r="E100" i="4"/>
  <c r="D100" i="4"/>
  <c r="C100" i="4"/>
  <c r="B100" i="4"/>
  <c r="A100" i="4"/>
  <c r="G99" i="4"/>
  <c r="F99" i="4"/>
  <c r="E99" i="4"/>
  <c r="D99" i="4"/>
  <c r="C99" i="4"/>
  <c r="B99" i="4"/>
  <c r="A99" i="4"/>
  <c r="G98" i="4"/>
  <c r="F98" i="4"/>
  <c r="E98" i="4"/>
  <c r="D98" i="4"/>
  <c r="C98" i="4"/>
  <c r="B98" i="4"/>
  <c r="A98" i="4"/>
  <c r="G97" i="4"/>
  <c r="F97" i="4"/>
  <c r="E97" i="4"/>
  <c r="D97" i="4"/>
  <c r="C97" i="4"/>
  <c r="B97" i="4"/>
  <c r="A97" i="4"/>
  <c r="G96" i="4"/>
  <c r="F96" i="4"/>
  <c r="E96" i="4"/>
  <c r="D96" i="4"/>
  <c r="C96" i="4"/>
  <c r="B96" i="4"/>
  <c r="A96" i="4"/>
  <c r="H89" i="4"/>
  <c r="G89" i="4"/>
  <c r="F89" i="4"/>
  <c r="E89" i="4"/>
  <c r="D89" i="4"/>
  <c r="C89" i="4"/>
  <c r="B89" i="4"/>
  <c r="A89" i="4"/>
  <c r="H88" i="4"/>
  <c r="G88" i="4"/>
  <c r="F88" i="4"/>
  <c r="E88" i="4"/>
  <c r="D88" i="4"/>
  <c r="C88" i="4"/>
  <c r="B88" i="4"/>
  <c r="A88" i="4"/>
  <c r="H87" i="4"/>
  <c r="G87" i="4"/>
  <c r="F87" i="4"/>
  <c r="E87" i="4"/>
  <c r="D87" i="4"/>
  <c r="C87" i="4"/>
  <c r="B87" i="4"/>
  <c r="A87" i="4"/>
  <c r="H86" i="4"/>
  <c r="G86" i="4"/>
  <c r="F86" i="4"/>
  <c r="E86" i="4"/>
  <c r="D86" i="4"/>
  <c r="C86" i="4"/>
  <c r="B86" i="4"/>
  <c r="A86" i="4"/>
  <c r="H85" i="4"/>
  <c r="G85" i="4"/>
  <c r="F85" i="4"/>
  <c r="E85" i="4"/>
  <c r="D85" i="4"/>
  <c r="C85" i="4"/>
  <c r="B85" i="4"/>
  <c r="A85" i="4"/>
  <c r="H84" i="4"/>
  <c r="G84" i="4"/>
  <c r="F84" i="4"/>
  <c r="E84" i="4"/>
  <c r="D84" i="4"/>
  <c r="C84" i="4"/>
  <c r="B84" i="4"/>
  <c r="A84" i="4"/>
  <c r="H83" i="4"/>
  <c r="G83" i="4"/>
  <c r="F83" i="4"/>
  <c r="E83" i="4"/>
  <c r="D83" i="4"/>
  <c r="C83" i="4"/>
  <c r="B83" i="4"/>
  <c r="A83" i="4"/>
  <c r="H82" i="4"/>
  <c r="G82" i="4"/>
  <c r="F82" i="4"/>
  <c r="E82" i="4"/>
  <c r="D82" i="4"/>
  <c r="C82" i="4"/>
  <c r="B82" i="4"/>
  <c r="A82" i="4"/>
  <c r="H81" i="4"/>
  <c r="G81" i="4"/>
  <c r="F81" i="4"/>
  <c r="E81" i="4"/>
  <c r="D81" i="4"/>
  <c r="C81" i="4"/>
  <c r="B81" i="4"/>
  <c r="A81" i="4"/>
  <c r="H80" i="4"/>
  <c r="G80" i="4"/>
  <c r="F80" i="4"/>
  <c r="E80" i="4"/>
  <c r="D80" i="4"/>
  <c r="C80" i="4"/>
  <c r="B80" i="4"/>
  <c r="A80" i="4"/>
  <c r="H79" i="4"/>
  <c r="G79" i="4"/>
  <c r="F79" i="4"/>
  <c r="E79" i="4"/>
  <c r="D79" i="4"/>
  <c r="C79" i="4"/>
  <c r="B79" i="4"/>
  <c r="A79" i="4"/>
  <c r="H78" i="4"/>
  <c r="G78" i="4"/>
  <c r="F78" i="4"/>
  <c r="E78" i="4"/>
  <c r="D78" i="4"/>
  <c r="C78" i="4"/>
  <c r="B78" i="4"/>
  <c r="A78" i="4"/>
  <c r="H77" i="4"/>
  <c r="G77" i="4"/>
  <c r="F77" i="4"/>
  <c r="E77" i="4"/>
  <c r="D77" i="4"/>
  <c r="C77" i="4"/>
  <c r="B77" i="4"/>
  <c r="A77" i="4"/>
  <c r="H76" i="4"/>
  <c r="G76" i="4"/>
  <c r="F76" i="4"/>
  <c r="E76" i="4"/>
  <c r="D76" i="4"/>
  <c r="C76" i="4"/>
  <c r="B76" i="4"/>
  <c r="A76" i="4"/>
  <c r="H75" i="4"/>
  <c r="G75" i="4"/>
  <c r="F75" i="4"/>
  <c r="E75" i="4"/>
  <c r="D75" i="4"/>
  <c r="C75" i="4"/>
  <c r="B75" i="4"/>
  <c r="A75" i="4"/>
  <c r="H74" i="4"/>
  <c r="G74" i="4"/>
  <c r="F74" i="4"/>
  <c r="E74" i="4"/>
  <c r="D74" i="4"/>
  <c r="C74" i="4"/>
  <c r="B74" i="4"/>
  <c r="A74" i="4"/>
  <c r="H73" i="4"/>
  <c r="G73" i="4"/>
  <c r="F73" i="4"/>
  <c r="E73" i="4"/>
  <c r="D73" i="4"/>
  <c r="C73" i="4"/>
  <c r="B73" i="4"/>
  <c r="A73" i="4"/>
  <c r="H72" i="4"/>
  <c r="G72" i="4"/>
  <c r="F72" i="4"/>
  <c r="E72" i="4"/>
  <c r="D72" i="4"/>
  <c r="C72" i="4"/>
  <c r="B72" i="4"/>
  <c r="A72" i="4"/>
  <c r="H71" i="4"/>
  <c r="G71" i="4"/>
  <c r="F71" i="4"/>
  <c r="E71" i="4"/>
  <c r="D71" i="4"/>
  <c r="C71" i="4"/>
  <c r="B71" i="4"/>
  <c r="A71" i="4"/>
  <c r="H70" i="4"/>
  <c r="G70" i="4"/>
  <c r="F70" i="4"/>
  <c r="E70" i="4"/>
  <c r="D70" i="4"/>
  <c r="C70" i="4"/>
  <c r="B70" i="4"/>
  <c r="A70" i="4"/>
  <c r="H69" i="4"/>
  <c r="G69" i="4"/>
  <c r="F69" i="4"/>
  <c r="E69" i="4"/>
  <c r="D69" i="4"/>
  <c r="C69" i="4"/>
  <c r="B69" i="4"/>
  <c r="A69" i="4"/>
  <c r="H68" i="4"/>
  <c r="G68" i="4"/>
  <c r="F68" i="4"/>
  <c r="E68" i="4"/>
  <c r="D68" i="4"/>
  <c r="C68" i="4"/>
  <c r="B68" i="4"/>
  <c r="A68" i="4"/>
  <c r="H67" i="4"/>
  <c r="G67" i="4"/>
  <c r="F67" i="4"/>
  <c r="E67" i="4"/>
  <c r="D67" i="4"/>
  <c r="C67" i="4"/>
  <c r="B67" i="4"/>
  <c r="A67" i="4"/>
  <c r="H66" i="4"/>
  <c r="G66" i="4"/>
  <c r="F66" i="4"/>
  <c r="E66" i="4"/>
  <c r="D66" i="4"/>
  <c r="C66" i="4"/>
  <c r="B66" i="4"/>
  <c r="A66" i="4"/>
  <c r="H65" i="4"/>
  <c r="G65" i="4"/>
  <c r="F65" i="4"/>
  <c r="E65" i="4"/>
  <c r="D65" i="4"/>
  <c r="C65" i="4"/>
  <c r="B65" i="4"/>
  <c r="A65" i="4"/>
  <c r="H64" i="4"/>
  <c r="G64" i="4"/>
  <c r="F64" i="4"/>
  <c r="E64" i="4"/>
  <c r="D64" i="4"/>
  <c r="C64" i="4"/>
  <c r="B64" i="4"/>
  <c r="A64" i="4"/>
  <c r="H63" i="4"/>
  <c r="G63" i="4"/>
  <c r="F63" i="4"/>
  <c r="E63" i="4"/>
  <c r="D63" i="4"/>
  <c r="C63" i="4"/>
  <c r="B63" i="4"/>
  <c r="A63" i="4"/>
  <c r="H62" i="4"/>
  <c r="G62" i="4"/>
  <c r="F62" i="4"/>
  <c r="E62" i="4"/>
  <c r="D62" i="4"/>
  <c r="C62" i="4"/>
  <c r="B62" i="4"/>
  <c r="A62" i="4"/>
  <c r="H61" i="4"/>
  <c r="G61" i="4"/>
  <c r="F61" i="4"/>
  <c r="E61" i="4"/>
  <c r="D61" i="4"/>
  <c r="C61" i="4"/>
  <c r="B61" i="4"/>
  <c r="A61" i="4"/>
  <c r="H60" i="4"/>
  <c r="G60" i="4"/>
  <c r="F60" i="4"/>
  <c r="E60" i="4"/>
  <c r="D60" i="4"/>
  <c r="C60" i="4"/>
  <c r="B60" i="4"/>
  <c r="A60" i="4"/>
  <c r="H59" i="4"/>
  <c r="G59" i="4"/>
  <c r="F59" i="4"/>
  <c r="E59" i="4"/>
  <c r="D59" i="4"/>
  <c r="C59" i="4"/>
  <c r="B59" i="4"/>
  <c r="A59" i="4"/>
  <c r="H58" i="4"/>
  <c r="G58" i="4"/>
  <c r="F58" i="4"/>
  <c r="E58" i="4"/>
  <c r="D58" i="4"/>
  <c r="C58" i="4"/>
  <c r="B58" i="4"/>
  <c r="A58" i="4"/>
  <c r="H57" i="4"/>
  <c r="G57" i="4"/>
  <c r="F57" i="4"/>
  <c r="E57" i="4"/>
  <c r="D57" i="4"/>
  <c r="C57" i="4"/>
  <c r="B57" i="4"/>
  <c r="A57" i="4"/>
  <c r="H56" i="4"/>
  <c r="G56" i="4"/>
  <c r="F56" i="4"/>
  <c r="E56" i="4"/>
  <c r="D56" i="4"/>
  <c r="C56" i="4"/>
  <c r="B56" i="4"/>
  <c r="A56" i="4"/>
  <c r="H55" i="4"/>
  <c r="G55" i="4"/>
  <c r="F55" i="4"/>
  <c r="E55" i="4"/>
  <c r="D55" i="4"/>
  <c r="C55" i="4"/>
  <c r="B55" i="4"/>
  <c r="A55" i="4"/>
  <c r="H54" i="4"/>
  <c r="G54" i="4"/>
  <c r="F54" i="4"/>
  <c r="E54" i="4"/>
  <c r="D54" i="4"/>
  <c r="C54" i="4"/>
  <c r="B54" i="4"/>
  <c r="A54" i="4"/>
  <c r="H53" i="4"/>
  <c r="G53" i="4"/>
  <c r="F53" i="4"/>
  <c r="E53" i="4"/>
  <c r="D53" i="4"/>
  <c r="C53" i="4"/>
  <c r="B53" i="4"/>
  <c r="A53" i="4"/>
  <c r="H52" i="4"/>
  <c r="G52" i="4"/>
  <c r="F52" i="4"/>
  <c r="E52" i="4"/>
  <c r="D52" i="4"/>
  <c r="C52" i="4"/>
  <c r="B52" i="4"/>
  <c r="A52" i="4"/>
  <c r="H51" i="4"/>
  <c r="G51" i="4"/>
  <c r="F51" i="4"/>
  <c r="E51" i="4"/>
  <c r="D51" i="4"/>
  <c r="C51" i="4"/>
  <c r="B51" i="4"/>
  <c r="A51" i="4"/>
  <c r="H50" i="4"/>
  <c r="G50" i="4"/>
  <c r="F50" i="4"/>
  <c r="E50" i="4"/>
  <c r="D50" i="4"/>
  <c r="C50" i="4"/>
  <c r="B50" i="4"/>
  <c r="A50" i="4"/>
  <c r="H49" i="4"/>
  <c r="G49" i="4"/>
  <c r="F49" i="4"/>
  <c r="E49" i="4"/>
  <c r="D49" i="4"/>
  <c r="C49" i="4"/>
  <c r="B49" i="4"/>
  <c r="A49" i="4"/>
  <c r="H48" i="4"/>
  <c r="G48" i="4"/>
  <c r="F48" i="4"/>
  <c r="E48" i="4"/>
  <c r="D48" i="4"/>
  <c r="C48" i="4"/>
  <c r="B48" i="4"/>
  <c r="A48" i="4"/>
  <c r="H47" i="4"/>
  <c r="G47" i="4"/>
  <c r="F47" i="4"/>
  <c r="E47" i="4"/>
  <c r="D47" i="4"/>
  <c r="C47" i="4"/>
  <c r="B47" i="4"/>
  <c r="A47" i="4"/>
  <c r="H46" i="4"/>
  <c r="G46" i="4"/>
  <c r="F46" i="4"/>
  <c r="E46" i="4"/>
  <c r="D46" i="4"/>
  <c r="C46" i="4"/>
  <c r="B46" i="4"/>
  <c r="A46" i="4"/>
  <c r="H45" i="4"/>
  <c r="G45" i="4"/>
  <c r="F45" i="4"/>
  <c r="E45" i="4"/>
  <c r="D45" i="4"/>
  <c r="C45" i="4"/>
  <c r="B45" i="4"/>
  <c r="A45" i="4"/>
  <c r="H44" i="4"/>
  <c r="G44" i="4"/>
  <c r="F44" i="4"/>
  <c r="E44" i="4"/>
  <c r="D44" i="4"/>
  <c r="C44" i="4"/>
  <c r="B44" i="4"/>
  <c r="A44" i="4"/>
  <c r="H43" i="4"/>
  <c r="G43" i="4"/>
  <c r="F43" i="4"/>
  <c r="E43" i="4"/>
  <c r="D43" i="4"/>
  <c r="C43" i="4"/>
  <c r="B43" i="4"/>
  <c r="A43" i="4"/>
  <c r="H42" i="4"/>
  <c r="G42" i="4"/>
  <c r="F42" i="4"/>
  <c r="E42" i="4"/>
  <c r="D42" i="4"/>
  <c r="C42" i="4"/>
  <c r="B42" i="4"/>
  <c r="A42" i="4"/>
  <c r="H41" i="4"/>
  <c r="G41" i="4"/>
  <c r="F41" i="4"/>
  <c r="E41" i="4"/>
  <c r="D41" i="4"/>
  <c r="C41" i="4"/>
  <c r="B41" i="4"/>
  <c r="A41" i="4"/>
  <c r="H40" i="4"/>
  <c r="G40" i="4"/>
  <c r="F40" i="4"/>
  <c r="E40" i="4"/>
  <c r="D40" i="4"/>
  <c r="C40" i="4"/>
  <c r="B40" i="4"/>
  <c r="A40" i="4"/>
  <c r="H39" i="4"/>
  <c r="G39" i="4"/>
  <c r="F39" i="4"/>
  <c r="E39" i="4"/>
  <c r="D39" i="4"/>
  <c r="C39" i="4"/>
  <c r="B39" i="4"/>
  <c r="A39" i="4"/>
  <c r="H38" i="4"/>
  <c r="G38" i="4"/>
  <c r="F38" i="4"/>
  <c r="E38" i="4"/>
  <c r="D38" i="4"/>
  <c r="C38" i="4"/>
  <c r="B38" i="4"/>
  <c r="A38" i="4"/>
  <c r="H37" i="4"/>
  <c r="G37" i="4"/>
  <c r="F37" i="4"/>
  <c r="E37" i="4"/>
  <c r="D37" i="4"/>
  <c r="C37" i="4"/>
  <c r="B37" i="4"/>
  <c r="A37" i="4"/>
  <c r="H36" i="4"/>
  <c r="G36" i="4"/>
  <c r="F36" i="4"/>
  <c r="E36" i="4"/>
  <c r="D36" i="4"/>
  <c r="C36" i="4"/>
  <c r="B36" i="4"/>
  <c r="A36" i="4"/>
  <c r="H35" i="4"/>
  <c r="G35" i="4"/>
  <c r="F35" i="4"/>
  <c r="E35" i="4"/>
  <c r="D35" i="4"/>
  <c r="C35" i="4"/>
  <c r="B35" i="4"/>
  <c r="A35" i="4"/>
  <c r="H34" i="4"/>
  <c r="G34" i="4"/>
  <c r="F34" i="4"/>
  <c r="E34" i="4"/>
  <c r="D34" i="4"/>
  <c r="C34" i="4"/>
  <c r="B34" i="4"/>
  <c r="A34" i="4"/>
  <c r="H33" i="4"/>
  <c r="G33" i="4"/>
  <c r="F33" i="4"/>
  <c r="E33" i="4"/>
  <c r="D33" i="4"/>
  <c r="C33" i="4"/>
  <c r="B33" i="4"/>
  <c r="A33" i="4"/>
  <c r="H32" i="4"/>
  <c r="G32" i="4"/>
  <c r="F32" i="4"/>
  <c r="E32" i="4"/>
  <c r="D32" i="4"/>
  <c r="C32" i="4"/>
  <c r="B32" i="4"/>
  <c r="A32" i="4"/>
  <c r="H31" i="4"/>
  <c r="G31" i="4"/>
  <c r="F31" i="4"/>
  <c r="E31" i="4"/>
  <c r="D31" i="4"/>
  <c r="C31" i="4"/>
  <c r="B31" i="4"/>
  <c r="A31" i="4"/>
  <c r="H30" i="4"/>
  <c r="G30" i="4"/>
  <c r="F30" i="4"/>
  <c r="E30" i="4"/>
  <c r="D30" i="4"/>
  <c r="C30" i="4"/>
  <c r="B30" i="4"/>
  <c r="A30" i="4"/>
  <c r="H29" i="4"/>
  <c r="G29" i="4"/>
  <c r="F29" i="4"/>
  <c r="E29" i="4"/>
  <c r="D29" i="4"/>
  <c r="C29" i="4"/>
  <c r="B29" i="4"/>
  <c r="A29" i="4"/>
  <c r="H28" i="4"/>
  <c r="G28" i="4"/>
  <c r="F28" i="4"/>
  <c r="E28" i="4"/>
  <c r="D28" i="4"/>
  <c r="C28" i="4"/>
  <c r="B28" i="4"/>
  <c r="A28" i="4"/>
  <c r="H27" i="4"/>
  <c r="G27" i="4"/>
  <c r="F27" i="4"/>
  <c r="E27" i="4"/>
  <c r="D27" i="4"/>
  <c r="C27" i="4"/>
  <c r="B27" i="4"/>
  <c r="A27" i="4"/>
  <c r="H26" i="4"/>
  <c r="G26" i="4"/>
  <c r="F26" i="4"/>
  <c r="E26" i="4"/>
  <c r="D26" i="4"/>
  <c r="C26" i="4"/>
  <c r="B26" i="4"/>
  <c r="A26" i="4"/>
  <c r="H25" i="4"/>
  <c r="G25" i="4"/>
  <c r="F25" i="4"/>
  <c r="E25" i="4"/>
  <c r="D25" i="4"/>
  <c r="C25" i="4"/>
  <c r="B25" i="4"/>
  <c r="A25" i="4"/>
  <c r="H24" i="4"/>
  <c r="G24" i="4"/>
  <c r="F24" i="4"/>
  <c r="E24" i="4"/>
  <c r="D24" i="4"/>
  <c r="C24" i="4"/>
  <c r="B24" i="4"/>
  <c r="A24" i="4"/>
  <c r="H23" i="4"/>
  <c r="G23" i="4"/>
  <c r="F23" i="4"/>
  <c r="E23" i="4"/>
  <c r="D23" i="4"/>
  <c r="B23" i="4"/>
  <c r="A23" i="4"/>
  <c r="H22" i="4"/>
  <c r="G22" i="4"/>
  <c r="F22" i="4"/>
  <c r="E22" i="4"/>
  <c r="D22" i="4"/>
  <c r="C22" i="4"/>
  <c r="B22" i="4"/>
  <c r="A22" i="4"/>
  <c r="H21" i="4"/>
  <c r="G21" i="4"/>
  <c r="F21" i="4"/>
  <c r="E21" i="4"/>
  <c r="D21" i="4"/>
  <c r="C21" i="4"/>
  <c r="B21" i="4"/>
  <c r="A21" i="4"/>
  <c r="H20" i="4"/>
  <c r="G20" i="4"/>
  <c r="F20" i="4"/>
  <c r="E20" i="4"/>
  <c r="D20" i="4"/>
  <c r="C20" i="4"/>
  <c r="B20" i="4"/>
  <c r="A20" i="4"/>
  <c r="H19" i="4"/>
  <c r="G19" i="4"/>
  <c r="F19" i="4"/>
  <c r="E19" i="4"/>
  <c r="D19" i="4"/>
  <c r="C19" i="4"/>
  <c r="B19" i="4"/>
  <c r="A19" i="4"/>
  <c r="H18" i="4"/>
  <c r="G18" i="4"/>
  <c r="F18" i="4"/>
  <c r="E18" i="4"/>
  <c r="D18" i="4"/>
  <c r="C18" i="4"/>
  <c r="B18" i="4"/>
  <c r="A18" i="4"/>
  <c r="H17" i="4"/>
  <c r="G17" i="4"/>
  <c r="F17" i="4"/>
  <c r="E17" i="4"/>
  <c r="D17" i="4"/>
  <c r="C17" i="4"/>
  <c r="B17" i="4"/>
  <c r="A17" i="4"/>
  <c r="H16" i="4"/>
  <c r="G16" i="4"/>
  <c r="F16" i="4"/>
  <c r="E16" i="4"/>
  <c r="D16" i="4"/>
  <c r="C16" i="4"/>
  <c r="B16" i="4"/>
  <c r="A16" i="4"/>
  <c r="H15" i="4"/>
  <c r="G15" i="4"/>
  <c r="F15" i="4"/>
  <c r="E15" i="4"/>
  <c r="D15" i="4"/>
  <c r="C15" i="4"/>
  <c r="B15" i="4"/>
  <c r="A15" i="4"/>
  <c r="H14" i="4"/>
  <c r="G14" i="4"/>
  <c r="F14" i="4"/>
  <c r="E14" i="4"/>
  <c r="D14" i="4"/>
  <c r="C14" i="4"/>
  <c r="B14" i="4"/>
  <c r="A14" i="4"/>
  <c r="H13" i="4"/>
  <c r="G13" i="4"/>
  <c r="F13" i="4"/>
  <c r="E13" i="4"/>
  <c r="D13" i="4"/>
  <c r="C13" i="4"/>
  <c r="B13" i="4"/>
  <c r="A13" i="4"/>
  <c r="H12" i="4"/>
  <c r="G12" i="4"/>
  <c r="F12" i="4"/>
  <c r="E12" i="4"/>
  <c r="D12" i="4"/>
  <c r="C12" i="4"/>
  <c r="B12" i="4"/>
  <c r="A12" i="4"/>
  <c r="H11" i="4"/>
  <c r="G11" i="4"/>
  <c r="F11" i="4"/>
  <c r="E11" i="4"/>
  <c r="D11" i="4"/>
  <c r="C11" i="4"/>
  <c r="B11" i="4"/>
  <c r="A11" i="4"/>
  <c r="H10" i="4"/>
  <c r="G10" i="4"/>
  <c r="F10" i="4"/>
  <c r="E10" i="4"/>
  <c r="D10" i="4"/>
  <c r="C10" i="4"/>
  <c r="B10" i="4"/>
  <c r="A10" i="4"/>
  <c r="F6" i="4"/>
  <c r="E6" i="4"/>
  <c r="D6" i="4"/>
  <c r="C6" i="4"/>
  <c r="B6" i="4"/>
  <c r="A6" i="4"/>
  <c r="B3" i="4"/>
  <c r="B30" i="1"/>
  <c r="B29" i="1"/>
  <c r="B28" i="1"/>
  <c r="B27" i="1"/>
  <c r="F23" i="1"/>
  <c r="E23" i="1"/>
  <c r="D23" i="1"/>
  <c r="C23" i="1"/>
  <c r="F22" i="1"/>
  <c r="E22" i="1"/>
  <c r="D22" i="1"/>
  <c r="C22" i="1"/>
  <c r="F21" i="1"/>
  <c r="E21" i="1"/>
  <c r="D21" i="1"/>
  <c r="C21" i="1"/>
  <c r="F20" i="1"/>
  <c r="E20" i="1"/>
  <c r="D20" i="1"/>
  <c r="C20" i="1"/>
  <c r="F19" i="1"/>
  <c r="E19" i="1"/>
  <c r="D19" i="1"/>
  <c r="C19" i="1"/>
  <c r="D15" i="1"/>
  <c r="C15" i="1"/>
  <c r="B15" i="1"/>
  <c r="E11" i="1"/>
  <c r="F7" i="1"/>
  <c r="E7" i="1"/>
  <c r="D7" i="1"/>
  <c r="C7" i="1"/>
  <c r="B7" i="1"/>
  <c r="C3" i="1"/>
  <c r="T53" i="3"/>
  <c r="E53" i="3" s="1"/>
  <c r="T52" i="3"/>
  <c r="F52" i="3" s="1"/>
  <c r="T51" i="3"/>
  <c r="B51" i="3" s="1"/>
  <c r="T50" i="3"/>
  <c r="F50" i="3" s="1"/>
  <c r="T49" i="3"/>
  <c r="D49" i="3" s="1"/>
  <c r="T48" i="3"/>
  <c r="F48" i="3" s="1"/>
  <c r="T44" i="3"/>
  <c r="E44" i="3" s="1"/>
  <c r="T43" i="3"/>
  <c r="E43" i="3" s="1"/>
  <c r="T42" i="3"/>
  <c r="E42" i="3" s="1"/>
  <c r="T41" i="3"/>
  <c r="E41" i="3" s="1"/>
  <c r="T40" i="3"/>
  <c r="E40" i="3" s="1"/>
  <c r="T39" i="3"/>
  <c r="B39" i="3" s="1"/>
  <c r="T38" i="3"/>
  <c r="E38" i="3" s="1"/>
  <c r="T37" i="3"/>
  <c r="E37" i="3" s="1"/>
  <c r="T36" i="3"/>
  <c r="E36" i="3" s="1"/>
  <c r="T35" i="3"/>
  <c r="E35" i="3" s="1"/>
  <c r="T31" i="3"/>
  <c r="F31" i="3" s="1"/>
  <c r="T30" i="3"/>
  <c r="B30" i="3" s="1"/>
  <c r="T29" i="3"/>
  <c r="C29" i="3" s="1"/>
  <c r="T28" i="3"/>
  <c r="D28" i="3" s="1"/>
  <c r="T27" i="3"/>
  <c r="F27" i="3" s="1"/>
  <c r="T26" i="3"/>
  <c r="F26" i="3" s="1"/>
  <c r="D15" i="3"/>
  <c r="D14" i="3"/>
  <c r="D13" i="3"/>
  <c r="E10" i="3"/>
  <c r="D10" i="3"/>
  <c r="C10" i="3"/>
  <c r="E8" i="3"/>
  <c r="D8" i="3"/>
  <c r="C8" i="3"/>
  <c r="B27" i="3" l="1"/>
  <c r="B28" i="3"/>
  <c r="B53" i="3"/>
  <c r="F49" i="3"/>
  <c r="C35" i="3"/>
  <c r="D35" i="3"/>
  <c r="E51" i="3"/>
  <c r="C53" i="3"/>
  <c r="C39" i="3"/>
  <c r="D53" i="3"/>
  <c r="D39" i="3"/>
  <c r="F53" i="3"/>
  <c r="E39" i="3"/>
  <c r="B29" i="3"/>
  <c r="C43" i="3"/>
  <c r="D29" i="3"/>
  <c r="D43" i="3"/>
  <c r="E29" i="3"/>
  <c r="F29" i="3"/>
  <c r="C51" i="3"/>
  <c r="B35" i="3"/>
  <c r="B43" i="3"/>
  <c r="D51" i="3"/>
  <c r="C27" i="3"/>
  <c r="B48" i="3"/>
  <c r="E28" i="3"/>
  <c r="B37" i="3"/>
  <c r="F28" i="3"/>
  <c r="C37" i="3"/>
  <c r="C48" i="3"/>
  <c r="B49" i="3"/>
  <c r="E49" i="3"/>
  <c r="G22" i="3"/>
  <c r="E22" i="3"/>
  <c r="B50" i="3"/>
  <c r="D187" i="4"/>
  <c r="C50" i="3"/>
  <c r="D50" i="3"/>
  <c r="C30" i="3"/>
  <c r="D30" i="3"/>
  <c r="B41" i="3"/>
  <c r="E50" i="3"/>
  <c r="E30" i="3"/>
  <c r="C41" i="3"/>
  <c r="Z131" i="5"/>
  <c r="Z74" i="5"/>
  <c r="Z116" i="5"/>
  <c r="Z372" i="5"/>
  <c r="Z290" i="5"/>
  <c r="Z70" i="5"/>
  <c r="Z94" i="5"/>
  <c r="Z171" i="5"/>
  <c r="U142" i="5"/>
  <c r="Z142" i="5" s="1"/>
  <c r="U182" i="5"/>
  <c r="Z182" i="5" s="1"/>
  <c r="U222" i="5"/>
  <c r="U254" i="5"/>
  <c r="Z254" i="5" s="1"/>
  <c r="Z301" i="5"/>
  <c r="Z335" i="5"/>
  <c r="U340" i="5"/>
  <c r="Z340" i="5" s="1"/>
  <c r="Z641" i="5"/>
  <c r="U655" i="5"/>
  <c r="Z655" i="5" s="1"/>
  <c r="Z741" i="5"/>
  <c r="Z755" i="5"/>
  <c r="U755" i="5"/>
  <c r="Z841" i="5"/>
  <c r="U855" i="5"/>
  <c r="Z855" i="5" s="1"/>
  <c r="U918" i="5"/>
  <c r="Z217" i="5"/>
  <c r="Z512" i="5"/>
  <c r="U280" i="5"/>
  <c r="Z280" i="5" s="1"/>
  <c r="B20" i="3"/>
  <c r="D27" i="3"/>
  <c r="F30" i="3"/>
  <c r="D37" i="3"/>
  <c r="D41" i="3"/>
  <c r="D48" i="3"/>
  <c r="F51" i="3"/>
  <c r="B187" i="4"/>
  <c r="Z259" i="5"/>
  <c r="Z319" i="5"/>
  <c r="U342" i="5"/>
  <c r="Z342" i="5" s="1"/>
  <c r="Z419" i="5"/>
  <c r="U438" i="5"/>
  <c r="Z438" i="5" s="1"/>
  <c r="U464" i="5"/>
  <c r="Z464" i="5" s="1"/>
  <c r="Z519" i="5"/>
  <c r="U538" i="5"/>
  <c r="Z538" i="5"/>
  <c r="Z592" i="5"/>
  <c r="Z692" i="5"/>
  <c r="Z792" i="5"/>
  <c r="Z177" i="5"/>
  <c r="Z353" i="5"/>
  <c r="U353" i="5"/>
  <c r="Z275" i="5"/>
  <c r="Z932" i="5"/>
  <c r="C20" i="3"/>
  <c r="E27" i="3"/>
  <c r="E48" i="3"/>
  <c r="C11" i="1"/>
  <c r="Z9" i="5"/>
  <c r="U14" i="5"/>
  <c r="Z14" i="5" s="1"/>
  <c r="Z29" i="5"/>
  <c r="U34" i="5"/>
  <c r="Z34" i="5" s="1"/>
  <c r="Z49" i="5"/>
  <c r="U54" i="5"/>
  <c r="Z54" i="5" s="1"/>
  <c r="Z69" i="5"/>
  <c r="U74" i="5"/>
  <c r="Z89" i="5"/>
  <c r="U94" i="5"/>
  <c r="Z109" i="5"/>
  <c r="U114" i="5"/>
  <c r="Z114" i="5" s="1"/>
  <c r="Z126" i="5"/>
  <c r="U131" i="5"/>
  <c r="Z166" i="5"/>
  <c r="U171" i="5"/>
  <c r="Z206" i="5"/>
  <c r="U211" i="5"/>
  <c r="Z211" i="5" s="1"/>
  <c r="Z222" i="5"/>
  <c r="U290" i="5"/>
  <c r="Z293" i="5"/>
  <c r="Z296" i="5"/>
  <c r="U298" i="5"/>
  <c r="Z298" i="5" s="1"/>
  <c r="Z306" i="5"/>
  <c r="U385" i="5"/>
  <c r="Z385" i="5" s="1"/>
  <c r="Z395" i="5"/>
  <c r="Z462" i="5"/>
  <c r="Z601" i="5"/>
  <c r="Z615" i="5"/>
  <c r="U615" i="5"/>
  <c r="Z666" i="5"/>
  <c r="Z701" i="5"/>
  <c r="U715" i="5"/>
  <c r="Z715" i="5" s="1"/>
  <c r="Z801" i="5"/>
  <c r="Z815" i="5"/>
  <c r="U815" i="5"/>
  <c r="Z892" i="5"/>
  <c r="Z913" i="5"/>
  <c r="U941" i="5"/>
  <c r="Z941" i="5" s="1"/>
  <c r="U955" i="5"/>
  <c r="Z955" i="5" s="1"/>
  <c r="Z193" i="5"/>
  <c r="Z412" i="5"/>
  <c r="D20" i="3"/>
  <c r="B31" i="3"/>
  <c r="B52" i="3"/>
  <c r="Z139" i="5"/>
  <c r="U144" i="5"/>
  <c r="Z179" i="5"/>
  <c r="U184" i="5"/>
  <c r="Z184" i="5" s="1"/>
  <c r="Z219" i="5"/>
  <c r="U224" i="5"/>
  <c r="Z224" i="5" s="1"/>
  <c r="U282" i="5"/>
  <c r="Z314" i="5"/>
  <c r="Z337" i="5"/>
  <c r="Z355" i="5"/>
  <c r="Z358" i="5"/>
  <c r="Z360" i="5"/>
  <c r="U360" i="5"/>
  <c r="U370" i="5"/>
  <c r="Z450" i="5"/>
  <c r="Z495" i="5"/>
  <c r="Z552" i="5"/>
  <c r="Z880" i="5"/>
  <c r="Z155" i="5"/>
  <c r="Z158" i="5"/>
  <c r="U160" i="5"/>
  <c r="Z160" i="5" s="1"/>
  <c r="Z195" i="5"/>
  <c r="Z198" i="5"/>
  <c r="U200" i="5"/>
  <c r="Z200" i="5" s="1"/>
  <c r="Z235" i="5"/>
  <c r="Z238" i="5"/>
  <c r="U240" i="5"/>
  <c r="Z240" i="5" s="1"/>
  <c r="Z261" i="5"/>
  <c r="Z264" i="5"/>
  <c r="U266" i="5"/>
  <c r="Z266" i="5" s="1"/>
  <c r="Z321" i="5"/>
  <c r="Z324" i="5"/>
  <c r="U326" i="5"/>
  <c r="Z326" i="5" s="1"/>
  <c r="U365" i="5"/>
  <c r="Z365" i="5" s="1"/>
  <c r="Z378" i="5"/>
  <c r="U380" i="5"/>
  <c r="Z380" i="5" s="1"/>
  <c r="Z390" i="5"/>
  <c r="U421" i="5"/>
  <c r="Z421" i="5" s="1"/>
  <c r="Z452" i="5"/>
  <c r="U521" i="5"/>
  <c r="Z521" i="5" s="1"/>
  <c r="Z540" i="5"/>
  <c r="Z573" i="5"/>
  <c r="U638" i="5"/>
  <c r="Z638" i="5" s="1"/>
  <c r="Z673" i="5"/>
  <c r="U738" i="5"/>
  <c r="Z773" i="5"/>
  <c r="U838" i="5"/>
  <c r="Z838" i="5" s="1"/>
  <c r="Z873" i="5"/>
  <c r="U901" i="5"/>
  <c r="Z901" i="5" s="1"/>
  <c r="Z915" i="5"/>
  <c r="U915" i="5"/>
  <c r="F20" i="3"/>
  <c r="D31" i="3"/>
  <c r="C42" i="3"/>
  <c r="Z277" i="5"/>
  <c r="Z375" i="5"/>
  <c r="U478" i="5"/>
  <c r="Z478" i="5"/>
  <c r="Z652" i="5"/>
  <c r="Z752" i="5"/>
  <c r="Z852" i="5"/>
  <c r="Z153" i="5"/>
  <c r="C31" i="3"/>
  <c r="B38" i="3"/>
  <c r="B42" i="3"/>
  <c r="C52" i="3"/>
  <c r="C38" i="3"/>
  <c r="D52" i="3"/>
  <c r="G20" i="3"/>
  <c r="C28" i="3"/>
  <c r="E31" i="3"/>
  <c r="D38" i="3"/>
  <c r="D42" i="3"/>
  <c r="C49" i="3"/>
  <c r="E52" i="3"/>
  <c r="Z295" i="5"/>
  <c r="U300" i="5"/>
  <c r="Z300" i="5" s="1"/>
  <c r="U344" i="5"/>
  <c r="Z344" i="5" s="1"/>
  <c r="Z397" i="5"/>
  <c r="U575" i="5"/>
  <c r="Z575" i="5" s="1"/>
  <c r="Z675" i="5"/>
  <c r="U675" i="5"/>
  <c r="Z775" i="5"/>
  <c r="U775" i="5"/>
  <c r="Z861" i="5"/>
  <c r="U875" i="5"/>
  <c r="Z875" i="5" s="1"/>
  <c r="U400" i="5"/>
  <c r="Z400" i="5" s="1"/>
  <c r="E20" i="3"/>
  <c r="B22" i="3"/>
  <c r="Z141" i="5"/>
  <c r="Z144" i="5"/>
  <c r="Z181" i="5"/>
  <c r="Z221" i="5"/>
  <c r="U242" i="5"/>
  <c r="Z242" i="5" s="1"/>
  <c r="Z253" i="5"/>
  <c r="Z282" i="5"/>
  <c r="U305" i="5"/>
  <c r="Z305" i="5" s="1"/>
  <c r="Z339" i="5"/>
  <c r="Z370" i="5"/>
  <c r="Z435" i="5"/>
  <c r="Z473" i="5"/>
  <c r="Z490" i="5"/>
  <c r="Z535" i="5"/>
  <c r="U661" i="5"/>
  <c r="Z661" i="5" s="1"/>
  <c r="Z740" i="5"/>
  <c r="U761" i="5"/>
  <c r="Z761" i="5" s="1"/>
  <c r="U861" i="5"/>
  <c r="U938" i="5"/>
  <c r="C22" i="3"/>
  <c r="U16" i="5"/>
  <c r="Z16" i="5" s="1"/>
  <c r="U36" i="5"/>
  <c r="Z36" i="5" s="1"/>
  <c r="U56" i="5"/>
  <c r="Z56" i="5" s="1"/>
  <c r="U76" i="5"/>
  <c r="Z76" i="5" s="1"/>
  <c r="U96" i="5"/>
  <c r="Z96" i="5" s="1"/>
  <c r="U116" i="5"/>
  <c r="U146" i="5"/>
  <c r="Z146" i="5" s="1"/>
  <c r="U162" i="5"/>
  <c r="Z162" i="5" s="1"/>
  <c r="U186" i="5"/>
  <c r="Z186" i="5" s="1"/>
  <c r="U202" i="5"/>
  <c r="Z202" i="5" s="1"/>
  <c r="U258" i="5"/>
  <c r="Z258" i="5" s="1"/>
  <c r="U271" i="5"/>
  <c r="Z271" i="5" s="1"/>
  <c r="U292" i="5"/>
  <c r="Z292" i="5" s="1"/>
  <c r="U310" i="5"/>
  <c r="Z310" i="5" s="1"/>
  <c r="Z313" i="5"/>
  <c r="U318" i="5"/>
  <c r="Z318" i="5" s="1"/>
  <c r="Z357" i="5"/>
  <c r="U372" i="5"/>
  <c r="U406" i="5"/>
  <c r="Z406" i="5" s="1"/>
  <c r="U461" i="5"/>
  <c r="Z461" i="5" s="1"/>
  <c r="Z480" i="5"/>
  <c r="Z492" i="5"/>
  <c r="U556" i="5"/>
  <c r="Z556" i="5" s="1"/>
  <c r="U598" i="5"/>
  <c r="Z633" i="5"/>
  <c r="U698" i="5"/>
  <c r="Z733" i="5"/>
  <c r="U798" i="5"/>
  <c r="Z833" i="5"/>
  <c r="Z133" i="5"/>
  <c r="Z157" i="5"/>
  <c r="Z173" i="5"/>
  <c r="Z197" i="5"/>
  <c r="Z213" i="5"/>
  <c r="Z237" i="5"/>
  <c r="Z279" i="5"/>
  <c r="Z377" i="5"/>
  <c r="U418" i="5"/>
  <c r="Z418" i="5"/>
  <c r="U518" i="5"/>
  <c r="Z518" i="5"/>
  <c r="U570" i="5"/>
  <c r="Z570" i="5"/>
  <c r="Z612" i="5"/>
  <c r="Z712" i="5"/>
  <c r="Z812" i="5"/>
  <c r="Z952" i="5"/>
  <c r="U550" i="5"/>
  <c r="Z550" i="5" s="1"/>
  <c r="U10" i="5"/>
  <c r="B11" i="1" s="1"/>
  <c r="U30" i="5"/>
  <c r="Z30" i="5" s="1"/>
  <c r="U50" i="5"/>
  <c r="Z50" i="5" s="1"/>
  <c r="U70" i="5"/>
  <c r="U90" i="5"/>
  <c r="Z90" i="5" s="1"/>
  <c r="U110" i="5"/>
  <c r="Z110" i="5" s="1"/>
  <c r="U138" i="5"/>
  <c r="U154" i="5"/>
  <c r="Z154" i="5" s="1"/>
  <c r="U178" i="5"/>
  <c r="U194" i="5"/>
  <c r="Z194" i="5" s="1"/>
  <c r="U218" i="5"/>
  <c r="Z218" i="5" s="1"/>
  <c r="U234" i="5"/>
  <c r="Z234" i="5" s="1"/>
  <c r="Z341" i="5"/>
  <c r="U346" i="5"/>
  <c r="U354" i="5"/>
  <c r="Z621" i="5"/>
  <c r="U635" i="5"/>
  <c r="Z635" i="5" s="1"/>
  <c r="Z721" i="5"/>
  <c r="U735" i="5"/>
  <c r="Z735" i="5" s="1"/>
  <c r="Z786" i="5"/>
  <c r="Z821" i="5"/>
  <c r="Z835" i="5"/>
  <c r="U835" i="5"/>
  <c r="Z961" i="5"/>
  <c r="F22" i="3"/>
  <c r="Z297" i="5"/>
  <c r="Z475" i="5"/>
  <c r="Z912" i="5"/>
  <c r="Z137" i="5"/>
  <c r="Z455" i="5"/>
  <c r="D16" i="3"/>
  <c r="Z255" i="5"/>
  <c r="U260" i="5"/>
  <c r="Z260" i="5" s="1"/>
  <c r="Z281" i="5"/>
  <c r="Z315" i="5"/>
  <c r="U320" i="5"/>
  <c r="Z320" i="5" s="1"/>
  <c r="Z359" i="5"/>
  <c r="U401" i="5"/>
  <c r="Z401" i="5" s="1"/>
  <c r="Z432" i="5"/>
  <c r="U501" i="5"/>
  <c r="Z501" i="5" s="1"/>
  <c r="Z532" i="5"/>
  <c r="Z593" i="5"/>
  <c r="U658" i="5"/>
  <c r="Z658" i="5" s="1"/>
  <c r="Z693" i="5"/>
  <c r="U758" i="5"/>
  <c r="Z793" i="5"/>
  <c r="U858" i="5"/>
  <c r="Z900" i="5"/>
  <c r="Z921" i="5"/>
  <c r="Z233" i="5"/>
  <c r="Z159" i="5"/>
  <c r="Z199" i="5"/>
  <c r="Z239" i="5"/>
  <c r="Z302" i="5"/>
  <c r="Z379" i="5"/>
  <c r="Z394" i="5"/>
  <c r="U458" i="5"/>
  <c r="Z458" i="5" s="1"/>
  <c r="Z572" i="5"/>
  <c r="Z672" i="5"/>
  <c r="Z772" i="5"/>
  <c r="Z872" i="5"/>
  <c r="U935" i="5"/>
  <c r="Z935" i="5" s="1"/>
  <c r="Z135" i="5"/>
  <c r="Z138" i="5"/>
  <c r="Z175" i="5"/>
  <c r="Z178" i="5"/>
  <c r="Z215" i="5"/>
  <c r="Z333" i="5"/>
  <c r="Z346" i="5"/>
  <c r="Z354" i="5"/>
  <c r="Z482" i="5"/>
  <c r="Z560" i="5"/>
  <c r="U595" i="5"/>
  <c r="Z595" i="5" s="1"/>
  <c r="Z681" i="5"/>
  <c r="Z695" i="5"/>
  <c r="U695" i="5"/>
  <c r="Z746" i="5"/>
  <c r="U795" i="5"/>
  <c r="Z795" i="5" s="1"/>
  <c r="Z846" i="5"/>
  <c r="Z620" i="5"/>
  <c r="D22" i="3"/>
  <c r="B36" i="3"/>
  <c r="B40" i="3"/>
  <c r="B44" i="3"/>
  <c r="D26" i="3"/>
  <c r="C44" i="3"/>
  <c r="U262" i="5"/>
  <c r="Z262" i="5" s="1"/>
  <c r="Z273" i="5"/>
  <c r="Z299" i="5"/>
  <c r="U322" i="5"/>
  <c r="Z322" i="5" s="1"/>
  <c r="Z361" i="5"/>
  <c r="Z364" i="5"/>
  <c r="Z381" i="5"/>
  <c r="Z415" i="5"/>
  <c r="Z453" i="5"/>
  <c r="Z470" i="5"/>
  <c r="Z515" i="5"/>
  <c r="Z541" i="5"/>
  <c r="U581" i="5"/>
  <c r="Z581" i="5" s="1"/>
  <c r="Z660" i="5"/>
  <c r="U681" i="5"/>
  <c r="U781" i="5"/>
  <c r="Z781" i="5" s="1"/>
  <c r="Z860" i="5"/>
  <c r="U895" i="5"/>
  <c r="Z895" i="5" s="1"/>
  <c r="C40" i="3"/>
  <c r="E26" i="3"/>
  <c r="Z241" i="5"/>
  <c r="Z244" i="5"/>
  <c r="U246" i="5"/>
  <c r="Z246" i="5" s="1"/>
  <c r="U278" i="5"/>
  <c r="Z278" i="5" s="1"/>
  <c r="Z286" i="5"/>
  <c r="Z374" i="5"/>
  <c r="U381" i="5"/>
  <c r="U441" i="5"/>
  <c r="Z441" i="5" s="1"/>
  <c r="Z460" i="5"/>
  <c r="Z472" i="5"/>
  <c r="Z486" i="5"/>
  <c r="U541" i="5"/>
  <c r="U618" i="5"/>
  <c r="Z653" i="5"/>
  <c r="U718" i="5"/>
  <c r="Z718" i="5" s="1"/>
  <c r="Z753" i="5"/>
  <c r="U818" i="5"/>
  <c r="Z853" i="5"/>
  <c r="U958" i="5"/>
  <c r="B26" i="3"/>
  <c r="C26" i="3"/>
  <c r="C36" i="3"/>
  <c r="D36" i="3"/>
  <c r="D40" i="3"/>
  <c r="D44" i="3"/>
  <c r="Z161" i="5"/>
  <c r="Z164" i="5"/>
  <c r="Z201" i="5"/>
  <c r="Z204" i="5"/>
  <c r="Z257" i="5"/>
  <c r="Z294" i="5"/>
  <c r="Z317" i="5"/>
  <c r="U335" i="5"/>
  <c r="U398" i="5"/>
  <c r="Z398" i="5"/>
  <c r="U424" i="5"/>
  <c r="Z424" i="5" s="1"/>
  <c r="U498" i="5"/>
  <c r="Z498" i="5"/>
  <c r="U524" i="5"/>
  <c r="Z524" i="5" s="1"/>
  <c r="U555" i="5"/>
  <c r="Z555" i="5" s="1"/>
  <c r="Z632" i="5"/>
  <c r="Z732" i="5"/>
  <c r="Z832" i="5"/>
  <c r="Z590" i="5"/>
  <c r="Z610" i="5"/>
  <c r="Z630" i="5"/>
  <c r="Z650" i="5"/>
  <c r="Z670" i="5"/>
  <c r="Z690" i="5"/>
  <c r="Z710" i="5"/>
  <c r="Z730" i="5"/>
  <c r="Z750" i="5"/>
  <c r="Z770" i="5"/>
  <c r="Z790" i="5"/>
  <c r="Z810" i="5"/>
  <c r="Z830" i="5"/>
  <c r="Z850" i="5"/>
  <c r="Z870" i="5"/>
  <c r="Z890" i="5"/>
  <c r="Z910" i="5"/>
  <c r="Z930" i="5"/>
  <c r="Z950" i="5"/>
  <c r="U486" i="5"/>
  <c r="U506" i="5"/>
  <c r="Z506" i="5" s="1"/>
  <c r="U526" i="5"/>
  <c r="Z526" i="5" s="1"/>
  <c r="U546" i="5"/>
  <c r="Z546" i="5" s="1"/>
  <c r="U566" i="5"/>
  <c r="Z566" i="5" s="1"/>
  <c r="U586" i="5"/>
  <c r="Z586" i="5" s="1"/>
  <c r="U606" i="5"/>
  <c r="Z606" i="5" s="1"/>
  <c r="U626" i="5"/>
  <c r="Z626" i="5" s="1"/>
  <c r="U646" i="5"/>
  <c r="Z646" i="5" s="1"/>
  <c r="U666" i="5"/>
  <c r="U686" i="5"/>
  <c r="Z686" i="5" s="1"/>
  <c r="U706" i="5"/>
  <c r="Z706" i="5" s="1"/>
  <c r="U726" i="5"/>
  <c r="Z726" i="5" s="1"/>
  <c r="U746" i="5"/>
  <c r="U766" i="5"/>
  <c r="Z766" i="5" s="1"/>
  <c r="U786" i="5"/>
  <c r="U806" i="5"/>
  <c r="Z806" i="5" s="1"/>
  <c r="U826" i="5"/>
  <c r="Z826" i="5" s="1"/>
  <c r="U846" i="5"/>
  <c r="U866" i="5"/>
  <c r="Z866" i="5" s="1"/>
  <c r="U886" i="5"/>
  <c r="Z886" i="5" s="1"/>
  <c r="U906" i="5"/>
  <c r="Z906" i="5" s="1"/>
  <c r="U926" i="5"/>
  <c r="Z926" i="5" s="1"/>
  <c r="U946" i="5"/>
  <c r="Z946" i="5" s="1"/>
  <c r="U966" i="5"/>
  <c r="Z966" i="5" s="1"/>
  <c r="Z558" i="5"/>
  <c r="Z578" i="5"/>
  <c r="Z598" i="5"/>
  <c r="Z618" i="5"/>
  <c r="Z678" i="5"/>
  <c r="Z698" i="5"/>
  <c r="Z738" i="5"/>
  <c r="Z758" i="5"/>
  <c r="Z778" i="5"/>
  <c r="Z798" i="5"/>
  <c r="Z818" i="5"/>
  <c r="Z858" i="5"/>
  <c r="Z878" i="5"/>
  <c r="Z898" i="5"/>
  <c r="Z918" i="5"/>
  <c r="Z938" i="5"/>
  <c r="Z958" i="5"/>
  <c r="U420" i="5"/>
  <c r="Z420" i="5" s="1"/>
  <c r="U440" i="5"/>
  <c r="Z440" i="5" s="1"/>
  <c r="U460" i="5"/>
  <c r="U480" i="5"/>
  <c r="U500" i="5"/>
  <c r="Z500" i="5" s="1"/>
  <c r="U520" i="5"/>
  <c r="Z520" i="5" s="1"/>
  <c r="U540" i="5"/>
  <c r="U560" i="5"/>
  <c r="U580" i="5"/>
  <c r="Z580" i="5" s="1"/>
  <c r="U600" i="5"/>
  <c r="Z600" i="5" s="1"/>
  <c r="U620" i="5"/>
  <c r="U640" i="5"/>
  <c r="Z640" i="5" s="1"/>
  <c r="U660" i="5"/>
  <c r="U680" i="5"/>
  <c r="Z680" i="5" s="1"/>
  <c r="U700" i="5"/>
  <c r="Z700" i="5" s="1"/>
  <c r="U720" i="5"/>
  <c r="Z720" i="5" s="1"/>
  <c r="U740" i="5"/>
  <c r="U760" i="5"/>
  <c r="Z760" i="5" s="1"/>
  <c r="U780" i="5"/>
  <c r="Z780" i="5" s="1"/>
  <c r="U800" i="5"/>
  <c r="Z800" i="5" s="1"/>
  <c r="U820" i="5"/>
  <c r="Z820" i="5" s="1"/>
  <c r="U840" i="5"/>
  <c r="Z840" i="5" s="1"/>
  <c r="U860" i="5"/>
  <c r="U880" i="5"/>
  <c r="U900" i="5"/>
  <c r="U920" i="5"/>
  <c r="Z920" i="5" s="1"/>
  <c r="U940" i="5"/>
  <c r="Z940" i="5" s="1"/>
  <c r="U960" i="5"/>
  <c r="Z960" i="5" s="1"/>
  <c r="U956" i="5"/>
  <c r="Z956" i="5" s="1"/>
  <c r="U373" i="5"/>
  <c r="Z373" i="5" s="1"/>
  <c r="U393" i="5"/>
  <c r="Z393" i="5" s="1"/>
  <c r="A187" i="4" l="1"/>
  <c r="E187" i="4"/>
  <c r="Z10" i="5"/>
  <c r="D11" i="1"/>
</calcChain>
</file>

<file path=xl/sharedStrings.xml><?xml version="1.0" encoding="utf-8"?>
<sst xmlns="http://schemas.openxmlformats.org/spreadsheetml/2006/main" count="18085" uniqueCount="3895">
  <si>
    <t>Ficha de Equipo</t>
  </si>
  <si>
    <t>Elige el N° de inventario y verás todo su estado e historial</t>
  </si>
  <si>
    <t>N° Inventario:</t>
  </si>
  <si>
    <t>2-013590</t>
  </si>
  <si>
    <t>IDENTIDAD</t>
  </si>
  <si>
    <t>Equipo</t>
  </si>
  <si>
    <t>Servicio</t>
  </si>
  <si>
    <t>Ubicación</t>
  </si>
  <si>
    <t>Marca</t>
  </si>
  <si>
    <t>Modelo</t>
  </si>
  <si>
    <t>Serie</t>
  </si>
  <si>
    <t>ESTADO ACTUAL</t>
  </si>
  <si>
    <t>¿Caso correctivo abierto?</t>
  </si>
  <si>
    <t>¿En servicio técnico?</t>
  </si>
  <si>
    <t>Pendientes por hacer</t>
  </si>
  <si>
    <t>MP ejecutadas / programadas</t>
  </si>
  <si>
    <t>PREVENTIVO 2026 (por mes)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</si>
  <si>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</si>
  <si>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</si>
  <si>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</si>
  <si>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</si>
  <si>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</si>
  <si>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</si>
  <si>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</si>
  <si>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</si>
  <si>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</si>
  <si>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</si>
  <si>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</si>
  <si>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</si>
  <si>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HISTORIAL CORRECTIVO</t>
  </si>
  <si>
    <t>Folio</t>
  </si>
  <si>
    <t>Fecha OT</t>
  </si>
  <si>
    <t>Requerimiento</t>
  </si>
  <si>
    <t>Estado</t>
  </si>
  <si>
    <t>Cierre</t>
  </si>
  <si>
    <t>HISTORIAL PREVENTIVO</t>
  </si>
  <si>
    <t>Mes</t>
  </si>
  <si>
    <t>Resultado</t>
  </si>
  <si>
    <t>Fecha</t>
  </si>
  <si>
    <t>Ingeniero</t>
  </si>
  <si>
    <t>PENDIENTES DEL EQUIPO</t>
  </si>
  <si>
    <t>Tipo</t>
  </si>
  <si>
    <t>Vence</t>
  </si>
  <si>
    <t>Responsable</t>
  </si>
  <si>
    <t>Descripción</t>
  </si>
  <si>
    <t>Panel · Sistema de Gestión MP 2026</t>
  </si>
  <si>
    <t>Pulso del equipamiento clínico — HHHA · se actualiza al abrir en Excel</t>
  </si>
  <si>
    <t>Hoy:</t>
  </si>
  <si>
    <t>OPERATIVIDAD (hoy)</t>
  </si>
  <si>
    <t>Casos abiertos</t>
  </si>
  <si>
    <t>Equipos No Operativos</t>
  </si>
  <si>
    <t>En servicio técnico</t>
  </si>
  <si>
    <t>Dados de baja</t>
  </si>
  <si>
    <t>Pend. documentales</t>
  </si>
  <si>
    <t>PROGRAMA PREVENTIVO 2026</t>
  </si>
  <si>
    <t>MP programadas</t>
  </si>
  <si>
    <t>MP ejecutadas</t>
  </si>
  <si>
    <t>% avance</t>
  </si>
  <si>
    <t>Reprogramadas</t>
  </si>
  <si>
    <t>Por correctivo</t>
  </si>
  <si>
    <t>PENDIENTES (cola de acción)</t>
  </si>
  <si>
    <t>Por hacer</t>
  </si>
  <si>
    <t>Vencidos</t>
  </si>
  <si>
    <t>Completados</t>
  </si>
  <si>
    <t>EQUIPOS CRÍTICOS — en correctivo + preventivo + pendientes</t>
  </si>
  <si>
    <t>N° Inventario</t>
  </si>
  <si>
    <t>Caso abierto</t>
  </si>
  <si>
    <t>Pend. por hacer</t>
  </si>
  <si>
    <t>2-110571</t>
  </si>
  <si>
    <t>2-119890</t>
  </si>
  <si>
    <t>2-119891</t>
  </si>
  <si>
    <t>2-121203</t>
  </si>
  <si>
    <t>IR A:</t>
  </si>
  <si>
    <t>Tipo de pendiente</t>
  </si>
  <si>
    <t>Fecha compromiso</t>
  </si>
  <si>
    <t>Días de atraso</t>
  </si>
  <si>
    <t>Situación</t>
  </si>
  <si>
    <t>Prioridad</t>
  </si>
  <si>
    <t>Responsable Ejecutivo</t>
  </si>
  <si>
    <t>Responsable Administrativo</t>
  </si>
  <si>
    <t>En espera de</t>
  </si>
  <si>
    <t>Tareas</t>
  </si>
  <si>
    <t>Fecha completado</t>
  </si>
  <si>
    <t>Creado</t>
  </si>
  <si>
    <t>Máquina Diálisis</t>
  </si>
  <si>
    <t>8VCAJN39</t>
  </si>
  <si>
    <t>2-113999</t>
  </si>
  <si>
    <t>Reprogramación Mantención Preventiva</t>
  </si>
  <si>
    <t>15-06-2026</t>
  </si>
  <si>
    <t>Vencido</t>
  </si>
  <si>
    <t>Media</t>
  </si>
  <si>
    <t>Cristián Beltrán Oviedo</t>
  </si>
  <si>
    <t>Reprogramación de MP por causal C6 (MP del 30-04-2026).</t>
  </si>
  <si>
    <t>[ ] Sacar la firma del reporte de reprogramación (causal C6)</t>
  </si>
  <si>
    <t>—</t>
  </si>
  <si>
    <t>12-06-2026</t>
  </si>
  <si>
    <t>3SXA4HCP</t>
  </si>
  <si>
    <t>2-128062</t>
  </si>
  <si>
    <t>Otro</t>
  </si>
  <si>
    <t>Completado</t>
  </si>
  <si>
    <t>No se encuentra la carpeta.</t>
  </si>
  <si>
    <t>3SXA4HDJ</t>
  </si>
  <si>
    <t>2-128045</t>
  </si>
  <si>
    <t>Protocolo Interno de Mantenimiento</t>
  </si>
  <si>
    <t>Falta el protocolo interno de MP de esta máquina de diálisis.</t>
  </si>
  <si>
    <t>[ ] Conseguir/completar el protocolo interno de MP</t>
  </si>
  <si>
    <t>0VSANY78</t>
  </si>
  <si>
    <t>2-130653</t>
  </si>
  <si>
    <t>Protocolo Externo de Mantenimiento</t>
  </si>
  <si>
    <t>Falta el protocolo externo de MP de esta máquina de diálisis.</t>
  </si>
  <si>
    <t>[ ] Conseguir/completar el protocolo externo de MP</t>
  </si>
  <si>
    <t>Ventilador Mecánico</t>
  </si>
  <si>
    <t>ASFN-0008</t>
  </si>
  <si>
    <t>Ricardo Matus Aroca</t>
  </si>
  <si>
    <t>Falta el reporte de reparación (folio 19-6709).</t>
  </si>
  <si>
    <t>[ ] Conseguir el reporte de reparación (folio 19-6709) y archivarlo</t>
  </si>
  <si>
    <t>30-04-2026</t>
  </si>
  <si>
    <t>Reprogramación de MP por causal C3 (MP del 30-04-2026).</t>
  </si>
  <si>
    <t>[ ] Generar el reporte de reprogramación (causal C3 · 30-04-2026)
[ ] Imprimir el reporte de reprogramación
[ ] Firma del supervisor del servicio clínico
[ ] Firma del jefe de equipos médicos</t>
  </si>
  <si>
    <t>Monitor Multiparámetros</t>
  </si>
  <si>
    <t>5494254562</t>
  </si>
  <si>
    <t>2-007495</t>
  </si>
  <si>
    <t>Ignacio Berner Bergara</t>
  </si>
  <si>
    <t>Reprogramación de MP por causal C5 (MP del 30-04-2026).</t>
  </si>
  <si>
    <t>[ ] Generar el reporte de reprogramación (causal C5 · 30-04-2026)
[ ] Imprimir el reporte de reprogramación
[ ] Firma del supervisor del servicio clínico
[ ] Firma del jefe de equipos médicos</t>
  </si>
  <si>
    <t>Máquina de Anestesia</t>
  </si>
  <si>
    <t>ASMB-0231</t>
  </si>
  <si>
    <t>2-117816</t>
  </si>
  <si>
    <t>Falta el protocolo interno de MP y hay una causal nueva por revisar.</t>
  </si>
  <si>
    <t>[ ] Armar/conseguir el protocolo interno de MP
[ ] Revisar la causal nueva
[ ] Consultar con Marco</t>
  </si>
  <si>
    <t>5494252457</t>
  </si>
  <si>
    <t>2-016863</t>
  </si>
  <si>
    <t>40966N0126</t>
  </si>
  <si>
    <t>2-119887</t>
  </si>
  <si>
    <t>MP del 09-04-2026 (resultado Sí). Falta el reporte de MP; enviarlo a Ignacio Díaz (Medtronic) para que lo complete.</t>
  </si>
  <si>
    <t>[ ] Enviar el reporte de MP a Ignacio Díaz (Medtronic) para que lo complete
[ ] Firma de los profesionales del servicio clínico
[ ] Firma de Marco
[ ] Firma de Don Ricardo
[ ] Archivar el documento</t>
  </si>
  <si>
    <t>[ ] Generar el reporte de reprogramación (causal C6 · 30-04-2026)
[ ] Imprimir el reporte de reprogramación
[ ] Firma del supervisor del servicio clínico
[ ] Firma del jefe de equipos médicos</t>
  </si>
  <si>
    <t>40966N0134</t>
  </si>
  <si>
    <t>18-06-2026</t>
  </si>
  <si>
    <t>Vigente</t>
  </si>
  <si>
    <t>Personal Externo</t>
  </si>
  <si>
    <t>Solicitar a Ignacio Díaz (Medtronic) que envíe el protocolo de mantención preventiva firmado.</t>
  </si>
  <si>
    <t>[ ] Enviar el reporte de MP a Medtronic para que lo complete
[ ] Sacar la firma de los profesionales del servicio
[ ] Sacar la firma de Marco
[ ] Sacar la firma de Don Ricardo
[ ] Archivar el documento</t>
  </si>
  <si>
    <t>40966N0118</t>
  </si>
  <si>
    <t>Falta el protocolo de mantención preventiva interno de Medtronic.</t>
  </si>
  <si>
    <t>[ ] Enviar a Ignacio Díaz (Medtronic) el protocolo para que lo complete
[ ] Sacar la firma de Marco
[ ] Sacar la firma de Ricardo Matus
[ ] Firma del servicio clínico
[ ] Archivar el documento</t>
  </si>
  <si>
    <t>ASCL-0116</t>
  </si>
  <si>
    <t>2-003526</t>
  </si>
  <si>
    <t>Generado por la MP del 18-05-2026 (resultado Sí): falta el protocolo de MP interno.</t>
  </si>
  <si>
    <t>[Sí] Conseguir el reporte de MP interno y archivarlo</t>
  </si>
  <si>
    <t>17-06-2026</t>
  </si>
  <si>
    <t>ASJL-0081</t>
  </si>
  <si>
    <t>Actualizar en la carta Gantt el estado de la ST (solicitud de trabajo).</t>
  </si>
  <si>
    <t>[ ] Actualizar en la carta Gantt el estado de la ST</t>
  </si>
  <si>
    <t>TV01802190B</t>
  </si>
  <si>
    <t>2-116500</t>
  </si>
  <si>
    <t>El equipo regresó el 15-06-2026. Se había enviado el año pasado por falla; Don Ricardo recuerda que el envío fue por garantía, pero Andover quedó esperando una orden de compra pese a tratarse de garantía.</t>
  </si>
  <si>
    <t>[ ] Aclarar con Andover si corresponde garantía u orden de compra
[ ] Regularizar el ingreso del equipo</t>
  </si>
  <si>
    <t>ASFM-0082</t>
  </si>
  <si>
    <t>2-013598</t>
  </si>
  <si>
    <t>22-06-2026</t>
  </si>
  <si>
    <t>Generada automáticamente por la MP del 18-05-2026 (resultado Sí). Falta especificar qué acción queda pendiente.</t>
  </si>
  <si>
    <t>[ ] Definir/revisar qué falta de esta MP</t>
  </si>
  <si>
    <t>ASHK-0152</t>
  </si>
  <si>
    <t>2-110569</t>
  </si>
  <si>
    <t>ASHK-0155</t>
  </si>
  <si>
    <t>2-110568</t>
  </si>
  <si>
    <t>Generado por la MP del 20-05-2026 (resultado Sí): falta el reporte de MP interno (lo tiene Luis Hurtado).</t>
  </si>
  <si>
    <t>[ ] Solicitar a Luis Hurtado el reporte de MP interno y archivarlo</t>
  </si>
  <si>
    <t>ASHK-0157</t>
  </si>
  <si>
    <t>2-110566</t>
  </si>
  <si>
    <t>Generado por la MP del 14-05-2026 (resultado Sí): falta el reporte de MP interno (lo tiene Luis Hurtado).</t>
  </si>
  <si>
    <t>ASHK-0158</t>
  </si>
  <si>
    <t>2-110574</t>
  </si>
  <si>
    <t>Generado por la MP del 06-05-2026 (resultado Sí): falta el reporte de MP interno (lo tiene Luis Hurtado).</t>
  </si>
  <si>
    <t>ASHK-0162</t>
  </si>
  <si>
    <t>2-110575</t>
  </si>
  <si>
    <t>Generado por la MP del 13-05-2026 (resultado Sí): falta el reporte de MP interno (lo tiene Luis Hurtado).</t>
  </si>
  <si>
    <t>ASHK-0163</t>
  </si>
  <si>
    <t>2-110572</t>
  </si>
  <si>
    <t>ASJA-0096</t>
  </si>
  <si>
    <t>2-116308</t>
  </si>
  <si>
    <t>Generado por la MP del 18-05-2026 (resultado Sí): falta el reporte de MP interno (lo tiene Luis Hurtado).</t>
  </si>
  <si>
    <t>ASJA-0097</t>
  </si>
  <si>
    <t>2-116302</t>
  </si>
  <si>
    <t>ASJA-0098</t>
  </si>
  <si>
    <t>2-116303</t>
  </si>
  <si>
    <t>Generado por la MP del 07-05-2026 (resultado Sí): falta el reporte de MP interno (lo tiene Luis Hurtado).</t>
  </si>
  <si>
    <t>ASJA-0138</t>
  </si>
  <si>
    <t>2-116301</t>
  </si>
  <si>
    <t>ASJF-0008</t>
  </si>
  <si>
    <t>2-116305</t>
  </si>
  <si>
    <t>ASJL-0149</t>
  </si>
  <si>
    <t>2-116306</t>
  </si>
  <si>
    <t>ASKK-0199</t>
  </si>
  <si>
    <t>2-116291</t>
  </si>
  <si>
    <t>19-06-2026</t>
  </si>
  <si>
    <t>Generado por la MP del 15-05-2026 (resultado Sí): falta el reporte de MP interno (lo entrega Luis Hurtado).</t>
  </si>
  <si>
    <t>[ ] Solicitar a Luis Hurtado la entrega del reporte de MP interno y archivarlo</t>
  </si>
  <si>
    <t>ASKK-0201</t>
  </si>
  <si>
    <t>2-116297</t>
  </si>
  <si>
    <t>ASKL-0003</t>
  </si>
  <si>
    <t>2-116293</t>
  </si>
  <si>
    <t>Generada automáticamente por la MP del 20-05-2026 (resultado Sí). Falta especificar qué acción queda pendiente.</t>
  </si>
  <si>
    <t>ASKL-0008</t>
  </si>
  <si>
    <t>2-116295</t>
  </si>
  <si>
    <t>ASKL-0009</t>
  </si>
  <si>
    <t>2-116296</t>
  </si>
  <si>
    <t>ASNH-0098</t>
  </si>
  <si>
    <t>2-120837</t>
  </si>
  <si>
    <t>ASNK-0043</t>
  </si>
  <si>
    <t>2-120939</t>
  </si>
  <si>
    <t>[No] Protocolo de MP interno
[ ] Solicitar a Luis Hurtado el reporte de MP interno y archivarlo</t>
  </si>
  <si>
    <t>ASNK-0045</t>
  </si>
  <si>
    <t>2-120945</t>
  </si>
  <si>
    <t>[—] Protocolo de MP interno
[ ] Solicitar a Luis Hurtado el reporte de MP interno y archivarlo</t>
  </si>
  <si>
    <t>ASNK-0048</t>
  </si>
  <si>
    <t>2-120937</t>
  </si>
  <si>
    <t>ASNM-0002</t>
  </si>
  <si>
    <t>2-120948</t>
  </si>
  <si>
    <t>ASJF-0007</t>
  </si>
  <si>
    <t>2-116304</t>
  </si>
  <si>
    <t>30-05-2026</t>
  </si>
  <si>
    <t>[Sí] Imprimir el reporte de reprogramación (causal C6)</t>
  </si>
  <si>
    <t>[ ] Imprimir el reporte de reprogramación (causal C6)</t>
  </si>
  <si>
    <t>Reprogramación de MP (externa) por causal C6 (MP del 30-04-2026).</t>
  </si>
  <si>
    <t>[No] Protocolo de MP interno (lo tiene Luis Hurtado)
[Sí] Protocolo de MP externo
[ ] Imprimir el reporte de reprogramación (causal C6)</t>
  </si>
  <si>
    <t>16-06-2026</t>
  </si>
  <si>
    <t>[No] Protocolo de MP interno
[Sí] Protocolo de MP externo
[ ] Generar la reprogramación (causal C6)</t>
  </si>
  <si>
    <t>[—] Protocolo de MP interno
[—] Protocolo de MP externo
[ ] Imprimir el reporte de reprogramación (causal C6)</t>
  </si>
  <si>
    <t>12-02-2026</t>
  </si>
  <si>
    <t>Falta el protocolo de MP interno; solicitarlo a Miguel Hernández (Drager).</t>
  </si>
  <si>
    <t>[ ] Solicitar a Miguel Hernández (Drager) el reporte de MP interno y archivarlo</t>
  </si>
  <si>
    <t>Falta el informe de reparación del equipo (figura reparado el 05-06-2026).</t>
  </si>
  <si>
    <t>[ ] Conseguir el informe de reparación y archivarlo</t>
  </si>
  <si>
    <t>ASLE-0157</t>
  </si>
  <si>
    <t>2-119687</t>
  </si>
  <si>
    <t>ASFN-0006</t>
  </si>
  <si>
    <t>2-013592</t>
  </si>
  <si>
    <t>ASHK-0151</t>
  </si>
  <si>
    <t>24-04-2026</t>
  </si>
  <si>
    <t>Falta el reporte de reparación del retorno (guía 119703 · OT 2025-121109-19-10024). Gestionar con Drager Chile Ltda.</t>
  </si>
  <si>
    <t>[ ] Solicitar a Drager Chile el reporte de reparación del retorno y archivarlo</t>
  </si>
  <si>
    <t>Reprogramación de MP por causal C2 (MP del 30-04-2026).</t>
  </si>
  <si>
    <t>[ ] Generar el reporte de reprogramación (causal C2 · 30-04-2026)
[ ] Imprimir el reporte de reprogramación
[ ] Firma del supervisor del servicio clínico
[ ] Firma del jefe de equipos médicos</t>
  </si>
  <si>
    <t>El equipo regresó sin su reporte de servicio; hay que gestionarlo.</t>
  </si>
  <si>
    <t>[ ] Gestionar el reporte de servicio asociado al retorno</t>
  </si>
  <si>
    <t>Tablero</t>
  </si>
  <si>
    <t>Operatividad correctiva en tiempo real y avance del programa preventivo 2026 · se actualiza solo al cargar datos</t>
  </si>
  <si>
    <t>En Servicio Técnico</t>
  </si>
  <si>
    <t>Casos cerrados</t>
  </si>
  <si>
    <t>Pendientes documentales</t>
  </si>
  <si>
    <t>Folio SIGEM</t>
  </si>
  <si>
    <t>Estado actual</t>
  </si>
  <si>
    <t>Técnico asignado</t>
  </si>
  <si>
    <t>Días abierto</t>
  </si>
  <si>
    <t>Evento</t>
  </si>
  <si>
    <t>Nota: el «Estado actual» se calcula así — si el equipo está en Bajas muestra «Baja»; si tiene un envío a servicio técnico sin retorno registrado muestra «Servicio Técnico»; en otro caso, el estado inicial de la OT. Solo se listan casos con evento «Abierto». Los días en rojo superan los 30.</t>
  </si>
  <si>
    <t>Pendientes documentales (equipo retornado/atendido, falta Reporte de Servicio)</t>
  </si>
  <si>
    <t>Incluye casos aunque la OT esté cerrada: el equipo opera, pero falta el respaldo documental para la carpeta física.</t>
  </si>
  <si>
    <t>Origen</t>
  </si>
  <si>
    <t>Empresa</t>
  </si>
  <si>
    <t>Resp. conseguir reporte</t>
  </si>
  <si>
    <t>Resp. administrativo</t>
  </si>
  <si>
    <t>Estado OT</t>
  </si>
  <si>
    <t>Mantención preventiva 2026 — avance del programa</t>
  </si>
  <si>
    <t>Resumen anual del preventivo. El detalle por mes y por equipo está en la hoja MP Carta 2026.</t>
  </si>
  <si>
    <t>Programadas</t>
  </si>
  <si>
    <t>Ejecutadas</t>
  </si>
  <si>
    <t>Pendientes</t>
  </si>
  <si>
    <t>Atrasadas</t>
  </si>
  <si>
    <t>Programa de Mantención Preventiva 2026 — Carta de ejecución</t>
  </si>
  <si>
    <t>Un equipo por fila (los 966 de la base). Marca el código del mes en cada celda: X programada · E ejecutada · C2/C3 no ejecutada por falla · R reprogramada · B baja. La identidad del equipo se hereda de la hoja Equipos.</t>
  </si>
  <si>
    <t>Periodicidad</t>
  </si>
  <si>
    <t>x Correctivo</t>
  </si>
  <si>
    <t>E</t>
  </si>
  <si>
    <t>R</t>
  </si>
  <si>
    <t>C3</t>
  </si>
  <si>
    <t>C2</t>
  </si>
  <si>
    <t>B</t>
  </si>
  <si>
    <t>Equipo (auto)</t>
  </si>
  <si>
    <t>N° Serie (auto)</t>
  </si>
  <si>
    <t>Servicio (auto)</t>
  </si>
  <si>
    <t>Marca (auto)</t>
  </si>
  <si>
    <t>Modelo (auto)</t>
  </si>
  <si>
    <t>Mes / período programado</t>
  </si>
  <si>
    <t>Ejecución</t>
  </si>
  <si>
    <t>Empresa (si externo)</t>
  </si>
  <si>
    <t>Descripción del resultado</t>
  </si>
  <si>
    <t>Fecha de ejecución</t>
  </si>
  <si>
    <t>Estado del equipo</t>
  </si>
  <si>
    <t>Ingeniero que ejecutó</t>
  </si>
  <si>
    <t>Protocolo interno entregado</t>
  </si>
  <si>
    <t>Protocolo empresa entregado</t>
  </si>
  <si>
    <t>Observaciones</t>
  </si>
  <si>
    <t>2-115361</t>
  </si>
  <si>
    <t>Febrero</t>
  </si>
  <si>
    <t>Sí</t>
  </si>
  <si>
    <t>Mayo</t>
  </si>
  <si>
    <t>2-116070</t>
  </si>
  <si>
    <t>2-116071</t>
  </si>
  <si>
    <t>2-116018</t>
  </si>
  <si>
    <t>2-116072</t>
  </si>
  <si>
    <t>N/A</t>
  </si>
  <si>
    <t>Baja</t>
  </si>
  <si>
    <t>2-022133</t>
  </si>
  <si>
    <t>2-116019</t>
  </si>
  <si>
    <t>2-116073</t>
  </si>
  <si>
    <t>2-125347</t>
  </si>
  <si>
    <t>2-116024</t>
  </si>
  <si>
    <t>2-112137</t>
  </si>
  <si>
    <t>2-016566</t>
  </si>
  <si>
    <t>2-112138</t>
  </si>
  <si>
    <t>2-112141</t>
  </si>
  <si>
    <t>2-116025</t>
  </si>
  <si>
    <t>C7</t>
  </si>
  <si>
    <t>Marzo</t>
  </si>
  <si>
    <t>2-024094</t>
  </si>
  <si>
    <t>2-116022</t>
  </si>
  <si>
    <t>2-116017</t>
  </si>
  <si>
    <t>2-116021</t>
  </si>
  <si>
    <t>2-116023</t>
  </si>
  <si>
    <t>2-116020</t>
  </si>
  <si>
    <t>C5</t>
  </si>
  <si>
    <t>Junio</t>
  </si>
  <si>
    <t>2-115788</t>
  </si>
  <si>
    <t>2-115787</t>
  </si>
  <si>
    <t>2-115785</t>
  </si>
  <si>
    <t>2-115784</t>
  </si>
  <si>
    <t>2-115786</t>
  </si>
  <si>
    <t>2-135839</t>
  </si>
  <si>
    <t>Abril</t>
  </si>
  <si>
    <t>2-024223</t>
  </si>
  <si>
    <t>2-112264</t>
  </si>
  <si>
    <t>2-013518</t>
  </si>
  <si>
    <t>Enero</t>
  </si>
  <si>
    <t>2-117973</t>
  </si>
  <si>
    <t>121010-024575</t>
  </si>
  <si>
    <t>2-134465</t>
  </si>
  <si>
    <t>2-112265</t>
  </si>
  <si>
    <t>2-112266</t>
  </si>
  <si>
    <t>2-112267</t>
  </si>
  <si>
    <t>2-023059</t>
  </si>
  <si>
    <t>2-112268</t>
  </si>
  <si>
    <t>2-015926</t>
  </si>
  <si>
    <t>2-021577</t>
  </si>
  <si>
    <t>2-017416</t>
  </si>
  <si>
    <t>2-024411</t>
  </si>
  <si>
    <t>2-112269</t>
  </si>
  <si>
    <t>2-013928</t>
  </si>
  <si>
    <t>2-017028</t>
  </si>
  <si>
    <t>2-017177</t>
  </si>
  <si>
    <t>2-024493</t>
  </si>
  <si>
    <t>2-112287</t>
  </si>
  <si>
    <t>2-002720</t>
  </si>
  <si>
    <t>2-013295</t>
  </si>
  <si>
    <t>2-003576</t>
  </si>
  <si>
    <t>2-021802</t>
  </si>
  <si>
    <t>2-004033</t>
  </si>
  <si>
    <t>2-027959</t>
  </si>
  <si>
    <t>2-135456</t>
  </si>
  <si>
    <t>2-022181</t>
  </si>
  <si>
    <t>2-112270</t>
  </si>
  <si>
    <t>2-135846</t>
  </si>
  <si>
    <t>2-008958</t>
  </si>
  <si>
    <t>2-119676</t>
  </si>
  <si>
    <t>2-004405</t>
  </si>
  <si>
    <t>2-008665</t>
  </si>
  <si>
    <t>2-135837</t>
  </si>
  <si>
    <t>2-021249</t>
  </si>
  <si>
    <t>2-004271</t>
  </si>
  <si>
    <t>2-003814</t>
  </si>
  <si>
    <t>2-002799</t>
  </si>
  <si>
    <t>2-022320</t>
  </si>
  <si>
    <t>2-122452</t>
  </si>
  <si>
    <t>2-112272</t>
  </si>
  <si>
    <t>121010-020241</t>
  </si>
  <si>
    <t>2-117263</t>
  </si>
  <si>
    <t>2-017206</t>
  </si>
  <si>
    <t>2-124605</t>
  </si>
  <si>
    <t>2-024418</t>
  </si>
  <si>
    <t>2-134460</t>
  </si>
  <si>
    <t>2-112273</t>
  </si>
  <si>
    <t>2-112274</t>
  </si>
  <si>
    <t>2-112275</t>
  </si>
  <si>
    <t>2-112276</t>
  </si>
  <si>
    <t>2-112277</t>
  </si>
  <si>
    <t>2-002371</t>
  </si>
  <si>
    <t>2-112278</t>
  </si>
  <si>
    <t>2-001551</t>
  </si>
  <si>
    <t>2-134461</t>
  </si>
  <si>
    <t>2-006472</t>
  </si>
  <si>
    <t>2-112279</t>
  </si>
  <si>
    <t>2-112280</t>
  </si>
  <si>
    <t>2-007396</t>
  </si>
  <si>
    <t>2-112281</t>
  </si>
  <si>
    <t>2-113491</t>
  </si>
  <si>
    <t>2-135212</t>
  </si>
  <si>
    <t>2-112290</t>
  </si>
  <si>
    <t>2-112282</t>
  </si>
  <si>
    <t>2-112283</t>
  </si>
  <si>
    <t>2-023257</t>
  </si>
  <si>
    <t>2-112284</t>
  </si>
  <si>
    <t>2-112000</t>
  </si>
  <si>
    <t>2-112001</t>
  </si>
  <si>
    <t>2-118880</t>
  </si>
  <si>
    <t>2-118883</t>
  </si>
  <si>
    <t>2-119182</t>
  </si>
  <si>
    <t>2-119180</t>
  </si>
  <si>
    <t>2-119179</t>
  </si>
  <si>
    <t>2-119181</t>
  </si>
  <si>
    <t>2-118891</t>
  </si>
  <si>
    <t>2-120767</t>
  </si>
  <si>
    <t>2-120768</t>
  </si>
  <si>
    <t>2-120997</t>
  </si>
  <si>
    <t>121010-019639</t>
  </si>
  <si>
    <t>Si-RA</t>
  </si>
  <si>
    <t>121010-019243</t>
  </si>
  <si>
    <t>2-121573</t>
  </si>
  <si>
    <t>2-121574</t>
  </si>
  <si>
    <t>2-121624</t>
  </si>
  <si>
    <t>2-121695</t>
  </si>
  <si>
    <t>2-117144</t>
  </si>
  <si>
    <t>C6</t>
  </si>
  <si>
    <t>2-133529</t>
  </si>
  <si>
    <t>2-135400</t>
  </si>
  <si>
    <t>2-112255</t>
  </si>
  <si>
    <t>2-024432</t>
  </si>
  <si>
    <t>2-024393</t>
  </si>
  <si>
    <t>2-117817</t>
  </si>
  <si>
    <t>2-024458</t>
  </si>
  <si>
    <t>2-024296</t>
  </si>
  <si>
    <t>2-117815</t>
  </si>
  <si>
    <t>2-017350</t>
  </si>
  <si>
    <t>2-017325</t>
  </si>
  <si>
    <t>2-112256</t>
  </si>
  <si>
    <t>2-024253</t>
  </si>
  <si>
    <t>2-016193</t>
  </si>
  <si>
    <t>2-022660</t>
  </si>
  <si>
    <t>2-024370</t>
  </si>
  <si>
    <t>2-024352</t>
  </si>
  <si>
    <t>2-118716</t>
  </si>
  <si>
    <t>2-118800</t>
  </si>
  <si>
    <t>2-118822</t>
  </si>
  <si>
    <t>2-118850</t>
  </si>
  <si>
    <t>2-118851</t>
  </si>
  <si>
    <t>2-118840</t>
  </si>
  <si>
    <t>2-118843</t>
  </si>
  <si>
    <t>2-118847</t>
  </si>
  <si>
    <t>2-003535</t>
  </si>
  <si>
    <t>2-121199</t>
  </si>
  <si>
    <t>200717-011500</t>
  </si>
  <si>
    <t>2-013579</t>
  </si>
  <si>
    <t>2-112306</t>
  </si>
  <si>
    <t>2-121782</t>
  </si>
  <si>
    <t>2-121200</t>
  </si>
  <si>
    <t>2-121783</t>
  </si>
  <si>
    <t>121010-005326</t>
  </si>
  <si>
    <t>2-121784</t>
  </si>
  <si>
    <t>972-006742</t>
  </si>
  <si>
    <t>Interno</t>
  </si>
  <si>
    <t>Operativo</t>
  </si>
  <si>
    <t>2-003462</t>
  </si>
  <si>
    <t>2-135144</t>
  </si>
  <si>
    <t>2-003461</t>
  </si>
  <si>
    <t>2-003452</t>
  </si>
  <si>
    <t>Se recomienda cambio de keypad</t>
  </si>
  <si>
    <t>2-112294</t>
  </si>
  <si>
    <t>Externo</t>
  </si>
  <si>
    <t>2-121208</t>
  </si>
  <si>
    <t>2-112298</t>
  </si>
  <si>
    <t>2-112299</t>
  </si>
  <si>
    <t>2-112301</t>
  </si>
  <si>
    <t>2-125486</t>
  </si>
  <si>
    <t>2-013602</t>
  </si>
  <si>
    <t>2-112313</t>
  </si>
  <si>
    <t>No</t>
  </si>
  <si>
    <t>2-027983</t>
  </si>
  <si>
    <t>2-112304</t>
  </si>
  <si>
    <t>2-125487</t>
  </si>
  <si>
    <t>2-125490</t>
  </si>
  <si>
    <t>2-118676</t>
  </si>
  <si>
    <t>2-119313</t>
  </si>
  <si>
    <t>2-125491</t>
  </si>
  <si>
    <t>2-116288</t>
  </si>
  <si>
    <t>2-125488</t>
  </si>
  <si>
    <t>2-116289</t>
  </si>
  <si>
    <t>2-125401</t>
  </si>
  <si>
    <t>2-112320</t>
  </si>
  <si>
    <t>2-007500</t>
  </si>
  <si>
    <t>2-121785</t>
  </si>
  <si>
    <t>2-125348</t>
  </si>
  <si>
    <t>2-116290</t>
  </si>
  <si>
    <t>2-133451</t>
  </si>
  <si>
    <t>2-112325</t>
  </si>
  <si>
    <t>2-007497</t>
  </si>
  <si>
    <t>2-112326</t>
  </si>
  <si>
    <t>2-013589</t>
  </si>
  <si>
    <t>2-112327</t>
  </si>
  <si>
    <t>DRAGER CHILE LTDA.</t>
  </si>
  <si>
    <t>2-110564</t>
  </si>
  <si>
    <t>2-121214</t>
  </si>
  <si>
    <t>2-013588</t>
  </si>
  <si>
    <t>2-121215</t>
  </si>
  <si>
    <t>2-111146</t>
  </si>
  <si>
    <t>2-116292</t>
  </si>
  <si>
    <t>2-116294</t>
  </si>
  <si>
    <t>2-116298</t>
  </si>
  <si>
    <t>2-116300</t>
  </si>
  <si>
    <t>2-117264</t>
  </si>
  <si>
    <t>2-121216</t>
  </si>
  <si>
    <t>2-119888</t>
  </si>
  <si>
    <t>2-119889</t>
  </si>
  <si>
    <t>No Operativo</t>
  </si>
  <si>
    <t>PROBLEMA DE CALIBRACIÓN EN VALVULA EXALATORIA EQUIPO NO OPERATIVO</t>
  </si>
  <si>
    <t>2-119885</t>
  </si>
  <si>
    <t>2-119886</t>
  </si>
  <si>
    <t>Problema con calibracion de valvula exhalatoria</t>
  </si>
  <si>
    <t>121010-019703</t>
  </si>
  <si>
    <t>2-120318</t>
  </si>
  <si>
    <t>2-120321</t>
  </si>
  <si>
    <t>2-120319</t>
  </si>
  <si>
    <t>2-120320</t>
  </si>
  <si>
    <t>2-120322</t>
  </si>
  <si>
    <t>2-120323</t>
  </si>
  <si>
    <t>2-120324</t>
  </si>
  <si>
    <t>2-120325</t>
  </si>
  <si>
    <t>2-120326</t>
  </si>
  <si>
    <t>2-012933</t>
  </si>
  <si>
    <t>2-121048</t>
  </si>
  <si>
    <t>2-120744</t>
  </si>
  <si>
    <t>2-120745</t>
  </si>
  <si>
    <t>2-120565</t>
  </si>
  <si>
    <t>2-120566</t>
  </si>
  <si>
    <t>2-120568</t>
  </si>
  <si>
    <t>2-120567</t>
  </si>
  <si>
    <t>2-120569</t>
  </si>
  <si>
    <t>2-120570</t>
  </si>
  <si>
    <t>2-120571</t>
  </si>
  <si>
    <t>2-120836</t>
  </si>
  <si>
    <t>2-120936</t>
  </si>
  <si>
    <t>2-120940</t>
  </si>
  <si>
    <t>2-120943</t>
  </si>
  <si>
    <t>2-120944</t>
  </si>
  <si>
    <t>2-120946</t>
  </si>
  <si>
    <t>2-120947</t>
  </si>
  <si>
    <t>2-121218</t>
  </si>
  <si>
    <t>2-121219</t>
  </si>
  <si>
    <t>2-121220</t>
  </si>
  <si>
    <t>2-121780</t>
  </si>
  <si>
    <t>2-121781</t>
  </si>
  <si>
    <t>2-133374</t>
  </si>
  <si>
    <t>200717-005592</t>
  </si>
  <si>
    <t>200717-005511</t>
  </si>
  <si>
    <t>200717-001961</t>
  </si>
  <si>
    <t>2-125250</t>
  </si>
  <si>
    <t>2-116493</t>
  </si>
  <si>
    <t>2-116494</t>
  </si>
  <si>
    <t>2-116495</t>
  </si>
  <si>
    <t>2-116496</t>
  </si>
  <si>
    <t>2-116497</t>
  </si>
  <si>
    <t>2-116498</t>
  </si>
  <si>
    <t>2-116499</t>
  </si>
  <si>
    <t>2-116501</t>
  </si>
  <si>
    <t>2-119582</t>
  </si>
  <si>
    <t>2-134627</t>
  </si>
  <si>
    <t>2-134628</t>
  </si>
  <si>
    <t>2-134629</t>
  </si>
  <si>
    <t>2-134630</t>
  </si>
  <si>
    <t>2-112537</t>
  </si>
  <si>
    <t>2-003536</t>
  </si>
  <si>
    <t>2-013560</t>
  </si>
  <si>
    <t>2-007522</t>
  </si>
  <si>
    <t>2-112538</t>
  </si>
  <si>
    <t>2-003522</t>
  </si>
  <si>
    <t>2-007511</t>
  </si>
  <si>
    <t>2-007502</t>
  </si>
  <si>
    <t>2-112539</t>
  </si>
  <si>
    <t>2-003508</t>
  </si>
  <si>
    <t>2-003445</t>
  </si>
  <si>
    <t>2-003446</t>
  </si>
  <si>
    <t>2-003460</t>
  </si>
  <si>
    <t>2-112543</t>
  </si>
  <si>
    <t>2-112544</t>
  </si>
  <si>
    <t>2-003453</t>
  </si>
  <si>
    <t>2-112545</t>
  </si>
  <si>
    <t>2-112546</t>
  </si>
  <si>
    <t>2-113483</t>
  </si>
  <si>
    <t>2-003476</t>
  </si>
  <si>
    <t>2-003478</t>
  </si>
  <si>
    <t>2-003485</t>
  </si>
  <si>
    <t>2-013495</t>
  </si>
  <si>
    <t>2-003489</t>
  </si>
  <si>
    <t>2-013502</t>
  </si>
  <si>
    <t>2-013507</t>
  </si>
  <si>
    <t>2-126872</t>
  </si>
  <si>
    <t>2-116518</t>
  </si>
  <si>
    <t>200717-011278</t>
  </si>
  <si>
    <t>2-118962</t>
  </si>
  <si>
    <t>2-118666</t>
  </si>
  <si>
    <t>2-118732</t>
  </si>
  <si>
    <t>2-119188</t>
  </si>
  <si>
    <t>2-119187</t>
  </si>
  <si>
    <t>2-118674</t>
  </si>
  <si>
    <t>2-118671</t>
  </si>
  <si>
    <t>2-118672</t>
  </si>
  <si>
    <t>2-118673</t>
  </si>
  <si>
    <t>2-023555</t>
  </si>
  <si>
    <t>2-023573</t>
  </si>
  <si>
    <t>2-112503</t>
  </si>
  <si>
    <t>2-112504</t>
  </si>
  <si>
    <t>2-133048</t>
  </si>
  <si>
    <t>2-112505</t>
  </si>
  <si>
    <t>2-023589</t>
  </si>
  <si>
    <t>2-112506</t>
  </si>
  <si>
    <t>2-112507</t>
  </si>
  <si>
    <t>2-116519</t>
  </si>
  <si>
    <t>2-022471</t>
  </si>
  <si>
    <t>2-116520</t>
  </si>
  <si>
    <t>2-113493</t>
  </si>
  <si>
    <t>2-009315</t>
  </si>
  <si>
    <t>2-118799</t>
  </si>
  <si>
    <t>2-116521</t>
  </si>
  <si>
    <t>2-135917</t>
  </si>
  <si>
    <t>2-013601</t>
  </si>
  <si>
    <t>2-023255</t>
  </si>
  <si>
    <t>2-112497</t>
  </si>
  <si>
    <t>2-116522</t>
  </si>
  <si>
    <t>2-112655</t>
  </si>
  <si>
    <t>2-120577</t>
  </si>
  <si>
    <t>2-121185</t>
  </si>
  <si>
    <t>2-121186</t>
  </si>
  <si>
    <t>2-116523</t>
  </si>
  <si>
    <t>2-023258</t>
  </si>
  <si>
    <t>2-112498</t>
  </si>
  <si>
    <t>2-016151</t>
  </si>
  <si>
    <t>2-015904</t>
  </si>
  <si>
    <t>2-121187</t>
  </si>
  <si>
    <t>2-135918</t>
  </si>
  <si>
    <t>2-118814</t>
  </si>
  <si>
    <t>2-125218</t>
  </si>
  <si>
    <t>2-133062</t>
  </si>
  <si>
    <t>2-133063</t>
  </si>
  <si>
    <t>2-134896</t>
  </si>
  <si>
    <t>2-133064</t>
  </si>
  <si>
    <t>2-116524</t>
  </si>
  <si>
    <t>2-133065</t>
  </si>
  <si>
    <t>2-017381</t>
  </si>
  <si>
    <t>2-112531</t>
  </si>
  <si>
    <t>2-024460</t>
  </si>
  <si>
    <t>2-121188</t>
  </si>
  <si>
    <t>2-017347</t>
  </si>
  <si>
    <t>2-022637</t>
  </si>
  <si>
    <t>2-016196</t>
  </si>
  <si>
    <t>2-116503</t>
  </si>
  <si>
    <t>2-112502</t>
  </si>
  <si>
    <t>2-112572</t>
  </si>
  <si>
    <t>2-116504</t>
  </si>
  <si>
    <t>2-024433</t>
  </si>
  <si>
    <t>2-133447</t>
  </si>
  <si>
    <t>2-116507</t>
  </si>
  <si>
    <t>2-133448</t>
  </si>
  <si>
    <t>2-116506</t>
  </si>
  <si>
    <t>2-135919</t>
  </si>
  <si>
    <t>2-134895</t>
  </si>
  <si>
    <t>2-119651</t>
  </si>
  <si>
    <t>2-133532</t>
  </si>
  <si>
    <t>2-116505</t>
  </si>
  <si>
    <t>2-113494</t>
  </si>
  <si>
    <t>121010-024574</t>
  </si>
  <si>
    <t>2-116508</t>
  </si>
  <si>
    <t>2-116510</t>
  </si>
  <si>
    <t>2-016560</t>
  </si>
  <si>
    <t>2-124788</t>
  </si>
  <si>
    <t>2-023497</t>
  </si>
  <si>
    <t>2-027939</t>
  </si>
  <si>
    <t>2-134990</t>
  </si>
  <si>
    <t>2-119259</t>
  </si>
  <si>
    <t>2-119260</t>
  </si>
  <si>
    <t>2-119363</t>
  </si>
  <si>
    <t>2-119364</t>
  </si>
  <si>
    <t>2-119365</t>
  </si>
  <si>
    <t>2-119366</t>
  </si>
  <si>
    <t>2-119367</t>
  </si>
  <si>
    <t>C1</t>
  </si>
  <si>
    <t>2-119368</t>
  </si>
  <si>
    <t>2-119369</t>
  </si>
  <si>
    <t>2-119370</t>
  </si>
  <si>
    <t>2-119371</t>
  </si>
  <si>
    <t>2-027911</t>
  </si>
  <si>
    <t>2-027888</t>
  </si>
  <si>
    <t>2-016546</t>
  </si>
  <si>
    <t>2-027912</t>
  </si>
  <si>
    <t>2-027891</t>
  </si>
  <si>
    <t>2-016561</t>
  </si>
  <si>
    <t>2-112499</t>
  </si>
  <si>
    <t>2-027889</t>
  </si>
  <si>
    <t>2-112659</t>
  </si>
  <si>
    <t>2-027887</t>
  </si>
  <si>
    <t>2-027890</t>
  </si>
  <si>
    <t>2-023484</t>
  </si>
  <si>
    <t>2-016545</t>
  </si>
  <si>
    <t>2-023483</t>
  </si>
  <si>
    <t>2-017324</t>
  </si>
  <si>
    <t>2-002719</t>
  </si>
  <si>
    <t>2-002681</t>
  </si>
  <si>
    <t>2-111918</t>
  </si>
  <si>
    <t>2-111913</t>
  </si>
  <si>
    <t>2-002869</t>
  </si>
  <si>
    <t>2-111945</t>
  </si>
  <si>
    <t>2-002849</t>
  </si>
  <si>
    <t>2-111950</t>
  </si>
  <si>
    <t>2-013337</t>
  </si>
  <si>
    <t>2-013336</t>
  </si>
  <si>
    <t>2-013338</t>
  </si>
  <si>
    <t>2-135920</t>
  </si>
  <si>
    <t>2-013334</t>
  </si>
  <si>
    <t>2-116509</t>
  </si>
  <si>
    <t>2-007695</t>
  </si>
  <si>
    <t>2-003579</t>
  </si>
  <si>
    <t>2-003577</t>
  </si>
  <si>
    <t>2-007631</t>
  </si>
  <si>
    <t>2-007632</t>
  </si>
  <si>
    <t>2-003601</t>
  </si>
  <si>
    <t>2-112423</t>
  </si>
  <si>
    <t>2-007992</t>
  </si>
  <si>
    <t>2-007991</t>
  </si>
  <si>
    <t>2-007993</t>
  </si>
  <si>
    <t>2-022179</t>
  </si>
  <si>
    <t>2-004857</t>
  </si>
  <si>
    <t>2-014911</t>
  </si>
  <si>
    <t>2-014718</t>
  </si>
  <si>
    <t>2-004772</t>
  </si>
  <si>
    <t>2-014981</t>
  </si>
  <si>
    <t>2-004356</t>
  </si>
  <si>
    <t>2-008498</t>
  </si>
  <si>
    <t>2-008452</t>
  </si>
  <si>
    <t>2-008450</t>
  </si>
  <si>
    <t>2-008659</t>
  </si>
  <si>
    <t>2-008465</t>
  </si>
  <si>
    <t>2-008497</t>
  </si>
  <si>
    <t>2-004583</t>
  </si>
  <si>
    <t>2-008485</t>
  </si>
  <si>
    <t>2-004503</t>
  </si>
  <si>
    <t>2-004584</t>
  </si>
  <si>
    <t>2-116511</t>
  </si>
  <si>
    <t>2-008451</t>
  </si>
  <si>
    <t>2-116513</t>
  </si>
  <si>
    <t>2-008466</t>
  </si>
  <si>
    <t>2-121189</t>
  </si>
  <si>
    <t>2-008660</t>
  </si>
  <si>
    <t>2-116512</t>
  </si>
  <si>
    <t>2-112424</t>
  </si>
  <si>
    <t>2-112501</t>
  </si>
  <si>
    <t>2-012781</t>
  </si>
  <si>
    <t>2-003578</t>
  </si>
  <si>
    <t>2-002733</t>
  </si>
  <si>
    <t>2-119372</t>
  </si>
  <si>
    <t>2-116514</t>
  </si>
  <si>
    <t>2-116515</t>
  </si>
  <si>
    <t>2-013525</t>
  </si>
  <si>
    <t>2-013523</t>
  </si>
  <si>
    <t>2-013524</t>
  </si>
  <si>
    <t>2-013521</t>
  </si>
  <si>
    <t>2-112577</t>
  </si>
  <si>
    <t>2-111613</t>
  </si>
  <si>
    <t>2-021178</t>
  </si>
  <si>
    <t>2-119374</t>
  </si>
  <si>
    <t>2-024353</t>
  </si>
  <si>
    <t>2-119632</t>
  </si>
  <si>
    <t>2-119633</t>
  </si>
  <si>
    <t>2-135921</t>
  </si>
  <si>
    <t>2-135399</t>
  </si>
  <si>
    <t>2-027413</t>
  </si>
  <si>
    <t>2-119629</t>
  </si>
  <si>
    <t>2-113428</t>
  </si>
  <si>
    <t>2-016153</t>
  </si>
  <si>
    <t>2-023029</t>
  </si>
  <si>
    <t>2-119650</t>
  </si>
  <si>
    <t>2-118855</t>
  </si>
  <si>
    <t>2-027447</t>
  </si>
  <si>
    <t>2-003463</t>
  </si>
  <si>
    <t>2-113429</t>
  </si>
  <si>
    <t>2-024297</t>
  </si>
  <si>
    <t>NU</t>
  </si>
  <si>
    <t>2-118839</t>
  </si>
  <si>
    <t>2-119652</t>
  </si>
  <si>
    <t>2-007607</t>
  </si>
  <si>
    <t>2-112658</t>
  </si>
  <si>
    <t>2-027591</t>
  </si>
  <si>
    <t>2-023233</t>
  </si>
  <si>
    <t>2-021531</t>
  </si>
  <si>
    <t>2-021532</t>
  </si>
  <si>
    <t>2-021540</t>
  </si>
  <si>
    <t>2-021538</t>
  </si>
  <si>
    <t>2-021537</t>
  </si>
  <si>
    <t>2-021535</t>
  </si>
  <si>
    <t>2-021534</t>
  </si>
  <si>
    <t>2-021539</t>
  </si>
  <si>
    <t>2-021533</t>
  </si>
  <si>
    <t>2-021536</t>
  </si>
  <si>
    <t>2-028015</t>
  </si>
  <si>
    <t>2-023575</t>
  </si>
  <si>
    <t>2-112508</t>
  </si>
  <si>
    <t>2-023536</t>
  </si>
  <si>
    <t>2-112510</t>
  </si>
  <si>
    <t>2-112511</t>
  </si>
  <si>
    <t>2-027994</t>
  </si>
  <si>
    <t>2-112512</t>
  </si>
  <si>
    <t>2-028043</t>
  </si>
  <si>
    <t>2-112514</t>
  </si>
  <si>
    <t>2-112515</t>
  </si>
  <si>
    <t>2-112516</t>
  </si>
  <si>
    <t>2-112517</t>
  </si>
  <si>
    <t>2-023482</t>
  </si>
  <si>
    <t>2-016543</t>
  </si>
  <si>
    <t>2-023481</t>
  </si>
  <si>
    <t>2-016540</t>
  </si>
  <si>
    <t>2-027910</t>
  </si>
  <si>
    <t>2-023478</t>
  </si>
  <si>
    <t>2-016544</t>
  </si>
  <si>
    <t>2-023479</t>
  </si>
  <si>
    <t>2-027909</t>
  </si>
  <si>
    <t>2-023477</t>
  </si>
  <si>
    <t>2-016538</t>
  </si>
  <si>
    <t>2-016539</t>
  </si>
  <si>
    <t>2-016551</t>
  </si>
  <si>
    <t>2-023480</t>
  </si>
  <si>
    <t>2-016541</t>
  </si>
  <si>
    <t>2-016542</t>
  </si>
  <si>
    <t>2-117050</t>
  </si>
  <si>
    <t>2-013293</t>
  </si>
  <si>
    <t>2-004769</t>
  </si>
  <si>
    <t>2-110948</t>
  </si>
  <si>
    <t>2-110843</t>
  </si>
  <si>
    <t>2-110831</t>
  </si>
  <si>
    <t>2-110838</t>
  </si>
  <si>
    <t>2-110834</t>
  </si>
  <si>
    <t>2-110828</t>
  </si>
  <si>
    <t>2-110842</t>
  </si>
  <si>
    <t>2-110945</t>
  </si>
  <si>
    <t>2-110829</t>
  </si>
  <si>
    <t>2-110836</t>
  </si>
  <si>
    <t>2-110942</t>
  </si>
  <si>
    <t>2-110943</t>
  </si>
  <si>
    <t>2-110947</t>
  </si>
  <si>
    <t>2-110837</t>
  </si>
  <si>
    <t>2-110832</t>
  </si>
  <si>
    <t>2-110840</t>
  </si>
  <si>
    <t>2-110833</t>
  </si>
  <si>
    <t>2-110839</t>
  </si>
  <si>
    <t>2-110841</t>
  </si>
  <si>
    <t>2-110835</t>
  </si>
  <si>
    <t>2-110944</t>
  </si>
  <si>
    <t>2-110844</t>
  </si>
  <si>
    <t>2-110830</t>
  </si>
  <si>
    <t>2-110946</t>
  </si>
  <si>
    <t>2-110941</t>
  </si>
  <si>
    <t>2-013520</t>
  </si>
  <si>
    <t>2-110957</t>
  </si>
  <si>
    <t>2-022659</t>
  </si>
  <si>
    <t>2-024122</t>
  </si>
  <si>
    <t>2-111142</t>
  </si>
  <si>
    <t>2-111140</t>
  </si>
  <si>
    <t>2-111902</t>
  </si>
  <si>
    <t>2-111901</t>
  </si>
  <si>
    <t>2-112541</t>
  </si>
  <si>
    <t>2-112601</t>
  </si>
  <si>
    <t>2-117051</t>
  </si>
  <si>
    <t>2-110795</t>
  </si>
  <si>
    <t>2-110796</t>
  </si>
  <si>
    <t>2-112800</t>
  </si>
  <si>
    <t>2-112836</t>
  </si>
  <si>
    <t>2-112833</t>
  </si>
  <si>
    <t>2-112812</t>
  </si>
  <si>
    <t>2-112813</t>
  </si>
  <si>
    <t>2-112801</t>
  </si>
  <si>
    <t>2-112834</t>
  </si>
  <si>
    <t>2-112830</t>
  </si>
  <si>
    <t>2-112827</t>
  </si>
  <si>
    <t>2-112831</t>
  </si>
  <si>
    <t>2-112802</t>
  </si>
  <si>
    <t>2-110634</t>
  </si>
  <si>
    <t>2-112795</t>
  </si>
  <si>
    <t>2-112814</t>
  </si>
  <si>
    <t>2-112829</t>
  </si>
  <si>
    <t>2-112822</t>
  </si>
  <si>
    <t>2-112815</t>
  </si>
  <si>
    <t>2-112796</t>
  </si>
  <si>
    <t>2-112835</t>
  </si>
  <si>
    <t>2-112837</t>
  </si>
  <si>
    <t>2-112803</t>
  </si>
  <si>
    <t>2-112943</t>
  </si>
  <si>
    <t>2-024371</t>
  </si>
  <si>
    <t>2-113299</t>
  </si>
  <si>
    <t>2-113430</t>
  </si>
  <si>
    <t>2-112353</t>
  </si>
  <si>
    <t>2-113189</t>
  </si>
  <si>
    <t>2-113188</t>
  </si>
  <si>
    <t>2-110576</t>
  </si>
  <si>
    <t>2-117052</t>
  </si>
  <si>
    <t>2-117053</t>
  </si>
  <si>
    <t>2-117054</t>
  </si>
  <si>
    <t>2-117055</t>
  </si>
  <si>
    <t>2-117056</t>
  </si>
  <si>
    <t>Cristina Rozas Urrutia</t>
  </si>
  <si>
    <t>2-117540</t>
  </si>
  <si>
    <t>2-117733</t>
  </si>
  <si>
    <t>2-117734</t>
  </si>
  <si>
    <t>2-117735</t>
  </si>
  <si>
    <t>2-117736</t>
  </si>
  <si>
    <t>2-117737</t>
  </si>
  <si>
    <t>2-117738</t>
  </si>
  <si>
    <t>2-117739</t>
  </si>
  <si>
    <t>2-117740</t>
  </si>
  <si>
    <t>2-117741</t>
  </si>
  <si>
    <t>2-117742</t>
  </si>
  <si>
    <t>2-117743</t>
  </si>
  <si>
    <t>2-117744</t>
  </si>
  <si>
    <t>2-117745</t>
  </si>
  <si>
    <t>2-117746</t>
  </si>
  <si>
    <t>2-117747</t>
  </si>
  <si>
    <t>2-117748</t>
  </si>
  <si>
    <t>2-117818</t>
  </si>
  <si>
    <t>2-117819</t>
  </si>
  <si>
    <t>2-117820</t>
  </si>
  <si>
    <t>2-117821</t>
  </si>
  <si>
    <t>2-117822</t>
  </si>
  <si>
    <t>2-117823</t>
  </si>
  <si>
    <t>2-117814</t>
  </si>
  <si>
    <t>2-117813</t>
  </si>
  <si>
    <t>2-117812</t>
  </si>
  <si>
    <t>2-118884</t>
  </si>
  <si>
    <t>2-118881</t>
  </si>
  <si>
    <t>2-119653</t>
  </si>
  <si>
    <t>2-119634</t>
  </si>
  <si>
    <t>2-119635</t>
  </si>
  <si>
    <t>2-119637</t>
  </si>
  <si>
    <t>2-119631</t>
  </si>
  <si>
    <t>2-119636</t>
  </si>
  <si>
    <t>2-119630</t>
  </si>
  <si>
    <t>2-119702</t>
  </si>
  <si>
    <t>2-119703</t>
  </si>
  <si>
    <t>2-119704</t>
  </si>
  <si>
    <t>2-119705</t>
  </si>
  <si>
    <t>2-119706</t>
  </si>
  <si>
    <t>2-119707</t>
  </si>
  <si>
    <t>2-119708</t>
  </si>
  <si>
    <t>2-119709</t>
  </si>
  <si>
    <t>2-119710</t>
  </si>
  <si>
    <t>2-119711</t>
  </si>
  <si>
    <t>2-119713</t>
  </si>
  <si>
    <t>2-119741</t>
  </si>
  <si>
    <t>2-119742</t>
  </si>
  <si>
    <t>2-119743</t>
  </si>
  <si>
    <t>2-119744</t>
  </si>
  <si>
    <t>2-119745</t>
  </si>
  <si>
    <t>2-120244</t>
  </si>
  <si>
    <t>2-120245</t>
  </si>
  <si>
    <t>2-120246</t>
  </si>
  <si>
    <t>2-120247</t>
  </si>
  <si>
    <t>2-120248</t>
  </si>
  <si>
    <t>2-120249</t>
  </si>
  <si>
    <t>2-124829</t>
  </si>
  <si>
    <t>2-120428</t>
  </si>
  <si>
    <t>2-120427</t>
  </si>
  <si>
    <t>2-120429</t>
  </si>
  <si>
    <t>2-120430</t>
  </si>
  <si>
    <t>2-120574</t>
  </si>
  <si>
    <t>2-120575</t>
  </si>
  <si>
    <t>2-120576</t>
  </si>
  <si>
    <t>2-120572</t>
  </si>
  <si>
    <t>2-120573</t>
  </si>
  <si>
    <t>2-120776</t>
  </si>
  <si>
    <t>2-120804</t>
  </si>
  <si>
    <t>2-120805</t>
  </si>
  <si>
    <t>2-120827</t>
  </si>
  <si>
    <t>2-120925</t>
  </si>
  <si>
    <t>2-120924</t>
  </si>
  <si>
    <t>2-120923</t>
  </si>
  <si>
    <t>2-120922</t>
  </si>
  <si>
    <t>2-120949</t>
  </si>
  <si>
    <t>2-120996</t>
  </si>
  <si>
    <t>2-120994</t>
  </si>
  <si>
    <t>2-120995</t>
  </si>
  <si>
    <t>2-121004</t>
  </si>
  <si>
    <t>2-121002</t>
  </si>
  <si>
    <t>C8</t>
  </si>
  <si>
    <t>2-121003</t>
  </si>
  <si>
    <t>2-121190</t>
  </si>
  <si>
    <t>2-121191</t>
  </si>
  <si>
    <t>2-121192</t>
  </si>
  <si>
    <t>2-121193</t>
  </si>
  <si>
    <t>2-121194</t>
  </si>
  <si>
    <t>2-121195</t>
  </si>
  <si>
    <t>2-121196</t>
  </si>
  <si>
    <t>2-121197</t>
  </si>
  <si>
    <t>2-121198</t>
  </si>
  <si>
    <t>2-121232</t>
  </si>
  <si>
    <t>2-121233</t>
  </si>
  <si>
    <t>2-121234</t>
  </si>
  <si>
    <t>2-121235</t>
  </si>
  <si>
    <t>2-121236</t>
  </si>
  <si>
    <t>Carlos Bahamondes Seguel</t>
  </si>
  <si>
    <t>reposición de interfase y sensor ECG, cambio de sensor e interfase Spo2</t>
  </si>
  <si>
    <t>2-121237</t>
  </si>
  <si>
    <t>2-121238</t>
  </si>
  <si>
    <t>2-121239</t>
  </si>
  <si>
    <t>2-121240</t>
  </si>
  <si>
    <t>2-121241</t>
  </si>
  <si>
    <t>2-121304</t>
  </si>
  <si>
    <t>2-121305</t>
  </si>
  <si>
    <t>2-121306</t>
  </si>
  <si>
    <t>2-121307</t>
  </si>
  <si>
    <t>2-121308</t>
  </si>
  <si>
    <t>2-121309</t>
  </si>
  <si>
    <t>2-121310</t>
  </si>
  <si>
    <t>2-121311</t>
  </si>
  <si>
    <t>2-121312</t>
  </si>
  <si>
    <t>2-121313</t>
  </si>
  <si>
    <t>2-121314</t>
  </si>
  <si>
    <t>2-121315</t>
  </si>
  <si>
    <t>2-121316</t>
  </si>
  <si>
    <t>2-121317</t>
  </si>
  <si>
    <t>2-121318</t>
  </si>
  <si>
    <t>2-121319</t>
  </si>
  <si>
    <t>2-121320</t>
  </si>
  <si>
    <t>2-121321</t>
  </si>
  <si>
    <t>2-121322</t>
  </si>
  <si>
    <t>2-121323</t>
  </si>
  <si>
    <t>2-121324</t>
  </si>
  <si>
    <t>2-121325</t>
  </si>
  <si>
    <t>2-121326</t>
  </si>
  <si>
    <t>2-121327</t>
  </si>
  <si>
    <t>2-121328</t>
  </si>
  <si>
    <t>2-121329</t>
  </si>
  <si>
    <t>2-121330</t>
  </si>
  <si>
    <t>2-121331</t>
  </si>
  <si>
    <t>2-121332</t>
  </si>
  <si>
    <t>2-121333</t>
  </si>
  <si>
    <t>2-121334</t>
  </si>
  <si>
    <t>2-121335</t>
  </si>
  <si>
    <t>2-121336</t>
  </si>
  <si>
    <t>2-121337</t>
  </si>
  <si>
    <t>2-121338</t>
  </si>
  <si>
    <t>2-121524</t>
  </si>
  <si>
    <t>2-121525</t>
  </si>
  <si>
    <t>2-121526</t>
  </si>
  <si>
    <t>2-121527</t>
  </si>
  <si>
    <t>2-121528</t>
  </si>
  <si>
    <t>2-121529</t>
  </si>
  <si>
    <t>2-121530</t>
  </si>
  <si>
    <t>2-121531</t>
  </si>
  <si>
    <t>2-121532</t>
  </si>
  <si>
    <t>2-121533</t>
  </si>
  <si>
    <t>2-121534</t>
  </si>
  <si>
    <t>2-121535</t>
  </si>
  <si>
    <t>2-121536</t>
  </si>
  <si>
    <t>2-121537</t>
  </si>
  <si>
    <t>2-121538</t>
  </si>
  <si>
    <t>2-121539</t>
  </si>
  <si>
    <t>2-121540</t>
  </si>
  <si>
    <t>2-121541</t>
  </si>
  <si>
    <t>2-121542</t>
  </si>
  <si>
    <t>2-121543</t>
  </si>
  <si>
    <t>2-121691</t>
  </si>
  <si>
    <t>2-121692</t>
  </si>
  <si>
    <t>2-121693</t>
  </si>
  <si>
    <t>2-121694</t>
  </si>
  <si>
    <t>2-118718</t>
  </si>
  <si>
    <t>2-117350</t>
  </si>
  <si>
    <t>2-121711</t>
  </si>
  <si>
    <t>2-121712</t>
  </si>
  <si>
    <t>2-121714</t>
  </si>
  <si>
    <t>2-121715</t>
  </si>
  <si>
    <t>2-121716</t>
  </si>
  <si>
    <t>2-121717</t>
  </si>
  <si>
    <t>2-121791</t>
  </si>
  <si>
    <t>2-121792</t>
  </si>
  <si>
    <t>2-121554</t>
  </si>
  <si>
    <t>2-121555</t>
  </si>
  <si>
    <t>2-121556</t>
  </si>
  <si>
    <t>2-121557</t>
  </si>
  <si>
    <t>2-121558</t>
  </si>
  <si>
    <t>2-121559</t>
  </si>
  <si>
    <t>2-121560</t>
  </si>
  <si>
    <t>2-121561</t>
  </si>
  <si>
    <t>2-121562</t>
  </si>
  <si>
    <t>2-121563</t>
  </si>
  <si>
    <t>2-121798</t>
  </si>
  <si>
    <t>2-122346</t>
  </si>
  <si>
    <t>2-124761</t>
  </si>
  <si>
    <t>2-124762</t>
  </si>
  <si>
    <t>2-124831</t>
  </si>
  <si>
    <t>2-124832</t>
  </si>
  <si>
    <t>2-124842</t>
  </si>
  <si>
    <t>2-124843</t>
  </si>
  <si>
    <t>2-124844</t>
  </si>
  <si>
    <t>2-124845</t>
  </si>
  <si>
    <t>2-124846</t>
  </si>
  <si>
    <t>2-124847</t>
  </si>
  <si>
    <t>2-124848</t>
  </si>
  <si>
    <t>2-124849</t>
  </si>
  <si>
    <t>2-124850</t>
  </si>
  <si>
    <t>2-133676</t>
  </si>
  <si>
    <t>2-133677</t>
  </si>
  <si>
    <t>2-133678</t>
  </si>
  <si>
    <t>2-133679</t>
  </si>
  <si>
    <t>2-006455</t>
  </si>
  <si>
    <t>2-006460</t>
  </si>
  <si>
    <t>2-133198</t>
  </si>
  <si>
    <t>2-133199</t>
  </si>
  <si>
    <t>2-133200</t>
  </si>
  <si>
    <t>2-006456</t>
  </si>
  <si>
    <t>2-016016</t>
  </si>
  <si>
    <t>2-013586</t>
  </si>
  <si>
    <t>2-111213</t>
  </si>
  <si>
    <t>2-027619</t>
  </si>
  <si>
    <t>2-128041</t>
  </si>
  <si>
    <t>2-128043</t>
  </si>
  <si>
    <t>2-128044</t>
  </si>
  <si>
    <t>2-128046</t>
  </si>
  <si>
    <t>2-128047</t>
  </si>
  <si>
    <t>2-128048</t>
  </si>
  <si>
    <t>2-128050</t>
  </si>
  <si>
    <t>2-128060</t>
  </si>
  <si>
    <t>2-130654</t>
  </si>
  <si>
    <t>Catálogos (alimentan las listas desplegables)</t>
  </si>
  <si>
    <t>Ingenieros</t>
  </si>
  <si>
    <t>Estado equipo</t>
  </si>
  <si>
    <t>Tipo de compra</t>
  </si>
  <si>
    <t>Resultado visita</t>
  </si>
  <si>
    <t>Estado evento</t>
  </si>
  <si>
    <t>Decisión reevaluación</t>
  </si>
  <si>
    <t>Cód. MP</t>
  </si>
  <si>
    <t>Significado</t>
  </si>
  <si>
    <t>Resultado MP</t>
  </si>
  <si>
    <t>Descripción resultado</t>
  </si>
  <si>
    <t>Ejecución MP</t>
  </si>
  <si>
    <t>Causal (C1–C8)</t>
  </si>
  <si>
    <t>Descripción causal</t>
  </si>
  <si>
    <t>Trato Directo</t>
  </si>
  <si>
    <t>Reparó</t>
  </si>
  <si>
    <t>Abierto</t>
  </si>
  <si>
    <t>Repuestos</t>
  </si>
  <si>
    <t>X</t>
  </si>
  <si>
    <t>Programada (pendiente)</t>
  </si>
  <si>
    <t>Anual</t>
  </si>
  <si>
    <t>Mantención Preventiva Realizada</t>
  </si>
  <si>
    <t>Imposibilidad de desocupar el equipo del paciente por indicación clínica</t>
  </si>
  <si>
    <t>Compra Ágil</t>
  </si>
  <si>
    <t>No reparó (necesita repuestos)</t>
  </si>
  <si>
    <t>Cerrado</t>
  </si>
  <si>
    <t>Nueva visita</t>
  </si>
  <si>
    <t>Ejecutada</t>
  </si>
  <si>
    <t>Semestral</t>
  </si>
  <si>
    <t>Reprogramada · Imposibilidad de desocupar el equipo del paciente por indicación clínica</t>
  </si>
  <si>
    <t>Equipo en servicio técnico</t>
  </si>
  <si>
    <t>Servicio Técnico</t>
  </si>
  <si>
    <t>Reenvío</t>
  </si>
  <si>
    <t>No ejecutada: en Servicio Técnico</t>
  </si>
  <si>
    <t>Cuatrimestral</t>
  </si>
  <si>
    <t>Reprogramada · Equipo en servicio técnico</t>
  </si>
  <si>
    <t>Equipo no operativo, a la espera de repuestos o accesorios</t>
  </si>
  <si>
    <t>Daniel Díaz Neira</t>
  </si>
  <si>
    <t>No ejecutada: espera repuestos</t>
  </si>
  <si>
    <t>Trimestral</t>
  </si>
  <si>
    <t>Reprogramada · Equipo no operativo, a la espera de repuestos o accesorios</t>
  </si>
  <si>
    <t>C4</t>
  </si>
  <si>
    <t>Equipo en préstamo a otro hospital o institución</t>
  </si>
  <si>
    <t>Reprogramada</t>
  </si>
  <si>
    <t>Bimestral</t>
  </si>
  <si>
    <t>Reprogramada · Equipo en préstamo a otro hospital o institución</t>
  </si>
  <si>
    <t>No disponibilidad de horas hombre del funcionario SEC por alta carga laboral</t>
  </si>
  <si>
    <t>Macarena Toledo</t>
  </si>
  <si>
    <t>Mensual</t>
  </si>
  <si>
    <t>Reprogramada · No disponibilidad de horas hombre del funcionario SEC por alta carga laboral</t>
  </si>
  <si>
    <t>No disponibilidad de horas hombre del servicio técnico externo</t>
  </si>
  <si>
    <t>Marco Ulloa</t>
  </si>
  <si>
    <t>Reprogramada · No disponibilidad de horas hombre del servicio técnico externo</t>
  </si>
  <si>
    <t>Ausencia justificada del funcionario SEC superior a 15 días</t>
  </si>
  <si>
    <t>Matías Soazo Garrido</t>
  </si>
  <si>
    <t>Reprogramada · Ausencia justificada del funcionario SEC superior a 15 días</t>
  </si>
  <si>
    <t>Contingencia hospitalaria</t>
  </si>
  <si>
    <t>Reprogramada · Contingencia hospitalaria</t>
  </si>
  <si>
    <t>Tito Millapán Riquelme</t>
  </si>
  <si>
    <t>Mantención de Año Anterior Realizada</t>
  </si>
  <si>
    <t>FS</t>
  </si>
  <si>
    <t>Fuera de Servicio</t>
  </si>
  <si>
    <t>No Realizada</t>
  </si>
  <si>
    <t>Empresas / proveedores</t>
  </si>
  <si>
    <t>Servicios clínicos</t>
  </si>
  <si>
    <t>No Ubicable</t>
  </si>
  <si>
    <t>DRAGER CHILE LIMITADA</t>
  </si>
  <si>
    <t>CDT</t>
  </si>
  <si>
    <t>Equipo Dado de Baja</t>
  </si>
  <si>
    <t>PENTAFARMA S.A.</t>
  </si>
  <si>
    <t>CR ONCOLOGICO AMBULATORIO</t>
  </si>
  <si>
    <t>MEDTRONICS</t>
  </si>
  <si>
    <t>Cardiología</t>
  </si>
  <si>
    <t>HEMISUR</t>
  </si>
  <si>
    <t>Cardiología (2do piso)</t>
  </si>
  <si>
    <t>ANDOVER ALIANZA MEDICA S.A.</t>
  </si>
  <si>
    <t>Cardiología (Prestado a Medicina cardiovascular)</t>
  </si>
  <si>
    <t>Cirugía Adulto</t>
  </si>
  <si>
    <t>Cirugía Infantil</t>
  </si>
  <si>
    <t>Electrofisiología</t>
  </si>
  <si>
    <t>Endoscopía</t>
  </si>
  <si>
    <t>Gestión de Pacientes</t>
  </si>
  <si>
    <t>Ginecología</t>
  </si>
  <si>
    <t>Hemato Oncología Adulto</t>
  </si>
  <si>
    <t>Hemodiálisis</t>
  </si>
  <si>
    <t>Hemodiálisis (Prestado a SAMU)</t>
  </si>
  <si>
    <t>Hospitalización Domiciliaria</t>
  </si>
  <si>
    <t>Imagenología</t>
  </si>
  <si>
    <t>Imagenología (Prestado a Pabellón Quirúrgico)</t>
  </si>
  <si>
    <t>Medicina</t>
  </si>
  <si>
    <t>Medicina (Prestado a Cirugía Infantil )</t>
  </si>
  <si>
    <t>Medicina (Prestado a Medicina cardiovascular)</t>
  </si>
  <si>
    <t>Medicina (Prestado a Pediatría)</t>
  </si>
  <si>
    <t>(Listas editables: agregar empresas y servicios según se necesiten)</t>
  </si>
  <si>
    <t>Medicina (Prestado a Psiquiatria)</t>
  </si>
  <si>
    <t>Medicina (Prestado a medicina cardiovascular)</t>
  </si>
  <si>
    <t>Medicina Física y Rehabilitación</t>
  </si>
  <si>
    <t>Medicina Materno Fetal</t>
  </si>
  <si>
    <t>Neonatología</t>
  </si>
  <si>
    <t>Neurocirugía</t>
  </si>
  <si>
    <t>Pabellones Gineco-Obstétricos</t>
  </si>
  <si>
    <t>Pabellón (Hemodinamia)</t>
  </si>
  <si>
    <t>Pabellón (Prestado a Hemodinamia)</t>
  </si>
  <si>
    <t>Pabellón (Recuperación)</t>
  </si>
  <si>
    <t>Pabellón (Recuperación) prestado a UPC Adulto</t>
  </si>
  <si>
    <t>Pabellón CMA</t>
  </si>
  <si>
    <t>Pabellón CMA (prestado a UPC Adulto)</t>
  </si>
  <si>
    <t>Pabellón Quirúrgico</t>
  </si>
  <si>
    <t>Pabellón Quirúrgico (Prestado a Electrofisiología)</t>
  </si>
  <si>
    <t>Pabellón Quirúrgico (Prestado a Endoscopía)</t>
  </si>
  <si>
    <t>Pabellón Quirúrgico (Prestado a Imagenología)</t>
  </si>
  <si>
    <t>Pabellón Quirúrgico (Prestado a Pabellón CMA)</t>
  </si>
  <si>
    <t>Pabellón Quirúrgico (Prestado a Traumatología)</t>
  </si>
  <si>
    <t>Pediatría</t>
  </si>
  <si>
    <t>Peritoneodiálisis Adulto</t>
  </si>
  <si>
    <t>Prevención de Riesgos</t>
  </si>
  <si>
    <t>Prevención de Riesgos (Urgencia Adulto)</t>
  </si>
  <si>
    <t>Psiquiatría</t>
  </si>
  <si>
    <t>Quimioterapia Ambulatoria Adulto</t>
  </si>
  <si>
    <t>SAMU</t>
  </si>
  <si>
    <t>SAMU (Prestado a Hemodiálisis)</t>
  </si>
  <si>
    <t>SAMU (Prestado al Hospital de Villarrica)</t>
  </si>
  <si>
    <t>Servicio Social</t>
  </si>
  <si>
    <t>TROI</t>
  </si>
  <si>
    <t>Traumatología</t>
  </si>
  <si>
    <t>UPC 3er Piso</t>
  </si>
  <si>
    <t>UPC 3er Piso (Prestado a Urgencia Adulto)</t>
  </si>
  <si>
    <t>UPC Adulto</t>
  </si>
  <si>
    <t>UPC Adulto (Prestado a Cirugía Adulto)</t>
  </si>
  <si>
    <t>UPC Adulto (Prestado a UPC 3er piso)</t>
  </si>
  <si>
    <t>UPC Adulto (Prestado a Urgencia Adulto)</t>
  </si>
  <si>
    <t>UPC Cardiovascular</t>
  </si>
  <si>
    <t>UPC Cardiovascular (Prestado a Medicina)</t>
  </si>
  <si>
    <t>UPC Cardiovascular (Prestado a UPC Adulto)</t>
  </si>
  <si>
    <t>UPC Cardiovascular (Prestado a Urgencia Adulto)</t>
  </si>
  <si>
    <t>UPC Cardiovascular (Prestado a medicina cardiovascular)</t>
  </si>
  <si>
    <t>UPC Pediátrica</t>
  </si>
  <si>
    <t>Unidad Evaluación Paciente Imputado</t>
  </si>
  <si>
    <t>Urgencia Adulto</t>
  </si>
  <si>
    <t>Urgencia Adulto (Prestado a Cirugía Adulto)</t>
  </si>
  <si>
    <t>Urgencia Adulto (Prestado a Pediatría)</t>
  </si>
  <si>
    <t>Urgencia Adulto (Prestado a UPC 3er piso)</t>
  </si>
  <si>
    <t>Urgencia Adulto (Prestado a UPC Adulto)</t>
  </si>
  <si>
    <t>Urgencia Adulto (Prestado a UPC Cardiovascular)</t>
  </si>
  <si>
    <t>Urgencia Adulto (Prestado a Urgencia Infantil)</t>
  </si>
  <si>
    <t>Urgencia Infantil</t>
  </si>
  <si>
    <t>Urgencia Infantil (Prestado a Pediatría)</t>
  </si>
  <si>
    <t>Urgencia infantil</t>
  </si>
  <si>
    <t>Urgencias Gineco-Obstétricas</t>
  </si>
  <si>
    <t>ID</t>
  </si>
  <si>
    <t>N° Carpeta</t>
  </si>
  <si>
    <t>Unidad</t>
  </si>
  <si>
    <t>Procedencia</t>
  </si>
  <si>
    <t>Año Instalación</t>
  </si>
  <si>
    <t>Clasificación</t>
  </si>
  <si>
    <t>1</t>
  </si>
  <si>
    <t>Incubadora</t>
  </si>
  <si>
    <t>UCI Neonatología</t>
  </si>
  <si>
    <t>UTI 1/2</t>
  </si>
  <si>
    <t>Arriendo</t>
  </si>
  <si>
    <t>DRAGER</t>
  </si>
  <si>
    <t>CALEO</t>
  </si>
  <si>
    <t>ASJL-0008</t>
  </si>
  <si>
    <t>2018</t>
  </si>
  <si>
    <t>Fija</t>
  </si>
  <si>
    <t>2</t>
  </si>
  <si>
    <t>SALA EQUIPOS</t>
  </si>
  <si>
    <t>GENERAL ELECTRIC</t>
  </si>
  <si>
    <t>GIRAFFE OMNIBED CARESTATION</t>
  </si>
  <si>
    <t>TABX62307</t>
  </si>
  <si>
    <t>3</t>
  </si>
  <si>
    <t>UCI 16</t>
  </si>
  <si>
    <t>TABX62308</t>
  </si>
  <si>
    <t>4</t>
  </si>
  <si>
    <t>UTI 1/4</t>
  </si>
  <si>
    <t>ASHM-0118</t>
  </si>
  <si>
    <t>5</t>
  </si>
  <si>
    <t>UCI 4</t>
  </si>
  <si>
    <t>TABX62309</t>
  </si>
  <si>
    <t>6</t>
  </si>
  <si>
    <t>Demostracion</t>
  </si>
  <si>
    <t>TSE</t>
  </si>
  <si>
    <t>Shelly 610</t>
  </si>
  <si>
    <t>02516.</t>
  </si>
  <si>
    <t>2025</t>
  </si>
  <si>
    <t>7</t>
  </si>
  <si>
    <t>Pasillo</t>
  </si>
  <si>
    <t>Adquirido</t>
  </si>
  <si>
    <t>HILL-ROM</t>
  </si>
  <si>
    <t>TI500</t>
  </si>
  <si>
    <t>VD03887</t>
  </si>
  <si>
    <t>2002</t>
  </si>
  <si>
    <t>Transporte</t>
  </si>
  <si>
    <t>8</t>
  </si>
  <si>
    <t>UCI 2</t>
  </si>
  <si>
    <t>ASLB-0016</t>
  </si>
  <si>
    <t>9</t>
  </si>
  <si>
    <t>UTI 2/6</t>
  </si>
  <si>
    <t>TABX62310</t>
  </si>
  <si>
    <t>10</t>
  </si>
  <si>
    <t>11</t>
  </si>
  <si>
    <t>Base 1</t>
  </si>
  <si>
    <t>ATOM</t>
  </si>
  <si>
    <t>INCU ARCH</t>
  </si>
  <si>
    <t>621012300012</t>
  </si>
  <si>
    <t>2023</t>
  </si>
  <si>
    <t>12</t>
  </si>
  <si>
    <t>13</t>
  </si>
  <si>
    <t>14</t>
  </si>
  <si>
    <t>15</t>
  </si>
  <si>
    <t>16</t>
  </si>
  <si>
    <t>UTI 3/3</t>
  </si>
  <si>
    <t>ASLB-0009</t>
  </si>
  <si>
    <t>17</t>
  </si>
  <si>
    <t>18</t>
  </si>
  <si>
    <t>UTI 1/6</t>
  </si>
  <si>
    <t>ASDA-0012</t>
  </si>
  <si>
    <t>2012</t>
  </si>
  <si>
    <t>19</t>
  </si>
  <si>
    <t>UCI 6</t>
  </si>
  <si>
    <t>ASDA-0009</t>
  </si>
  <si>
    <t>20</t>
  </si>
  <si>
    <t>UCI 13</t>
  </si>
  <si>
    <t>ASDA-0010</t>
  </si>
  <si>
    <t>21</t>
  </si>
  <si>
    <t>UTI 4/2</t>
  </si>
  <si>
    <t>ASDA-0011</t>
  </si>
  <si>
    <t>22</t>
  </si>
  <si>
    <t>23</t>
  </si>
  <si>
    <t>24</t>
  </si>
  <si>
    <t>UCI 5</t>
  </si>
  <si>
    <t>ASLB-0010</t>
  </si>
  <si>
    <t>25</t>
  </si>
  <si>
    <t>26</t>
  </si>
  <si>
    <t>27</t>
  </si>
  <si>
    <t>28</t>
  </si>
  <si>
    <t>29</t>
  </si>
  <si>
    <t>30</t>
  </si>
  <si>
    <t>31</t>
  </si>
  <si>
    <t xml:space="preserve">UCI Neonatología </t>
  </si>
  <si>
    <t>KM10530</t>
  </si>
  <si>
    <t>2015</t>
  </si>
  <si>
    <t>32</t>
  </si>
  <si>
    <t>UCI 7</t>
  </si>
  <si>
    <t>ASLB-0011</t>
  </si>
  <si>
    <t>33</t>
  </si>
  <si>
    <t>ASLB-0012</t>
  </si>
  <si>
    <t>34</t>
  </si>
  <si>
    <t>UTI 1/5</t>
  </si>
  <si>
    <t>ASLB-0013</t>
  </si>
  <si>
    <t>35</t>
  </si>
  <si>
    <t>UTI 1/3</t>
  </si>
  <si>
    <t>ASLB-0014</t>
  </si>
  <si>
    <t>36</t>
  </si>
  <si>
    <t>UTI 2/4</t>
  </si>
  <si>
    <t>ASLB-0015</t>
  </si>
  <si>
    <t>37</t>
  </si>
  <si>
    <t>ASJL-0039</t>
  </si>
  <si>
    <t>38</t>
  </si>
  <si>
    <t>UTI 1/1</t>
  </si>
  <si>
    <t>ASJL-0015</t>
  </si>
  <si>
    <t>39</t>
  </si>
  <si>
    <t>UCI 8</t>
  </si>
  <si>
    <t>ASJL-0007</t>
  </si>
  <si>
    <t>40</t>
  </si>
  <si>
    <t>UCI 11</t>
  </si>
  <si>
    <t>ASJL-0006</t>
  </si>
  <si>
    <t>41</t>
  </si>
  <si>
    <t>UTI 2/1</t>
  </si>
  <si>
    <t>ASJL-0013</t>
  </si>
  <si>
    <t>42</t>
  </si>
  <si>
    <t>DEA</t>
  </si>
  <si>
    <t>Mindray</t>
  </si>
  <si>
    <t>BeneHeart C2</t>
  </si>
  <si>
    <t>AE7-2408132</t>
  </si>
  <si>
    <t>2026</t>
  </si>
  <si>
    <t>43</t>
  </si>
  <si>
    <t>Desfibrilador</t>
  </si>
  <si>
    <t xml:space="preserve">Hemodinamia </t>
  </si>
  <si>
    <t>Pabellón 2Piso</t>
  </si>
  <si>
    <t xml:space="preserve">Zoll </t>
  </si>
  <si>
    <t>R SERIES ALS</t>
  </si>
  <si>
    <t>AF12B020910</t>
  </si>
  <si>
    <t>44</t>
  </si>
  <si>
    <t>SUA</t>
  </si>
  <si>
    <t>Sala Reanimación</t>
  </si>
  <si>
    <t>AF10H011856</t>
  </si>
  <si>
    <t>45</t>
  </si>
  <si>
    <t>Medicina Cardiovascular</t>
  </si>
  <si>
    <t>Zócalo</t>
  </si>
  <si>
    <t>Nihon Kohden</t>
  </si>
  <si>
    <t>TEC 5531E</t>
  </si>
  <si>
    <t>01816</t>
  </si>
  <si>
    <t>2009</t>
  </si>
  <si>
    <t>46</t>
  </si>
  <si>
    <t>Zoll</t>
  </si>
  <si>
    <t>AEDPLUS</t>
  </si>
  <si>
    <t>X18E028657</t>
  </si>
  <si>
    <t>2022</t>
  </si>
  <si>
    <t>47</t>
  </si>
  <si>
    <t>UEPI</t>
  </si>
  <si>
    <t>UEPI-103</t>
  </si>
  <si>
    <t>AED-3100</t>
  </si>
  <si>
    <t>13042</t>
  </si>
  <si>
    <t>2020</t>
  </si>
  <si>
    <t>48</t>
  </si>
  <si>
    <t>Ambulancia</t>
  </si>
  <si>
    <t>BeneHeart C1A</t>
  </si>
  <si>
    <t>AF1-48110851</t>
  </si>
  <si>
    <t>49</t>
  </si>
  <si>
    <t>SUI sala IRA</t>
  </si>
  <si>
    <t>00888</t>
  </si>
  <si>
    <t>50</t>
  </si>
  <si>
    <t>CDT-P1-SA06</t>
  </si>
  <si>
    <t>AF12B020988</t>
  </si>
  <si>
    <t>51</t>
  </si>
  <si>
    <t>UCI Adulto</t>
  </si>
  <si>
    <t>UCI D</t>
  </si>
  <si>
    <t>00889</t>
  </si>
  <si>
    <t>2007</t>
  </si>
  <si>
    <t>52</t>
  </si>
  <si>
    <t>Pediatría Segunda Infancia</t>
  </si>
  <si>
    <t>Pediatréa EPA</t>
  </si>
  <si>
    <t>00039</t>
  </si>
  <si>
    <t>2005</t>
  </si>
  <si>
    <t>53</t>
  </si>
  <si>
    <t>Pabellón Urgencia Obstétrica</t>
  </si>
  <si>
    <t xml:space="preserve">M SERIES </t>
  </si>
  <si>
    <t>T03K52786</t>
  </si>
  <si>
    <t>54</t>
  </si>
  <si>
    <t>Recuperación Partos</t>
  </si>
  <si>
    <t>Medtronic</t>
  </si>
  <si>
    <t>Lifepack 20</t>
  </si>
  <si>
    <t>40676147</t>
  </si>
  <si>
    <t>55</t>
  </si>
  <si>
    <t>Bodega Escritorio</t>
  </si>
  <si>
    <t>Bodega escritorio</t>
  </si>
  <si>
    <t>39322210</t>
  </si>
  <si>
    <t>2010</t>
  </si>
  <si>
    <t>56</t>
  </si>
  <si>
    <t xml:space="preserve">Pabellón Central </t>
  </si>
  <si>
    <t>CDT-P2-PA05</t>
  </si>
  <si>
    <t>00880</t>
  </si>
  <si>
    <t>57</t>
  </si>
  <si>
    <t>EPB-P3-OF02</t>
  </si>
  <si>
    <t>00885</t>
  </si>
  <si>
    <t>58</t>
  </si>
  <si>
    <t>01818</t>
  </si>
  <si>
    <t>59</t>
  </si>
  <si>
    <t>Recuperación CMA</t>
  </si>
  <si>
    <t>00887</t>
  </si>
  <si>
    <t>60</t>
  </si>
  <si>
    <t>Psiquiatría Adulto</t>
  </si>
  <si>
    <t>CDT-P1-SA32</t>
  </si>
  <si>
    <t>00876</t>
  </si>
  <si>
    <t>61</t>
  </si>
  <si>
    <t>Psiquiatría Infantil</t>
  </si>
  <si>
    <t>CDT-P2-E.E02</t>
  </si>
  <si>
    <t>TEC 5521E</t>
  </si>
  <si>
    <t>00795</t>
  </si>
  <si>
    <t>62</t>
  </si>
  <si>
    <t xml:space="preserve">Imagenología </t>
  </si>
  <si>
    <t>Scanner</t>
  </si>
  <si>
    <t>00790</t>
  </si>
  <si>
    <t>63</t>
  </si>
  <si>
    <t>Angiógrafo</t>
  </si>
  <si>
    <t>00083</t>
  </si>
  <si>
    <t>64</t>
  </si>
  <si>
    <t>Cirugía Trauma</t>
  </si>
  <si>
    <t>01811</t>
  </si>
  <si>
    <t>65</t>
  </si>
  <si>
    <t>Sala 298</t>
  </si>
  <si>
    <t>01076</t>
  </si>
  <si>
    <t>2008</t>
  </si>
  <si>
    <t>66</t>
  </si>
  <si>
    <t>Cirugía Adulto - Piso 3</t>
  </si>
  <si>
    <t>EPC</t>
  </si>
  <si>
    <t>01815</t>
  </si>
  <si>
    <t>67</t>
  </si>
  <si>
    <t>UTI 3er Piso</t>
  </si>
  <si>
    <t>Carro de paro</t>
  </si>
  <si>
    <t>01810</t>
  </si>
  <si>
    <t>68</t>
  </si>
  <si>
    <t>AF10H011861</t>
  </si>
  <si>
    <t>69</t>
  </si>
  <si>
    <t>AF10G011487</t>
  </si>
  <si>
    <t>70</t>
  </si>
  <si>
    <t>Compra</t>
  </si>
  <si>
    <t>TEC-5631</t>
  </si>
  <si>
    <t>07900</t>
  </si>
  <si>
    <t>71</t>
  </si>
  <si>
    <t>QMT Ambulatoria Adulto</t>
  </si>
  <si>
    <t>EPC-P2</t>
  </si>
  <si>
    <t>AF12B020977</t>
  </si>
  <si>
    <t>2011</t>
  </si>
  <si>
    <t>72</t>
  </si>
  <si>
    <t>Pediatría Oncológica</t>
  </si>
  <si>
    <t>01814</t>
  </si>
  <si>
    <t>73</t>
  </si>
  <si>
    <t>TEC-5632E</t>
  </si>
  <si>
    <t>08104</t>
  </si>
  <si>
    <t>74</t>
  </si>
  <si>
    <t>Pediatría Lactantes</t>
  </si>
  <si>
    <t>00082</t>
  </si>
  <si>
    <t>75</t>
  </si>
  <si>
    <t>UTI Adulto</t>
  </si>
  <si>
    <t>P2</t>
  </si>
  <si>
    <t>M2</t>
  </si>
  <si>
    <t>(21)BA19F000019</t>
  </si>
  <si>
    <t>76</t>
  </si>
  <si>
    <t>Medicina interna - 5to piso</t>
  </si>
  <si>
    <t>5TO PISO TN</t>
  </si>
  <si>
    <t>01812</t>
  </si>
  <si>
    <t>77</t>
  </si>
  <si>
    <t>5TO PISO EPA</t>
  </si>
  <si>
    <t>00342</t>
  </si>
  <si>
    <t>2006</t>
  </si>
  <si>
    <t>78</t>
  </si>
  <si>
    <t>BeneHeart D30</t>
  </si>
  <si>
    <t>FP5-49011641</t>
  </si>
  <si>
    <t>79</t>
  </si>
  <si>
    <t>Sala procedmiento cirugíaa infantil</t>
  </si>
  <si>
    <t>01813</t>
  </si>
  <si>
    <t>80</t>
  </si>
  <si>
    <t>P4-TNB</t>
  </si>
  <si>
    <t>00883</t>
  </si>
  <si>
    <t>81</t>
  </si>
  <si>
    <t>EPA</t>
  </si>
  <si>
    <t>01796</t>
  </si>
  <si>
    <t>82</t>
  </si>
  <si>
    <t>83</t>
  </si>
  <si>
    <t>01819</t>
  </si>
  <si>
    <t>84</t>
  </si>
  <si>
    <t>85</t>
  </si>
  <si>
    <t>Urgencia Obstétrica</t>
  </si>
  <si>
    <t>UPC-P1-SA20</t>
  </si>
  <si>
    <t>AF12B020983</t>
  </si>
  <si>
    <t>86</t>
  </si>
  <si>
    <t>87</t>
  </si>
  <si>
    <t>Pabellón Cardiovascular</t>
  </si>
  <si>
    <t>Physio Control</t>
  </si>
  <si>
    <t>Lifepak 15</t>
  </si>
  <si>
    <t>49453842</t>
  </si>
  <si>
    <t>88</t>
  </si>
  <si>
    <t>Angiografo</t>
  </si>
  <si>
    <t>30634707</t>
  </si>
  <si>
    <t>89</t>
  </si>
  <si>
    <t>Movil 1305</t>
  </si>
  <si>
    <t>Préstamo SSAS</t>
  </si>
  <si>
    <t>X21J421750</t>
  </si>
  <si>
    <t>90</t>
  </si>
  <si>
    <t>Movil 1301</t>
  </si>
  <si>
    <t>TEC-8352K</t>
  </si>
  <si>
    <t>01640</t>
  </si>
  <si>
    <t>91</t>
  </si>
  <si>
    <t>Movil 1302</t>
  </si>
  <si>
    <t>AF12B020986</t>
  </si>
  <si>
    <t>92</t>
  </si>
  <si>
    <t>Movil SHLF-84</t>
  </si>
  <si>
    <t>AE7-24048210</t>
  </si>
  <si>
    <t>93</t>
  </si>
  <si>
    <t>Pabellón Central</t>
  </si>
  <si>
    <t>40979213</t>
  </si>
  <si>
    <t>94</t>
  </si>
  <si>
    <t>CEM</t>
  </si>
  <si>
    <t>AED-3100K</t>
  </si>
  <si>
    <t>40422</t>
  </si>
  <si>
    <t>95</t>
  </si>
  <si>
    <t>CDT 1ER Piso</t>
  </si>
  <si>
    <t>DEFIBTECH</t>
  </si>
  <si>
    <t xml:space="preserve">LIFE LINE </t>
  </si>
  <si>
    <t>122002994</t>
  </si>
  <si>
    <t>2013</t>
  </si>
  <si>
    <t>96</t>
  </si>
  <si>
    <t>Hall 1º Piso EP</t>
  </si>
  <si>
    <t>122003001</t>
  </si>
  <si>
    <t>97</t>
  </si>
  <si>
    <t>122002995</t>
  </si>
  <si>
    <t>98</t>
  </si>
  <si>
    <t xml:space="preserve">Priorización Adultos </t>
  </si>
  <si>
    <t>122003000</t>
  </si>
  <si>
    <t>99</t>
  </si>
  <si>
    <t>Zócalo CDT</t>
  </si>
  <si>
    <t>122002981</t>
  </si>
  <si>
    <t>100</t>
  </si>
  <si>
    <t>Entrada Principal TN</t>
  </si>
  <si>
    <t>122002983</t>
  </si>
  <si>
    <t>101</t>
  </si>
  <si>
    <t xml:space="preserve">Estacionamiento Zócalo </t>
  </si>
  <si>
    <t>122002988</t>
  </si>
  <si>
    <t>102</t>
  </si>
  <si>
    <t>Hall Imagenología</t>
  </si>
  <si>
    <t>122002985</t>
  </si>
  <si>
    <t>103</t>
  </si>
  <si>
    <t>40361</t>
  </si>
  <si>
    <t>104</t>
  </si>
  <si>
    <t>EPB-P1</t>
  </si>
  <si>
    <t>Donación</t>
  </si>
  <si>
    <t>BeneHeart D6</t>
  </si>
  <si>
    <t>DG-29006896</t>
  </si>
  <si>
    <t>2014</t>
  </si>
  <si>
    <t>105</t>
  </si>
  <si>
    <t>SUI reanimador</t>
  </si>
  <si>
    <t>DG-29006907</t>
  </si>
  <si>
    <t>106</t>
  </si>
  <si>
    <t>Cirugía Adulto - Piso 7</t>
  </si>
  <si>
    <t>7mo piso</t>
  </si>
  <si>
    <t>(21)AF14J041071</t>
  </si>
  <si>
    <t>107</t>
  </si>
  <si>
    <t>UCI Cardiovascular</t>
  </si>
  <si>
    <t>(21)AF14J041081</t>
  </si>
  <si>
    <t>108</t>
  </si>
  <si>
    <t>EPC 5to Piso</t>
  </si>
  <si>
    <t>(21)AF14J041073</t>
  </si>
  <si>
    <t>2016</t>
  </si>
  <si>
    <t>109</t>
  </si>
  <si>
    <t>Base 13</t>
  </si>
  <si>
    <t>Instramed</t>
  </si>
  <si>
    <t>Cardiomax 8 Series</t>
  </si>
  <si>
    <t>41204CM7004</t>
  </si>
  <si>
    <t>110</t>
  </si>
  <si>
    <t>Sala de reanimación</t>
  </si>
  <si>
    <t>TEC-5631E</t>
  </si>
  <si>
    <t>07905</t>
  </si>
  <si>
    <t>111</t>
  </si>
  <si>
    <t>DG4C012442</t>
  </si>
  <si>
    <t>112</t>
  </si>
  <si>
    <t>TNB--1-BG05</t>
  </si>
  <si>
    <t>DG4C012445</t>
  </si>
  <si>
    <t>113</t>
  </si>
  <si>
    <t>SECTOR C</t>
  </si>
  <si>
    <t>DG4C012440</t>
  </si>
  <si>
    <t>114</t>
  </si>
  <si>
    <t>Cirugia Adulto - Piso 3</t>
  </si>
  <si>
    <t>3 Piso</t>
  </si>
  <si>
    <t>DG4C012439</t>
  </si>
  <si>
    <t>115</t>
  </si>
  <si>
    <t>BODEGA</t>
  </si>
  <si>
    <t>DG4C012437</t>
  </si>
  <si>
    <t>116</t>
  </si>
  <si>
    <t>NIHON KOHDEN</t>
  </si>
  <si>
    <t>00932</t>
  </si>
  <si>
    <t>117</t>
  </si>
  <si>
    <t>Reanimación</t>
  </si>
  <si>
    <t>00946</t>
  </si>
  <si>
    <t>118</t>
  </si>
  <si>
    <t xml:space="preserve">UPC Pediátrica </t>
  </si>
  <si>
    <t>UCI Pediátrica</t>
  </si>
  <si>
    <t>(21)AF19F099451</t>
  </si>
  <si>
    <t>2019</t>
  </si>
  <si>
    <t>119</t>
  </si>
  <si>
    <t xml:space="preserve">UTI Pediátrica </t>
  </si>
  <si>
    <t>(21)AF19F099428</t>
  </si>
  <si>
    <t>120</t>
  </si>
  <si>
    <t>Recuperación Pabellón Central</t>
  </si>
  <si>
    <t>(21)AF19K107390</t>
  </si>
  <si>
    <t>121</t>
  </si>
  <si>
    <t>(21)AF19K107391</t>
  </si>
  <si>
    <t>122</t>
  </si>
  <si>
    <t>(21)AF19K107393</t>
  </si>
  <si>
    <t>123</t>
  </si>
  <si>
    <t>(21)AF19K107388</t>
  </si>
  <si>
    <t>124</t>
  </si>
  <si>
    <t>UTI Cardiovascular</t>
  </si>
  <si>
    <t>(21)AF19F099447</t>
  </si>
  <si>
    <t>125</t>
  </si>
  <si>
    <t>CDT Módulo C</t>
  </si>
  <si>
    <t>Box 15C</t>
  </si>
  <si>
    <t>Préstamo-Hospital de Angol</t>
  </si>
  <si>
    <t>02609</t>
  </si>
  <si>
    <t>126</t>
  </si>
  <si>
    <t>UCI 3er Piso</t>
  </si>
  <si>
    <t>03249</t>
  </si>
  <si>
    <t>127</t>
  </si>
  <si>
    <t>Sala de equipos SUA</t>
  </si>
  <si>
    <t>EMS-1052E</t>
  </si>
  <si>
    <t>298</t>
  </si>
  <si>
    <t>128</t>
  </si>
  <si>
    <t>BA19F000013</t>
  </si>
  <si>
    <t>2021</t>
  </si>
  <si>
    <t>129</t>
  </si>
  <si>
    <t>2-121024</t>
  </si>
  <si>
    <t>03533</t>
  </si>
  <si>
    <t>130</t>
  </si>
  <si>
    <t>13036</t>
  </si>
  <si>
    <t>131</t>
  </si>
  <si>
    <t>5TO PISO TNB</t>
  </si>
  <si>
    <t>03938</t>
  </si>
  <si>
    <t>132</t>
  </si>
  <si>
    <t>5TO PISO TNA</t>
  </si>
  <si>
    <t>03939</t>
  </si>
  <si>
    <t>133</t>
  </si>
  <si>
    <t>Movil RBFR-32</t>
  </si>
  <si>
    <t>Préstamo-SSAS</t>
  </si>
  <si>
    <t>X21A332744</t>
  </si>
  <si>
    <t>134</t>
  </si>
  <si>
    <t>5to piso EPB</t>
  </si>
  <si>
    <t>03945</t>
  </si>
  <si>
    <t>135</t>
  </si>
  <si>
    <t>Pabellón 2</t>
  </si>
  <si>
    <t xml:space="preserve">Drager </t>
  </si>
  <si>
    <t>Primus IE</t>
  </si>
  <si>
    <t>ASLJ-0308</t>
  </si>
  <si>
    <t>136</t>
  </si>
  <si>
    <t>Perseus A500</t>
  </si>
  <si>
    <t>ASRJ-0185</t>
  </si>
  <si>
    <t>2024</t>
  </si>
  <si>
    <t>137</t>
  </si>
  <si>
    <t>Drager</t>
  </si>
  <si>
    <t>Atlan A350</t>
  </si>
  <si>
    <t>ASUD-0008</t>
  </si>
  <si>
    <t>138</t>
  </si>
  <si>
    <t>Angiógrafo 5to piso</t>
  </si>
  <si>
    <t>Fabius GS</t>
  </si>
  <si>
    <t>ARXN-0048</t>
  </si>
  <si>
    <t>139</t>
  </si>
  <si>
    <t xml:space="preserve">Primus </t>
  </si>
  <si>
    <t>ARYA-0173</t>
  </si>
  <si>
    <t>140</t>
  </si>
  <si>
    <t>141</t>
  </si>
  <si>
    <t>Primus</t>
  </si>
  <si>
    <t>ARXK-0016</t>
  </si>
  <si>
    <t>142</t>
  </si>
  <si>
    <t>2do piso</t>
  </si>
  <si>
    <t>ASMB-0232</t>
  </si>
  <si>
    <t>143</t>
  </si>
  <si>
    <t>Angiógrafo 1er piso</t>
  </si>
  <si>
    <t>ASCB-0130</t>
  </si>
  <si>
    <t>144</t>
  </si>
  <si>
    <t>Pabellón 3</t>
  </si>
  <si>
    <t>ASCB-0129</t>
  </si>
  <si>
    <t>145</t>
  </si>
  <si>
    <t>146</t>
  </si>
  <si>
    <t>147</t>
  </si>
  <si>
    <t>Pabellón 7 Urgencia</t>
  </si>
  <si>
    <t>ASMB-0230</t>
  </si>
  <si>
    <t>148</t>
  </si>
  <si>
    <t>Equipamiento clinico</t>
  </si>
  <si>
    <t>ARYA-0174</t>
  </si>
  <si>
    <t>149</t>
  </si>
  <si>
    <t>150</t>
  </si>
  <si>
    <t>Pabellón 8</t>
  </si>
  <si>
    <t>ASDK-0158</t>
  </si>
  <si>
    <t>151</t>
  </si>
  <si>
    <t>152</t>
  </si>
  <si>
    <t>ARYL-0080</t>
  </si>
  <si>
    <t>153</t>
  </si>
  <si>
    <t>Resonador</t>
  </si>
  <si>
    <t xml:space="preserve">Datex Ohmeda </t>
  </si>
  <si>
    <t>Aestiva/5 MRI</t>
  </si>
  <si>
    <t>AMTK00245</t>
  </si>
  <si>
    <t>154</t>
  </si>
  <si>
    <t>155</t>
  </si>
  <si>
    <t>Hemodinamia</t>
  </si>
  <si>
    <t>Pabellón Hemodinamia</t>
  </si>
  <si>
    <t>ARXK-0015</t>
  </si>
  <si>
    <t>156</t>
  </si>
  <si>
    <t>Pabellón 1</t>
  </si>
  <si>
    <t>ASHB-0263</t>
  </si>
  <si>
    <t>157</t>
  </si>
  <si>
    <t>ASHB-0262</t>
  </si>
  <si>
    <t>158</t>
  </si>
  <si>
    <t>ASHB-0261</t>
  </si>
  <si>
    <t>159</t>
  </si>
  <si>
    <t>Bodega Pabellón Central</t>
  </si>
  <si>
    <t>ASMB-0233</t>
  </si>
  <si>
    <t>160</t>
  </si>
  <si>
    <t>PabellónCMA 2</t>
  </si>
  <si>
    <t>ASMB-0234</t>
  </si>
  <si>
    <t>161</t>
  </si>
  <si>
    <t>ASMK-0087</t>
  </si>
  <si>
    <t>162</t>
  </si>
  <si>
    <t>Pabellón</t>
  </si>
  <si>
    <t>ASMK-0086</t>
  </si>
  <si>
    <t>163</t>
  </si>
  <si>
    <t>Pabellón 10</t>
  </si>
  <si>
    <t>ASMK-0085</t>
  </si>
  <si>
    <t>164</t>
  </si>
  <si>
    <t>Pabellón 5</t>
  </si>
  <si>
    <t>ASMK-0178</t>
  </si>
  <si>
    <t>165</t>
  </si>
  <si>
    <t xml:space="preserve">Pabellón 3 </t>
  </si>
  <si>
    <t>ASMK-0179</t>
  </si>
  <si>
    <t>166</t>
  </si>
  <si>
    <t>Fabius MRI</t>
  </si>
  <si>
    <t>ASML-0015</t>
  </si>
  <si>
    <t>167</t>
  </si>
  <si>
    <t xml:space="preserve">Ventilador Mecánico </t>
  </si>
  <si>
    <t>UPC-P2-SA07</t>
  </si>
  <si>
    <t>Puritan Bennett</t>
  </si>
  <si>
    <t>840/Sin Comp.</t>
  </si>
  <si>
    <t>3510094199</t>
  </si>
  <si>
    <t>Invasivo</t>
  </si>
  <si>
    <t>168</t>
  </si>
  <si>
    <t>Préstamo MINSAL</t>
  </si>
  <si>
    <t>MEK ICS</t>
  </si>
  <si>
    <t>MTV1000</t>
  </si>
  <si>
    <t>MTV1KUA1C0139</t>
  </si>
  <si>
    <t>Transporte Invasivo</t>
  </si>
  <si>
    <t>169</t>
  </si>
  <si>
    <t>Préstamo Hospital de Villarrica</t>
  </si>
  <si>
    <t>Savina 300 Classic</t>
  </si>
  <si>
    <t>ASSM-0041</t>
  </si>
  <si>
    <t>No Invasivo</t>
  </si>
  <si>
    <t>170</t>
  </si>
  <si>
    <t>UPC-P2-SA19</t>
  </si>
  <si>
    <t>840</t>
  </si>
  <si>
    <t>3510094181</t>
  </si>
  <si>
    <t>171</t>
  </si>
  <si>
    <t>3510094192</t>
  </si>
  <si>
    <t>172</t>
  </si>
  <si>
    <t>980/cc</t>
  </si>
  <si>
    <t>35B2101536</t>
  </si>
  <si>
    <t>173</t>
  </si>
  <si>
    <t>MTV1KUA1B0123</t>
  </si>
  <si>
    <t>174</t>
  </si>
  <si>
    <t>35B2101595</t>
  </si>
  <si>
    <t>175</t>
  </si>
  <si>
    <t>Préstamo Hospital de Pitrufquen</t>
  </si>
  <si>
    <t>Flight Medical</t>
  </si>
  <si>
    <t>Flight 60</t>
  </si>
  <si>
    <t>16124260</t>
  </si>
  <si>
    <t>176</t>
  </si>
  <si>
    <t>35B2101546</t>
  </si>
  <si>
    <t>177</t>
  </si>
  <si>
    <t>Préstamo Hospital de Lautaro</t>
  </si>
  <si>
    <t>980</t>
  </si>
  <si>
    <t>35B2004446</t>
  </si>
  <si>
    <t>178</t>
  </si>
  <si>
    <t>179</t>
  </si>
  <si>
    <t>180</t>
  </si>
  <si>
    <t>181</t>
  </si>
  <si>
    <t>182</t>
  </si>
  <si>
    <t>UPC-P2-SA08</t>
  </si>
  <si>
    <t>Oxylog 3000</t>
  </si>
  <si>
    <t>183</t>
  </si>
  <si>
    <t>Sala de equipos</t>
  </si>
  <si>
    <t>Evita V300</t>
  </si>
  <si>
    <t>184</t>
  </si>
  <si>
    <t>185</t>
  </si>
  <si>
    <t>186</t>
  </si>
  <si>
    <t>187</t>
  </si>
  <si>
    <t>3510094107</t>
  </si>
  <si>
    <t>188</t>
  </si>
  <si>
    <t>Newport</t>
  </si>
  <si>
    <t>HT70 PLUS</t>
  </si>
  <si>
    <t>HT7P200663</t>
  </si>
  <si>
    <t>189</t>
  </si>
  <si>
    <t>190</t>
  </si>
  <si>
    <t>191</t>
  </si>
  <si>
    <t>3510053116</t>
  </si>
  <si>
    <t>192</t>
  </si>
  <si>
    <t>3510053070</t>
  </si>
  <si>
    <t>193</t>
  </si>
  <si>
    <t>194</t>
  </si>
  <si>
    <t>Ventilador Alta Frecuencia</t>
  </si>
  <si>
    <t>UPC-P2-SA44</t>
  </si>
  <si>
    <t>CareFusion</t>
  </si>
  <si>
    <t xml:space="preserve">Sensormedics 3100A </t>
  </si>
  <si>
    <t>AJW01025</t>
  </si>
  <si>
    <t>195</t>
  </si>
  <si>
    <t>UPC-P2-BG14</t>
  </si>
  <si>
    <t>Evita V300/SC</t>
  </si>
  <si>
    <t>196</t>
  </si>
  <si>
    <t>MV2000 EVO5</t>
  </si>
  <si>
    <t>MV2000UA1D0803</t>
  </si>
  <si>
    <t>197</t>
  </si>
  <si>
    <t>198</t>
  </si>
  <si>
    <t>Maquet</t>
  </si>
  <si>
    <t>Servo i</t>
  </si>
  <si>
    <t>15062</t>
  </si>
  <si>
    <t>2004</t>
  </si>
  <si>
    <t>199</t>
  </si>
  <si>
    <t>27409</t>
  </si>
  <si>
    <t>200</t>
  </si>
  <si>
    <t>201</t>
  </si>
  <si>
    <t>Servo i RM</t>
  </si>
  <si>
    <t>27406</t>
  </si>
  <si>
    <t>202</t>
  </si>
  <si>
    <t>203</t>
  </si>
  <si>
    <t xml:space="preserve">Oficina </t>
  </si>
  <si>
    <t>Préstamo SSAN</t>
  </si>
  <si>
    <t>Philips</t>
  </si>
  <si>
    <t>Trilogy 202</t>
  </si>
  <si>
    <t>TV019111110</t>
  </si>
  <si>
    <t>204</t>
  </si>
  <si>
    <t>205</t>
  </si>
  <si>
    <t>206</t>
  </si>
  <si>
    <t>207</t>
  </si>
  <si>
    <t>208</t>
  </si>
  <si>
    <t>2-116307</t>
  </si>
  <si>
    <t>ASJA-0099</t>
  </si>
  <si>
    <t>209</t>
  </si>
  <si>
    <t>210</t>
  </si>
  <si>
    <t xml:space="preserve">Carina </t>
  </si>
  <si>
    <t>SRYM-0043</t>
  </si>
  <si>
    <t>211</t>
  </si>
  <si>
    <t>VN500</t>
  </si>
  <si>
    <t>ASDB-0042</t>
  </si>
  <si>
    <t>212</t>
  </si>
  <si>
    <t>Sensormedics 3100A</t>
  </si>
  <si>
    <t>TMA24453</t>
  </si>
  <si>
    <t>213</t>
  </si>
  <si>
    <t>Sensormedics 3100B</t>
  </si>
  <si>
    <t>BBW01018</t>
  </si>
  <si>
    <t>214</t>
  </si>
  <si>
    <t>TV020010610</t>
  </si>
  <si>
    <t>215</t>
  </si>
  <si>
    <t>TV019111203</t>
  </si>
  <si>
    <t>216</t>
  </si>
  <si>
    <t>Sala equipos SUA</t>
  </si>
  <si>
    <t>Traspaso</t>
  </si>
  <si>
    <t>ASHC-0026</t>
  </si>
  <si>
    <t>217</t>
  </si>
  <si>
    <t>Respironic V60</t>
  </si>
  <si>
    <t>201038729</t>
  </si>
  <si>
    <t>218</t>
  </si>
  <si>
    <t>TV02001060B</t>
  </si>
  <si>
    <t>219</t>
  </si>
  <si>
    <t>ASJL-0099</t>
  </si>
  <si>
    <t>220</t>
  </si>
  <si>
    <t>TV020010608</t>
  </si>
  <si>
    <t>221</t>
  </si>
  <si>
    <t>ASKK-0196</t>
  </si>
  <si>
    <t>222</t>
  </si>
  <si>
    <t>223</t>
  </si>
  <si>
    <t>224</t>
  </si>
  <si>
    <t>225</t>
  </si>
  <si>
    <t>226</t>
  </si>
  <si>
    <t>Hamilton</t>
  </si>
  <si>
    <t>T1</t>
  </si>
  <si>
    <t>27365</t>
  </si>
  <si>
    <t>227</t>
  </si>
  <si>
    <t>ASCL-0118</t>
  </si>
  <si>
    <t>228</t>
  </si>
  <si>
    <t>Demostración</t>
  </si>
  <si>
    <t>EV300</t>
  </si>
  <si>
    <t>H377386649137</t>
  </si>
  <si>
    <t>229</t>
  </si>
  <si>
    <t>3510053115</t>
  </si>
  <si>
    <t>230</t>
  </si>
  <si>
    <t>35B2100833</t>
  </si>
  <si>
    <t>231</t>
  </si>
  <si>
    <t>27332</t>
  </si>
  <si>
    <t>232</t>
  </si>
  <si>
    <t>ASKK-0198</t>
  </si>
  <si>
    <t>233</t>
  </si>
  <si>
    <t>MR1</t>
  </si>
  <si>
    <t>5497</t>
  </si>
  <si>
    <t>234</t>
  </si>
  <si>
    <t>235</t>
  </si>
  <si>
    <t>3512141901</t>
  </si>
  <si>
    <t>236</t>
  </si>
  <si>
    <t>ASFM-0081</t>
  </si>
  <si>
    <t>237</t>
  </si>
  <si>
    <t>238</t>
  </si>
  <si>
    <t>ASFN-0010</t>
  </si>
  <si>
    <t>239</t>
  </si>
  <si>
    <t>240</t>
  </si>
  <si>
    <t>ASFN-0007</t>
  </si>
  <si>
    <t>241</t>
  </si>
  <si>
    <t>242</t>
  </si>
  <si>
    <t>ASFN-0009</t>
  </si>
  <si>
    <t>243</t>
  </si>
  <si>
    <t>UPC-P2-SA02</t>
  </si>
  <si>
    <t>244</t>
  </si>
  <si>
    <t>245</t>
  </si>
  <si>
    <t>246</t>
  </si>
  <si>
    <t>2-110565</t>
  </si>
  <si>
    <t>ASHK-0148</t>
  </si>
  <si>
    <t>247</t>
  </si>
  <si>
    <t>248</t>
  </si>
  <si>
    <t>2-110563</t>
  </si>
  <si>
    <t>ASHK-0153</t>
  </si>
  <si>
    <t>249</t>
  </si>
  <si>
    <t>250</t>
  </si>
  <si>
    <t>2-110567</t>
  </si>
  <si>
    <t>ASHK-0160</t>
  </si>
  <si>
    <t>251</t>
  </si>
  <si>
    <t>252</t>
  </si>
  <si>
    <t>2-110573</t>
  </si>
  <si>
    <t>ASHK-0156</t>
  </si>
  <si>
    <t>253</t>
  </si>
  <si>
    <t>2-110562</t>
  </si>
  <si>
    <t>ASHK-0161</t>
  </si>
  <si>
    <t>254</t>
  </si>
  <si>
    <t>255</t>
  </si>
  <si>
    <t>ASHK-0154</t>
  </si>
  <si>
    <t>256</t>
  </si>
  <si>
    <t>2-110570</t>
  </si>
  <si>
    <t>ASHK-0159</t>
  </si>
  <si>
    <t>257</t>
  </si>
  <si>
    <t>258</t>
  </si>
  <si>
    <t>MV2000UA1D0984</t>
  </si>
  <si>
    <t>259</t>
  </si>
  <si>
    <t>79510</t>
  </si>
  <si>
    <t>260</t>
  </si>
  <si>
    <t>261</t>
  </si>
  <si>
    <t>MV2000UA1D0987</t>
  </si>
  <si>
    <t>262</t>
  </si>
  <si>
    <t xml:space="preserve">Newport </t>
  </si>
  <si>
    <t>N14HT720413504</t>
  </si>
  <si>
    <t>263</t>
  </si>
  <si>
    <t>264</t>
  </si>
  <si>
    <t>ASKK-0200</t>
  </si>
  <si>
    <t>265</t>
  </si>
  <si>
    <t>266</t>
  </si>
  <si>
    <t>ASKL-0004</t>
  </si>
  <si>
    <t>267</t>
  </si>
  <si>
    <t>268</t>
  </si>
  <si>
    <t>269</t>
  </si>
  <si>
    <t>270</t>
  </si>
  <si>
    <t>ASKL-0005</t>
  </si>
  <si>
    <t>271</t>
  </si>
  <si>
    <t>2-116299</t>
  </si>
  <si>
    <t>ASKL-0006</t>
  </si>
  <si>
    <t>272</t>
  </si>
  <si>
    <t>ASKL-0007</t>
  </si>
  <si>
    <t>273</t>
  </si>
  <si>
    <t>274</t>
  </si>
  <si>
    <t>N17HT720120041</t>
  </si>
  <si>
    <t>275</t>
  </si>
  <si>
    <t>MV2000UA1D0775</t>
  </si>
  <si>
    <t>276</t>
  </si>
  <si>
    <t>560</t>
  </si>
  <si>
    <t>40966N0158</t>
  </si>
  <si>
    <t>277</t>
  </si>
  <si>
    <t>Bodega</t>
  </si>
  <si>
    <t>40966N0156</t>
  </si>
  <si>
    <t>278</t>
  </si>
  <si>
    <t>279</t>
  </si>
  <si>
    <t>280</t>
  </si>
  <si>
    <t>40966N0147</t>
  </si>
  <si>
    <t>281</t>
  </si>
  <si>
    <t>40966N0133</t>
  </si>
  <si>
    <t>282</t>
  </si>
  <si>
    <t>UPC 3er piso</t>
  </si>
  <si>
    <t>283</t>
  </si>
  <si>
    <t>HT7P200197</t>
  </si>
  <si>
    <t>284</t>
  </si>
  <si>
    <t>Aeonmed</t>
  </si>
  <si>
    <t>VG70</t>
  </si>
  <si>
    <t>VG70(E)XZZU6636</t>
  </si>
  <si>
    <t>285</t>
  </si>
  <si>
    <t>VG70(E)XZZU3360</t>
  </si>
  <si>
    <t>286</t>
  </si>
  <si>
    <t>VG70(E)XZZU9473</t>
  </si>
  <si>
    <t>287</t>
  </si>
  <si>
    <t>VG70(E)XZZU8032</t>
  </si>
  <si>
    <t>288</t>
  </si>
  <si>
    <t>MV2000TA2F0736</t>
  </si>
  <si>
    <t>289</t>
  </si>
  <si>
    <t>MV2000TA2F0740</t>
  </si>
  <si>
    <t>290</t>
  </si>
  <si>
    <t>MV2000TA2F0735</t>
  </si>
  <si>
    <t>291</t>
  </si>
  <si>
    <t>MV2000TA1F0353</t>
  </si>
  <si>
    <t>292</t>
  </si>
  <si>
    <t>MV2000TA2F0745</t>
  </si>
  <si>
    <t>293</t>
  </si>
  <si>
    <t>Hospital de Villarrica</t>
  </si>
  <si>
    <t>Weinmann</t>
  </si>
  <si>
    <t>Medumat Transport</t>
  </si>
  <si>
    <t>8253</t>
  </si>
  <si>
    <t>294</t>
  </si>
  <si>
    <t>35B2002482</t>
  </si>
  <si>
    <t>295</t>
  </si>
  <si>
    <t>2-121204</t>
  </si>
  <si>
    <t>Préstamo SAR Pedro de Valdivia</t>
  </si>
  <si>
    <t>ASJL-0086</t>
  </si>
  <si>
    <t>296</t>
  </si>
  <si>
    <t>Préstamo CESFAM Los Volcanes</t>
  </si>
  <si>
    <t>297</t>
  </si>
  <si>
    <t>VG70(E)XZZU7932</t>
  </si>
  <si>
    <t>VG70(E)XZZU7934</t>
  </si>
  <si>
    <t>299</t>
  </si>
  <si>
    <t>980/Sin Comp.</t>
  </si>
  <si>
    <t>35B2004521</t>
  </si>
  <si>
    <t>300</t>
  </si>
  <si>
    <t>3512202265</t>
  </si>
  <si>
    <t>301</t>
  </si>
  <si>
    <t>35B2004413</t>
  </si>
  <si>
    <t>302</t>
  </si>
  <si>
    <t>35B2004449</t>
  </si>
  <si>
    <t>303</t>
  </si>
  <si>
    <t>35B2004447</t>
  </si>
  <si>
    <t>304</t>
  </si>
  <si>
    <t>3512202261</t>
  </si>
  <si>
    <t>305</t>
  </si>
  <si>
    <t>3512202219</t>
  </si>
  <si>
    <t>306</t>
  </si>
  <si>
    <t xml:space="preserve">Oxylog 3000 </t>
  </si>
  <si>
    <t>307</t>
  </si>
  <si>
    <t>SALA PROCEDIMIENTO TNA</t>
  </si>
  <si>
    <t>ASNH-0099</t>
  </si>
  <si>
    <t>308</t>
  </si>
  <si>
    <t>309</t>
  </si>
  <si>
    <t>Evita V800</t>
  </si>
  <si>
    <t>ASNM-0001</t>
  </si>
  <si>
    <t>310</t>
  </si>
  <si>
    <t>UCI 1</t>
  </si>
  <si>
    <t>311</t>
  </si>
  <si>
    <t>2-120938</t>
  </si>
  <si>
    <t>ASNK-0047</t>
  </si>
  <si>
    <t>312</t>
  </si>
  <si>
    <t>UCI 3</t>
  </si>
  <si>
    <t>313</t>
  </si>
  <si>
    <t>ASNK-0046</t>
  </si>
  <si>
    <t>314</t>
  </si>
  <si>
    <t>2-120941</t>
  </si>
  <si>
    <t>ASNM-0007</t>
  </si>
  <si>
    <t>315</t>
  </si>
  <si>
    <t>ASNM-0005</t>
  </si>
  <si>
    <t>316</t>
  </si>
  <si>
    <t>ASNM-0008</t>
  </si>
  <si>
    <t>317</t>
  </si>
  <si>
    <t>318</t>
  </si>
  <si>
    <t>ASNM-0003</t>
  </si>
  <si>
    <t>319</t>
  </si>
  <si>
    <t>ASNM-0006</t>
  </si>
  <si>
    <t>320</t>
  </si>
  <si>
    <t>321</t>
  </si>
  <si>
    <t>322</t>
  </si>
  <si>
    <t>MTV1KUA1B0082</t>
  </si>
  <si>
    <t>323</t>
  </si>
  <si>
    <t>MTV1KUA1B0031</t>
  </si>
  <si>
    <t>324</t>
  </si>
  <si>
    <t>MTV1KUA1B0051</t>
  </si>
  <si>
    <t>325</t>
  </si>
  <si>
    <t>35B2101527</t>
  </si>
  <si>
    <t>326</t>
  </si>
  <si>
    <t>35B2101475</t>
  </si>
  <si>
    <t>327</t>
  </si>
  <si>
    <t>Entrega MINSAL</t>
  </si>
  <si>
    <t>35B2101446</t>
  </si>
  <si>
    <t>328</t>
  </si>
  <si>
    <t>Préstamo de Complejo Asistencial Padre las Casas</t>
  </si>
  <si>
    <t>3512202272</t>
  </si>
  <si>
    <t>329</t>
  </si>
  <si>
    <t>3512202231</t>
  </si>
  <si>
    <t>330</t>
  </si>
  <si>
    <t>Préstamo Complejo Asistencial Padre las Casas</t>
  </si>
  <si>
    <t>VG70(E)XZZT15424</t>
  </si>
  <si>
    <t>331</t>
  </si>
  <si>
    <t>Trilogy EV300</t>
  </si>
  <si>
    <t>H29942683ADD6</t>
  </si>
  <si>
    <t>332</t>
  </si>
  <si>
    <t>TV018020609</t>
  </si>
  <si>
    <t>333</t>
  </si>
  <si>
    <t>TV01802060A</t>
  </si>
  <si>
    <t>334</t>
  </si>
  <si>
    <t>TV018020612</t>
  </si>
  <si>
    <t>335</t>
  </si>
  <si>
    <t>TV018021903</t>
  </si>
  <si>
    <t>336</t>
  </si>
  <si>
    <t>TV018021907</t>
  </si>
  <si>
    <t>337</t>
  </si>
  <si>
    <t>TV018021909</t>
  </si>
  <si>
    <t>338</t>
  </si>
  <si>
    <t>TV01802190A</t>
  </si>
  <si>
    <t>339</t>
  </si>
  <si>
    <t>340</t>
  </si>
  <si>
    <t>TV01802190C</t>
  </si>
  <si>
    <t>341</t>
  </si>
  <si>
    <t>Servicio programas ambulatorios</t>
  </si>
  <si>
    <t>Domicilio de paciente</t>
  </si>
  <si>
    <t>Trilogy EVO</t>
  </si>
  <si>
    <t>H27247766FFE4</t>
  </si>
  <si>
    <t>342</t>
  </si>
  <si>
    <t>343</t>
  </si>
  <si>
    <t>Yuwell</t>
  </si>
  <si>
    <t>YH-830</t>
  </si>
  <si>
    <t>YH830-V24C35011</t>
  </si>
  <si>
    <t>344</t>
  </si>
  <si>
    <t>YH830A-V24C35013</t>
  </si>
  <si>
    <t>345</t>
  </si>
  <si>
    <t>YH830A-V25132020</t>
  </si>
  <si>
    <t>346</t>
  </si>
  <si>
    <t>YH830A-V24C35008</t>
  </si>
  <si>
    <t>347</t>
  </si>
  <si>
    <t>CAMA 6</t>
  </si>
  <si>
    <t xml:space="preserve">Infinity Kappa </t>
  </si>
  <si>
    <t>348</t>
  </si>
  <si>
    <t>CAMA 4</t>
  </si>
  <si>
    <t>349</t>
  </si>
  <si>
    <t>CAMA 12</t>
  </si>
  <si>
    <t>5494254161</t>
  </si>
  <si>
    <t>350</t>
  </si>
  <si>
    <t>CAMA 5</t>
  </si>
  <si>
    <t>5494254259</t>
  </si>
  <si>
    <t>351</t>
  </si>
  <si>
    <t>CAMA 8</t>
  </si>
  <si>
    <t>5494264756</t>
  </si>
  <si>
    <t>352</t>
  </si>
  <si>
    <t>CAMA 10</t>
  </si>
  <si>
    <t>5494268852</t>
  </si>
  <si>
    <t>353</t>
  </si>
  <si>
    <t>CAMA 3</t>
  </si>
  <si>
    <t>5494252564</t>
  </si>
  <si>
    <t>354</t>
  </si>
  <si>
    <t>CAMA 2</t>
  </si>
  <si>
    <t>5494265657</t>
  </si>
  <si>
    <t>355</t>
  </si>
  <si>
    <t>CAMA 7</t>
  </si>
  <si>
    <t>5494255757</t>
  </si>
  <si>
    <t>356</t>
  </si>
  <si>
    <t>CAMA 9</t>
  </si>
  <si>
    <t>5494255659</t>
  </si>
  <si>
    <t>357</t>
  </si>
  <si>
    <t>CAMA 11</t>
  </si>
  <si>
    <t>5494275254</t>
  </si>
  <si>
    <t>358</t>
  </si>
  <si>
    <t>CAMA 14</t>
  </si>
  <si>
    <t>5494264854</t>
  </si>
  <si>
    <t>359</t>
  </si>
  <si>
    <t>Pediatría lactantes</t>
  </si>
  <si>
    <t xml:space="preserve">Infinity Vista XL </t>
  </si>
  <si>
    <t>6000543675</t>
  </si>
  <si>
    <t>360</t>
  </si>
  <si>
    <t xml:space="preserve">Infinity Vista </t>
  </si>
  <si>
    <t>5514410774</t>
  </si>
  <si>
    <t>361</t>
  </si>
  <si>
    <t xml:space="preserve">UCI Cardiovascular </t>
  </si>
  <si>
    <t>UCI-CAMA 1</t>
  </si>
  <si>
    <t>Infinity Kappa</t>
  </si>
  <si>
    <t>5494273060</t>
  </si>
  <si>
    <t>362</t>
  </si>
  <si>
    <t>UCI-CAMA 2</t>
  </si>
  <si>
    <t>5494308255</t>
  </si>
  <si>
    <t>363</t>
  </si>
  <si>
    <t>UCI-CAMA 3</t>
  </si>
  <si>
    <t>5494307158</t>
  </si>
  <si>
    <t>364</t>
  </si>
  <si>
    <t>UCI-CAMA 6</t>
  </si>
  <si>
    <t>5494307853</t>
  </si>
  <si>
    <t>365</t>
  </si>
  <si>
    <t>UCI-CAMA 4</t>
  </si>
  <si>
    <t>5494278447</t>
  </si>
  <si>
    <t>366</t>
  </si>
  <si>
    <t>UCI-CAMA 7</t>
  </si>
  <si>
    <t>infinity kappa</t>
  </si>
  <si>
    <t>5494294652</t>
  </si>
  <si>
    <t>367</t>
  </si>
  <si>
    <t>UTI-CAMA 6</t>
  </si>
  <si>
    <t>5494306061</t>
  </si>
  <si>
    <t>368</t>
  </si>
  <si>
    <t>2-013522</t>
  </si>
  <si>
    <t>6000883771.</t>
  </si>
  <si>
    <t>369</t>
  </si>
  <si>
    <t xml:space="preserve">UTI Cardiovascular </t>
  </si>
  <si>
    <t>UTI-CAMA 1</t>
  </si>
  <si>
    <t>5494308353</t>
  </si>
  <si>
    <t>370</t>
  </si>
  <si>
    <t>UTI-CAMA 2</t>
  </si>
  <si>
    <t>5494305953</t>
  </si>
  <si>
    <t>371</t>
  </si>
  <si>
    <t>UTI-CAMA 3</t>
  </si>
  <si>
    <t>5494307951</t>
  </si>
  <si>
    <t>372</t>
  </si>
  <si>
    <t>UTI-CAMA 4</t>
  </si>
  <si>
    <t>5494306854</t>
  </si>
  <si>
    <t>373</t>
  </si>
  <si>
    <t>UTI-CAMA 5</t>
  </si>
  <si>
    <t>5494269849</t>
  </si>
  <si>
    <t>374</t>
  </si>
  <si>
    <t>UCI-CAMA 8</t>
  </si>
  <si>
    <t>5494279847</t>
  </si>
  <si>
    <t>375</t>
  </si>
  <si>
    <t>UTI-CAMA 8</t>
  </si>
  <si>
    <t>5494305855</t>
  </si>
  <si>
    <t>376</t>
  </si>
  <si>
    <t>CM100</t>
  </si>
  <si>
    <t>CN12099174</t>
  </si>
  <si>
    <t>377</t>
  </si>
  <si>
    <t>Cama 2</t>
  </si>
  <si>
    <t>SPACELABS HEALTHCARE</t>
  </si>
  <si>
    <t>XPREZZON</t>
  </si>
  <si>
    <t>1393-109323</t>
  </si>
  <si>
    <t>378</t>
  </si>
  <si>
    <t xml:space="preserve">Recuperación Angiógrafo </t>
  </si>
  <si>
    <t>Pabellon Hemodinamia 2do piso</t>
  </si>
  <si>
    <t>Préstamo</t>
  </si>
  <si>
    <t xml:space="preserve">Nihon Kohden </t>
  </si>
  <si>
    <t>BSM-3562</t>
  </si>
  <si>
    <t>33034.</t>
  </si>
  <si>
    <t>379</t>
  </si>
  <si>
    <t>EPM 10</t>
  </si>
  <si>
    <t>96000115</t>
  </si>
  <si>
    <t>380</t>
  </si>
  <si>
    <t>Vista 120</t>
  </si>
  <si>
    <t>VGSLN0011</t>
  </si>
  <si>
    <t>381</t>
  </si>
  <si>
    <t>Pabellón 7</t>
  </si>
  <si>
    <t>M540</t>
  </si>
  <si>
    <t>5613543568</t>
  </si>
  <si>
    <t>382</t>
  </si>
  <si>
    <t>General Electric</t>
  </si>
  <si>
    <t>B450</t>
  </si>
  <si>
    <t>SNT19480100HA</t>
  </si>
  <si>
    <t>383</t>
  </si>
  <si>
    <t>SNT19480103HA</t>
  </si>
  <si>
    <t>384</t>
  </si>
  <si>
    <t>Imagenología Recuperación</t>
  </si>
  <si>
    <t>B105</t>
  </si>
  <si>
    <t>SP318493998WA</t>
  </si>
  <si>
    <t>385</t>
  </si>
  <si>
    <t>SP318493999WA</t>
  </si>
  <si>
    <t>386</t>
  </si>
  <si>
    <t>SP318494009WA</t>
  </si>
  <si>
    <t>387</t>
  </si>
  <si>
    <t>SP318494018WA</t>
  </si>
  <si>
    <t>388</t>
  </si>
  <si>
    <t>SAR 3</t>
  </si>
  <si>
    <t>PVM-2701K</t>
  </si>
  <si>
    <t>0100645</t>
  </si>
  <si>
    <t>389</t>
  </si>
  <si>
    <t>Bodega Equipos SUI</t>
  </si>
  <si>
    <t>0100638.</t>
  </si>
  <si>
    <t>390</t>
  </si>
  <si>
    <t>Box baja complejidad SUI</t>
  </si>
  <si>
    <t>0100643</t>
  </si>
  <si>
    <t>391</t>
  </si>
  <si>
    <t>0100647.</t>
  </si>
  <si>
    <t>392</t>
  </si>
  <si>
    <t>EPC-P6</t>
  </si>
  <si>
    <t>EPM 15 Compact</t>
  </si>
  <si>
    <t>AC5-43007991</t>
  </si>
  <si>
    <t>393</t>
  </si>
  <si>
    <t>Box B-4</t>
  </si>
  <si>
    <t>0100653</t>
  </si>
  <si>
    <t>394</t>
  </si>
  <si>
    <t>0100659.</t>
  </si>
  <si>
    <t>395</t>
  </si>
  <si>
    <t>Box 2 SAR</t>
  </si>
  <si>
    <t>0100641</t>
  </si>
  <si>
    <t>396</t>
  </si>
  <si>
    <t>Box A-4</t>
  </si>
  <si>
    <t>0100658</t>
  </si>
  <si>
    <t>397</t>
  </si>
  <si>
    <t>Cama 3</t>
  </si>
  <si>
    <t>1393-109303</t>
  </si>
  <si>
    <t>398</t>
  </si>
  <si>
    <t>0100650</t>
  </si>
  <si>
    <t>399</t>
  </si>
  <si>
    <t>Cama 7</t>
  </si>
  <si>
    <t>1393-109313</t>
  </si>
  <si>
    <t>400</t>
  </si>
  <si>
    <t>0100652</t>
  </si>
  <si>
    <t>401</t>
  </si>
  <si>
    <t>Bodega Angiógrafo</t>
  </si>
  <si>
    <t>Creative Medical</t>
  </si>
  <si>
    <t>UP-7000</t>
  </si>
  <si>
    <t>J3300KB00015</t>
  </si>
  <si>
    <t>402</t>
  </si>
  <si>
    <t>Pabellón 9</t>
  </si>
  <si>
    <t>5613541766</t>
  </si>
  <si>
    <t>403</t>
  </si>
  <si>
    <t>UCI-Sala 5</t>
  </si>
  <si>
    <t>1393-109324</t>
  </si>
  <si>
    <t>404</t>
  </si>
  <si>
    <t>Vista 300</t>
  </si>
  <si>
    <t>VSSUC0199</t>
  </si>
  <si>
    <t>405</t>
  </si>
  <si>
    <t xml:space="preserve">Imagenología Angiógrafo </t>
  </si>
  <si>
    <t>Recuperación</t>
  </si>
  <si>
    <t>Infinity Vista</t>
  </si>
  <si>
    <t>5514423368</t>
  </si>
  <si>
    <t>406</t>
  </si>
  <si>
    <t>Pediatría Oncol√≥gica</t>
  </si>
  <si>
    <t>adquirido</t>
  </si>
  <si>
    <t>BSM-6301K</t>
  </si>
  <si>
    <t>01060</t>
  </si>
  <si>
    <t>407</t>
  </si>
  <si>
    <t>Segunda infancia</t>
  </si>
  <si>
    <t>0100648</t>
  </si>
  <si>
    <t>408</t>
  </si>
  <si>
    <t>Cama 5</t>
  </si>
  <si>
    <t>1393-109302</t>
  </si>
  <si>
    <t>409</t>
  </si>
  <si>
    <t>0100655</t>
  </si>
  <si>
    <t>410</t>
  </si>
  <si>
    <t>UTI 1</t>
  </si>
  <si>
    <t>1393-114594</t>
  </si>
  <si>
    <t>411</t>
  </si>
  <si>
    <t>502-2E</t>
  </si>
  <si>
    <t>BSM-3562K</t>
  </si>
  <si>
    <t>29676</t>
  </si>
  <si>
    <t>412</t>
  </si>
  <si>
    <t>Sala 598</t>
  </si>
  <si>
    <t>29695</t>
  </si>
  <si>
    <t>413</t>
  </si>
  <si>
    <t>Cama 6</t>
  </si>
  <si>
    <t>1393-109321</t>
  </si>
  <si>
    <t>414</t>
  </si>
  <si>
    <t>0100654</t>
  </si>
  <si>
    <t>415</t>
  </si>
  <si>
    <t>BSM-1763K</t>
  </si>
  <si>
    <t>00570</t>
  </si>
  <si>
    <t>416</t>
  </si>
  <si>
    <t>0100651</t>
  </si>
  <si>
    <t>417</t>
  </si>
  <si>
    <t>Preparto 2</t>
  </si>
  <si>
    <t>Dash 4000</t>
  </si>
  <si>
    <t>D3DJ7839G</t>
  </si>
  <si>
    <t>2001</t>
  </si>
  <si>
    <t>418</t>
  </si>
  <si>
    <t>501-2</t>
  </si>
  <si>
    <t>29751</t>
  </si>
  <si>
    <t>419</t>
  </si>
  <si>
    <t>VSSUM0041</t>
  </si>
  <si>
    <t>420</t>
  </si>
  <si>
    <t>5613541864</t>
  </si>
  <si>
    <t>421</t>
  </si>
  <si>
    <t>2-112722</t>
  </si>
  <si>
    <t>VM6</t>
  </si>
  <si>
    <t>US74915948</t>
  </si>
  <si>
    <t>422</t>
  </si>
  <si>
    <t>2-015901</t>
  </si>
  <si>
    <t>Preparto 1</t>
  </si>
  <si>
    <t>US74915942</t>
  </si>
  <si>
    <t>423</t>
  </si>
  <si>
    <t>2-125217</t>
  </si>
  <si>
    <t>BSM-1763</t>
  </si>
  <si>
    <t>10912</t>
  </si>
  <si>
    <t>424</t>
  </si>
  <si>
    <t>10919</t>
  </si>
  <si>
    <t>425</t>
  </si>
  <si>
    <t>Vista 120 S</t>
  </si>
  <si>
    <t>S2SRF0982</t>
  </si>
  <si>
    <t>426</t>
  </si>
  <si>
    <t>S2SRF0969</t>
  </si>
  <si>
    <t>427</t>
  </si>
  <si>
    <t>MODLULO ZD CTD</t>
  </si>
  <si>
    <t>NORTHERN</t>
  </si>
  <si>
    <t>Aquarius ECG</t>
  </si>
  <si>
    <t>JH01B910030</t>
  </si>
  <si>
    <t>428</t>
  </si>
  <si>
    <t>S2SRF0978</t>
  </si>
  <si>
    <t>429</t>
  </si>
  <si>
    <t>Cama 1</t>
  </si>
  <si>
    <t>1393-109326</t>
  </si>
  <si>
    <t>430</t>
  </si>
  <si>
    <t>S2SRF0975</t>
  </si>
  <si>
    <t>431</t>
  </si>
  <si>
    <t>Angiógrafo zócalo</t>
  </si>
  <si>
    <t>5494757898</t>
  </si>
  <si>
    <t>432</t>
  </si>
  <si>
    <t xml:space="preserve">Sala de Procedimientos Partos </t>
  </si>
  <si>
    <t>5494770058</t>
  </si>
  <si>
    <t>433</t>
  </si>
  <si>
    <t>5494537845</t>
  </si>
  <si>
    <t>434</t>
  </si>
  <si>
    <t>510-2E</t>
  </si>
  <si>
    <t>29761</t>
  </si>
  <si>
    <t>435</t>
  </si>
  <si>
    <t>Angiógrafo FD20</t>
  </si>
  <si>
    <t>5493645944</t>
  </si>
  <si>
    <t>436</t>
  </si>
  <si>
    <t>5494286652</t>
  </si>
  <si>
    <t>437</t>
  </si>
  <si>
    <t>Pre Anestesia</t>
  </si>
  <si>
    <t>5493642252</t>
  </si>
  <si>
    <t>438</t>
  </si>
  <si>
    <t>UTI Pediátrica</t>
  </si>
  <si>
    <t>1393-109311</t>
  </si>
  <si>
    <t>439</t>
  </si>
  <si>
    <t>Modulo C box Eco</t>
  </si>
  <si>
    <t>5395660070</t>
  </si>
  <si>
    <t>440</t>
  </si>
  <si>
    <t>5494287054</t>
  </si>
  <si>
    <t>441</t>
  </si>
  <si>
    <t>1393-109319</t>
  </si>
  <si>
    <t>442</t>
  </si>
  <si>
    <t>CDT-P2-QF07</t>
  </si>
  <si>
    <t>5493757948</t>
  </si>
  <si>
    <t>443</t>
  </si>
  <si>
    <t>EPA-P4-SA06</t>
  </si>
  <si>
    <t>VSSTB0049</t>
  </si>
  <si>
    <t>444</t>
  </si>
  <si>
    <t>1393-109304</t>
  </si>
  <si>
    <t>445</t>
  </si>
  <si>
    <t>VSSTB0059</t>
  </si>
  <si>
    <t>446</t>
  </si>
  <si>
    <t>Cama 9</t>
  </si>
  <si>
    <t>1393-109320</t>
  </si>
  <si>
    <t>447</t>
  </si>
  <si>
    <t>VSSUM0044</t>
  </si>
  <si>
    <t>448</t>
  </si>
  <si>
    <t>MODULO ZD CDT</t>
  </si>
  <si>
    <t>JB01B910013</t>
  </si>
  <si>
    <t>449</t>
  </si>
  <si>
    <t>Psiquiatria</t>
  </si>
  <si>
    <t>Salud Mental</t>
  </si>
  <si>
    <t>SQE19510002SA</t>
  </si>
  <si>
    <t>450</t>
  </si>
  <si>
    <t>VSSTA0230</t>
  </si>
  <si>
    <t>451</t>
  </si>
  <si>
    <t>1393-109322</t>
  </si>
  <si>
    <t>452</t>
  </si>
  <si>
    <t>Elance 2.0</t>
  </si>
  <si>
    <t>3300-004914</t>
  </si>
  <si>
    <t>453</t>
  </si>
  <si>
    <t>Vismo 2701K</t>
  </si>
  <si>
    <t>0131641</t>
  </si>
  <si>
    <t>454</t>
  </si>
  <si>
    <t>1393-109327</t>
  </si>
  <si>
    <t>455</t>
  </si>
  <si>
    <t>2-118854</t>
  </si>
  <si>
    <t>5613541169</t>
  </si>
  <si>
    <t>456</t>
  </si>
  <si>
    <t>1393-109328</t>
  </si>
  <si>
    <t>457</t>
  </si>
  <si>
    <t>5514429166</t>
  </si>
  <si>
    <t>458</t>
  </si>
  <si>
    <t>UMEC10</t>
  </si>
  <si>
    <t>KN-25140948</t>
  </si>
  <si>
    <t>459</t>
  </si>
  <si>
    <t>UTI Neonatología</t>
  </si>
  <si>
    <t>M8003A</t>
  </si>
  <si>
    <t>DE82025973</t>
  </si>
  <si>
    <t>460</t>
  </si>
  <si>
    <t>DE82025965</t>
  </si>
  <si>
    <t>461</t>
  </si>
  <si>
    <t>VSSTE0203</t>
  </si>
  <si>
    <t>462</t>
  </si>
  <si>
    <t>Oxímetro</t>
  </si>
  <si>
    <t>SOMANETICS</t>
  </si>
  <si>
    <t>5100C</t>
  </si>
  <si>
    <t>(21)17G11325X</t>
  </si>
  <si>
    <t>463</t>
  </si>
  <si>
    <t>(21)18G10312X</t>
  </si>
  <si>
    <t>464</t>
  </si>
  <si>
    <t>Cama N° 17</t>
  </si>
  <si>
    <t>VGSML0046</t>
  </si>
  <si>
    <t>465</t>
  </si>
  <si>
    <t>Unidad N° 11</t>
  </si>
  <si>
    <t>VGSML0057</t>
  </si>
  <si>
    <t>466</t>
  </si>
  <si>
    <t>Cama 14</t>
  </si>
  <si>
    <t>VGSML0043</t>
  </si>
  <si>
    <t>467</t>
  </si>
  <si>
    <t>Unidad N° 03</t>
  </si>
  <si>
    <t>VGSML0044</t>
  </si>
  <si>
    <t>468</t>
  </si>
  <si>
    <t>Oficina Supervisora</t>
  </si>
  <si>
    <t>VGSML0047</t>
  </si>
  <si>
    <t>469</t>
  </si>
  <si>
    <t>Unidad N° 10</t>
  </si>
  <si>
    <t>VGSML0049</t>
  </si>
  <si>
    <t>470</t>
  </si>
  <si>
    <t>Cama 15</t>
  </si>
  <si>
    <t>VGSML0050</t>
  </si>
  <si>
    <t>471</t>
  </si>
  <si>
    <t>Cama N° 12</t>
  </si>
  <si>
    <t>VGSML0062</t>
  </si>
  <si>
    <t>472</t>
  </si>
  <si>
    <t>Cama N° 16</t>
  </si>
  <si>
    <t>VGSML0065</t>
  </si>
  <si>
    <t>473</t>
  </si>
  <si>
    <t>0100639</t>
  </si>
  <si>
    <t>474</t>
  </si>
  <si>
    <t>01070</t>
  </si>
  <si>
    <t>475</t>
  </si>
  <si>
    <t>01033</t>
  </si>
  <si>
    <t>476</t>
  </si>
  <si>
    <t>01044</t>
  </si>
  <si>
    <t>477</t>
  </si>
  <si>
    <t>01071</t>
  </si>
  <si>
    <t>478</t>
  </si>
  <si>
    <t>5516412180</t>
  </si>
  <si>
    <t>479</t>
  </si>
  <si>
    <t>5516412278</t>
  </si>
  <si>
    <t>480</t>
  </si>
  <si>
    <t>01051</t>
  </si>
  <si>
    <t>481</t>
  </si>
  <si>
    <t>0100657</t>
  </si>
  <si>
    <t>482</t>
  </si>
  <si>
    <t>5514422672</t>
  </si>
  <si>
    <t>483</t>
  </si>
  <si>
    <t>01037</t>
  </si>
  <si>
    <t>484</t>
  </si>
  <si>
    <t>5516414472</t>
  </si>
  <si>
    <t>485</t>
  </si>
  <si>
    <t>0100649</t>
  </si>
  <si>
    <t>486</t>
  </si>
  <si>
    <t>0100640</t>
  </si>
  <si>
    <t>487</t>
  </si>
  <si>
    <t>CDT-P2-QF08</t>
  </si>
  <si>
    <t>5494782651</t>
  </si>
  <si>
    <t>488</t>
  </si>
  <si>
    <t>01035.</t>
  </si>
  <si>
    <t>489</t>
  </si>
  <si>
    <t>01036.</t>
  </si>
  <si>
    <t>490</t>
  </si>
  <si>
    <t>EPB-P5-SA11</t>
  </si>
  <si>
    <t>01039</t>
  </si>
  <si>
    <t>491</t>
  </si>
  <si>
    <t>EPB-P5-SA12</t>
  </si>
  <si>
    <t xml:space="preserve">Criticare </t>
  </si>
  <si>
    <t>8100E-S</t>
  </si>
  <si>
    <t>212726171</t>
  </si>
  <si>
    <t>492</t>
  </si>
  <si>
    <t>EPB-P5-SA08</t>
  </si>
  <si>
    <t>01074</t>
  </si>
  <si>
    <t>493</t>
  </si>
  <si>
    <t>EPB-P5-SA10</t>
  </si>
  <si>
    <t>01063</t>
  </si>
  <si>
    <t>494</t>
  </si>
  <si>
    <t>EPB-P5-SA13</t>
  </si>
  <si>
    <t>01043</t>
  </si>
  <si>
    <t>495</t>
  </si>
  <si>
    <t>Sala de Procedimientos</t>
  </si>
  <si>
    <t>212726117</t>
  </si>
  <si>
    <t>496</t>
  </si>
  <si>
    <t>Cama 298-2</t>
  </si>
  <si>
    <t>6001128079</t>
  </si>
  <si>
    <t>497</t>
  </si>
  <si>
    <t>Cama 298-1</t>
  </si>
  <si>
    <t>6001029471</t>
  </si>
  <si>
    <t>498</t>
  </si>
  <si>
    <t>Cama 298-3</t>
  </si>
  <si>
    <t>6001111685</t>
  </si>
  <si>
    <t>499</t>
  </si>
  <si>
    <t>VSSUM0046</t>
  </si>
  <si>
    <t>500</t>
  </si>
  <si>
    <t>Cama 299-2</t>
  </si>
  <si>
    <t>6001123877</t>
  </si>
  <si>
    <t>501</t>
  </si>
  <si>
    <t>Cama 8</t>
  </si>
  <si>
    <t>1393-109300</t>
  </si>
  <si>
    <t>502</t>
  </si>
  <si>
    <t>01041</t>
  </si>
  <si>
    <t>503</t>
  </si>
  <si>
    <t>01049</t>
  </si>
  <si>
    <t>504</t>
  </si>
  <si>
    <t>Cirugia Adulto - Piso 7</t>
  </si>
  <si>
    <t>01055</t>
  </si>
  <si>
    <t>505</t>
  </si>
  <si>
    <t>EPB</t>
  </si>
  <si>
    <t>01057</t>
  </si>
  <si>
    <t>506</t>
  </si>
  <si>
    <t>01065</t>
  </si>
  <si>
    <t>507</t>
  </si>
  <si>
    <t>TNB 705</t>
  </si>
  <si>
    <t>01032</t>
  </si>
  <si>
    <t>508</t>
  </si>
  <si>
    <t>TNB 709</t>
  </si>
  <si>
    <t>01053</t>
  </si>
  <si>
    <t>509</t>
  </si>
  <si>
    <t>01034</t>
  </si>
  <si>
    <t>510</t>
  </si>
  <si>
    <t>01050</t>
  </si>
  <si>
    <t>511</t>
  </si>
  <si>
    <t>01038</t>
  </si>
  <si>
    <t>512</t>
  </si>
  <si>
    <t>0</t>
  </si>
  <si>
    <t>513</t>
  </si>
  <si>
    <t>01072</t>
  </si>
  <si>
    <t>514</t>
  </si>
  <si>
    <t>212726139</t>
  </si>
  <si>
    <t>515</t>
  </si>
  <si>
    <t>Lactantes</t>
  </si>
  <si>
    <t>212726134</t>
  </si>
  <si>
    <t>516</t>
  </si>
  <si>
    <t>01062</t>
  </si>
  <si>
    <t>517</t>
  </si>
  <si>
    <t>Oncología Pediátrica</t>
  </si>
  <si>
    <t>212726126</t>
  </si>
  <si>
    <t>518</t>
  </si>
  <si>
    <t>Cirugía infantil 624-628</t>
  </si>
  <si>
    <t>01030</t>
  </si>
  <si>
    <t>519</t>
  </si>
  <si>
    <t>509-2</t>
  </si>
  <si>
    <t>01064</t>
  </si>
  <si>
    <t>520</t>
  </si>
  <si>
    <t>01056</t>
  </si>
  <si>
    <t>521</t>
  </si>
  <si>
    <t>Sala 599</t>
  </si>
  <si>
    <t>01073</t>
  </si>
  <si>
    <t>522</t>
  </si>
  <si>
    <t>503-2E</t>
  </si>
  <si>
    <t>01061</t>
  </si>
  <si>
    <t>523</t>
  </si>
  <si>
    <t>01048</t>
  </si>
  <si>
    <t>524</t>
  </si>
  <si>
    <t>01040</t>
  </si>
  <si>
    <t>525</t>
  </si>
  <si>
    <t>Medicina cardiovascular</t>
  </si>
  <si>
    <t>514-3</t>
  </si>
  <si>
    <t>01068</t>
  </si>
  <si>
    <t>526</t>
  </si>
  <si>
    <t>01067</t>
  </si>
  <si>
    <t>527</t>
  </si>
  <si>
    <t>526-3</t>
  </si>
  <si>
    <t>01042</t>
  </si>
  <si>
    <t>528</t>
  </si>
  <si>
    <t>517-2</t>
  </si>
  <si>
    <t>01058</t>
  </si>
  <si>
    <t>529</t>
  </si>
  <si>
    <t>01045</t>
  </si>
  <si>
    <t>530</t>
  </si>
  <si>
    <t>Cama 4</t>
  </si>
  <si>
    <t>1393-109309</t>
  </si>
  <si>
    <t>531</t>
  </si>
  <si>
    <t>CDT-P1</t>
  </si>
  <si>
    <t>Pabellón Procedimiento</t>
  </si>
  <si>
    <t>01029</t>
  </si>
  <si>
    <t>532</t>
  </si>
  <si>
    <t>Cama 10</t>
  </si>
  <si>
    <t>1393-109310</t>
  </si>
  <si>
    <t>533</t>
  </si>
  <si>
    <t>510-1</t>
  </si>
  <si>
    <t>01069</t>
  </si>
  <si>
    <t>534</t>
  </si>
  <si>
    <t>503-3E</t>
  </si>
  <si>
    <t>29789</t>
  </si>
  <si>
    <t>535</t>
  </si>
  <si>
    <t>511-2</t>
  </si>
  <si>
    <t>01054</t>
  </si>
  <si>
    <t>536</t>
  </si>
  <si>
    <t>Cama 11</t>
  </si>
  <si>
    <t>1393-109301</t>
  </si>
  <si>
    <t>537</t>
  </si>
  <si>
    <t>EPC (Clinica)</t>
  </si>
  <si>
    <t>BSM-2351K</t>
  </si>
  <si>
    <t>03643</t>
  </si>
  <si>
    <t>538</t>
  </si>
  <si>
    <t>01052.</t>
  </si>
  <si>
    <t>539</t>
  </si>
  <si>
    <t>01046.</t>
  </si>
  <si>
    <t>540</t>
  </si>
  <si>
    <t>01047</t>
  </si>
  <si>
    <t>541</t>
  </si>
  <si>
    <t>01059.</t>
  </si>
  <si>
    <t>542</t>
  </si>
  <si>
    <t>Unidad N° 02</t>
  </si>
  <si>
    <t>VGSML0069</t>
  </si>
  <si>
    <t>543</t>
  </si>
  <si>
    <t>Cama 12</t>
  </si>
  <si>
    <t>1393-109325</t>
  </si>
  <si>
    <t>544</t>
  </si>
  <si>
    <t>Cama 13</t>
  </si>
  <si>
    <t>1393-109314</t>
  </si>
  <si>
    <t>545</t>
  </si>
  <si>
    <t>2-119373</t>
  </si>
  <si>
    <t>1º Piso</t>
  </si>
  <si>
    <t>VGSML0070</t>
  </si>
  <si>
    <t>546</t>
  </si>
  <si>
    <t>6000874576</t>
  </si>
  <si>
    <t>547</t>
  </si>
  <si>
    <t>6000907871</t>
  </si>
  <si>
    <t>548</t>
  </si>
  <si>
    <t>Armario de equipos UCI Cardio</t>
  </si>
  <si>
    <t>6000875272</t>
  </si>
  <si>
    <t>549</t>
  </si>
  <si>
    <t>522-3</t>
  </si>
  <si>
    <t>6000873372</t>
  </si>
  <si>
    <t>550</t>
  </si>
  <si>
    <t>Box 12 - Ecografia</t>
  </si>
  <si>
    <t>Nellcor</t>
  </si>
  <si>
    <t>M5600-LA</t>
  </si>
  <si>
    <t>23307030152</t>
  </si>
  <si>
    <t>551</t>
  </si>
  <si>
    <t>5395673564</t>
  </si>
  <si>
    <t>552</t>
  </si>
  <si>
    <t>Cirugia infantil 619-623</t>
  </si>
  <si>
    <t>01066</t>
  </si>
  <si>
    <t>553</t>
  </si>
  <si>
    <t>Cama N° 13</t>
  </si>
  <si>
    <t>VGSML0072</t>
  </si>
  <si>
    <t>554</t>
  </si>
  <si>
    <t>5494305160</t>
  </si>
  <si>
    <t>555</t>
  </si>
  <si>
    <t>SQE19510004SA</t>
  </si>
  <si>
    <t>556</t>
  </si>
  <si>
    <t>SQE19510005SA</t>
  </si>
  <si>
    <t>557</t>
  </si>
  <si>
    <t>VSSUM0052</t>
  </si>
  <si>
    <t>558</t>
  </si>
  <si>
    <t>VSSTE0190</t>
  </si>
  <si>
    <t>559</t>
  </si>
  <si>
    <t>2-112536</t>
  </si>
  <si>
    <t>Infinity Delta</t>
  </si>
  <si>
    <t>5395138358</t>
  </si>
  <si>
    <t>561</t>
  </si>
  <si>
    <t>TN-P2</t>
  </si>
  <si>
    <t>US74915951</t>
  </si>
  <si>
    <t>562</t>
  </si>
  <si>
    <t>SQE19510008SA</t>
  </si>
  <si>
    <t>563</t>
  </si>
  <si>
    <t>564</t>
  </si>
  <si>
    <t>518-3</t>
  </si>
  <si>
    <t>03644.</t>
  </si>
  <si>
    <t>2017</t>
  </si>
  <si>
    <t>565</t>
  </si>
  <si>
    <t>100646</t>
  </si>
  <si>
    <t>566</t>
  </si>
  <si>
    <t>100642</t>
  </si>
  <si>
    <t>567</t>
  </si>
  <si>
    <t>SQE19510009SA</t>
  </si>
  <si>
    <t>568</t>
  </si>
  <si>
    <t>2-023026</t>
  </si>
  <si>
    <t>100656</t>
  </si>
  <si>
    <t>569</t>
  </si>
  <si>
    <t>5613540865</t>
  </si>
  <si>
    <t>570</t>
  </si>
  <si>
    <t>Domicilio</t>
  </si>
  <si>
    <t>US74915955</t>
  </si>
  <si>
    <t>571</t>
  </si>
  <si>
    <t>UCI-CAMA 5</t>
  </si>
  <si>
    <t>5494308059</t>
  </si>
  <si>
    <t>572</t>
  </si>
  <si>
    <t>3647</t>
  </si>
  <si>
    <t>573</t>
  </si>
  <si>
    <t>5494528944</t>
  </si>
  <si>
    <t>574</t>
  </si>
  <si>
    <t>5613542961</t>
  </si>
  <si>
    <t>575</t>
  </si>
  <si>
    <t>595-1</t>
  </si>
  <si>
    <t>SQE19510010SA</t>
  </si>
  <si>
    <t>576</t>
  </si>
  <si>
    <t>01031.</t>
  </si>
  <si>
    <t>577</t>
  </si>
  <si>
    <t>5396140362</t>
  </si>
  <si>
    <t>578</t>
  </si>
  <si>
    <t>CAMA 1</t>
  </si>
  <si>
    <t>5495045456</t>
  </si>
  <si>
    <t>579</t>
  </si>
  <si>
    <t>2-016363</t>
  </si>
  <si>
    <t>CAMA 20</t>
  </si>
  <si>
    <t>5495022766</t>
  </si>
  <si>
    <t>580</t>
  </si>
  <si>
    <t>2-027646</t>
  </si>
  <si>
    <t>CAMA 21</t>
  </si>
  <si>
    <t>5495046856</t>
  </si>
  <si>
    <t>581</t>
  </si>
  <si>
    <t>2-023232</t>
  </si>
  <si>
    <t>CAMA 19</t>
  </si>
  <si>
    <t>5495038063</t>
  </si>
  <si>
    <t>582</t>
  </si>
  <si>
    <t>2-027618</t>
  </si>
  <si>
    <t>CAMA 23</t>
  </si>
  <si>
    <t>5495024960</t>
  </si>
  <si>
    <t>583</t>
  </si>
  <si>
    <t>2-027647</t>
  </si>
  <si>
    <t>CAMA 24</t>
  </si>
  <si>
    <t>5495046758</t>
  </si>
  <si>
    <t>584</t>
  </si>
  <si>
    <t>UTI Médica</t>
  </si>
  <si>
    <t>CAMA 16</t>
  </si>
  <si>
    <t>5495042762</t>
  </si>
  <si>
    <t>585</t>
  </si>
  <si>
    <t>2-016364</t>
  </si>
  <si>
    <t>CAMA 18</t>
  </si>
  <si>
    <t>5495036956</t>
  </si>
  <si>
    <t>586</t>
  </si>
  <si>
    <t>2-027617</t>
  </si>
  <si>
    <t>CAMA 13</t>
  </si>
  <si>
    <t>5495022864</t>
  </si>
  <si>
    <t>587</t>
  </si>
  <si>
    <t>Unidad N° 01</t>
  </si>
  <si>
    <t>V2SFH0017</t>
  </si>
  <si>
    <t>588</t>
  </si>
  <si>
    <t>Unidad N° 07</t>
  </si>
  <si>
    <t>V2SFH0032</t>
  </si>
  <si>
    <t>589</t>
  </si>
  <si>
    <t>Cama N° 5</t>
  </si>
  <si>
    <t>V2SFH0025</t>
  </si>
  <si>
    <t>590</t>
  </si>
  <si>
    <t>Cama N° 18</t>
  </si>
  <si>
    <t>V2SFH0016</t>
  </si>
  <si>
    <t>591</t>
  </si>
  <si>
    <t>Cama N° 6</t>
  </si>
  <si>
    <t>V2SFH0031</t>
  </si>
  <si>
    <t>592</t>
  </si>
  <si>
    <t>Cama N° 8</t>
  </si>
  <si>
    <t>V2SFH0035</t>
  </si>
  <si>
    <t>593</t>
  </si>
  <si>
    <t>V2SFH0038</t>
  </si>
  <si>
    <t>594</t>
  </si>
  <si>
    <t>1° Piso</t>
  </si>
  <si>
    <t>V2SFH0033</t>
  </si>
  <si>
    <t>595</t>
  </si>
  <si>
    <t>Cama N° 4</t>
  </si>
  <si>
    <t>V2SFH0019</t>
  </si>
  <si>
    <t>596</t>
  </si>
  <si>
    <t>Unidad N° 09</t>
  </si>
  <si>
    <t>V2SFH0026</t>
  </si>
  <si>
    <t>597</t>
  </si>
  <si>
    <t>2-112548</t>
  </si>
  <si>
    <t>6006239368</t>
  </si>
  <si>
    <t>598</t>
  </si>
  <si>
    <t>599</t>
  </si>
  <si>
    <t>600</t>
  </si>
  <si>
    <t>2-007496</t>
  </si>
  <si>
    <t>6006232874</t>
  </si>
  <si>
    <t>601</t>
  </si>
  <si>
    <t xml:space="preserve">Urgencia Infantil </t>
  </si>
  <si>
    <t>Vismo PVM-2703K</t>
  </si>
  <si>
    <t>0105413.</t>
  </si>
  <si>
    <t>602</t>
  </si>
  <si>
    <t>OBS. 3</t>
  </si>
  <si>
    <t>105784</t>
  </si>
  <si>
    <t>603</t>
  </si>
  <si>
    <t>Reanimación SUI</t>
  </si>
  <si>
    <t>0105405.</t>
  </si>
  <si>
    <t>604</t>
  </si>
  <si>
    <t>0105409.</t>
  </si>
  <si>
    <t>605</t>
  </si>
  <si>
    <t>Neurocirug√≠a</t>
  </si>
  <si>
    <t>105804</t>
  </si>
  <si>
    <t>606</t>
  </si>
  <si>
    <t>Box A-5</t>
  </si>
  <si>
    <t>107080</t>
  </si>
  <si>
    <t>607</t>
  </si>
  <si>
    <t>Box A-3</t>
  </si>
  <si>
    <t>0107075.</t>
  </si>
  <si>
    <t>608</t>
  </si>
  <si>
    <t>SUI Observaci√≥n</t>
  </si>
  <si>
    <t>0107083.</t>
  </si>
  <si>
    <t>609</t>
  </si>
  <si>
    <t>610</t>
  </si>
  <si>
    <t>SUI Sala IRA</t>
  </si>
  <si>
    <t>0107101.</t>
  </si>
  <si>
    <t>611</t>
  </si>
  <si>
    <t>0107093.</t>
  </si>
  <si>
    <t>612</t>
  </si>
  <si>
    <t>0107077.</t>
  </si>
  <si>
    <t>613</t>
  </si>
  <si>
    <t>2-022372</t>
  </si>
  <si>
    <t>107076</t>
  </si>
  <si>
    <t>614</t>
  </si>
  <si>
    <t>2-015816</t>
  </si>
  <si>
    <t>Preparto</t>
  </si>
  <si>
    <t>107110</t>
  </si>
  <si>
    <t>615</t>
  </si>
  <si>
    <t>G70</t>
  </si>
  <si>
    <t>CN23200081</t>
  </si>
  <si>
    <t>616</t>
  </si>
  <si>
    <t xml:space="preserve">Box 0 </t>
  </si>
  <si>
    <t>CN23200082</t>
  </si>
  <si>
    <t>617</t>
  </si>
  <si>
    <t>VTSHD0109</t>
  </si>
  <si>
    <t>618</t>
  </si>
  <si>
    <t>Portatil</t>
  </si>
  <si>
    <t>VTSHD0102</t>
  </si>
  <si>
    <t>619</t>
  </si>
  <si>
    <t>2-027894</t>
  </si>
  <si>
    <t>VTSHD0071</t>
  </si>
  <si>
    <t>620</t>
  </si>
  <si>
    <t>VTSHD0101</t>
  </si>
  <si>
    <t>621</t>
  </si>
  <si>
    <t>Cama 299-5</t>
  </si>
  <si>
    <t>VTSHD0089</t>
  </si>
  <si>
    <t>622</t>
  </si>
  <si>
    <t>VTSHD0103</t>
  </si>
  <si>
    <t>623</t>
  </si>
  <si>
    <t>Sala 714</t>
  </si>
  <si>
    <t>VTSHD0068</t>
  </si>
  <si>
    <t>624</t>
  </si>
  <si>
    <t>TNB 701</t>
  </si>
  <si>
    <t>VTSHD0090</t>
  </si>
  <si>
    <t>625</t>
  </si>
  <si>
    <t>595-4</t>
  </si>
  <si>
    <t>VTSHD0065</t>
  </si>
  <si>
    <t>626</t>
  </si>
  <si>
    <t>VTSHD0051</t>
  </si>
  <si>
    <t>627</t>
  </si>
  <si>
    <t>516-1</t>
  </si>
  <si>
    <t>VTSHD0072</t>
  </si>
  <si>
    <t>628</t>
  </si>
  <si>
    <t>509-1</t>
  </si>
  <si>
    <t>VTSHD0070</t>
  </si>
  <si>
    <t>629</t>
  </si>
  <si>
    <t>527-1</t>
  </si>
  <si>
    <t>VTSHD0106</t>
  </si>
  <si>
    <t>630</t>
  </si>
  <si>
    <t>VTSHD0107</t>
  </si>
  <si>
    <t>631</t>
  </si>
  <si>
    <t>VTSHD0096</t>
  </si>
  <si>
    <t>632</t>
  </si>
  <si>
    <t>529-3</t>
  </si>
  <si>
    <t>VTSHD0094</t>
  </si>
  <si>
    <t>633</t>
  </si>
  <si>
    <t>Cama 299-4</t>
  </si>
  <si>
    <t>VTSHD0111</t>
  </si>
  <si>
    <t>634</t>
  </si>
  <si>
    <t>MX450</t>
  </si>
  <si>
    <t>DE351C1469</t>
  </si>
  <si>
    <t>635</t>
  </si>
  <si>
    <t>Cama 299-3</t>
  </si>
  <si>
    <t>VTSHD0066</t>
  </si>
  <si>
    <t>636</t>
  </si>
  <si>
    <t>VTSHD0099</t>
  </si>
  <si>
    <t>637</t>
  </si>
  <si>
    <t>VQSHD0069</t>
  </si>
  <si>
    <t>638</t>
  </si>
  <si>
    <t>VQSHD0088</t>
  </si>
  <si>
    <t>639</t>
  </si>
  <si>
    <t>VQSHD0103</t>
  </si>
  <si>
    <t>640</t>
  </si>
  <si>
    <t>VQSHD0120</t>
  </si>
  <si>
    <t>641</t>
  </si>
  <si>
    <t>VQSHD0122</t>
  </si>
  <si>
    <t>642</t>
  </si>
  <si>
    <t>VQSHD0124</t>
  </si>
  <si>
    <t>643</t>
  </si>
  <si>
    <t>VQSHD0127</t>
  </si>
  <si>
    <t>644</t>
  </si>
  <si>
    <t>VQSHD0130</t>
  </si>
  <si>
    <t>645</t>
  </si>
  <si>
    <t>VQSHD0133</t>
  </si>
  <si>
    <t>646</t>
  </si>
  <si>
    <t>VQSHD0146</t>
  </si>
  <si>
    <t>647</t>
  </si>
  <si>
    <t>VQSHD0152</t>
  </si>
  <si>
    <t>648</t>
  </si>
  <si>
    <t>VQSHD0154</t>
  </si>
  <si>
    <t>649</t>
  </si>
  <si>
    <t>VQSHD0158</t>
  </si>
  <si>
    <t>650</t>
  </si>
  <si>
    <t>VQSHD0160</t>
  </si>
  <si>
    <t>651</t>
  </si>
  <si>
    <t>VQSHD0166</t>
  </si>
  <si>
    <t>652</t>
  </si>
  <si>
    <t>VQSHD0169</t>
  </si>
  <si>
    <t>653</t>
  </si>
  <si>
    <t>VQSHD0170</t>
  </si>
  <si>
    <t>654</t>
  </si>
  <si>
    <t>VQSHD0171</t>
  </si>
  <si>
    <t>655</t>
  </si>
  <si>
    <t>VQSHD0173</t>
  </si>
  <si>
    <t>656</t>
  </si>
  <si>
    <t>VQSHD0174</t>
  </si>
  <si>
    <t>657</t>
  </si>
  <si>
    <t>VQSHD0194</t>
  </si>
  <si>
    <t>658</t>
  </si>
  <si>
    <t>VQSHD0197</t>
  </si>
  <si>
    <t>659</t>
  </si>
  <si>
    <t>VQSHD0226</t>
  </si>
  <si>
    <t>660</t>
  </si>
  <si>
    <t>VQSHD0233</t>
  </si>
  <si>
    <t>661</t>
  </si>
  <si>
    <t>VQSHD0234</t>
  </si>
  <si>
    <t>662</t>
  </si>
  <si>
    <t>Medicina interna</t>
  </si>
  <si>
    <t>VTSHD0021</t>
  </si>
  <si>
    <t>663</t>
  </si>
  <si>
    <t>VTSHN0089</t>
  </si>
  <si>
    <t>664</t>
  </si>
  <si>
    <t>5495188658</t>
  </si>
  <si>
    <t>665</t>
  </si>
  <si>
    <t>01117.</t>
  </si>
  <si>
    <t>666</t>
  </si>
  <si>
    <t>6007939163</t>
  </si>
  <si>
    <t>667</t>
  </si>
  <si>
    <t>5495339950</t>
  </si>
  <si>
    <t>668</t>
  </si>
  <si>
    <t>PVM-2701</t>
  </si>
  <si>
    <t>111450</t>
  </si>
  <si>
    <t>669</t>
  </si>
  <si>
    <t>111456</t>
  </si>
  <si>
    <t>670</t>
  </si>
  <si>
    <t>2-016338</t>
  </si>
  <si>
    <t>6006242079</t>
  </si>
  <si>
    <t>671</t>
  </si>
  <si>
    <t>Prestado a UPC 3er piso</t>
  </si>
  <si>
    <t>5495318955</t>
  </si>
  <si>
    <t>672</t>
  </si>
  <si>
    <t>5493736846</t>
  </si>
  <si>
    <t>673</t>
  </si>
  <si>
    <t>674</t>
  </si>
  <si>
    <t>Recuperación pabellón obstétrico</t>
  </si>
  <si>
    <t>DE351C1465</t>
  </si>
  <si>
    <t>675</t>
  </si>
  <si>
    <t>Oxímetro de Pulso</t>
  </si>
  <si>
    <t>Masimo</t>
  </si>
  <si>
    <t>R7</t>
  </si>
  <si>
    <t>225548</t>
  </si>
  <si>
    <t>676</t>
  </si>
  <si>
    <t>225507</t>
  </si>
  <si>
    <t>677</t>
  </si>
  <si>
    <t>5495286953</t>
  </si>
  <si>
    <t>678</t>
  </si>
  <si>
    <t>2-112838</t>
  </si>
  <si>
    <t>5495289950</t>
  </si>
  <si>
    <t>679</t>
  </si>
  <si>
    <t>5495290066</t>
  </si>
  <si>
    <t>680</t>
  </si>
  <si>
    <t>CAMA 22</t>
  </si>
  <si>
    <t>5495302268</t>
  </si>
  <si>
    <t>681</t>
  </si>
  <si>
    <t>2-112839</t>
  </si>
  <si>
    <t>5495303668</t>
  </si>
  <si>
    <t>682</t>
  </si>
  <si>
    <t>5495305167</t>
  </si>
  <si>
    <t>683</t>
  </si>
  <si>
    <t>5495307067</t>
  </si>
  <si>
    <t>684</t>
  </si>
  <si>
    <t>5495307263</t>
  </si>
  <si>
    <t>685</t>
  </si>
  <si>
    <t>5495307762</t>
  </si>
  <si>
    <t>686</t>
  </si>
  <si>
    <t>2-112840</t>
  </si>
  <si>
    <t>CAMA 15</t>
  </si>
  <si>
    <t>5495310268</t>
  </si>
  <si>
    <t>687</t>
  </si>
  <si>
    <t>5495310865</t>
  </si>
  <si>
    <t>688</t>
  </si>
  <si>
    <t>5495311962</t>
  </si>
  <si>
    <t>689</t>
  </si>
  <si>
    <t>5495313461</t>
  </si>
  <si>
    <t>690</t>
  </si>
  <si>
    <t>5495313764</t>
  </si>
  <si>
    <t>691</t>
  </si>
  <si>
    <t>Resonancia</t>
  </si>
  <si>
    <t>Tesla</t>
  </si>
  <si>
    <t>M3</t>
  </si>
  <si>
    <t>TM3M0264</t>
  </si>
  <si>
    <t>692</t>
  </si>
  <si>
    <t>5495319063</t>
  </si>
  <si>
    <t>693</t>
  </si>
  <si>
    <t>694</t>
  </si>
  <si>
    <t>5495320364</t>
  </si>
  <si>
    <t>695</t>
  </si>
  <si>
    <t>2-112828</t>
  </si>
  <si>
    <t>5495320569</t>
  </si>
  <si>
    <t>696</t>
  </si>
  <si>
    <t>5495321363</t>
  </si>
  <si>
    <t>697</t>
  </si>
  <si>
    <t>5495322460</t>
  </si>
  <si>
    <t>698</t>
  </si>
  <si>
    <t>5495323165</t>
  </si>
  <si>
    <t>699</t>
  </si>
  <si>
    <t>5495324164</t>
  </si>
  <si>
    <t>700</t>
  </si>
  <si>
    <t>5495324458</t>
  </si>
  <si>
    <t>701</t>
  </si>
  <si>
    <t>5495324565</t>
  </si>
  <si>
    <t>702</t>
  </si>
  <si>
    <t>2-112832</t>
  </si>
  <si>
    <t>5495325858</t>
  </si>
  <si>
    <t>703</t>
  </si>
  <si>
    <t>2-112824</t>
  </si>
  <si>
    <t>CAMA 17</t>
  </si>
  <si>
    <t>5495326064</t>
  </si>
  <si>
    <t>704</t>
  </si>
  <si>
    <t>5495326456</t>
  </si>
  <si>
    <t>705</t>
  </si>
  <si>
    <t>2-112841</t>
  </si>
  <si>
    <t>5495326955</t>
  </si>
  <si>
    <t>706</t>
  </si>
  <si>
    <t>CDT-P2-QF03</t>
  </si>
  <si>
    <t>5495192163</t>
  </si>
  <si>
    <t>707</t>
  </si>
  <si>
    <t>Scanner Siemens</t>
  </si>
  <si>
    <t>5495196658</t>
  </si>
  <si>
    <t>708</t>
  </si>
  <si>
    <t>EDAN</t>
  </si>
  <si>
    <t>IM50</t>
  </si>
  <si>
    <t>260123-M15803660005</t>
  </si>
  <si>
    <t>709</t>
  </si>
  <si>
    <t>3648</t>
  </si>
  <si>
    <t>710</t>
  </si>
  <si>
    <t>V2SFF0044</t>
  </si>
  <si>
    <t>711</t>
  </si>
  <si>
    <t>V1SHL0116</t>
  </si>
  <si>
    <t>712</t>
  </si>
  <si>
    <t>VQSHF0100</t>
  </si>
  <si>
    <t>713</t>
  </si>
  <si>
    <t>MX500</t>
  </si>
  <si>
    <t>DE35137548</t>
  </si>
  <si>
    <t>714</t>
  </si>
  <si>
    <t>2-116713</t>
  </si>
  <si>
    <t xml:space="preserve">Bodega </t>
  </si>
  <si>
    <t>6009179462</t>
  </si>
  <si>
    <t>715</t>
  </si>
  <si>
    <t>DE351C1289</t>
  </si>
  <si>
    <t>716</t>
  </si>
  <si>
    <t>DE351C1464</t>
  </si>
  <si>
    <t>717</t>
  </si>
  <si>
    <t>DE351C1468</t>
  </si>
  <si>
    <t>718</t>
  </si>
  <si>
    <t>DE351C1471</t>
  </si>
  <si>
    <t>719</t>
  </si>
  <si>
    <t>DE351C1466</t>
  </si>
  <si>
    <t>720</t>
  </si>
  <si>
    <t>2-117057</t>
  </si>
  <si>
    <t>DE351C1288</t>
  </si>
  <si>
    <t>721</t>
  </si>
  <si>
    <t>5495671163</t>
  </si>
  <si>
    <t>722</t>
  </si>
  <si>
    <t>Intellivue MX550</t>
  </si>
  <si>
    <t>DE671E0395</t>
  </si>
  <si>
    <t>723</t>
  </si>
  <si>
    <t>DE671E0396</t>
  </si>
  <si>
    <t>724</t>
  </si>
  <si>
    <t>DE671E0397</t>
  </si>
  <si>
    <t>725</t>
  </si>
  <si>
    <t>DE671E0398</t>
  </si>
  <si>
    <t>726</t>
  </si>
  <si>
    <t>DE671E0399</t>
  </si>
  <si>
    <t>727</t>
  </si>
  <si>
    <t>DE671E0401</t>
  </si>
  <si>
    <t>728</t>
  </si>
  <si>
    <t>DE671E0403</t>
  </si>
  <si>
    <t>729</t>
  </si>
  <si>
    <t>DE671E0404</t>
  </si>
  <si>
    <t>730</t>
  </si>
  <si>
    <t>DE671E0405</t>
  </si>
  <si>
    <t>731</t>
  </si>
  <si>
    <t>DE671E0406</t>
  </si>
  <si>
    <t>732</t>
  </si>
  <si>
    <t>DE671E0407</t>
  </si>
  <si>
    <t>733</t>
  </si>
  <si>
    <t>DE671E0408</t>
  </si>
  <si>
    <t>734</t>
  </si>
  <si>
    <t>DE671E0409</t>
  </si>
  <si>
    <t>735</t>
  </si>
  <si>
    <t>DE671E0410</t>
  </si>
  <si>
    <t>736</t>
  </si>
  <si>
    <t>DE671E0434</t>
  </si>
  <si>
    <t>737</t>
  </si>
  <si>
    <t>DE671E0435</t>
  </si>
  <si>
    <t>738</t>
  </si>
  <si>
    <t>Box 1 Neurología</t>
  </si>
  <si>
    <t>VGSLN0003</t>
  </si>
  <si>
    <t>739</t>
  </si>
  <si>
    <t>Observación 1</t>
  </si>
  <si>
    <t>VGSLN0002</t>
  </si>
  <si>
    <t>740</t>
  </si>
  <si>
    <t>Box 5 SAR</t>
  </si>
  <si>
    <t>VGSLN0014</t>
  </si>
  <si>
    <t>741</t>
  </si>
  <si>
    <t>Observación 3</t>
  </si>
  <si>
    <t>VGSLN0017</t>
  </si>
  <si>
    <t>742</t>
  </si>
  <si>
    <t>VGSLN0049</t>
  </si>
  <si>
    <t>743</t>
  </si>
  <si>
    <t>Observación 2</t>
  </si>
  <si>
    <t>VGSLN0079</t>
  </si>
  <si>
    <t>744</t>
  </si>
  <si>
    <t>Pabellón CMA 1</t>
  </si>
  <si>
    <t>5613359963</t>
  </si>
  <si>
    <t>745</t>
  </si>
  <si>
    <t>5613354870</t>
  </si>
  <si>
    <t>746</t>
  </si>
  <si>
    <t>Pabellon CMA</t>
  </si>
  <si>
    <t>Pabellon CMA 2</t>
  </si>
  <si>
    <t>5613360578</t>
  </si>
  <si>
    <t>747</t>
  </si>
  <si>
    <t>2-118846</t>
  </si>
  <si>
    <t>5613993759</t>
  </si>
  <si>
    <t>748</t>
  </si>
  <si>
    <t>SP318331750WA</t>
  </si>
  <si>
    <t>749</t>
  </si>
  <si>
    <t>SP318443451WA</t>
  </si>
  <si>
    <t>750</t>
  </si>
  <si>
    <t>SQE19510024SA</t>
  </si>
  <si>
    <t>751</t>
  </si>
  <si>
    <t>SQE19510025SA</t>
  </si>
  <si>
    <t>752</t>
  </si>
  <si>
    <t>UPC Cardiovascular (Prestado a Medicina Cardiovascular)</t>
  </si>
  <si>
    <t>SQE19510026SA</t>
  </si>
  <si>
    <t>753</t>
  </si>
  <si>
    <t>SQE19510027SA</t>
  </si>
  <si>
    <t>754</t>
  </si>
  <si>
    <t>520-3</t>
  </si>
  <si>
    <t>SQE19510029SA</t>
  </si>
  <si>
    <t>755</t>
  </si>
  <si>
    <t>SQE19510030SA</t>
  </si>
  <si>
    <t>756</t>
  </si>
  <si>
    <t>516-2</t>
  </si>
  <si>
    <t>SQE19510031SA</t>
  </si>
  <si>
    <t>757</t>
  </si>
  <si>
    <t>PVM-2703</t>
  </si>
  <si>
    <t>0118020.</t>
  </si>
  <si>
    <t>758</t>
  </si>
  <si>
    <t>Sala 597</t>
  </si>
  <si>
    <t>0118042.</t>
  </si>
  <si>
    <t>759</t>
  </si>
  <si>
    <t>521-3</t>
  </si>
  <si>
    <t>0117935.</t>
  </si>
  <si>
    <t>760</t>
  </si>
  <si>
    <t>0118040.</t>
  </si>
  <si>
    <t>761</t>
  </si>
  <si>
    <t>515-3</t>
  </si>
  <si>
    <t>0118006.</t>
  </si>
  <si>
    <t>762</t>
  </si>
  <si>
    <t>0117960.</t>
  </si>
  <si>
    <t>763</t>
  </si>
  <si>
    <t>0117934.</t>
  </si>
  <si>
    <t>764</t>
  </si>
  <si>
    <t>Box A-2</t>
  </si>
  <si>
    <t>0117925.</t>
  </si>
  <si>
    <t>765</t>
  </si>
  <si>
    <t>Bodega equipos SUI</t>
  </si>
  <si>
    <t>0117936.</t>
  </si>
  <si>
    <t>766</t>
  </si>
  <si>
    <t>Priorización</t>
  </si>
  <si>
    <t>117954</t>
  </si>
  <si>
    <t>767</t>
  </si>
  <si>
    <t>Reanimación box 3</t>
  </si>
  <si>
    <t>MATIMED</t>
  </si>
  <si>
    <t>MN-580</t>
  </si>
  <si>
    <t>1810190910101</t>
  </si>
  <si>
    <t>768</t>
  </si>
  <si>
    <t>5495679556</t>
  </si>
  <si>
    <t>769</t>
  </si>
  <si>
    <t>5495714162</t>
  </si>
  <si>
    <t>770</t>
  </si>
  <si>
    <t>5495709257</t>
  </si>
  <si>
    <t>771</t>
  </si>
  <si>
    <t>5495706162</t>
  </si>
  <si>
    <t>772</t>
  </si>
  <si>
    <t xml:space="preserve">UCI 7 </t>
  </si>
  <si>
    <t>5495686254</t>
  </si>
  <si>
    <t>773</t>
  </si>
  <si>
    <t>UTI 9</t>
  </si>
  <si>
    <t>1393-113289</t>
  </si>
  <si>
    <t>774</t>
  </si>
  <si>
    <t>UTI 5</t>
  </si>
  <si>
    <t>1393-113283</t>
  </si>
  <si>
    <t>775</t>
  </si>
  <si>
    <t>UTI 8</t>
  </si>
  <si>
    <t>1393-113290</t>
  </si>
  <si>
    <t>776</t>
  </si>
  <si>
    <t>UTI 10</t>
  </si>
  <si>
    <t>1393-113276</t>
  </si>
  <si>
    <t>777</t>
  </si>
  <si>
    <t>UTI 7</t>
  </si>
  <si>
    <t>1393-113292</t>
  </si>
  <si>
    <t>778</t>
  </si>
  <si>
    <t>UTI 6</t>
  </si>
  <si>
    <t>1393-113279</t>
  </si>
  <si>
    <t>779</t>
  </si>
  <si>
    <t>Imagenología Resonancia</t>
  </si>
  <si>
    <t>SCHILLER</t>
  </si>
  <si>
    <t>MAGELIFE Serenity</t>
  </si>
  <si>
    <t>94999001058</t>
  </si>
  <si>
    <t>780</t>
  </si>
  <si>
    <t>BeneVision N17</t>
  </si>
  <si>
    <t>F2-04008218</t>
  </si>
  <si>
    <t>781</t>
  </si>
  <si>
    <t>Box A-1</t>
  </si>
  <si>
    <t>F2-04008204</t>
  </si>
  <si>
    <t>782</t>
  </si>
  <si>
    <t>Reanimación box 2</t>
  </si>
  <si>
    <t>F2-04008289</t>
  </si>
  <si>
    <t>783</t>
  </si>
  <si>
    <t xml:space="preserve">Reanimación box 1 </t>
  </si>
  <si>
    <t>F2-04008141</t>
  </si>
  <si>
    <t>784</t>
  </si>
  <si>
    <t>UTI 2</t>
  </si>
  <si>
    <t>1393-114595</t>
  </si>
  <si>
    <t>785</t>
  </si>
  <si>
    <t>Sala medico</t>
  </si>
  <si>
    <t>1393-114598</t>
  </si>
  <si>
    <t>786</t>
  </si>
  <si>
    <t>1393-114593</t>
  </si>
  <si>
    <t>787</t>
  </si>
  <si>
    <t>UTI 4</t>
  </si>
  <si>
    <t>1393-114597</t>
  </si>
  <si>
    <t>788</t>
  </si>
  <si>
    <t>UTI 3</t>
  </si>
  <si>
    <t>1393-114596</t>
  </si>
  <si>
    <t>789</t>
  </si>
  <si>
    <t>UMEC12</t>
  </si>
  <si>
    <t>KQ-04036895</t>
  </si>
  <si>
    <t>790</t>
  </si>
  <si>
    <t>B125</t>
  </si>
  <si>
    <t>SQF20247942WA</t>
  </si>
  <si>
    <t>791</t>
  </si>
  <si>
    <t>SQF20247940WA</t>
  </si>
  <si>
    <t>792</t>
  </si>
  <si>
    <t>5495845056</t>
  </si>
  <si>
    <t>793</t>
  </si>
  <si>
    <t>Observación 4</t>
  </si>
  <si>
    <t>VGSNE3867</t>
  </si>
  <si>
    <t>794</t>
  </si>
  <si>
    <t>Observación 6</t>
  </si>
  <si>
    <t>VGSNE3877</t>
  </si>
  <si>
    <t>795</t>
  </si>
  <si>
    <t>Observación 5</t>
  </si>
  <si>
    <t>VGSNE3864</t>
  </si>
  <si>
    <t>796</t>
  </si>
  <si>
    <t>Box 4 SAR</t>
  </si>
  <si>
    <t>VGSNE3830</t>
  </si>
  <si>
    <t>797</t>
  </si>
  <si>
    <t>KQ-04036808</t>
  </si>
  <si>
    <t>798</t>
  </si>
  <si>
    <t>Box B-5</t>
  </si>
  <si>
    <t>PVM-4763</t>
  </si>
  <si>
    <t>3319</t>
  </si>
  <si>
    <t>799</t>
  </si>
  <si>
    <t>Cirug√≠a box 1</t>
  </si>
  <si>
    <t>3326</t>
  </si>
  <si>
    <t>800</t>
  </si>
  <si>
    <t>TMT</t>
  </si>
  <si>
    <t>3318</t>
  </si>
  <si>
    <t>801</t>
  </si>
  <si>
    <t>J3300QF04734</t>
  </si>
  <si>
    <t>802</t>
  </si>
  <si>
    <t>Sinohero</t>
  </si>
  <si>
    <t>H5</t>
  </si>
  <si>
    <t>PSHH501479</t>
  </si>
  <si>
    <t>803</t>
  </si>
  <si>
    <t>J3300QF04724</t>
  </si>
  <si>
    <t>804</t>
  </si>
  <si>
    <t>511-2E</t>
  </si>
  <si>
    <t>29791</t>
  </si>
  <si>
    <t>805</t>
  </si>
  <si>
    <t>510-3E</t>
  </si>
  <si>
    <t>29792</t>
  </si>
  <si>
    <t>806</t>
  </si>
  <si>
    <t>518-1</t>
  </si>
  <si>
    <t>29805</t>
  </si>
  <si>
    <t>807</t>
  </si>
  <si>
    <t>512-3E</t>
  </si>
  <si>
    <t>29811</t>
  </si>
  <si>
    <t>808</t>
  </si>
  <si>
    <t>501-3</t>
  </si>
  <si>
    <t>29814</t>
  </si>
  <si>
    <t>809</t>
  </si>
  <si>
    <t>29815</t>
  </si>
  <si>
    <t>810</t>
  </si>
  <si>
    <t>503-1E</t>
  </si>
  <si>
    <t>29816</t>
  </si>
  <si>
    <t>811</t>
  </si>
  <si>
    <t>502-3E</t>
  </si>
  <si>
    <t>29817</t>
  </si>
  <si>
    <t>812</t>
  </si>
  <si>
    <t>502-1</t>
  </si>
  <si>
    <t>29800</t>
  </si>
  <si>
    <t>813</t>
  </si>
  <si>
    <t>508-3</t>
  </si>
  <si>
    <t>X12</t>
  </si>
  <si>
    <t>261594-M21407240019</t>
  </si>
  <si>
    <t>814</t>
  </si>
  <si>
    <t>261594-M21407240011</t>
  </si>
  <si>
    <t>815</t>
  </si>
  <si>
    <t>596-1</t>
  </si>
  <si>
    <t>261594-M21406070014</t>
  </si>
  <si>
    <t>816</t>
  </si>
  <si>
    <t>261594-M21407000058</t>
  </si>
  <si>
    <t>817</t>
  </si>
  <si>
    <t>596-3</t>
  </si>
  <si>
    <t>261594-M21407240059</t>
  </si>
  <si>
    <t>818</t>
  </si>
  <si>
    <t>519-3</t>
  </si>
  <si>
    <t>261594-M21407240073</t>
  </si>
  <si>
    <t>819</t>
  </si>
  <si>
    <t>261594-M21407240071</t>
  </si>
  <si>
    <t>820</t>
  </si>
  <si>
    <t>261594-M21407240024</t>
  </si>
  <si>
    <t>821</t>
  </si>
  <si>
    <t>261594-M21407000083</t>
  </si>
  <si>
    <t>822</t>
  </si>
  <si>
    <t>261594-M21406070011</t>
  </si>
  <si>
    <t>823</t>
  </si>
  <si>
    <t>Bistos</t>
  </si>
  <si>
    <t>BT-770</t>
  </si>
  <si>
    <t>DGLC0120</t>
  </si>
  <si>
    <t>824</t>
  </si>
  <si>
    <t>DGLC0121</t>
  </si>
  <si>
    <t>825</t>
  </si>
  <si>
    <t>DGLC0118</t>
  </si>
  <si>
    <t>826</t>
  </si>
  <si>
    <t>DGLC0126</t>
  </si>
  <si>
    <t>827</t>
  </si>
  <si>
    <t>DGLC0138</t>
  </si>
  <si>
    <t>828</t>
  </si>
  <si>
    <t>DGLC0124</t>
  </si>
  <si>
    <t>829</t>
  </si>
  <si>
    <t>DGLC0137</t>
  </si>
  <si>
    <t>830</t>
  </si>
  <si>
    <t>DGLC0134</t>
  </si>
  <si>
    <t>831</t>
  </si>
  <si>
    <t xml:space="preserve">Pediatría </t>
  </si>
  <si>
    <t>EP 696</t>
  </si>
  <si>
    <t>DGLC0115</t>
  </si>
  <si>
    <t>832</t>
  </si>
  <si>
    <t>Peditría Segunda Infancia</t>
  </si>
  <si>
    <t>DGLC0136</t>
  </si>
  <si>
    <t>833</t>
  </si>
  <si>
    <t>DGLC0133</t>
  </si>
  <si>
    <t>834</t>
  </si>
  <si>
    <t>DGL70654</t>
  </si>
  <si>
    <t>835</t>
  </si>
  <si>
    <t>DGLC0112</t>
  </si>
  <si>
    <t>836</t>
  </si>
  <si>
    <t>EPA-P6</t>
  </si>
  <si>
    <t>DGLC0125</t>
  </si>
  <si>
    <t>837</t>
  </si>
  <si>
    <t>DGL70658</t>
  </si>
  <si>
    <t>838</t>
  </si>
  <si>
    <t>DGLC0128</t>
  </si>
  <si>
    <t>839</t>
  </si>
  <si>
    <t>DGL70653</t>
  </si>
  <si>
    <t>DGLC0122</t>
  </si>
  <si>
    <t>841</t>
  </si>
  <si>
    <t>DGL70649</t>
  </si>
  <si>
    <t>842</t>
  </si>
  <si>
    <t>DGLC0109</t>
  </si>
  <si>
    <t>843</t>
  </si>
  <si>
    <t>DGL70650</t>
  </si>
  <si>
    <t>844</t>
  </si>
  <si>
    <t>DGLC0127</t>
  </si>
  <si>
    <t>845</t>
  </si>
  <si>
    <t>DGL70652</t>
  </si>
  <si>
    <t>846</t>
  </si>
  <si>
    <t>DGLC0114</t>
  </si>
  <si>
    <t>847</t>
  </si>
  <si>
    <t>DGLC0119</t>
  </si>
  <si>
    <t>848</t>
  </si>
  <si>
    <t>DGLC0129</t>
  </si>
  <si>
    <t>849</t>
  </si>
  <si>
    <t>DGLC0123</t>
  </si>
  <si>
    <t>850</t>
  </si>
  <si>
    <t>DGLC0131</t>
  </si>
  <si>
    <t>851</t>
  </si>
  <si>
    <t>6to piso</t>
  </si>
  <si>
    <t>DGLC0111</t>
  </si>
  <si>
    <t>852</t>
  </si>
  <si>
    <t>DGLC0113</t>
  </si>
  <si>
    <t>853</t>
  </si>
  <si>
    <t>DGLC0110</t>
  </si>
  <si>
    <t>854</t>
  </si>
  <si>
    <t>DGL70655</t>
  </si>
  <si>
    <t>855</t>
  </si>
  <si>
    <t>DGL80024</t>
  </si>
  <si>
    <t>856</t>
  </si>
  <si>
    <t>DGL80022</t>
  </si>
  <si>
    <t>857</t>
  </si>
  <si>
    <t>DGL80023</t>
  </si>
  <si>
    <t>858</t>
  </si>
  <si>
    <t>2-121499</t>
  </si>
  <si>
    <t>5613165575</t>
  </si>
  <si>
    <t>859</t>
  </si>
  <si>
    <t>DGM40020</t>
  </si>
  <si>
    <t>860</t>
  </si>
  <si>
    <t>DGM40018</t>
  </si>
  <si>
    <t>861</t>
  </si>
  <si>
    <t>DGM40013</t>
  </si>
  <si>
    <t>862</t>
  </si>
  <si>
    <t>Sala de equipos EPA</t>
  </si>
  <si>
    <t>DGM40037</t>
  </si>
  <si>
    <t>863</t>
  </si>
  <si>
    <t>DGM40028</t>
  </si>
  <si>
    <t>864</t>
  </si>
  <si>
    <t>DGM40016</t>
  </si>
  <si>
    <t>865</t>
  </si>
  <si>
    <t>Sala de procedimiento TNA</t>
  </si>
  <si>
    <t>DGM40026</t>
  </si>
  <si>
    <t>866</t>
  </si>
  <si>
    <t>597-4</t>
  </si>
  <si>
    <t>DGM40019</t>
  </si>
  <si>
    <t>867</t>
  </si>
  <si>
    <t>DGM40041</t>
  </si>
  <si>
    <t>868</t>
  </si>
  <si>
    <t>DGM40042</t>
  </si>
  <si>
    <t>869</t>
  </si>
  <si>
    <t>DGM40023</t>
  </si>
  <si>
    <t>870</t>
  </si>
  <si>
    <t>598-2</t>
  </si>
  <si>
    <t>DGM40032</t>
  </si>
  <si>
    <t>871</t>
  </si>
  <si>
    <t>EP 699</t>
  </si>
  <si>
    <t>DGM40040</t>
  </si>
  <si>
    <t>872</t>
  </si>
  <si>
    <t>DGM40021</t>
  </si>
  <si>
    <t>873</t>
  </si>
  <si>
    <t>DGM40036</t>
  </si>
  <si>
    <t>874</t>
  </si>
  <si>
    <t>DGM40015</t>
  </si>
  <si>
    <t>875</t>
  </si>
  <si>
    <t>DGM40031</t>
  </si>
  <si>
    <t>876</t>
  </si>
  <si>
    <t>DGM40038</t>
  </si>
  <si>
    <t>877</t>
  </si>
  <si>
    <t>TB 605</t>
  </si>
  <si>
    <t>DGM40030</t>
  </si>
  <si>
    <t>878</t>
  </si>
  <si>
    <t>EP 695</t>
  </si>
  <si>
    <t>DGM40029</t>
  </si>
  <si>
    <t>879</t>
  </si>
  <si>
    <t>2-121564</t>
  </si>
  <si>
    <t>132816</t>
  </si>
  <si>
    <t>880</t>
  </si>
  <si>
    <t>2-121565</t>
  </si>
  <si>
    <t>132818</t>
  </si>
  <si>
    <t>881</t>
  </si>
  <si>
    <t>2-121566</t>
  </si>
  <si>
    <t>132819</t>
  </si>
  <si>
    <t>882</t>
  </si>
  <si>
    <t>PVM-4763K</t>
  </si>
  <si>
    <t>2943</t>
  </si>
  <si>
    <t>883</t>
  </si>
  <si>
    <t>2731</t>
  </si>
  <si>
    <t>884</t>
  </si>
  <si>
    <t>2915</t>
  </si>
  <si>
    <t>885</t>
  </si>
  <si>
    <t>02922.</t>
  </si>
  <si>
    <t>886</t>
  </si>
  <si>
    <t>General Meditech</t>
  </si>
  <si>
    <t>G3H</t>
  </si>
  <si>
    <t>G3HQ40045</t>
  </si>
  <si>
    <t>887</t>
  </si>
  <si>
    <t>G3F</t>
  </si>
  <si>
    <t>G3FPB0029</t>
  </si>
  <si>
    <t>888</t>
  </si>
  <si>
    <t>CDT Módulo A</t>
  </si>
  <si>
    <t>Box 6</t>
  </si>
  <si>
    <t>CN92392265</t>
  </si>
  <si>
    <t>889</t>
  </si>
  <si>
    <t>CN92373992</t>
  </si>
  <si>
    <t>890</t>
  </si>
  <si>
    <t>CN92392228</t>
  </si>
  <si>
    <t>891</t>
  </si>
  <si>
    <t>CN92392229</t>
  </si>
  <si>
    <t>892</t>
  </si>
  <si>
    <t>CN92392230</t>
  </si>
  <si>
    <t>893</t>
  </si>
  <si>
    <t>CN92392264</t>
  </si>
  <si>
    <t>894</t>
  </si>
  <si>
    <t>CM120</t>
  </si>
  <si>
    <t>CN92395201</t>
  </si>
  <si>
    <t>895</t>
  </si>
  <si>
    <t>CN92395203</t>
  </si>
  <si>
    <t>896</t>
  </si>
  <si>
    <t>SUI Box 2</t>
  </si>
  <si>
    <t>0132821.</t>
  </si>
  <si>
    <t>897</t>
  </si>
  <si>
    <t>SUI Box 3</t>
  </si>
  <si>
    <t>0132822.</t>
  </si>
  <si>
    <t>898</t>
  </si>
  <si>
    <t>SUI IRA</t>
  </si>
  <si>
    <t>0132823.</t>
  </si>
  <si>
    <t>899</t>
  </si>
  <si>
    <t>0132824.</t>
  </si>
  <si>
    <t>900</t>
  </si>
  <si>
    <t>SUI Box 4</t>
  </si>
  <si>
    <t>0132825.</t>
  </si>
  <si>
    <t>901</t>
  </si>
  <si>
    <t>SUI Box 1</t>
  </si>
  <si>
    <t>0132826.</t>
  </si>
  <si>
    <t>902</t>
  </si>
  <si>
    <t xml:space="preserve">SUI TMT </t>
  </si>
  <si>
    <t>0132829.</t>
  </si>
  <si>
    <t>903</t>
  </si>
  <si>
    <t>Priorización SUI</t>
  </si>
  <si>
    <t>0132834.</t>
  </si>
  <si>
    <t>904</t>
  </si>
  <si>
    <t>BSM-3763</t>
  </si>
  <si>
    <t>19109.</t>
  </si>
  <si>
    <t>905</t>
  </si>
  <si>
    <t>08813.</t>
  </si>
  <si>
    <t>906</t>
  </si>
  <si>
    <t>BeneVision N1</t>
  </si>
  <si>
    <t>AA3-14033891</t>
  </si>
  <si>
    <t>907</t>
  </si>
  <si>
    <t>CN92392254</t>
  </si>
  <si>
    <t>908</t>
  </si>
  <si>
    <t>22060100008</t>
  </si>
  <si>
    <t>909</t>
  </si>
  <si>
    <t>22060100003</t>
  </si>
  <si>
    <t>910</t>
  </si>
  <si>
    <t>S2SRC0509</t>
  </si>
  <si>
    <t>911</t>
  </si>
  <si>
    <t>S2SNE1555</t>
  </si>
  <si>
    <t>912</t>
  </si>
  <si>
    <t>VGSRC0520</t>
  </si>
  <si>
    <t>913</t>
  </si>
  <si>
    <t>VGSRC0467</t>
  </si>
  <si>
    <t>914</t>
  </si>
  <si>
    <t>VGSRC0512</t>
  </si>
  <si>
    <t>915</t>
  </si>
  <si>
    <t>VGSRC0472</t>
  </si>
  <si>
    <t>916</t>
  </si>
  <si>
    <t>VGSRC0490</t>
  </si>
  <si>
    <t>917</t>
  </si>
  <si>
    <t>VGSRC0495</t>
  </si>
  <si>
    <t>918</t>
  </si>
  <si>
    <t>VGSRC0521</t>
  </si>
  <si>
    <t>919</t>
  </si>
  <si>
    <t>VGSRC0543</t>
  </si>
  <si>
    <t>920</t>
  </si>
  <si>
    <t>VGSRC0538</t>
  </si>
  <si>
    <t>921</t>
  </si>
  <si>
    <t>CDT Administracion / CEM 3ER PISO</t>
  </si>
  <si>
    <t>Northern</t>
  </si>
  <si>
    <t>JH01B910008</t>
  </si>
  <si>
    <t>922</t>
  </si>
  <si>
    <t>CDT Administracion / Seran reubicados</t>
  </si>
  <si>
    <t>JH01B910020</t>
  </si>
  <si>
    <t>923</t>
  </si>
  <si>
    <t>JH01B910011</t>
  </si>
  <si>
    <t>924</t>
  </si>
  <si>
    <t>JH01B910002</t>
  </si>
  <si>
    <t>925</t>
  </si>
  <si>
    <t>926</t>
  </si>
  <si>
    <t>927</t>
  </si>
  <si>
    <t>928</t>
  </si>
  <si>
    <t>929</t>
  </si>
  <si>
    <t>Fresenius</t>
  </si>
  <si>
    <t>4008B(s)</t>
  </si>
  <si>
    <t>8VCAJN47</t>
  </si>
  <si>
    <t>930</t>
  </si>
  <si>
    <t>9VCAPR03</t>
  </si>
  <si>
    <t>931</t>
  </si>
  <si>
    <t>932</t>
  </si>
  <si>
    <t>933</t>
  </si>
  <si>
    <t>934</t>
  </si>
  <si>
    <t>935</t>
  </si>
  <si>
    <t>936</t>
  </si>
  <si>
    <t>MultiFiltrate PRO</t>
  </si>
  <si>
    <t>2FTG6886</t>
  </si>
  <si>
    <t>937</t>
  </si>
  <si>
    <t>2FTG6885</t>
  </si>
  <si>
    <t>938</t>
  </si>
  <si>
    <t>2FTG6884</t>
  </si>
  <si>
    <t>939</t>
  </si>
  <si>
    <t>940</t>
  </si>
  <si>
    <t>941</t>
  </si>
  <si>
    <t>942</t>
  </si>
  <si>
    <t>943</t>
  </si>
  <si>
    <t>4008B</t>
  </si>
  <si>
    <t>OV5APR17</t>
  </si>
  <si>
    <t>944</t>
  </si>
  <si>
    <t>Gambro</t>
  </si>
  <si>
    <t>Prismaflex</t>
  </si>
  <si>
    <t>PA10283</t>
  </si>
  <si>
    <t>945</t>
  </si>
  <si>
    <t>4008S</t>
  </si>
  <si>
    <t>5SXAEL56</t>
  </si>
  <si>
    <t>946</t>
  </si>
  <si>
    <t>5SXAEL57</t>
  </si>
  <si>
    <t>947</t>
  </si>
  <si>
    <t>5SXAEL58</t>
  </si>
  <si>
    <t>948</t>
  </si>
  <si>
    <t>949</t>
  </si>
  <si>
    <t>950</t>
  </si>
  <si>
    <t>951</t>
  </si>
  <si>
    <t>952</t>
  </si>
  <si>
    <t>953</t>
  </si>
  <si>
    <t>954</t>
  </si>
  <si>
    <t>3SXA4HC6</t>
  </si>
  <si>
    <t>955</t>
  </si>
  <si>
    <t>3SXA4HC2</t>
  </si>
  <si>
    <t>956</t>
  </si>
  <si>
    <t>3SXA4HDK</t>
  </si>
  <si>
    <t>957</t>
  </si>
  <si>
    <t>958</t>
  </si>
  <si>
    <t>3SXA4HD0</t>
  </si>
  <si>
    <t>959</t>
  </si>
  <si>
    <t>3SXA4HD1</t>
  </si>
  <si>
    <t>960</t>
  </si>
  <si>
    <t>3SXA4HCJ</t>
  </si>
  <si>
    <t>961</t>
  </si>
  <si>
    <t>3SXA4HC9</t>
  </si>
  <si>
    <t>962</t>
  </si>
  <si>
    <t>3SXA4HC0</t>
  </si>
  <si>
    <t>963</t>
  </si>
  <si>
    <t>Sala diálisis infantil</t>
  </si>
  <si>
    <t>964</t>
  </si>
  <si>
    <t>5008S</t>
  </si>
  <si>
    <t>965</t>
  </si>
  <si>
    <t>9VSAMM17</t>
  </si>
  <si>
    <t>966</t>
  </si>
  <si>
    <t>2-130655</t>
  </si>
  <si>
    <t>9VSAMM15</t>
  </si>
  <si>
    <t>Estado inicial</t>
  </si>
  <si>
    <t>Estado del evento</t>
  </si>
  <si>
    <t>Fecha cierre OT</t>
  </si>
  <si>
    <t>2025-121109-19-10024</t>
  </si>
  <si>
    <t>02-06-2025</t>
  </si>
  <si>
    <t>REVISAR VENTIDOR, PANTALLA EN BLANCO.</t>
  </si>
  <si>
    <t>05-06-2026</t>
  </si>
  <si>
    <t>2025-121109-19-18809</t>
  </si>
  <si>
    <t>24-10-2025</t>
  </si>
  <si>
    <t>SOLICITO REVISION Y ARREGLO DE VM, NO PASA PRUEBAS DE TRANSDUCTOR DE PRESION SOLICITA EU CATALINA CELEDON</t>
  </si>
  <si>
    <t>2026-121109-19-997</t>
  </si>
  <si>
    <t>16-01-2026</t>
  </si>
  <si>
    <t>FAVOR REPONER TAPA DEL CAZA BURBUJAS, DADO QUE SE QUEBRÒ LA ORIGINAL. GRACIAS</t>
  </si>
  <si>
    <t>31-03-2026</t>
  </si>
  <si>
    <t>2026-121109-19-5563</t>
  </si>
  <si>
    <t>25-03-2026</t>
  </si>
  <si>
    <t>SOLICITO URGENTE REPARACION DE MAQUINA DE HEMODIALISIS 4008, POR ROMPIMIENTO DEL CABEZAL DEL BIBAG. NOS ENCONTRAMOS SIN RESPALDO PARA PODER CONTINUAR LA ATENCION</t>
  </si>
  <si>
    <t>2026-121109-19-6215</t>
  </si>
  <si>
    <t>06-04-2026</t>
  </si>
  <si>
    <t>SOLICITO URGENTE REPARACION DE MAQUINA, CON FALLA HIDRAULICA Y TEST DE PRESION POSITIVA SIN RESPALDO</t>
  </si>
  <si>
    <t>2026-121109-19-6271</t>
  </si>
  <si>
    <t>07-04-2026</t>
  </si>
  <si>
    <t>ESTIMADOS, SE GENERA ORDEN DE TRABAJO DEBIDO A QUE, AL REALIZAR LA MANTENCIÓN PREVENTIVA, EL EQUIPO QUEDA FUERA DE SERVICIO POR NO LOGRAR SU CALIBRACIÓN, ENCONTRÁNDOSE FUERA DE RANGO. SALUDOS</t>
  </si>
  <si>
    <t>2026-121109-19-6374</t>
  </si>
  <si>
    <t>08-04-2026</t>
  </si>
  <si>
    <t>2026-121109-19-6709</t>
  </si>
  <si>
    <t>13-04-2026</t>
  </si>
  <si>
    <t>VENTILADOR DRAGER CARINA. ALARMA DE FALLO SE SISTEMA, POR FAVOR REVISAR</t>
  </si>
  <si>
    <t>2026-121109-19-7762</t>
  </si>
  <si>
    <t>27-04-2026</t>
  </si>
  <si>
    <t>SE SOLICITA FAVOR REPARACION DE MONITOR CON FUGA DE AIRE EN MANGUITO DE PRESION. GRACIAS</t>
  </si>
  <si>
    <t>2026-121109-19-9046</t>
  </si>
  <si>
    <t>14-05-2026</t>
  </si>
  <si>
    <t>SE SOLICITA FAVOR REPARACION DE MONITOR QUE AL INSUFLAR MANGUITO SE DETIENE MEDICION Y MUESTRA FALLA SISTEMA NIBP. GRACIAS</t>
  </si>
  <si>
    <t>2026-121109-19-9887</t>
  </si>
  <si>
    <t>28-05-2026</t>
  </si>
  <si>
    <t>ESTIMADOS, SOLICITO CALIBRAR P/A</t>
  </si>
  <si>
    <t>2026-121109-19-10081</t>
  </si>
  <si>
    <t>01-06-2026</t>
  </si>
  <si>
    <t>SENSOR DE FUGA DE SANGRE. URGENTE REVISAR Y SOLUCIONAR. GRACIAS</t>
  </si>
  <si>
    <t>2026-121109-19-10464</t>
  </si>
  <si>
    <t>REVISAR EQUIPO, CON FALLA TECNICA</t>
  </si>
  <si>
    <t>2026-121109-19-10641</t>
  </si>
  <si>
    <t>09-06-2026</t>
  </si>
  <si>
    <t>ESTIMADOS, BUEN DIA, SE NECESITA POR FAVOR REVISAR EL VENTILADOR, NO CARCA VT. SALUDOS</t>
  </si>
  <si>
    <t>Ruta asociada</t>
  </si>
  <si>
    <t>Fecha cotización</t>
  </si>
  <si>
    <t>Proveedor cotizado</t>
  </si>
  <si>
    <t>N° cotización</t>
  </si>
  <si>
    <t>Monto cotizado</t>
  </si>
  <si>
    <t>N° Informe Técnico</t>
  </si>
  <si>
    <t>Fecha informe</t>
  </si>
  <si>
    <t>Responsable informe</t>
  </si>
  <si>
    <t>N° OC</t>
  </si>
  <si>
    <t>Fecha emisión OC</t>
  </si>
  <si>
    <t>Descripción OC</t>
  </si>
  <si>
    <t>Fecha envío a proveedor</t>
  </si>
  <si>
    <t>Visita técnica</t>
  </si>
  <si>
    <t>1488-466-TD26</t>
  </si>
  <si>
    <t>Visita técnica para 4
Máquinas de Diálisis
marca Fresenius,
modelo 4008B, series
OV5APR17, 3SXA4HC9,
5SXAEL56, 5SXAEL57
y la Reposición de la
Tapa de Cámara
Venosa de equipo serie
5SXAEL58, ST 19-2584,
19-1962, 19-997, 19-996
y 19-14102 del Servicio
UCI Adulto y
Hemodiálisis.
Cotizaciones N°0109 y
N°0066.</t>
  </si>
  <si>
    <t>1488-648-TD26</t>
  </si>
  <si>
    <t>Reparación de Máquina
de Diálisis, marca
Fresenius, modelo
5008S, serie
9VSAMM17, N° de
inventario 2-130654, ST
19-6215 del Servicio de
Hemodiálisis. Cotización
N°0148. Equipo
presenta falla hidráulica
y test de presión positiva
sin respaldo. *Favor
considerar al momento
de la visita que el
establecimiento no
cuenta con espacio de
estacionamiento.*</t>
  </si>
  <si>
    <t>Fecha reparación</t>
  </si>
  <si>
    <t>Descripción tarea</t>
  </si>
  <si>
    <t>Estado final equipo</t>
  </si>
  <si>
    <t>Fecha visita</t>
  </si>
  <si>
    <t>Proveedor / empresa</t>
  </si>
  <si>
    <t>Ingeniero externo</t>
  </si>
  <si>
    <t>N° Reporte Servicio</t>
  </si>
  <si>
    <t>Fecha reporte</t>
  </si>
  <si>
    <t>Archivado carpeta (Cristián)</t>
  </si>
  <si>
    <t>¿Reparó?</t>
  </si>
  <si>
    <t>Estado final</t>
  </si>
  <si>
    <t>Fecha cierre</t>
  </si>
  <si>
    <t>¿Reporte recibido?</t>
  </si>
  <si>
    <t>Responsable de conseguir reporte</t>
  </si>
  <si>
    <t>Responsable administrativo</t>
  </si>
  <si>
    <t>SR.140.861</t>
  </si>
  <si>
    <t>Se remplaza tapa camara venosa, repuesto comprado por cliente con orden de compra N° 1488-466-TD26. Test T1 OK</t>
  </si>
  <si>
    <t>Visita correctiva, equipo liberado y en condiciones para su uso</t>
  </si>
  <si>
    <t>Equipo vuelve a fallar y se detecta falla en los sensores de presion. Se deben cotizar.</t>
  </si>
  <si>
    <t>N° Hoja de Envío</t>
  </si>
  <si>
    <t>Responsable que envía</t>
  </si>
  <si>
    <t>Fecha envío</t>
  </si>
  <si>
    <t>Empresa destino</t>
  </si>
  <si>
    <t>Fecha retorno</t>
  </si>
  <si>
    <t>Folio guía despacho</t>
  </si>
  <si>
    <t>Estado al retorno</t>
  </si>
  <si>
    <t>Decisión si No Operativo</t>
  </si>
  <si>
    <t>Folio documento de baja</t>
  </si>
  <si>
    <t>Responsable interno</t>
  </si>
  <si>
    <t>Fecha baja</t>
  </si>
  <si>
    <t>Motivo</t>
  </si>
  <si>
    <t>Fecha reparación / cierre</t>
  </si>
  <si>
    <t>Se reemplaza modulo de bibag comprado por cliente correspondiente a la orden de compra COT0139, se
ajustan flujos (300-500-800), se ajustan presiones (A-B-C-D). Test T1 OK,
Desinfection realizada
Maquina liberada y en condiciones para su uso. Informe de servicio TAM CL26AC5PFBL</t>
  </si>
  <si>
    <t>2026-121109-19-10869</t>
  </si>
  <si>
    <t>MONITOR MULTIPARÁMETROS PRESENTA TRIZADURA EN LA CARCASA DE SU BATERÍA, SE SOLICITA REPARAR.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</si>
</sst>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m/d/yyyy"/>
  </numFmts>
  <fonts count="45" x14ac:knownFonts="1">
    <font>
      <sz val="11"/>
      <color theme="1"/>
      <name val="Calibri"/>
      <family val="2"/>
      <charset val="1"/>
    </font>
    <font>
      <b/>
      <sz val="14"/>
      <color rgb="FF1F3A5F"/>
      <name val="Arial"/>
      <charset val="1"/>
    </font>
    <font>
      <sz val="11"/>
      <color rgb="FF2E75B6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9"/>
      <color rgb="FF1F3A5F"/>
      <name val="Arial"/>
      <charset val="1"/>
    </font>
    <font>
      <b/>
      <sz val="18"/>
      <color rgb="FF1F3A5F"/>
      <name val="Arial"/>
      <charset val="1"/>
    </font>
    <font>
      <b/>
      <sz val="10"/>
      <color rgb="FFFFFFFF"/>
      <name val="Arial"/>
      <charset val="1"/>
    </font>
    <font>
      <i/>
      <sz val="9"/>
      <color rgb="FF888888"/>
      <name val="Arial"/>
      <charset val="1"/>
    </font>
    <font>
      <b/>
      <sz val="12"/>
      <color rgb="FF1F3A5F"/>
      <name val="Arial"/>
      <charset val="1"/>
    </font>
    <font>
      <b/>
      <sz val="13"/>
      <color rgb="FF1F3A5F"/>
      <name val="Arial"/>
      <charset val="1"/>
    </font>
    <font>
      <b/>
      <sz val="10"/>
      <color rgb="FF1F3A5F"/>
      <name val="Arial"/>
      <charset val="1"/>
    </font>
    <font>
      <sz val="10"/>
      <color rgb="FF1D6E56"/>
      <name val="Arial"/>
      <charset val="1"/>
    </font>
    <font>
      <sz val="11"/>
      <name val="Calibri"/>
    </font>
    <font>
      <b/>
      <sz val="10"/>
      <color rgb="FF1F3A5F"/>
      <name val="Arial"/>
    </font>
    <font>
      <sz val="10"/>
      <name val="Arial"/>
    </font>
    <font>
      <b/>
      <sz val="14"/>
      <color rgb="FF1F3A5F"/>
      <name val="Arial"/>
    </font>
    <font>
      <sz val="9"/>
      <color rgb="FF555555"/>
      <name val="Arial"/>
    </font>
    <font>
      <b/>
      <sz val="10"/>
      <color rgb="FFFFFFFF"/>
      <name val="Arial"/>
    </font>
    <font>
      <b/>
      <sz val="9"/>
      <color rgb="FF1F3A5F"/>
      <name val="Arial"/>
    </font>
    <font>
      <b/>
      <sz val="18"/>
      <color rgb="FF1F3A5F"/>
      <name val="Arial"/>
    </font>
    <font>
      <b/>
      <sz val="11"/>
      <color rgb="FF1F3A5F"/>
      <name val="Arial"/>
    </font>
    <font>
      <sz val="10"/>
      <color rgb="FF1A1A1A"/>
      <name val="Arial"/>
    </font>
    <font>
      <b/>
      <sz val="16"/>
      <color rgb="FF1F3A5F"/>
      <name val="Arial"/>
    </font>
    <font>
      <sz val="9"/>
      <color rgb="FF8A94A6"/>
      <name val="Arial"/>
    </font>
    <font>
      <b/>
      <sz val="9"/>
      <color rgb="FF8A94A6"/>
      <name val="Arial"/>
    </font>
    <font>
      <b/>
      <sz val="9"/>
      <color rgb="FFFFFFFF"/>
      <name val="Arial"/>
    </font>
    <font>
      <b/>
      <sz val="20"/>
      <color rgb="FF1F3A5F"/>
      <name val="Arial"/>
    </font>
    <font>
      <b/>
      <sz val="20"/>
      <color rgb="FFB42318"/>
      <name val="Arial"/>
    </font>
    <font>
      <b/>
      <sz val="20"/>
      <color rgb="FF3C5A8A"/>
      <name val="Arial"/>
    </font>
    <font>
      <b/>
      <sz val="20"/>
      <color rgb="FF8A94A6"/>
      <name val="Arial"/>
    </font>
    <font>
      <b/>
      <sz val="20"/>
      <color rgb="FFB45309"/>
      <name val="Arial"/>
    </font>
    <font>
      <b/>
      <sz val="11"/>
      <color rgb="FF1E8E5A"/>
      <name val="Arial"/>
    </font>
    <font>
      <b/>
      <sz val="20"/>
      <color rgb="FF1E8E5A"/>
      <name val="Arial"/>
    </font>
    <font>
      <b/>
      <sz val="11"/>
      <color rgb="FFB45309"/>
      <name val="Arial"/>
    </font>
    <font>
      <b/>
      <sz val="11"/>
      <color rgb="FFB42318"/>
      <name val="Arial"/>
    </font>
    <font>
      <b/>
      <sz val="10"/>
      <color rgb="FF8A94A6"/>
      <name val="Arial"/>
    </font>
    <font>
      <u/>
      <sz val="10"/>
      <color rgb="FF3C5A8A"/>
      <name val="Arial"/>
    </font>
    <font>
      <b/>
      <sz val="12"/>
      <color rgb="FFFFFFFF"/>
      <name val="Arial"/>
    </font>
    <font>
      <b/>
      <sz val="8"/>
      <color rgb="FF8A94A6"/>
      <name val="Arial"/>
    </font>
    <font>
      <sz val="11"/>
      <color rgb="FF1A1A1A"/>
      <name val="Arial"/>
    </font>
    <font>
      <b/>
      <sz val="11"/>
      <color rgb="FF3C5A8A"/>
      <name val="Arial"/>
    </font>
    <font>
      <b/>
      <sz val="10"/>
      <color rgb="FF1E8E5A"/>
      <name val="Arial"/>
    </font>
    <font>
      <b/>
      <sz val="8"/>
      <color rgb="FFFFFFFF"/>
      <name val="Arial"/>
    </font>
    <font>
      <sz val="9"/>
      <name val="Arial"/>
    </font>
  </fonts>
  <fills count="20">
    <fill>
      <patternFill patternType="none"/>
    </fill>
    <fill>
      <patternFill patternType="gray125"/>
    </fill>
    <fill>
      <patternFill patternType="solid">
        <fgColor rgb="FFFAC7C7"/>
        <bgColor rgb="FFFBD3E0"/>
      </patternFill>
    </fill>
    <fill>
      <patternFill patternType="solid">
        <fgColor rgb="FFFAD7A0"/>
        <bgColor rgb="FFFAC7C7"/>
      </patternFill>
    </fill>
    <fill>
      <patternFill patternType="solid">
        <fgColor rgb="FFD3D1C7"/>
        <bgColor rgb="FFCCCCCC"/>
      </patternFill>
    </fill>
    <fill>
      <patternFill patternType="solid">
        <fgColor rgb="FFC6F3DE"/>
        <bgColor rgb="FFCCFFFF"/>
      </patternFill>
    </fill>
    <fill>
      <patternFill patternType="solid">
        <fgColor rgb="FFFBD3E0"/>
        <bgColor rgb="FFFAC7C7"/>
      </patternFill>
    </fill>
    <fill>
      <patternFill patternType="solid">
        <fgColor rgb="FF1F3A5F"/>
        <bgColor rgb="FF333399"/>
      </patternFill>
    </fill>
    <fill>
      <patternFill patternType="solid">
        <fgColor rgb="FFE1F5EE"/>
        <bgColor rgb="FFCCFFFF"/>
      </patternFill>
    </fill>
    <fill>
      <patternFill patternType="solid">
        <fgColor rgb="FF2E75B6"/>
        <bgColor rgb="FF0066CC"/>
      </patternFill>
    </fill>
    <fill>
      <patternFill patternType="solid">
        <fgColor rgb="FFE1F5EE"/>
      </patternFill>
    </fill>
    <fill>
      <patternFill patternType="solid">
        <fgColor rgb="FF1F3A5F"/>
      </patternFill>
    </fill>
    <fill>
      <patternFill patternType="solid">
        <fgColor rgb="FFB45309"/>
      </patternFill>
    </fill>
    <fill>
      <patternFill patternType="solid">
        <fgColor rgb="FFEAF0F7"/>
      </patternFill>
    </fill>
    <fill>
      <patternFill patternType="solid">
        <fgColor rgb="FFB42318"/>
      </patternFill>
    </fill>
    <fill>
      <patternFill patternType="solid">
        <fgColor rgb="FF3C5A8A"/>
      </patternFill>
    </fill>
    <fill>
      <patternFill patternType="solid">
        <fgColor rgb="FF8A94A6"/>
      </patternFill>
    </fill>
    <fill>
      <patternFill patternType="solid">
        <fgColor rgb="FF1E8E5A"/>
      </patternFill>
    </fill>
    <fill>
      <patternFill patternType="solid">
        <fgColor rgb="FFE8F3EE"/>
      </patternFill>
    </fill>
    <fill>
      <patternFill patternType="solid">
        <fgColor rgb="FFFCF1E2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9DEE6"/>
      </left>
      <right style="thin">
        <color rgb="FFD9DEE6"/>
      </right>
      <top style="thin">
        <color rgb="FFD9DEE6"/>
      </top>
      <bottom style="thin">
        <color rgb="FFD9DEE6"/>
      </bottom>
      <diagonal/>
    </border>
    <border>
      <left style="thin">
        <color rgb="FFD9DEE6"/>
      </left>
      <right style="thin">
        <color rgb="FFD9DEE6"/>
      </right>
      <top style="thin">
        <color rgb="FFD9DEE6"/>
      </top>
      <bottom style="thin">
        <color rgb="FFD9DEE6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3" fillId="0" borderId="0" xfId="0" applyFont="1"/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64" fontId="4" fillId="0" borderId="1" xfId="0" applyNumberFormat="1" applyFont="1" applyBorder="1"/>
    <xf numFmtId="0" fontId="4" fillId="0" borderId="1" xfId="0" applyFont="1" applyBorder="1" applyAlignment="1">
      <alignment horizontal="center"/>
    </xf>
    <xf numFmtId="0" fontId="8" fillId="0" borderId="0" xfId="0" applyFont="1"/>
    <xf numFmtId="0" fontId="0" fillId="0" borderId="1" xfId="0" applyBorder="1"/>
    <xf numFmtId="0" fontId="11" fillId="8" borderId="1" xfId="0" applyFont="1" applyFill="1" applyBorder="1" applyAlignment="1">
      <alignment horizontal="center"/>
    </xf>
    <xf numFmtId="0" fontId="11" fillId="8" borderId="0" xfId="0" applyFont="1" applyFill="1"/>
    <xf numFmtId="0" fontId="4" fillId="0" borderId="0" xfId="0" applyFont="1"/>
    <xf numFmtId="49" fontId="4" fillId="0" borderId="0" xfId="0" applyNumberFormat="1" applyFont="1"/>
    <xf numFmtId="0" fontId="7" fillId="9" borderId="1" xfId="0" applyFont="1" applyFill="1" applyBorder="1" applyAlignment="1">
      <alignment horizontal="center" vertical="center" wrapText="1"/>
    </xf>
    <xf numFmtId="49" fontId="0" fillId="0" borderId="0" xfId="0" applyNumberFormat="1"/>
    <xf numFmtId="0" fontId="12" fillId="0" borderId="0" xfId="0" applyFont="1"/>
    <xf numFmtId="49" fontId="12" fillId="0" borderId="0" xfId="0" applyNumberFormat="1" applyFont="1"/>
    <xf numFmtId="165" fontId="0" fillId="0" borderId="0" xfId="0" applyNumberFormat="1"/>
    <xf numFmtId="0" fontId="13" fillId="0" borderId="1" xfId="0" applyFont="1" applyBorder="1"/>
    <xf numFmtId="49" fontId="13" fillId="0" borderId="0" xfId="0" applyNumberFormat="1" applyFont="1"/>
    <xf numFmtId="164" fontId="13" fillId="0" borderId="0" xfId="0" applyNumberFormat="1" applyFont="1"/>
    <xf numFmtId="0" fontId="13" fillId="0" borderId="0" xfId="0" applyFont="1"/>
    <xf numFmtId="0" fontId="14" fillId="10" borderId="0" xfId="0" applyFont="1" applyFill="1" applyAlignment="1">
      <alignment horizontal="left" vertical="center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11" borderId="2" xfId="0" applyFont="1" applyFill="1" applyBorder="1" applyAlignment="1">
      <alignment horizontal="center" vertical="center"/>
    </xf>
    <xf numFmtId="49" fontId="15" fillId="0" borderId="0" xfId="0" applyNumberFormat="1" applyFont="1"/>
    <xf numFmtId="0" fontId="15" fillId="0" borderId="0" xfId="0" applyFont="1" applyAlignment="1">
      <alignment horizontal="center" vertical="center"/>
    </xf>
    <xf numFmtId="9" fontId="15" fillId="0" borderId="0" xfId="0" applyNumberFormat="1" applyFont="1"/>
    <xf numFmtId="0" fontId="21" fillId="0" borderId="0" xfId="0" applyFont="1"/>
    <xf numFmtId="0" fontId="19" fillId="10" borderId="2" xfId="0" applyFont="1" applyFill="1" applyBorder="1" applyAlignment="1">
      <alignment horizontal="center" vertical="center"/>
    </xf>
    <xf numFmtId="0" fontId="20" fillId="10" borderId="2" xfId="0" applyFont="1" applyFill="1" applyBorder="1" applyAlignment="1">
      <alignment horizontal="center" vertical="center"/>
    </xf>
    <xf numFmtId="9" fontId="20" fillId="10" borderId="2" xfId="0" applyNumberFormat="1" applyFont="1" applyFill="1" applyBorder="1" applyAlignment="1">
      <alignment horizontal="center" vertical="center"/>
    </xf>
    <xf numFmtId="0" fontId="14" fillId="0" borderId="0" xfId="0" applyFont="1"/>
    <xf numFmtId="0" fontId="18" fillId="12" borderId="3" xfId="0" applyFont="1" applyFill="1" applyBorder="1" applyAlignment="1">
      <alignment horizontal="center" vertical="center" wrapText="1"/>
    </xf>
    <xf numFmtId="0" fontId="22" fillId="0" borderId="0" xfId="0" applyFont="1"/>
    <xf numFmtId="49" fontId="22" fillId="0" borderId="0" xfId="0" applyNumberFormat="1" applyFont="1"/>
    <xf numFmtId="164" fontId="22" fillId="0" borderId="0" xfId="0" applyNumberFormat="1" applyFont="1"/>
    <xf numFmtId="0" fontId="18" fillId="11" borderId="3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23" fillId="0" borderId="0" xfId="0" applyFont="1"/>
    <xf numFmtId="0" fontId="24" fillId="0" borderId="0" xfId="0" applyFont="1"/>
    <xf numFmtId="0" fontId="25" fillId="0" borderId="0" xfId="0" applyFont="1"/>
    <xf numFmtId="164" fontId="24" fillId="0" borderId="0" xfId="0" applyNumberFormat="1" applyFont="1" applyAlignment="1">
      <alignment horizontal="left" vertical="center"/>
    </xf>
    <xf numFmtId="0" fontId="26" fillId="11" borderId="3" xfId="0" applyFont="1" applyFill="1" applyBorder="1" applyAlignment="1">
      <alignment horizontal="center" vertical="center" wrapText="1"/>
    </xf>
    <xf numFmtId="0" fontId="26" fillId="14" borderId="3" xfId="0" applyFont="1" applyFill="1" applyBorder="1" applyAlignment="1">
      <alignment horizontal="center" vertical="center" wrapText="1"/>
    </xf>
    <xf numFmtId="0" fontId="26" fillId="15" borderId="3" xfId="0" applyFont="1" applyFill="1" applyBorder="1" applyAlignment="1">
      <alignment horizontal="center" vertical="center" wrapText="1"/>
    </xf>
    <xf numFmtId="0" fontId="26" fillId="16" borderId="3" xfId="0" applyFont="1" applyFill="1" applyBorder="1" applyAlignment="1">
      <alignment horizontal="center" vertical="center" wrapText="1"/>
    </xf>
    <xf numFmtId="0" fontId="26" fillId="12" borderId="3" xfId="0" applyFont="1" applyFill="1" applyBorder="1" applyAlignment="1">
      <alignment horizontal="center" vertical="center" wrapText="1"/>
    </xf>
    <xf numFmtId="0" fontId="27" fillId="13" borderId="3" xfId="0" applyFont="1" applyFill="1" applyBorder="1" applyAlignment="1">
      <alignment horizontal="center" vertical="center"/>
    </xf>
    <xf numFmtId="0" fontId="28" fillId="13" borderId="3" xfId="0" applyFont="1" applyFill="1" applyBorder="1" applyAlignment="1">
      <alignment horizontal="center" vertical="center"/>
    </xf>
    <xf numFmtId="0" fontId="29" fillId="13" borderId="3" xfId="0" applyFont="1" applyFill="1" applyBorder="1" applyAlignment="1">
      <alignment horizontal="center" vertical="center"/>
    </xf>
    <xf numFmtId="0" fontId="30" fillId="13" borderId="3" xfId="0" applyFont="1" applyFill="1" applyBorder="1" applyAlignment="1">
      <alignment horizontal="center" vertical="center"/>
    </xf>
    <xf numFmtId="0" fontId="31" fillId="13" borderId="3" xfId="0" applyFont="1" applyFill="1" applyBorder="1" applyAlignment="1">
      <alignment horizontal="center" vertical="center"/>
    </xf>
    <xf numFmtId="0" fontId="32" fillId="0" borderId="0" xfId="0" applyFont="1"/>
    <xf numFmtId="0" fontId="26" fillId="17" borderId="3" xfId="0" applyFont="1" applyFill="1" applyBorder="1" applyAlignment="1">
      <alignment horizontal="center" vertical="center" wrapText="1"/>
    </xf>
    <xf numFmtId="0" fontId="33" fillId="18" borderId="3" xfId="0" applyFont="1" applyFill="1" applyBorder="1" applyAlignment="1">
      <alignment horizontal="center" vertical="center"/>
    </xf>
    <xf numFmtId="9" fontId="33" fillId="18" borderId="3" xfId="0" applyNumberFormat="1" applyFont="1" applyFill="1" applyBorder="1" applyAlignment="1">
      <alignment horizontal="center" vertical="center"/>
    </xf>
    <xf numFmtId="0" fontId="31" fillId="18" borderId="3" xfId="0" applyFont="1" applyFill="1" applyBorder="1" applyAlignment="1">
      <alignment horizontal="center" vertical="center"/>
    </xf>
    <xf numFmtId="0" fontId="28" fillId="18" borderId="3" xfId="0" applyFont="1" applyFill="1" applyBorder="1" applyAlignment="1">
      <alignment horizontal="center" vertical="center"/>
    </xf>
    <xf numFmtId="0" fontId="34" fillId="0" borderId="0" xfId="0" applyFont="1"/>
    <xf numFmtId="0" fontId="31" fillId="19" borderId="3" xfId="0" applyFont="1" applyFill="1" applyBorder="1" applyAlignment="1">
      <alignment horizontal="center" vertical="center"/>
    </xf>
    <xf numFmtId="0" fontId="28" fillId="19" borderId="3" xfId="0" applyFont="1" applyFill="1" applyBorder="1" applyAlignment="1">
      <alignment horizontal="center" vertical="center"/>
    </xf>
    <xf numFmtId="0" fontId="33" fillId="19" borderId="3" xfId="0" applyFont="1" applyFill="1" applyBorder="1" applyAlignment="1">
      <alignment horizontal="center" vertical="center"/>
    </xf>
    <xf numFmtId="0" fontId="35" fillId="0" borderId="0" xfId="0" applyFont="1"/>
    <xf numFmtId="49" fontId="15" fillId="0" borderId="3" xfId="0" applyNumberFormat="1" applyFont="1" applyBorder="1" applyAlignment="1">
      <alignment horizontal="left" vertical="center"/>
    </xf>
    <xf numFmtId="0" fontId="15" fillId="0" borderId="3" xfId="0" applyFont="1" applyBorder="1"/>
    <xf numFmtId="0" fontId="15" fillId="0" borderId="3" xfId="0" applyFont="1" applyBorder="1" applyAlignment="1">
      <alignment horizontal="center" vertical="center"/>
    </xf>
    <xf numFmtId="0" fontId="36" fillId="0" borderId="0" xfId="0" applyFont="1"/>
    <xf numFmtId="0" fontId="37" fillId="0" borderId="0" xfId="0" applyFont="1"/>
    <xf numFmtId="49" fontId="38" fillId="11" borderId="3" xfId="0" applyNumberFormat="1" applyFont="1" applyFill="1" applyBorder="1" applyAlignment="1">
      <alignment horizontal="center" vertical="center"/>
    </xf>
    <xf numFmtId="0" fontId="39" fillId="0" borderId="0" xfId="0" applyFont="1" applyAlignment="1">
      <alignment horizontal="left" vertical="center"/>
    </xf>
    <xf numFmtId="0" fontId="40" fillId="0" borderId="0" xfId="0" applyFont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39" fillId="0" borderId="3" xfId="0" applyFont="1" applyBorder="1" applyAlignment="1">
      <alignment horizontal="center" vertical="center"/>
    </xf>
    <xf numFmtId="0" fontId="42" fillId="0" borderId="3" xfId="0" applyFont="1" applyBorder="1" applyAlignment="1">
      <alignment horizontal="center" vertical="center"/>
    </xf>
    <xf numFmtId="0" fontId="41" fillId="0" borderId="0" xfId="0" applyFont="1"/>
    <xf numFmtId="0" fontId="43" fillId="15" borderId="3" xfId="0" applyFont="1" applyFill="1" applyBorder="1" applyAlignment="1">
      <alignment horizontal="center" vertical="center" wrapText="1"/>
    </xf>
    <xf numFmtId="0" fontId="44" fillId="0" borderId="3" xfId="0" applyFont="1" applyBorder="1" applyAlignment="1">
      <alignment horizontal="left" vertical="center"/>
    </xf>
    <xf numFmtId="164" fontId="44" fillId="0" borderId="3" xfId="0" applyNumberFormat="1" applyFont="1" applyBorder="1" applyAlignment="1">
      <alignment horizontal="left" vertical="center"/>
    </xf>
    <xf numFmtId="0" fontId="43" fillId="17" borderId="3" xfId="0" applyFont="1" applyFill="1" applyBorder="1" applyAlignment="1">
      <alignment horizontal="center" vertical="center" wrapText="1"/>
    </xf>
    <xf numFmtId="0" fontId="43" fillId="12" borderId="3" xfId="0" applyFont="1" applyFill="1" applyBorder="1" applyAlignment="1">
      <alignment horizontal="center" vertical="center" wrapText="1"/>
    </xf>
    <xf numFmtId="14" fontId="0" fillId="0" borderId="0" xfId="0" applyNumberFormat="1"/>
    <xf numFmtId="0" fontId="9" fillId="0" borderId="0" xfId="0" applyFont="1"/>
    <xf numFmtId="0" fontId="0" fillId="0" borderId="0" xfId="0"/>
    <xf numFmtId="0" fontId="8" fillId="0" borderId="0" xfId="0" applyFont="1"/>
    <xf numFmtId="0" fontId="8" fillId="0" borderId="0" xfId="0" applyFont="1" applyAlignment="1">
      <alignment vertical="top" wrapText="1"/>
    </xf>
    <xf numFmtId="0" fontId="2" fillId="0" borderId="0" xfId="0" applyFont="1"/>
    <xf numFmtId="0" fontId="1" fillId="0" borderId="0" xfId="0" applyFont="1"/>
    <xf numFmtId="0" fontId="10" fillId="0" borderId="0" xfId="0" applyFont="1"/>
  </cellXfs>
  <cellStyles count="1">
    <cellStyle name="Normal" xfId="0" builtinId="0"/>
  </cellStyles>
  <dxfs count="5">
    <dxf>
      <font>
        <b/>
        <color rgb="FFA32D2D"/>
      </font>
      <fill>
        <patternFill>
          <bgColor rgb="FFFAC7C7"/>
        </patternFill>
      </fill>
    </dxf>
    <dxf>
      <font>
        <b/>
        <color rgb="FF444441"/>
      </font>
      <fill>
        <patternFill>
          <bgColor rgb="FFD3D1C7"/>
        </patternFill>
      </fill>
    </dxf>
    <dxf>
      <font>
        <b/>
        <color rgb="FF0F6E56"/>
      </font>
      <fill>
        <patternFill>
          <bgColor rgb="FFC6F3DE"/>
        </patternFill>
      </fill>
    </dxf>
    <dxf>
      <font>
        <b/>
        <color rgb="FF854F0B"/>
      </font>
      <fill>
        <patternFill>
          <bgColor rgb="FFFAD7A0"/>
        </patternFill>
      </fill>
    </dxf>
    <dxf>
      <font>
        <b/>
        <color rgb="FFA32D2D"/>
      </font>
      <fill>
        <patternFill>
          <bgColor rgb="FFFAC7C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54F0B"/>
      <rgbColor rgb="FF800080"/>
      <rgbColor rgb="FF0F6E56"/>
      <rgbColor rgb="FFCCCCCC"/>
      <rgbColor rgb="FF888888"/>
      <rgbColor rgb="FF9999FF"/>
      <rgbColor rgb="FF993366"/>
      <rgbColor rgb="FFFBD3E0"/>
      <rgbColor rgb="FFE1F5EE"/>
      <rgbColor rgb="FF660066"/>
      <rgbColor rgb="FFFF8080"/>
      <rgbColor rgb="FF0066CC"/>
      <rgbColor rgb="FFD3D1C7"/>
      <rgbColor rgb="FF000080"/>
      <rgbColor rgb="FFFF00FF"/>
      <rgbColor rgb="FFFFFF00"/>
      <rgbColor rgb="FF00FFFF"/>
      <rgbColor rgb="FF800080"/>
      <rgbColor rgb="FF800000"/>
      <rgbColor rgb="FF1D6E56"/>
      <rgbColor rgb="FF0000FF"/>
      <rgbColor rgb="FF00CCFF"/>
      <rgbColor rgb="FFCCFFFF"/>
      <rgbColor rgb="FFC6F3DE"/>
      <rgbColor rgb="FFFFFF99"/>
      <rgbColor rgb="FF99CCFF"/>
      <rgbColor rgb="FFFAC7C7"/>
      <rgbColor rgb="FFCC99FF"/>
      <rgbColor rgb="FFFAD7A0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A32D2D"/>
      <rgbColor rgb="FF993366"/>
      <rgbColor rgb="FF333399"/>
      <rgbColor rgb="FF44444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A5F"/>
  </sheetPr>
  <dimension ref="B1:F30"/>
  <sheetViews>
    <sheetView showGridLines="0" workbookViewId="0">
      <pane ySplit="3" topLeftCell="A4" activePane="bottomLeft" state="frozen"/>
      <selection pane="bottomLeft" activeCell="B30" sqref="B30"/>
    </sheetView>
  </sheetViews>
  <sheetFormatPr baseColWidth="10" defaultColWidth="9.140625" defaultRowHeight="15" x14ac:dyDescent="0.25"/>
  <cols>
    <col min="1" max="1" width="2" customWidth="1"/>
    <col min="2" max="7" width="22" customWidth="1"/>
    <col min="8" max="8" width="2" customWidth="1"/>
  </cols>
  <sheetData>
    <row r="1" spans="2:6" ht="20.25" x14ac:dyDescent="0.3">
      <c r="B1" s="51" t="s">
        <v>45</v>
      </c>
    </row>
    <row r="2" spans="2:6" x14ac:dyDescent="0.25">
      <c r="B2" s="52" t="s">
        <v>46</v>
      </c>
    </row>
    <row r="3" spans="2:6" x14ac:dyDescent="0.25">
      <c r="B3" s="53" t="s">
        <v>47</v>
      </c>
      <c r="C3" s="54">
        <f ca="1">TODAY()</f>
        <v>46191</v>
      </c>
    </row>
    <row r="5" spans="2:6" x14ac:dyDescent="0.25">
      <c r="B5" s="40" t="s">
        <v>48</v>
      </c>
    </row>
    <row r="6" spans="2:6" x14ac:dyDescent="0.25">
      <c r="B6" s="55" t="s">
        <v>49</v>
      </c>
      <c r="C6" s="56" t="s">
        <v>50</v>
      </c>
      <c r="D6" s="57" t="s">
        <v>51</v>
      </c>
      <c r="E6" s="58" t="s">
        <v>52</v>
      </c>
      <c r="F6" s="59" t="s">
        <v>53</v>
      </c>
    </row>
    <row r="7" spans="2:6" ht="26.25" x14ac:dyDescent="0.25">
      <c r="B7" s="60">
        <f>COUNTIF('1. Órdenes de Trabajo'!$J$2:$J$301,"Abierto")</f>
        <v>11</v>
      </c>
      <c r="C7" s="61">
        <f>COUNTIFS('1. Órdenes de Trabajo'!$J$2:$J$301,"Abierto",'1. Órdenes de Trabajo'!$H$2:$H$301,"No Operativo")</f>
        <v>11</v>
      </c>
      <c r="D7" s="62">
        <f>SUMPRODUCT(('5. Servicio Técnico (Envíos)'!$A$2:$A$301&lt;&gt;"")*('5. Servicio Técnico (Envíos)'!$K$2:$K$301&lt;&gt;"Operativo"))</f>
        <v>8</v>
      </c>
      <c r="E7" s="63">
        <f>COUNTIF('6. Bajas'!$A$2:$A$301,"?*")</f>
        <v>0</v>
      </c>
      <c r="F7" s="64">
        <f>COUNTIF('4. Visitas Técnicas'!$L$2:$L$301,"No")+COUNTIF('5. Servicio Técnico (Envíos)'!$M$2:$M$301,"No")</f>
        <v>2</v>
      </c>
    </row>
    <row r="9" spans="2:6" x14ac:dyDescent="0.25">
      <c r="B9" s="65" t="s">
        <v>54</v>
      </c>
    </row>
    <row r="10" spans="2:6" x14ac:dyDescent="0.25">
      <c r="B10" s="66" t="s">
        <v>55</v>
      </c>
      <c r="C10" s="66" t="s">
        <v>56</v>
      </c>
      <c r="D10" s="66" t="s">
        <v>57</v>
      </c>
      <c r="E10" s="59" t="s">
        <v>58</v>
      </c>
      <c r="F10" s="56" t="s">
        <v>59</v>
      </c>
    </row>
    <row r="11" spans="2:6" ht="26.25" x14ac:dyDescent="0.25">
      <c r="B11" s="67">
        <f>SUM('MP Carta 2026'!$U$4:$U$969)</f>
        <v>1234</v>
      </c>
      <c r="C11" s="67">
        <f>SUM('MP Carta 2026'!$V$4:$V$969)</f>
        <v>888</v>
      </c>
      <c r="D11" s="68">
        <f>IFERROR(SUM('MP Carta 2026'!$V$4:$V$969)/SUM('MP Carta 2026'!$U$4:$U$969),"")</f>
        <v>0.7196110210696921</v>
      </c>
      <c r="E11" s="69">
        <f>SUMPRODUCT(--('MP Carta 2026'!$I$4:$T$969="R"))</f>
        <v>299</v>
      </c>
      <c r="F11" s="70">
        <f>SUM('MP Carta 2026'!$X$4:$X$969)</f>
        <v>47</v>
      </c>
    </row>
    <row r="13" spans="2:6" x14ac:dyDescent="0.25">
      <c r="B13" s="71" t="s">
        <v>60</v>
      </c>
    </row>
    <row r="14" spans="2:6" x14ac:dyDescent="0.25">
      <c r="B14" s="59" t="s">
        <v>61</v>
      </c>
      <c r="C14" s="56" t="s">
        <v>62</v>
      </c>
      <c r="D14" s="66" t="s">
        <v>63</v>
      </c>
    </row>
    <row r="15" spans="2:6" ht="26.25" x14ac:dyDescent="0.25">
      <c r="B15" s="72">
        <f>COUNTIF(Pendientes!$H$2:$H$200,"Por hacer")</f>
        <v>54</v>
      </c>
      <c r="C15" s="73">
        <f>COUNTIFS(Pendientes!$H$2:$H$200,"Por hacer",Pendientes!$G$2:$G$200,"Vencido")</f>
        <v>24</v>
      </c>
      <c r="D15" s="74">
        <f>COUNTIF(Pendientes!$H$2:$H$200,"Completado")</f>
        <v>5</v>
      </c>
    </row>
    <row r="17" spans="2:6" x14ac:dyDescent="0.25">
      <c r="B17" s="75" t="s">
        <v>64</v>
      </c>
    </row>
    <row r="18" spans="2:6" x14ac:dyDescent="0.25">
      <c r="B18" s="56" t="s">
        <v>65</v>
      </c>
      <c r="C18" s="56" t="s">
        <v>5</v>
      </c>
      <c r="D18" s="56" t="s">
        <v>6</v>
      </c>
      <c r="E18" s="56" t="s">
        <v>66</v>
      </c>
      <c r="F18" s="56" t="s">
        <v>67</v>
      </c>
    </row>
    <row r="19" spans="2:6" x14ac:dyDescent="0.25">
      <c r="B19" s="76" t="s">
        <v>3</v>
      </c>
      <c r="C19" s="77" t="str">
        <f>IFERROR(VLOOKUP($B19,Equipos!$C$2:$D$967,2,FALSE()),"")</f>
        <v xml:space="preserve">Ventilador Mecánico </v>
      </c>
      <c r="D19" s="77" t="str">
        <f>IFERROR(VLOOKUP($B19,Equipos!$C$2:$F$967,3,FALSE()),"")</f>
        <v>UPC Adulto</v>
      </c>
      <c r="E19" s="78" t="str">
        <f>IF(COUNTIFS('1. Órdenes de Trabajo'!$F$2:$F$301,$B19,'1. Órdenes de Trabajo'!$J$2:$J$301,"Abierto")&gt;0,"Sí","No")</f>
        <v>Sí</v>
      </c>
      <c r="F19" s="78">
        <f>COUNTIFS(Pendientes!$C$2:$C$200,$B19,Pendientes!$H$2:$H$200,"Por hacer")</f>
        <v>4</v>
      </c>
    </row>
    <row r="20" spans="2:6" x14ac:dyDescent="0.25">
      <c r="B20" s="76" t="s">
        <v>68</v>
      </c>
      <c r="C20" s="77" t="str">
        <f>IFERROR(VLOOKUP($B20,Equipos!$C$2:$D$967,2,FALSE()),"")</f>
        <v xml:space="preserve">Ventilador Mecánico </v>
      </c>
      <c r="D20" s="77" t="str">
        <f>IFERROR(VLOOKUP($B20,Equipos!$C$2:$F$967,3,FALSE()),"")</f>
        <v>UPC Adulto</v>
      </c>
      <c r="E20" s="78" t="str">
        <f>IF(COUNTIFS('1. Órdenes de Trabajo'!$F$2:$F$301,$B20,'1. Órdenes de Trabajo'!$J$2:$J$301,"Abierto")&gt;0,"Sí","No")</f>
        <v>No</v>
      </c>
      <c r="F20" s="78">
        <f>COUNTIFS(Pendientes!$C$2:$C$200,$B20,Pendientes!$H$2:$H$200,"Por hacer")</f>
        <v>3</v>
      </c>
    </row>
    <row r="21" spans="2:6" x14ac:dyDescent="0.25">
      <c r="B21" s="76" t="s">
        <v>69</v>
      </c>
      <c r="C21" s="77" t="str">
        <f>IFERROR(VLOOKUP($B21,Equipos!$C$2:$D$967,2,FALSE()),"")</f>
        <v xml:space="preserve">Ventilador Mecánico </v>
      </c>
      <c r="D21" s="77" t="str">
        <f>IFERROR(VLOOKUP($B21,Equipos!$C$2:$F$967,3,FALSE()),"")</f>
        <v>UPC 3er Piso</v>
      </c>
      <c r="E21" s="78" t="str">
        <f>IF(COUNTIFS('1. Órdenes de Trabajo'!$F$2:$F$301,$B21,'1. Órdenes de Trabajo'!$J$2:$J$301,"Abierto")&gt;0,"Sí","No")</f>
        <v>Sí</v>
      </c>
      <c r="F21" s="78">
        <f>COUNTIFS(Pendientes!$C$2:$C$200,$B21,Pendientes!$H$2:$H$200,"Por hacer")</f>
        <v>1</v>
      </c>
    </row>
    <row r="22" spans="2:6" x14ac:dyDescent="0.25">
      <c r="B22" s="76" t="s">
        <v>70</v>
      </c>
      <c r="C22" s="77" t="str">
        <f>IFERROR(VLOOKUP($B22,Equipos!$C$2:$D$967,2,FALSE()),"")</f>
        <v xml:space="preserve">Ventilador Mecánico </v>
      </c>
      <c r="D22" s="77" t="str">
        <f>IFERROR(VLOOKUP($B22,Equipos!$C$2:$F$967,3,FALSE()),"")</f>
        <v>UPC 3er Piso</v>
      </c>
      <c r="E22" s="78" t="str">
        <f>IF(COUNTIFS('1. Órdenes de Trabajo'!$F$2:$F$301,$B22,'1. Órdenes de Trabajo'!$J$2:$J$301,"Abierto")&gt;0,"Sí","No")</f>
        <v>Sí</v>
      </c>
      <c r="F22" s="78">
        <f>COUNTIFS(Pendientes!$C$2:$C$200,$B22,Pendientes!$H$2:$H$200,"Por hacer")</f>
        <v>1</v>
      </c>
    </row>
    <row r="23" spans="2:6" x14ac:dyDescent="0.25">
      <c r="B23" s="76" t="s">
        <v>71</v>
      </c>
      <c r="C23" s="77" t="str">
        <f>IFERROR(VLOOKUP($B23,Equipos!$C$2:$D$967,2,FALSE()),"")</f>
        <v xml:space="preserve">Ventilador Mecánico </v>
      </c>
      <c r="D23" s="77" t="str">
        <f>IFERROR(VLOOKUP($B23,Equipos!$C$2:$F$967,3,FALSE()),"")</f>
        <v>UPC 3er Piso</v>
      </c>
      <c r="E23" s="78" t="str">
        <f>IF(COUNTIFS('1. Órdenes de Trabajo'!$F$2:$F$301,$B23,'1. Órdenes de Trabajo'!$J$2:$J$301,"Abierto")&gt;0,"Sí","No")</f>
        <v>Sí</v>
      </c>
      <c r="F23" s="78">
        <f>COUNTIFS(Pendientes!$C$2:$C$200,$B23,Pendientes!$H$2:$H$200,"Por hacer")</f>
        <v>2</v>
      </c>
    </row>
    <row r="26" spans="2:6" x14ac:dyDescent="0.25">
      <c r="B26" s="79" t="s">
        <v>72</v>
      </c>
    </row>
    <row r="27" spans="2:6" x14ac:dyDescent="0.25">
      <c r="B27" s="80" t="str">
        <f>HYPERLINK("#Pendientes!A1","▸ Pendientes (qué hacer hoy)")</f>
        <v>▸ Pendientes (qué hacer hoy)</v>
      </c>
    </row>
    <row r="28" spans="2:6" x14ac:dyDescent="0.25">
      <c r="B28" s="80" t="str">
        <f>HYPERLINK("#'Ficha de Equipo'!A1","▸ Ficha de Equipo (estado 360)")</f>
        <v>▸ Ficha de Equipo (estado 360)</v>
      </c>
    </row>
    <row r="29" spans="2:6" x14ac:dyDescent="0.25">
      <c r="B29" s="80" t="str">
        <f>HYPERLINK("#Tablero!A1","▸ Tablero correctivo")</f>
        <v>▸ Tablero correctivo</v>
      </c>
    </row>
    <row r="30" spans="2:6" x14ac:dyDescent="0.25">
      <c r="B30" s="80" t="str">
        <f>HYPERLINK("#'MP Carta 2026'!A1","▸ MP Carta 2026")</f>
        <v>▸ MP Carta 2026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rgb="FFB45309"/>
  </sheetPr>
  <dimension ref="A1:P60"/>
  <sheetViews>
    <sheetView workbookViewId="0">
      <pane ySplit="1" topLeftCell="A16" activePane="bottomLeft" state="frozen"/>
      <selection pane="bottomLeft" activeCell="B9" sqref="B9"/>
    </sheetView>
  </sheetViews>
  <sheetFormatPr baseColWidth="10" defaultColWidth="9.140625" defaultRowHeight="15" x14ac:dyDescent="0.25"/>
  <cols>
    <col min="1" max="1" width="22" customWidth="1"/>
    <col min="2" max="3" width="14" customWidth="1"/>
    <col min="4" max="4" width="24" customWidth="1"/>
    <col min="5" max="5" width="15" customWidth="1"/>
    <col min="6" max="6" width="11" customWidth="1"/>
    <col min="7" max="8" width="12" customWidth="1"/>
    <col min="9" max="9" width="9" customWidth="1"/>
    <col min="10" max="11" width="22" customWidth="1"/>
    <col min="12" max="12" width="16" customWidth="1"/>
    <col min="13" max="14" width="40" customWidth="1"/>
    <col min="15" max="15" width="15" customWidth="1"/>
    <col min="16" max="16" width="12" customWidth="1"/>
  </cols>
  <sheetData>
    <row r="1" spans="1:16" ht="25.5" x14ac:dyDescent="0.25">
      <c r="A1" s="45" t="s">
        <v>5</v>
      </c>
      <c r="B1" s="45" t="s">
        <v>10</v>
      </c>
      <c r="C1" s="45" t="s">
        <v>65</v>
      </c>
      <c r="D1" s="45" t="s">
        <v>73</v>
      </c>
      <c r="E1" s="45" t="s">
        <v>74</v>
      </c>
      <c r="F1" s="45" t="s">
        <v>75</v>
      </c>
      <c r="G1" s="45" t="s">
        <v>76</v>
      </c>
      <c r="H1" s="45" t="s">
        <v>33</v>
      </c>
      <c r="I1" s="45" t="s">
        <v>77</v>
      </c>
      <c r="J1" s="45" t="s">
        <v>78</v>
      </c>
      <c r="K1" s="45" t="s">
        <v>79</v>
      </c>
      <c r="L1" s="45" t="s">
        <v>80</v>
      </c>
      <c r="M1" s="45" t="s">
        <v>44</v>
      </c>
      <c r="N1" s="45" t="s">
        <v>81</v>
      </c>
      <c r="O1" s="45" t="s">
        <v>82</v>
      </c>
      <c r="P1" s="45" t="s">
        <v>83</v>
      </c>
    </row>
    <row r="2" spans="1:16" hidden="1" x14ac:dyDescent="0.25">
      <c r="A2" s="46" t="s">
        <v>84</v>
      </c>
      <c r="B2" s="46" t="s">
        <v>85</v>
      </c>
      <c r="C2" s="47" t="s">
        <v>86</v>
      </c>
      <c r="D2" s="46" t="s">
        <v>87</v>
      </c>
      <c r="E2" s="48" t="s">
        <v>88</v>
      </c>
      <c r="F2" s="46">
        <v>2</v>
      </c>
      <c r="G2" s="46" t="s">
        <v>89</v>
      </c>
      <c r="H2" s="46" t="s">
        <v>61</v>
      </c>
      <c r="I2" s="46" t="s">
        <v>90</v>
      </c>
      <c r="J2" s="46" t="s">
        <v>91</v>
      </c>
      <c r="K2" s="46" t="s">
        <v>91</v>
      </c>
      <c r="L2" s="46"/>
      <c r="M2" s="46" t="s">
        <v>92</v>
      </c>
      <c r="N2" s="46" t="s">
        <v>93</v>
      </c>
      <c r="O2" s="48" t="s">
        <v>94</v>
      </c>
      <c r="P2" s="48" t="s">
        <v>95</v>
      </c>
    </row>
    <row r="3" spans="1:16" hidden="1" x14ac:dyDescent="0.25">
      <c r="A3" s="46" t="s">
        <v>84</v>
      </c>
      <c r="B3" s="46" t="s">
        <v>96</v>
      </c>
      <c r="C3" s="47" t="s">
        <v>97</v>
      </c>
      <c r="D3" s="46" t="s">
        <v>98</v>
      </c>
      <c r="E3" s="48" t="s">
        <v>95</v>
      </c>
      <c r="F3" s="46"/>
      <c r="G3" s="46" t="s">
        <v>99</v>
      </c>
      <c r="H3" s="46" t="s">
        <v>99</v>
      </c>
      <c r="I3" s="46" t="s">
        <v>90</v>
      </c>
      <c r="J3" s="46" t="s">
        <v>91</v>
      </c>
      <c r="K3" s="46" t="s">
        <v>91</v>
      </c>
      <c r="L3" s="46"/>
      <c r="M3" s="46" t="s">
        <v>100</v>
      </c>
      <c r="N3" s="46"/>
      <c r="O3" s="48" t="s">
        <v>88</v>
      </c>
      <c r="P3" s="48" t="s">
        <v>95</v>
      </c>
    </row>
    <row r="4" spans="1:16" hidden="1" x14ac:dyDescent="0.25">
      <c r="A4" s="46" t="s">
        <v>84</v>
      </c>
      <c r="B4" s="46" t="s">
        <v>101</v>
      </c>
      <c r="C4" s="47" t="s">
        <v>102</v>
      </c>
      <c r="D4" s="46" t="s">
        <v>103</v>
      </c>
      <c r="E4" s="48" t="s">
        <v>95</v>
      </c>
      <c r="F4" s="46">
        <v>5</v>
      </c>
      <c r="G4" s="46" t="s">
        <v>89</v>
      </c>
      <c r="H4" s="46" t="s">
        <v>61</v>
      </c>
      <c r="I4" s="46" t="s">
        <v>90</v>
      </c>
      <c r="J4" s="46" t="s">
        <v>91</v>
      </c>
      <c r="K4" s="46" t="s">
        <v>91</v>
      </c>
      <c r="L4" s="46"/>
      <c r="M4" s="46" t="s">
        <v>104</v>
      </c>
      <c r="N4" s="46" t="s">
        <v>105</v>
      </c>
      <c r="O4" s="48" t="s">
        <v>94</v>
      </c>
      <c r="P4" s="48" t="s">
        <v>95</v>
      </c>
    </row>
    <row r="5" spans="1:16" hidden="1" x14ac:dyDescent="0.25">
      <c r="A5" s="46" t="s">
        <v>84</v>
      </c>
      <c r="B5" s="46" t="s">
        <v>106</v>
      </c>
      <c r="C5" s="47" t="s">
        <v>107</v>
      </c>
      <c r="D5" s="46" t="s">
        <v>103</v>
      </c>
      <c r="E5" s="48" t="s">
        <v>95</v>
      </c>
      <c r="F5" s="46">
        <v>5</v>
      </c>
      <c r="G5" s="46" t="s">
        <v>89</v>
      </c>
      <c r="H5" s="46" t="s">
        <v>61</v>
      </c>
      <c r="I5" s="46" t="s">
        <v>90</v>
      </c>
      <c r="J5" s="46" t="s">
        <v>91</v>
      </c>
      <c r="K5" s="46" t="s">
        <v>91</v>
      </c>
      <c r="L5" s="46"/>
      <c r="M5" s="46" t="s">
        <v>104</v>
      </c>
      <c r="N5" s="46" t="s">
        <v>105</v>
      </c>
      <c r="O5" s="48" t="s">
        <v>94</v>
      </c>
      <c r="P5" s="48" t="s">
        <v>95</v>
      </c>
    </row>
    <row r="6" spans="1:16" hidden="1" x14ac:dyDescent="0.25">
      <c r="A6" s="46" t="s">
        <v>84</v>
      </c>
      <c r="B6" s="46" t="s">
        <v>106</v>
      </c>
      <c r="C6" s="47" t="s">
        <v>107</v>
      </c>
      <c r="D6" s="46" t="s">
        <v>108</v>
      </c>
      <c r="E6" s="48" t="s">
        <v>95</v>
      </c>
      <c r="F6" s="46">
        <v>5</v>
      </c>
      <c r="G6" s="46" t="s">
        <v>89</v>
      </c>
      <c r="H6" s="46" t="s">
        <v>61</v>
      </c>
      <c r="I6" s="46" t="s">
        <v>90</v>
      </c>
      <c r="J6" s="46" t="s">
        <v>91</v>
      </c>
      <c r="K6" s="46" t="s">
        <v>91</v>
      </c>
      <c r="L6" s="46"/>
      <c r="M6" s="46" t="s">
        <v>109</v>
      </c>
      <c r="N6" s="46" t="s">
        <v>110</v>
      </c>
      <c r="O6" s="48" t="s">
        <v>94</v>
      </c>
      <c r="P6" s="48" t="s">
        <v>95</v>
      </c>
    </row>
    <row r="7" spans="1:16" hidden="1" x14ac:dyDescent="0.25">
      <c r="A7" s="46" t="s">
        <v>111</v>
      </c>
      <c r="B7" s="46" t="s">
        <v>112</v>
      </c>
      <c r="C7" s="47" t="s">
        <v>3</v>
      </c>
      <c r="D7" s="46" t="s">
        <v>98</v>
      </c>
      <c r="E7" s="48" t="s">
        <v>88</v>
      </c>
      <c r="F7" s="46">
        <v>2</v>
      </c>
      <c r="G7" s="46" t="s">
        <v>89</v>
      </c>
      <c r="H7" s="46" t="s">
        <v>61</v>
      </c>
      <c r="I7" s="46" t="s">
        <v>90</v>
      </c>
      <c r="J7" s="46" t="s">
        <v>113</v>
      </c>
      <c r="K7" s="46" t="s">
        <v>91</v>
      </c>
      <c r="L7" s="46"/>
      <c r="M7" s="46" t="s">
        <v>114</v>
      </c>
      <c r="N7" s="46" t="s">
        <v>115</v>
      </c>
      <c r="O7" s="48" t="s">
        <v>94</v>
      </c>
      <c r="P7" s="48" t="s">
        <v>95</v>
      </c>
    </row>
    <row r="8" spans="1:16" hidden="1" x14ac:dyDescent="0.25">
      <c r="A8" s="46" t="s">
        <v>111</v>
      </c>
      <c r="B8" s="46" t="s">
        <v>112</v>
      </c>
      <c r="C8" s="47" t="s">
        <v>3</v>
      </c>
      <c r="D8" s="46" t="s">
        <v>87</v>
      </c>
      <c r="E8" s="48" t="s">
        <v>116</v>
      </c>
      <c r="F8" s="46">
        <v>48</v>
      </c>
      <c r="G8" s="46" t="s">
        <v>89</v>
      </c>
      <c r="H8" s="46" t="s">
        <v>61</v>
      </c>
      <c r="I8" s="46" t="s">
        <v>90</v>
      </c>
      <c r="J8" s="46" t="s">
        <v>113</v>
      </c>
      <c r="K8" s="46" t="s">
        <v>91</v>
      </c>
      <c r="L8" s="46"/>
      <c r="M8" s="46" t="s">
        <v>117</v>
      </c>
      <c r="N8" s="46" t="s">
        <v>118</v>
      </c>
      <c r="O8" s="48" t="s">
        <v>94</v>
      </c>
      <c r="P8" s="48" t="s">
        <v>95</v>
      </c>
    </row>
    <row r="9" spans="1:16" hidden="1" x14ac:dyDescent="0.25">
      <c r="A9" s="46" t="s">
        <v>119</v>
      </c>
      <c r="B9" s="46" t="s">
        <v>120</v>
      </c>
      <c r="C9" s="47" t="s">
        <v>121</v>
      </c>
      <c r="D9" s="46" t="s">
        <v>87</v>
      </c>
      <c r="E9" s="48" t="s">
        <v>95</v>
      </c>
      <c r="F9" s="46">
        <v>5</v>
      </c>
      <c r="G9" s="46" t="s">
        <v>89</v>
      </c>
      <c r="H9" s="46" t="s">
        <v>61</v>
      </c>
      <c r="I9" s="46" t="s">
        <v>90</v>
      </c>
      <c r="J9" s="46" t="s">
        <v>122</v>
      </c>
      <c r="K9" s="46" t="s">
        <v>91</v>
      </c>
      <c r="L9" s="46"/>
      <c r="M9" s="46" t="s">
        <v>123</v>
      </c>
      <c r="N9" s="46" t="s">
        <v>124</v>
      </c>
      <c r="O9" s="48" t="s">
        <v>94</v>
      </c>
      <c r="P9" s="48" t="s">
        <v>95</v>
      </c>
    </row>
    <row r="10" spans="1:16" hidden="1" x14ac:dyDescent="0.25">
      <c r="A10" s="46" t="s">
        <v>125</v>
      </c>
      <c r="B10" s="46" t="s">
        <v>126</v>
      </c>
      <c r="C10" s="47" t="s">
        <v>127</v>
      </c>
      <c r="D10" s="46" t="s">
        <v>98</v>
      </c>
      <c r="E10" s="48" t="s">
        <v>95</v>
      </c>
      <c r="F10" s="46">
        <v>5</v>
      </c>
      <c r="G10" s="46" t="s">
        <v>89</v>
      </c>
      <c r="H10" s="46" t="s">
        <v>61</v>
      </c>
      <c r="I10" s="46" t="s">
        <v>90</v>
      </c>
      <c r="J10" s="46" t="s">
        <v>91</v>
      </c>
      <c r="K10" s="46" t="s">
        <v>91</v>
      </c>
      <c r="L10" s="46"/>
      <c r="M10" s="46" t="s">
        <v>128</v>
      </c>
      <c r="N10" s="46" t="s">
        <v>129</v>
      </c>
      <c r="O10" s="48" t="s">
        <v>94</v>
      </c>
      <c r="P10" s="48" t="s">
        <v>95</v>
      </c>
    </row>
    <row r="11" spans="1:16" hidden="1" x14ac:dyDescent="0.25">
      <c r="A11" s="46" t="s">
        <v>119</v>
      </c>
      <c r="B11" s="46" t="s">
        <v>130</v>
      </c>
      <c r="C11" s="47" t="s">
        <v>131</v>
      </c>
      <c r="D11" s="46" t="s">
        <v>87</v>
      </c>
      <c r="E11" s="48" t="s">
        <v>95</v>
      </c>
      <c r="F11" s="46">
        <v>5</v>
      </c>
      <c r="G11" s="46" t="s">
        <v>89</v>
      </c>
      <c r="H11" s="46" t="s">
        <v>61</v>
      </c>
      <c r="I11" s="46" t="s">
        <v>90</v>
      </c>
      <c r="J11" s="46" t="s">
        <v>122</v>
      </c>
      <c r="K11" s="46" t="s">
        <v>91</v>
      </c>
      <c r="L11" s="46"/>
      <c r="M11" s="46" t="s">
        <v>123</v>
      </c>
      <c r="N11" s="46" t="s">
        <v>124</v>
      </c>
      <c r="O11" s="48" t="s">
        <v>94</v>
      </c>
      <c r="P11" s="48" t="s">
        <v>95</v>
      </c>
    </row>
    <row r="12" spans="1:16" hidden="1" x14ac:dyDescent="0.25">
      <c r="A12" s="46" t="s">
        <v>111</v>
      </c>
      <c r="B12" s="46" t="s">
        <v>132</v>
      </c>
      <c r="C12" s="47" t="s">
        <v>133</v>
      </c>
      <c r="D12" s="46" t="s">
        <v>103</v>
      </c>
      <c r="E12" s="48" t="s">
        <v>88</v>
      </c>
      <c r="F12" s="46">
        <v>2</v>
      </c>
      <c r="G12" s="46" t="s">
        <v>89</v>
      </c>
      <c r="H12" s="46" t="s">
        <v>61</v>
      </c>
      <c r="I12" s="46" t="s">
        <v>90</v>
      </c>
      <c r="J12" s="46" t="s">
        <v>113</v>
      </c>
      <c r="K12" s="46" t="s">
        <v>91</v>
      </c>
      <c r="L12" s="46"/>
      <c r="M12" s="46" t="s">
        <v>134</v>
      </c>
      <c r="N12" s="46" t="s">
        <v>135</v>
      </c>
      <c r="O12" s="48" t="s">
        <v>94</v>
      </c>
      <c r="P12" s="48" t="s">
        <v>95</v>
      </c>
    </row>
    <row r="13" spans="1:16" hidden="1" x14ac:dyDescent="0.25">
      <c r="A13" s="46" t="s">
        <v>84</v>
      </c>
      <c r="B13" s="46" t="s">
        <v>96</v>
      </c>
      <c r="C13" s="47" t="s">
        <v>97</v>
      </c>
      <c r="D13" s="46" t="s">
        <v>87</v>
      </c>
      <c r="E13" s="48" t="s">
        <v>88</v>
      </c>
      <c r="F13" s="46">
        <v>2</v>
      </c>
      <c r="G13" s="46" t="s">
        <v>89</v>
      </c>
      <c r="H13" s="46" t="s">
        <v>61</v>
      </c>
      <c r="I13" s="46" t="s">
        <v>90</v>
      </c>
      <c r="J13" s="46" t="s">
        <v>91</v>
      </c>
      <c r="K13" s="46" t="s">
        <v>91</v>
      </c>
      <c r="L13" s="46"/>
      <c r="M13" s="46" t="s">
        <v>92</v>
      </c>
      <c r="N13" s="46" t="s">
        <v>136</v>
      </c>
      <c r="O13" s="48" t="s">
        <v>94</v>
      </c>
      <c r="P13" s="48" t="s">
        <v>88</v>
      </c>
    </row>
    <row r="14" spans="1:16" hidden="1" x14ac:dyDescent="0.25">
      <c r="A14" s="46" t="s">
        <v>111</v>
      </c>
      <c r="B14" s="46" t="s">
        <v>137</v>
      </c>
      <c r="C14" s="47" t="s">
        <v>69</v>
      </c>
      <c r="D14" s="46" t="s">
        <v>103</v>
      </c>
      <c r="E14" s="48" t="s">
        <v>138</v>
      </c>
      <c r="F14" s="46"/>
      <c r="G14" s="46" t="s">
        <v>139</v>
      </c>
      <c r="H14" s="46" t="s">
        <v>61</v>
      </c>
      <c r="I14" s="46" t="s">
        <v>90</v>
      </c>
      <c r="J14" s="46" t="s">
        <v>140</v>
      </c>
      <c r="K14" s="46" t="s">
        <v>91</v>
      </c>
      <c r="L14" s="46"/>
      <c r="M14" s="46" t="s">
        <v>141</v>
      </c>
      <c r="N14" s="46" t="s">
        <v>142</v>
      </c>
      <c r="O14" s="48" t="s">
        <v>94</v>
      </c>
      <c r="P14" s="48" t="s">
        <v>88</v>
      </c>
    </row>
    <row r="15" spans="1:16" hidden="1" x14ac:dyDescent="0.25">
      <c r="A15" s="46" t="s">
        <v>111</v>
      </c>
      <c r="B15" s="46" t="s">
        <v>143</v>
      </c>
      <c r="C15" s="47" t="s">
        <v>70</v>
      </c>
      <c r="D15" s="46" t="s">
        <v>103</v>
      </c>
      <c r="E15" s="48" t="s">
        <v>138</v>
      </c>
      <c r="F15" s="46"/>
      <c r="G15" s="46" t="s">
        <v>139</v>
      </c>
      <c r="H15" s="46" t="s">
        <v>61</v>
      </c>
      <c r="I15" s="46" t="s">
        <v>90</v>
      </c>
      <c r="J15" s="46" t="s">
        <v>140</v>
      </c>
      <c r="K15" s="46" t="s">
        <v>91</v>
      </c>
      <c r="L15" s="46"/>
      <c r="M15" s="46" t="s">
        <v>144</v>
      </c>
      <c r="N15" s="46" t="s">
        <v>145</v>
      </c>
      <c r="O15" s="48" t="s">
        <v>94</v>
      </c>
      <c r="P15" s="48" t="s">
        <v>88</v>
      </c>
    </row>
    <row r="16" spans="1:16" x14ac:dyDescent="0.25">
      <c r="A16" s="46" t="s">
        <v>111</v>
      </c>
      <c r="B16" s="46" t="s">
        <v>146</v>
      </c>
      <c r="C16" s="47" t="s">
        <v>147</v>
      </c>
      <c r="D16" s="46" t="s">
        <v>103</v>
      </c>
      <c r="E16" s="48" t="s">
        <v>138</v>
      </c>
      <c r="F16" s="46"/>
      <c r="G16" s="46" t="s">
        <v>99</v>
      </c>
      <c r="H16" s="46" t="s">
        <v>99</v>
      </c>
      <c r="I16" s="46" t="s">
        <v>90</v>
      </c>
      <c r="J16" s="46" t="s">
        <v>140</v>
      </c>
      <c r="K16" s="46" t="s">
        <v>91</v>
      </c>
      <c r="L16" s="46"/>
      <c r="M16" s="46" t="s">
        <v>148</v>
      </c>
      <c r="N16" s="46" t="s">
        <v>149</v>
      </c>
      <c r="O16" s="48" t="s">
        <v>150</v>
      </c>
      <c r="P16" s="48" t="s">
        <v>88</v>
      </c>
    </row>
    <row r="17" spans="1:16" hidden="1" x14ac:dyDescent="0.25">
      <c r="A17" s="46" t="s">
        <v>111</v>
      </c>
      <c r="B17" s="46" t="s">
        <v>151</v>
      </c>
      <c r="C17" s="47" t="s">
        <v>71</v>
      </c>
      <c r="D17" s="46" t="s">
        <v>98</v>
      </c>
      <c r="E17" s="48" t="s">
        <v>88</v>
      </c>
      <c r="F17" s="46">
        <v>2</v>
      </c>
      <c r="G17" s="46" t="s">
        <v>89</v>
      </c>
      <c r="H17" s="46" t="s">
        <v>61</v>
      </c>
      <c r="I17" s="46" t="s">
        <v>90</v>
      </c>
      <c r="J17" s="46" t="s">
        <v>91</v>
      </c>
      <c r="K17" s="46" t="s">
        <v>91</v>
      </c>
      <c r="L17" s="46"/>
      <c r="M17" s="46" t="s">
        <v>152</v>
      </c>
      <c r="N17" s="46" t="s">
        <v>153</v>
      </c>
      <c r="O17" s="48" t="s">
        <v>94</v>
      </c>
      <c r="P17" s="48" t="s">
        <v>88</v>
      </c>
    </row>
    <row r="18" spans="1:16" hidden="1" x14ac:dyDescent="0.25">
      <c r="A18" s="46" t="s">
        <v>111</v>
      </c>
      <c r="B18" s="46" t="s">
        <v>154</v>
      </c>
      <c r="C18" s="47" t="s">
        <v>155</v>
      </c>
      <c r="D18" s="46" t="s">
        <v>98</v>
      </c>
      <c r="E18" s="48" t="s">
        <v>88</v>
      </c>
      <c r="F18" s="46">
        <v>2</v>
      </c>
      <c r="G18" s="46" t="s">
        <v>89</v>
      </c>
      <c r="H18" s="46" t="s">
        <v>61</v>
      </c>
      <c r="I18" s="46" t="s">
        <v>90</v>
      </c>
      <c r="J18" s="46" t="s">
        <v>91</v>
      </c>
      <c r="K18" s="46" t="s">
        <v>91</v>
      </c>
      <c r="L18" s="46"/>
      <c r="M18" s="46" t="s">
        <v>156</v>
      </c>
      <c r="N18" s="46" t="s">
        <v>157</v>
      </c>
      <c r="O18" s="48" t="s">
        <v>94</v>
      </c>
      <c r="P18" s="48" t="s">
        <v>88</v>
      </c>
    </row>
    <row r="19" spans="1:16" hidden="1" x14ac:dyDescent="0.25">
      <c r="A19" s="46" t="s">
        <v>111</v>
      </c>
      <c r="B19" s="46" t="s">
        <v>158</v>
      </c>
      <c r="C19" s="47" t="s">
        <v>159</v>
      </c>
      <c r="D19" s="46" t="s">
        <v>98</v>
      </c>
      <c r="E19" s="48" t="s">
        <v>160</v>
      </c>
      <c r="F19" s="46"/>
      <c r="G19" s="46" t="s">
        <v>139</v>
      </c>
      <c r="H19" s="46" t="s">
        <v>61</v>
      </c>
      <c r="I19" s="46" t="s">
        <v>90</v>
      </c>
      <c r="J19" s="46" t="s">
        <v>91</v>
      </c>
      <c r="K19" s="46" t="s">
        <v>91</v>
      </c>
      <c r="L19" s="46"/>
      <c r="M19" s="46" t="s">
        <v>161</v>
      </c>
      <c r="N19" s="46" t="s">
        <v>162</v>
      </c>
      <c r="O19" s="48" t="s">
        <v>94</v>
      </c>
      <c r="P19" s="48" t="s">
        <v>88</v>
      </c>
    </row>
    <row r="20" spans="1:16" hidden="1" x14ac:dyDescent="0.25">
      <c r="A20" s="46" t="s">
        <v>111</v>
      </c>
      <c r="B20" s="46" t="s">
        <v>163</v>
      </c>
      <c r="C20" s="47" t="s">
        <v>164</v>
      </c>
      <c r="D20" s="46" t="s">
        <v>98</v>
      </c>
      <c r="E20" s="48" t="s">
        <v>160</v>
      </c>
      <c r="F20" s="46"/>
      <c r="G20" s="46" t="s">
        <v>139</v>
      </c>
      <c r="H20" s="46" t="s">
        <v>61</v>
      </c>
      <c r="I20" s="46" t="s">
        <v>90</v>
      </c>
      <c r="J20" s="46" t="s">
        <v>91</v>
      </c>
      <c r="K20" s="46" t="s">
        <v>91</v>
      </c>
      <c r="L20" s="46"/>
      <c r="M20" s="46" t="s">
        <v>161</v>
      </c>
      <c r="N20" s="46" t="s">
        <v>162</v>
      </c>
      <c r="O20" s="48" t="s">
        <v>94</v>
      </c>
      <c r="P20" s="48" t="s">
        <v>88</v>
      </c>
    </row>
    <row r="21" spans="1:16" hidden="1" x14ac:dyDescent="0.25">
      <c r="A21" s="46" t="s">
        <v>111</v>
      </c>
      <c r="B21" s="46" t="s">
        <v>165</v>
      </c>
      <c r="C21" s="47" t="s">
        <v>166</v>
      </c>
      <c r="D21" s="46" t="s">
        <v>103</v>
      </c>
      <c r="E21" s="48" t="s">
        <v>138</v>
      </c>
      <c r="F21" s="46"/>
      <c r="G21" s="46" t="s">
        <v>139</v>
      </c>
      <c r="H21" s="46" t="s">
        <v>61</v>
      </c>
      <c r="I21" s="46" t="s">
        <v>90</v>
      </c>
      <c r="J21" s="46" t="s">
        <v>140</v>
      </c>
      <c r="K21" s="46" t="s">
        <v>91</v>
      </c>
      <c r="L21" s="46"/>
      <c r="M21" s="46" t="s">
        <v>167</v>
      </c>
      <c r="N21" s="46" t="s">
        <v>168</v>
      </c>
      <c r="O21" s="48" t="s">
        <v>94</v>
      </c>
      <c r="P21" s="48" t="s">
        <v>88</v>
      </c>
    </row>
    <row r="22" spans="1:16" hidden="1" x14ac:dyDescent="0.25">
      <c r="A22" s="46" t="s">
        <v>111</v>
      </c>
      <c r="B22" s="46" t="s">
        <v>169</v>
      </c>
      <c r="C22" s="47" t="s">
        <v>170</v>
      </c>
      <c r="D22" s="46" t="s">
        <v>103</v>
      </c>
      <c r="E22" s="48" t="s">
        <v>160</v>
      </c>
      <c r="F22" s="46"/>
      <c r="G22" s="46" t="s">
        <v>139</v>
      </c>
      <c r="H22" s="46" t="s">
        <v>61</v>
      </c>
      <c r="I22" s="46" t="s">
        <v>90</v>
      </c>
      <c r="J22" s="46" t="s">
        <v>140</v>
      </c>
      <c r="K22" s="46" t="s">
        <v>91</v>
      </c>
      <c r="L22" s="46"/>
      <c r="M22" s="46" t="s">
        <v>171</v>
      </c>
      <c r="N22" s="46" t="s">
        <v>168</v>
      </c>
      <c r="O22" s="48" t="s">
        <v>94</v>
      </c>
      <c r="P22" s="48" t="s">
        <v>88</v>
      </c>
    </row>
    <row r="23" spans="1:16" hidden="1" x14ac:dyDescent="0.25">
      <c r="A23" s="46" t="s">
        <v>111</v>
      </c>
      <c r="B23" s="46" t="s">
        <v>172</v>
      </c>
      <c r="C23" s="47" t="s">
        <v>173</v>
      </c>
      <c r="D23" s="46" t="s">
        <v>103</v>
      </c>
      <c r="E23" s="48" t="s">
        <v>160</v>
      </c>
      <c r="F23" s="46"/>
      <c r="G23" s="46" t="s">
        <v>139</v>
      </c>
      <c r="H23" s="46" t="s">
        <v>61</v>
      </c>
      <c r="I23" s="46" t="s">
        <v>90</v>
      </c>
      <c r="J23" s="46" t="s">
        <v>140</v>
      </c>
      <c r="K23" s="46" t="s">
        <v>91</v>
      </c>
      <c r="L23" s="46"/>
      <c r="M23" s="46" t="s">
        <v>174</v>
      </c>
      <c r="N23" s="46" t="s">
        <v>168</v>
      </c>
      <c r="O23" s="48" t="s">
        <v>94</v>
      </c>
      <c r="P23" s="48" t="s">
        <v>88</v>
      </c>
    </row>
    <row r="24" spans="1:16" hidden="1" x14ac:dyDescent="0.25">
      <c r="A24" s="46" t="s">
        <v>111</v>
      </c>
      <c r="B24" s="46" t="s">
        <v>175</v>
      </c>
      <c r="C24" s="47" t="s">
        <v>176</v>
      </c>
      <c r="D24" s="46" t="s">
        <v>103</v>
      </c>
      <c r="E24" s="48" t="s">
        <v>138</v>
      </c>
      <c r="F24" s="46"/>
      <c r="G24" s="46" t="s">
        <v>139</v>
      </c>
      <c r="H24" s="46" t="s">
        <v>61</v>
      </c>
      <c r="I24" s="46" t="s">
        <v>90</v>
      </c>
      <c r="J24" s="46" t="s">
        <v>140</v>
      </c>
      <c r="K24" s="46" t="s">
        <v>91</v>
      </c>
      <c r="L24" s="46"/>
      <c r="M24" s="46" t="s">
        <v>177</v>
      </c>
      <c r="N24" s="46" t="s">
        <v>168</v>
      </c>
      <c r="O24" s="48" t="s">
        <v>94</v>
      </c>
      <c r="P24" s="48" t="s">
        <v>88</v>
      </c>
    </row>
    <row r="25" spans="1:16" hidden="1" x14ac:dyDescent="0.25">
      <c r="A25" s="46" t="s">
        <v>111</v>
      </c>
      <c r="B25" s="46" t="s">
        <v>178</v>
      </c>
      <c r="C25" s="47" t="s">
        <v>179</v>
      </c>
      <c r="D25" s="46" t="s">
        <v>103</v>
      </c>
      <c r="E25" s="48" t="s">
        <v>138</v>
      </c>
      <c r="F25" s="46"/>
      <c r="G25" s="46" t="s">
        <v>139</v>
      </c>
      <c r="H25" s="46" t="s">
        <v>61</v>
      </c>
      <c r="I25" s="46" t="s">
        <v>90</v>
      </c>
      <c r="J25" s="46" t="s">
        <v>140</v>
      </c>
      <c r="K25" s="46" t="s">
        <v>91</v>
      </c>
      <c r="L25" s="46"/>
      <c r="M25" s="46" t="s">
        <v>177</v>
      </c>
      <c r="N25" s="46" t="s">
        <v>168</v>
      </c>
      <c r="O25" s="48" t="s">
        <v>94</v>
      </c>
      <c r="P25" s="48" t="s">
        <v>88</v>
      </c>
    </row>
    <row r="26" spans="1:16" hidden="1" x14ac:dyDescent="0.25">
      <c r="A26" s="46" t="s">
        <v>111</v>
      </c>
      <c r="B26" s="46" t="s">
        <v>180</v>
      </c>
      <c r="C26" s="47" t="s">
        <v>181</v>
      </c>
      <c r="D26" s="46" t="s">
        <v>103</v>
      </c>
      <c r="E26" s="48" t="s">
        <v>138</v>
      </c>
      <c r="F26" s="46"/>
      <c r="G26" s="46" t="s">
        <v>139</v>
      </c>
      <c r="H26" s="46" t="s">
        <v>61</v>
      </c>
      <c r="I26" s="46" t="s">
        <v>90</v>
      </c>
      <c r="J26" s="46" t="s">
        <v>140</v>
      </c>
      <c r="K26" s="46" t="s">
        <v>91</v>
      </c>
      <c r="L26" s="46"/>
      <c r="M26" s="46" t="s">
        <v>182</v>
      </c>
      <c r="N26" s="46" t="s">
        <v>168</v>
      </c>
      <c r="O26" s="48" t="s">
        <v>94</v>
      </c>
      <c r="P26" s="48" t="s">
        <v>88</v>
      </c>
    </row>
    <row r="27" spans="1:16" hidden="1" x14ac:dyDescent="0.25">
      <c r="A27" s="46" t="s">
        <v>111</v>
      </c>
      <c r="B27" s="46" t="s">
        <v>183</v>
      </c>
      <c r="C27" s="47" t="s">
        <v>184</v>
      </c>
      <c r="D27" s="46" t="s">
        <v>103</v>
      </c>
      <c r="E27" s="48" t="s">
        <v>138</v>
      </c>
      <c r="F27" s="46"/>
      <c r="G27" s="46" t="s">
        <v>139</v>
      </c>
      <c r="H27" s="46" t="s">
        <v>61</v>
      </c>
      <c r="I27" s="46" t="s">
        <v>90</v>
      </c>
      <c r="J27" s="46" t="s">
        <v>140</v>
      </c>
      <c r="K27" s="46" t="s">
        <v>91</v>
      </c>
      <c r="L27" s="46"/>
      <c r="M27" s="46" t="s">
        <v>171</v>
      </c>
      <c r="N27" s="46" t="s">
        <v>168</v>
      </c>
      <c r="O27" s="48" t="s">
        <v>94</v>
      </c>
      <c r="P27" s="48" t="s">
        <v>88</v>
      </c>
    </row>
    <row r="28" spans="1:16" hidden="1" x14ac:dyDescent="0.25">
      <c r="A28" s="46" t="s">
        <v>111</v>
      </c>
      <c r="B28" s="46" t="s">
        <v>185</v>
      </c>
      <c r="C28" s="47" t="s">
        <v>186</v>
      </c>
      <c r="D28" s="46" t="s">
        <v>103</v>
      </c>
      <c r="E28" s="48" t="s">
        <v>138</v>
      </c>
      <c r="F28" s="46"/>
      <c r="G28" s="46" t="s">
        <v>139</v>
      </c>
      <c r="H28" s="46" t="s">
        <v>61</v>
      </c>
      <c r="I28" s="46" t="s">
        <v>90</v>
      </c>
      <c r="J28" s="46" t="s">
        <v>140</v>
      </c>
      <c r="K28" s="46" t="s">
        <v>91</v>
      </c>
      <c r="L28" s="46"/>
      <c r="M28" s="46" t="s">
        <v>187</v>
      </c>
      <c r="N28" s="46" t="s">
        <v>168</v>
      </c>
      <c r="O28" s="48" t="s">
        <v>94</v>
      </c>
      <c r="P28" s="48" t="s">
        <v>88</v>
      </c>
    </row>
    <row r="29" spans="1:16" hidden="1" x14ac:dyDescent="0.25">
      <c r="A29" s="46" t="s">
        <v>111</v>
      </c>
      <c r="B29" s="46" t="s">
        <v>188</v>
      </c>
      <c r="C29" s="47" t="s">
        <v>189</v>
      </c>
      <c r="D29" s="46" t="s">
        <v>103</v>
      </c>
      <c r="E29" s="48" t="s">
        <v>160</v>
      </c>
      <c r="F29" s="46"/>
      <c r="G29" s="46" t="s">
        <v>139</v>
      </c>
      <c r="H29" s="46" t="s">
        <v>61</v>
      </c>
      <c r="I29" s="46" t="s">
        <v>90</v>
      </c>
      <c r="J29" s="46" t="s">
        <v>140</v>
      </c>
      <c r="K29" s="46" t="s">
        <v>91</v>
      </c>
      <c r="L29" s="46"/>
      <c r="M29" s="46" t="s">
        <v>167</v>
      </c>
      <c r="N29" s="46" t="s">
        <v>168</v>
      </c>
      <c r="O29" s="48" t="s">
        <v>94</v>
      </c>
      <c r="P29" s="48" t="s">
        <v>88</v>
      </c>
    </row>
    <row r="30" spans="1:16" hidden="1" x14ac:dyDescent="0.25">
      <c r="A30" s="46" t="s">
        <v>111</v>
      </c>
      <c r="B30" s="46" t="s">
        <v>190</v>
      </c>
      <c r="C30" s="47" t="s">
        <v>191</v>
      </c>
      <c r="D30" s="46" t="s">
        <v>103</v>
      </c>
      <c r="E30" s="48" t="s">
        <v>138</v>
      </c>
      <c r="F30" s="46"/>
      <c r="G30" s="46" t="s">
        <v>139</v>
      </c>
      <c r="H30" s="46" t="s">
        <v>61</v>
      </c>
      <c r="I30" s="46" t="s">
        <v>90</v>
      </c>
      <c r="J30" s="46" t="s">
        <v>140</v>
      </c>
      <c r="K30" s="46" t="s">
        <v>91</v>
      </c>
      <c r="L30" s="46"/>
      <c r="M30" s="46" t="s">
        <v>171</v>
      </c>
      <c r="N30" s="46" t="s">
        <v>168</v>
      </c>
      <c r="O30" s="48" t="s">
        <v>94</v>
      </c>
      <c r="P30" s="48" t="s">
        <v>88</v>
      </c>
    </row>
    <row r="31" spans="1:16" hidden="1" x14ac:dyDescent="0.25">
      <c r="A31" s="46" t="s">
        <v>111</v>
      </c>
      <c r="B31" s="46" t="s">
        <v>151</v>
      </c>
      <c r="C31" s="47" t="s">
        <v>71</v>
      </c>
      <c r="D31" s="46" t="s">
        <v>103</v>
      </c>
      <c r="E31" s="48" t="s">
        <v>160</v>
      </c>
      <c r="F31" s="46"/>
      <c r="G31" s="46" t="s">
        <v>139</v>
      </c>
      <c r="H31" s="46" t="s">
        <v>61</v>
      </c>
      <c r="I31" s="46" t="s">
        <v>90</v>
      </c>
      <c r="J31" s="46" t="s">
        <v>140</v>
      </c>
      <c r="K31" s="46" t="s">
        <v>91</v>
      </c>
      <c r="L31" s="46"/>
      <c r="M31" s="46" t="s">
        <v>182</v>
      </c>
      <c r="N31" s="46" t="s">
        <v>168</v>
      </c>
      <c r="O31" s="48" t="s">
        <v>94</v>
      </c>
      <c r="P31" s="48" t="s">
        <v>88</v>
      </c>
    </row>
    <row r="32" spans="1:16" hidden="1" x14ac:dyDescent="0.25">
      <c r="A32" s="46" t="s">
        <v>111</v>
      </c>
      <c r="B32" s="46" t="s">
        <v>192</v>
      </c>
      <c r="C32" s="47" t="s">
        <v>193</v>
      </c>
      <c r="D32" s="46" t="s">
        <v>103</v>
      </c>
      <c r="E32" s="48" t="s">
        <v>160</v>
      </c>
      <c r="F32" s="46"/>
      <c r="G32" s="46" t="s">
        <v>139</v>
      </c>
      <c r="H32" s="46" t="s">
        <v>61</v>
      </c>
      <c r="I32" s="46" t="s">
        <v>90</v>
      </c>
      <c r="J32" s="46" t="s">
        <v>140</v>
      </c>
      <c r="K32" s="46" t="s">
        <v>91</v>
      </c>
      <c r="L32" s="46"/>
      <c r="M32" s="46" t="s">
        <v>167</v>
      </c>
      <c r="N32" s="46" t="s">
        <v>168</v>
      </c>
      <c r="O32" s="48" t="s">
        <v>94</v>
      </c>
      <c r="P32" s="48" t="s">
        <v>88</v>
      </c>
    </row>
    <row r="33" spans="1:16" hidden="1" x14ac:dyDescent="0.25">
      <c r="A33" s="46" t="s">
        <v>111</v>
      </c>
      <c r="B33" s="46" t="s">
        <v>194</v>
      </c>
      <c r="C33" s="47" t="s">
        <v>195</v>
      </c>
      <c r="D33" s="46" t="s">
        <v>103</v>
      </c>
      <c r="E33" s="48" t="s">
        <v>196</v>
      </c>
      <c r="F33" s="46"/>
      <c r="G33" s="46" t="s">
        <v>139</v>
      </c>
      <c r="H33" s="46" t="s">
        <v>61</v>
      </c>
      <c r="I33" s="46" t="s">
        <v>90</v>
      </c>
      <c r="J33" s="46" t="s">
        <v>140</v>
      </c>
      <c r="K33" s="46" t="s">
        <v>91</v>
      </c>
      <c r="L33" s="46"/>
      <c r="M33" s="46" t="s">
        <v>197</v>
      </c>
      <c r="N33" s="46" t="s">
        <v>198</v>
      </c>
      <c r="O33" s="48" t="s">
        <v>94</v>
      </c>
      <c r="P33" s="48" t="s">
        <v>88</v>
      </c>
    </row>
    <row r="34" spans="1:16" hidden="1" x14ac:dyDescent="0.25">
      <c r="A34" s="46" t="s">
        <v>111</v>
      </c>
      <c r="B34" s="46" t="s">
        <v>199</v>
      </c>
      <c r="C34" s="47" t="s">
        <v>200</v>
      </c>
      <c r="D34" s="46" t="s">
        <v>103</v>
      </c>
      <c r="E34" s="48" t="s">
        <v>160</v>
      </c>
      <c r="F34" s="46"/>
      <c r="G34" s="46" t="s">
        <v>139</v>
      </c>
      <c r="H34" s="46" t="s">
        <v>61</v>
      </c>
      <c r="I34" s="46" t="s">
        <v>90</v>
      </c>
      <c r="J34" s="46" t="s">
        <v>140</v>
      </c>
      <c r="K34" s="46" t="s">
        <v>91</v>
      </c>
      <c r="L34" s="46"/>
      <c r="M34" s="46" t="s">
        <v>167</v>
      </c>
      <c r="N34" s="46" t="s">
        <v>168</v>
      </c>
      <c r="O34" s="48" t="s">
        <v>94</v>
      </c>
      <c r="P34" s="48" t="s">
        <v>88</v>
      </c>
    </row>
    <row r="35" spans="1:16" hidden="1" x14ac:dyDescent="0.25">
      <c r="A35" s="46" t="s">
        <v>111</v>
      </c>
      <c r="B35" s="46" t="s">
        <v>201</v>
      </c>
      <c r="C35" s="47" t="s">
        <v>202</v>
      </c>
      <c r="D35" s="46" t="s">
        <v>98</v>
      </c>
      <c r="E35" s="48" t="s">
        <v>160</v>
      </c>
      <c r="F35" s="46"/>
      <c r="G35" s="46" t="s">
        <v>139</v>
      </c>
      <c r="H35" s="46" t="s">
        <v>61</v>
      </c>
      <c r="I35" s="46" t="s">
        <v>90</v>
      </c>
      <c r="J35" s="46" t="s">
        <v>91</v>
      </c>
      <c r="K35" s="46" t="s">
        <v>91</v>
      </c>
      <c r="L35" s="46"/>
      <c r="M35" s="46" t="s">
        <v>203</v>
      </c>
      <c r="N35" s="46" t="s">
        <v>162</v>
      </c>
      <c r="O35" s="48" t="s">
        <v>94</v>
      </c>
      <c r="P35" s="48" t="s">
        <v>88</v>
      </c>
    </row>
    <row r="36" spans="1:16" hidden="1" x14ac:dyDescent="0.25">
      <c r="A36" s="46" t="s">
        <v>111</v>
      </c>
      <c r="B36" s="46" t="s">
        <v>204</v>
      </c>
      <c r="C36" s="47" t="s">
        <v>205</v>
      </c>
      <c r="D36" s="46" t="s">
        <v>103</v>
      </c>
      <c r="E36" s="48" t="s">
        <v>160</v>
      </c>
      <c r="F36" s="46"/>
      <c r="G36" s="46" t="s">
        <v>139</v>
      </c>
      <c r="H36" s="46" t="s">
        <v>61</v>
      </c>
      <c r="I36" s="46" t="s">
        <v>90</v>
      </c>
      <c r="J36" s="46" t="s">
        <v>140</v>
      </c>
      <c r="K36" s="46" t="s">
        <v>91</v>
      </c>
      <c r="L36" s="46"/>
      <c r="M36" s="46" t="s">
        <v>167</v>
      </c>
      <c r="N36" s="46" t="s">
        <v>168</v>
      </c>
      <c r="O36" s="48" t="s">
        <v>94</v>
      </c>
      <c r="P36" s="48" t="s">
        <v>88</v>
      </c>
    </row>
    <row r="37" spans="1:16" hidden="1" x14ac:dyDescent="0.25">
      <c r="A37" s="46" t="s">
        <v>111</v>
      </c>
      <c r="B37" s="46" t="s">
        <v>206</v>
      </c>
      <c r="C37" s="47" t="s">
        <v>207</v>
      </c>
      <c r="D37" s="46" t="s">
        <v>103</v>
      </c>
      <c r="E37" s="48" t="s">
        <v>160</v>
      </c>
      <c r="F37" s="46"/>
      <c r="G37" s="46" t="s">
        <v>139</v>
      </c>
      <c r="H37" s="46" t="s">
        <v>61</v>
      </c>
      <c r="I37" s="46" t="s">
        <v>90</v>
      </c>
      <c r="J37" s="46" t="s">
        <v>140</v>
      </c>
      <c r="K37" s="46" t="s">
        <v>91</v>
      </c>
      <c r="L37" s="46"/>
      <c r="M37" s="46" t="s">
        <v>167</v>
      </c>
      <c r="N37" s="46" t="s">
        <v>168</v>
      </c>
      <c r="O37" s="48" t="s">
        <v>94</v>
      </c>
      <c r="P37" s="48" t="s">
        <v>88</v>
      </c>
    </row>
    <row r="38" spans="1:16" hidden="1" x14ac:dyDescent="0.25">
      <c r="A38" s="46" t="s">
        <v>111</v>
      </c>
      <c r="B38" s="46" t="s">
        <v>208</v>
      </c>
      <c r="C38" s="47" t="s">
        <v>209</v>
      </c>
      <c r="D38" s="46" t="s">
        <v>103</v>
      </c>
      <c r="E38" s="48" t="s">
        <v>160</v>
      </c>
      <c r="F38" s="46"/>
      <c r="G38" s="46" t="s">
        <v>139</v>
      </c>
      <c r="H38" s="46" t="s">
        <v>61</v>
      </c>
      <c r="I38" s="46" t="s">
        <v>90</v>
      </c>
      <c r="J38" s="46" t="s">
        <v>91</v>
      </c>
      <c r="K38" s="46" t="s">
        <v>91</v>
      </c>
      <c r="L38" s="46"/>
      <c r="M38" s="46" t="s">
        <v>182</v>
      </c>
      <c r="N38" s="46" t="s">
        <v>168</v>
      </c>
      <c r="O38" s="48" t="s">
        <v>94</v>
      </c>
      <c r="P38" s="48" t="s">
        <v>88</v>
      </c>
    </row>
    <row r="39" spans="1:16" hidden="1" x14ac:dyDescent="0.25">
      <c r="A39" s="46" t="s">
        <v>111</v>
      </c>
      <c r="B39" s="46" t="s">
        <v>210</v>
      </c>
      <c r="C39" s="47" t="s">
        <v>211</v>
      </c>
      <c r="D39" s="46" t="s">
        <v>103</v>
      </c>
      <c r="E39" s="48" t="s">
        <v>160</v>
      </c>
      <c r="F39" s="46"/>
      <c r="G39" s="46" t="s">
        <v>139</v>
      </c>
      <c r="H39" s="46" t="s">
        <v>61</v>
      </c>
      <c r="I39" s="46" t="s">
        <v>90</v>
      </c>
      <c r="J39" s="46" t="s">
        <v>140</v>
      </c>
      <c r="K39" s="46" t="s">
        <v>91</v>
      </c>
      <c r="L39" s="46"/>
      <c r="M39" s="46" t="s">
        <v>187</v>
      </c>
      <c r="N39" s="46" t="s">
        <v>212</v>
      </c>
      <c r="O39" s="48" t="s">
        <v>94</v>
      </c>
      <c r="P39" s="48" t="s">
        <v>88</v>
      </c>
    </row>
    <row r="40" spans="1:16" hidden="1" x14ac:dyDescent="0.25">
      <c r="A40" s="46" t="s">
        <v>111</v>
      </c>
      <c r="B40" s="46" t="s">
        <v>213</v>
      </c>
      <c r="C40" s="47" t="s">
        <v>214</v>
      </c>
      <c r="D40" s="46" t="s">
        <v>103</v>
      </c>
      <c r="E40" s="48" t="s">
        <v>160</v>
      </c>
      <c r="F40" s="46"/>
      <c r="G40" s="46" t="s">
        <v>139</v>
      </c>
      <c r="H40" s="46" t="s">
        <v>61</v>
      </c>
      <c r="I40" s="46" t="s">
        <v>90</v>
      </c>
      <c r="J40" s="46" t="s">
        <v>91</v>
      </c>
      <c r="K40" s="46" t="s">
        <v>91</v>
      </c>
      <c r="L40" s="46"/>
      <c r="M40" s="46" t="s">
        <v>174</v>
      </c>
      <c r="N40" s="46" t="s">
        <v>215</v>
      </c>
      <c r="O40" s="48" t="s">
        <v>94</v>
      </c>
      <c r="P40" s="48" t="s">
        <v>88</v>
      </c>
    </row>
    <row r="41" spans="1:16" hidden="1" x14ac:dyDescent="0.25">
      <c r="A41" s="46" t="s">
        <v>111</v>
      </c>
      <c r="B41" s="46" t="s">
        <v>216</v>
      </c>
      <c r="C41" s="47" t="s">
        <v>217</v>
      </c>
      <c r="D41" s="46" t="s">
        <v>103</v>
      </c>
      <c r="E41" s="48" t="s">
        <v>160</v>
      </c>
      <c r="F41" s="46"/>
      <c r="G41" s="46" t="s">
        <v>139</v>
      </c>
      <c r="H41" s="46" t="s">
        <v>61</v>
      </c>
      <c r="I41" s="46" t="s">
        <v>90</v>
      </c>
      <c r="J41" s="46" t="s">
        <v>140</v>
      </c>
      <c r="K41" s="46" t="s">
        <v>91</v>
      </c>
      <c r="L41" s="46"/>
      <c r="M41" s="46" t="s">
        <v>174</v>
      </c>
      <c r="N41" s="46" t="s">
        <v>212</v>
      </c>
      <c r="O41" s="48" t="s">
        <v>94</v>
      </c>
      <c r="P41" s="48" t="s">
        <v>88</v>
      </c>
    </row>
    <row r="42" spans="1:16" hidden="1" x14ac:dyDescent="0.25">
      <c r="A42" s="46" t="s">
        <v>111</v>
      </c>
      <c r="B42" s="46" t="s">
        <v>218</v>
      </c>
      <c r="C42" s="47" t="s">
        <v>219</v>
      </c>
      <c r="D42" s="46" t="s">
        <v>103</v>
      </c>
      <c r="E42" s="48" t="s">
        <v>160</v>
      </c>
      <c r="F42" s="46"/>
      <c r="G42" s="46" t="s">
        <v>139</v>
      </c>
      <c r="H42" s="46" t="s">
        <v>61</v>
      </c>
      <c r="I42" s="46" t="s">
        <v>90</v>
      </c>
      <c r="J42" s="46" t="s">
        <v>91</v>
      </c>
      <c r="K42" s="46" t="s">
        <v>91</v>
      </c>
      <c r="L42" s="46"/>
      <c r="M42" s="46" t="s">
        <v>171</v>
      </c>
      <c r="N42" s="46" t="s">
        <v>212</v>
      </c>
      <c r="O42" s="48" t="s">
        <v>94</v>
      </c>
      <c r="P42" s="48" t="s">
        <v>88</v>
      </c>
    </row>
    <row r="43" spans="1:16" hidden="1" x14ac:dyDescent="0.25">
      <c r="A43" s="46" t="s">
        <v>111</v>
      </c>
      <c r="B43" s="46" t="s">
        <v>220</v>
      </c>
      <c r="C43" s="47" t="s">
        <v>221</v>
      </c>
      <c r="D43" s="46" t="s">
        <v>103</v>
      </c>
      <c r="E43" s="48" t="s">
        <v>160</v>
      </c>
      <c r="F43" s="46"/>
      <c r="G43" s="46" t="s">
        <v>139</v>
      </c>
      <c r="H43" s="46" t="s">
        <v>61</v>
      </c>
      <c r="I43" s="46" t="s">
        <v>90</v>
      </c>
      <c r="J43" s="46" t="s">
        <v>140</v>
      </c>
      <c r="K43" s="46" t="s">
        <v>91</v>
      </c>
      <c r="L43" s="46"/>
      <c r="M43" s="46" t="s">
        <v>187</v>
      </c>
      <c r="N43" s="46" t="s">
        <v>168</v>
      </c>
      <c r="O43" s="48" t="s">
        <v>94</v>
      </c>
      <c r="P43" s="48" t="s">
        <v>88</v>
      </c>
    </row>
    <row r="44" spans="1:16" x14ac:dyDescent="0.25">
      <c r="A44" s="46" t="s">
        <v>111</v>
      </c>
      <c r="B44" s="46" t="s">
        <v>146</v>
      </c>
      <c r="C44" s="47" t="s">
        <v>147</v>
      </c>
      <c r="D44" s="46" t="s">
        <v>87</v>
      </c>
      <c r="E44" s="48" t="s">
        <v>222</v>
      </c>
      <c r="F44" s="46"/>
      <c r="G44" s="46" t="s">
        <v>99</v>
      </c>
      <c r="H44" s="46" t="s">
        <v>99</v>
      </c>
      <c r="I44" s="46" t="s">
        <v>90</v>
      </c>
      <c r="J44" s="46" t="s">
        <v>91</v>
      </c>
      <c r="K44" s="46" t="s">
        <v>91</v>
      </c>
      <c r="L44" s="46"/>
      <c r="M44" s="46" t="s">
        <v>92</v>
      </c>
      <c r="N44" s="46" t="s">
        <v>223</v>
      </c>
      <c r="O44" s="48" t="s">
        <v>150</v>
      </c>
      <c r="P44" s="48" t="s">
        <v>88</v>
      </c>
    </row>
    <row r="45" spans="1:16" hidden="1" x14ac:dyDescent="0.25">
      <c r="A45" s="46" t="s">
        <v>111</v>
      </c>
      <c r="B45" s="46" t="s">
        <v>172</v>
      </c>
      <c r="C45" s="47" t="s">
        <v>173</v>
      </c>
      <c r="D45" s="46" t="s">
        <v>87</v>
      </c>
      <c r="E45" s="48" t="s">
        <v>138</v>
      </c>
      <c r="F45" s="46"/>
      <c r="G45" s="46" t="s">
        <v>139</v>
      </c>
      <c r="H45" s="46" t="s">
        <v>61</v>
      </c>
      <c r="I45" s="46" t="s">
        <v>90</v>
      </c>
      <c r="J45" s="46" t="s">
        <v>140</v>
      </c>
      <c r="K45" s="46" t="s">
        <v>91</v>
      </c>
      <c r="L45" s="46"/>
      <c r="M45" s="46" t="s">
        <v>92</v>
      </c>
      <c r="N45" s="46" t="s">
        <v>224</v>
      </c>
      <c r="O45" s="48" t="s">
        <v>94</v>
      </c>
      <c r="P45" s="48" t="s">
        <v>88</v>
      </c>
    </row>
    <row r="46" spans="1:16" hidden="1" x14ac:dyDescent="0.25">
      <c r="A46" s="46" t="s">
        <v>111</v>
      </c>
      <c r="B46" s="46" t="s">
        <v>178</v>
      </c>
      <c r="C46" s="47" t="s">
        <v>179</v>
      </c>
      <c r="D46" s="46" t="s">
        <v>87</v>
      </c>
      <c r="E46" s="48" t="s">
        <v>222</v>
      </c>
      <c r="F46" s="46">
        <v>18</v>
      </c>
      <c r="G46" s="46" t="s">
        <v>89</v>
      </c>
      <c r="H46" s="46" t="s">
        <v>61</v>
      </c>
      <c r="I46" s="46" t="s">
        <v>90</v>
      </c>
      <c r="J46" s="46" t="s">
        <v>140</v>
      </c>
      <c r="K46" s="46" t="s">
        <v>91</v>
      </c>
      <c r="L46" s="46"/>
      <c r="M46" s="46" t="s">
        <v>92</v>
      </c>
      <c r="N46" s="46" t="s">
        <v>224</v>
      </c>
      <c r="O46" s="48" t="s">
        <v>94</v>
      </c>
      <c r="P46" s="48" t="s">
        <v>88</v>
      </c>
    </row>
    <row r="47" spans="1:16" hidden="1" x14ac:dyDescent="0.25">
      <c r="A47" s="46" t="s">
        <v>111</v>
      </c>
      <c r="B47" s="46" t="s">
        <v>175</v>
      </c>
      <c r="C47" s="47" t="s">
        <v>176</v>
      </c>
      <c r="D47" s="46" t="s">
        <v>87</v>
      </c>
      <c r="E47" s="48" t="s">
        <v>138</v>
      </c>
      <c r="F47" s="46"/>
      <c r="G47" s="46" t="s">
        <v>139</v>
      </c>
      <c r="H47" s="46" t="s">
        <v>61</v>
      </c>
      <c r="I47" s="46" t="s">
        <v>90</v>
      </c>
      <c r="J47" s="46" t="s">
        <v>140</v>
      </c>
      <c r="K47" s="46" t="s">
        <v>91</v>
      </c>
      <c r="L47" s="46"/>
      <c r="M47" s="46" t="s">
        <v>92</v>
      </c>
      <c r="N47" s="46" t="s">
        <v>224</v>
      </c>
      <c r="O47" s="48" t="s">
        <v>94</v>
      </c>
      <c r="P47" s="48" t="s">
        <v>88</v>
      </c>
    </row>
    <row r="48" spans="1:16" hidden="1" x14ac:dyDescent="0.25">
      <c r="A48" s="46" t="s">
        <v>111</v>
      </c>
      <c r="B48" s="46" t="s">
        <v>165</v>
      </c>
      <c r="C48" s="47" t="s">
        <v>166</v>
      </c>
      <c r="D48" s="46" t="s">
        <v>87</v>
      </c>
      <c r="E48" s="48" t="s">
        <v>138</v>
      </c>
      <c r="F48" s="46"/>
      <c r="G48" s="46" t="s">
        <v>139</v>
      </c>
      <c r="H48" s="46" t="s">
        <v>61</v>
      </c>
      <c r="I48" s="46" t="s">
        <v>90</v>
      </c>
      <c r="J48" s="46" t="s">
        <v>140</v>
      </c>
      <c r="K48" s="46" t="s">
        <v>91</v>
      </c>
      <c r="L48" s="46"/>
      <c r="M48" s="46" t="s">
        <v>92</v>
      </c>
      <c r="N48" s="46" t="s">
        <v>224</v>
      </c>
      <c r="O48" s="48" t="s">
        <v>94</v>
      </c>
      <c r="P48" s="48" t="s">
        <v>88</v>
      </c>
    </row>
    <row r="49" spans="1:16" hidden="1" x14ac:dyDescent="0.25">
      <c r="A49" s="46" t="s">
        <v>111</v>
      </c>
      <c r="B49" s="46" t="s">
        <v>169</v>
      </c>
      <c r="C49" s="47" t="s">
        <v>170</v>
      </c>
      <c r="D49" s="46" t="s">
        <v>87</v>
      </c>
      <c r="E49" s="48" t="s">
        <v>138</v>
      </c>
      <c r="F49" s="46"/>
      <c r="G49" s="46" t="s">
        <v>99</v>
      </c>
      <c r="H49" s="46" t="s">
        <v>99</v>
      </c>
      <c r="I49" s="46" t="s">
        <v>90</v>
      </c>
      <c r="J49" s="46" t="s">
        <v>140</v>
      </c>
      <c r="K49" s="46" t="s">
        <v>91</v>
      </c>
      <c r="L49" s="46"/>
      <c r="M49" s="46" t="s">
        <v>92</v>
      </c>
      <c r="N49" s="46" t="s">
        <v>224</v>
      </c>
      <c r="O49" s="48" t="s">
        <v>150</v>
      </c>
      <c r="P49" s="48" t="s">
        <v>88</v>
      </c>
    </row>
    <row r="50" spans="1:16" hidden="1" x14ac:dyDescent="0.25">
      <c r="A50" s="46" t="s">
        <v>111</v>
      </c>
      <c r="B50" s="46" t="s">
        <v>208</v>
      </c>
      <c r="C50" s="47" t="s">
        <v>209</v>
      </c>
      <c r="D50" s="46" t="s">
        <v>87</v>
      </c>
      <c r="E50" s="48" t="s">
        <v>222</v>
      </c>
      <c r="F50" s="46">
        <v>18</v>
      </c>
      <c r="G50" s="46" t="s">
        <v>89</v>
      </c>
      <c r="H50" s="46" t="s">
        <v>61</v>
      </c>
      <c r="I50" s="46" t="s">
        <v>90</v>
      </c>
      <c r="J50" s="46" t="s">
        <v>140</v>
      </c>
      <c r="K50" s="46" t="s">
        <v>91</v>
      </c>
      <c r="L50" s="46"/>
      <c r="M50" s="46" t="s">
        <v>225</v>
      </c>
      <c r="N50" s="46" t="s">
        <v>226</v>
      </c>
      <c r="O50" s="48" t="s">
        <v>94</v>
      </c>
      <c r="P50" s="48" t="s">
        <v>227</v>
      </c>
    </row>
    <row r="51" spans="1:16" hidden="1" x14ac:dyDescent="0.25">
      <c r="A51" s="46" t="s">
        <v>111</v>
      </c>
      <c r="B51" s="46" t="s">
        <v>213</v>
      </c>
      <c r="C51" s="47" t="s">
        <v>214</v>
      </c>
      <c r="D51" s="46" t="s">
        <v>87</v>
      </c>
      <c r="E51" s="48" t="s">
        <v>222</v>
      </c>
      <c r="F51" s="46">
        <v>18</v>
      </c>
      <c r="G51" s="46" t="s">
        <v>89</v>
      </c>
      <c r="H51" s="46" t="s">
        <v>61</v>
      </c>
      <c r="I51" s="46" t="s">
        <v>90</v>
      </c>
      <c r="J51" s="46" t="s">
        <v>91</v>
      </c>
      <c r="K51" s="46" t="s">
        <v>91</v>
      </c>
      <c r="L51" s="46"/>
      <c r="M51" s="46" t="s">
        <v>225</v>
      </c>
      <c r="N51" s="46" t="s">
        <v>228</v>
      </c>
      <c r="O51" s="48" t="s">
        <v>94</v>
      </c>
      <c r="P51" s="48" t="s">
        <v>227</v>
      </c>
    </row>
    <row r="52" spans="1:16" hidden="1" x14ac:dyDescent="0.25">
      <c r="A52" s="46" t="s">
        <v>111</v>
      </c>
      <c r="B52" s="46" t="s">
        <v>218</v>
      </c>
      <c r="C52" s="47" t="s">
        <v>219</v>
      </c>
      <c r="D52" s="46" t="s">
        <v>87</v>
      </c>
      <c r="E52" s="48" t="s">
        <v>222</v>
      </c>
      <c r="F52" s="46">
        <v>18</v>
      </c>
      <c r="G52" s="46" t="s">
        <v>89</v>
      </c>
      <c r="H52" s="46" t="s">
        <v>61</v>
      </c>
      <c r="I52" s="46" t="s">
        <v>90</v>
      </c>
      <c r="J52" s="46" t="s">
        <v>91</v>
      </c>
      <c r="K52" s="46" t="s">
        <v>91</v>
      </c>
      <c r="L52" s="46"/>
      <c r="M52" s="46" t="s">
        <v>225</v>
      </c>
      <c r="N52" s="46" t="s">
        <v>229</v>
      </c>
      <c r="O52" s="48" t="s">
        <v>94</v>
      </c>
      <c r="P52" s="48" t="s">
        <v>227</v>
      </c>
    </row>
    <row r="53" spans="1:16" hidden="1" x14ac:dyDescent="0.25">
      <c r="A53" s="46" t="s">
        <v>111</v>
      </c>
      <c r="B53" s="46" t="s">
        <v>112</v>
      </c>
      <c r="C53" s="47" t="s">
        <v>3</v>
      </c>
      <c r="D53" s="46" t="s">
        <v>103</v>
      </c>
      <c r="E53" s="48" t="s">
        <v>230</v>
      </c>
      <c r="F53" s="46">
        <v>125</v>
      </c>
      <c r="G53" s="46" t="s">
        <v>89</v>
      </c>
      <c r="H53" s="46" t="s">
        <v>61</v>
      </c>
      <c r="I53" s="46" t="s">
        <v>90</v>
      </c>
      <c r="J53" s="46" t="s">
        <v>140</v>
      </c>
      <c r="K53" s="46" t="s">
        <v>91</v>
      </c>
      <c r="L53" s="46"/>
      <c r="M53" s="46" t="s">
        <v>231</v>
      </c>
      <c r="N53" s="46" t="s">
        <v>232</v>
      </c>
      <c r="O53" s="48" t="s">
        <v>94</v>
      </c>
      <c r="P53" s="48" t="s">
        <v>227</v>
      </c>
    </row>
    <row r="54" spans="1:16" hidden="1" x14ac:dyDescent="0.25">
      <c r="A54" s="46" t="s">
        <v>111</v>
      </c>
      <c r="B54" s="46" t="s">
        <v>112</v>
      </c>
      <c r="C54" s="47" t="s">
        <v>3</v>
      </c>
      <c r="D54" s="46" t="s">
        <v>98</v>
      </c>
      <c r="E54" s="48" t="s">
        <v>227</v>
      </c>
      <c r="F54" s="46">
        <v>1</v>
      </c>
      <c r="G54" s="46" t="s">
        <v>89</v>
      </c>
      <c r="H54" s="46" t="s">
        <v>61</v>
      </c>
      <c r="I54" s="46" t="s">
        <v>90</v>
      </c>
      <c r="J54" s="46" t="s">
        <v>113</v>
      </c>
      <c r="K54" s="46" t="s">
        <v>91</v>
      </c>
      <c r="L54" s="46"/>
      <c r="M54" s="46" t="s">
        <v>233</v>
      </c>
      <c r="N54" s="46" t="s">
        <v>234</v>
      </c>
      <c r="O54" s="48" t="s">
        <v>94</v>
      </c>
      <c r="P54" s="48" t="s">
        <v>227</v>
      </c>
    </row>
    <row r="55" spans="1:16" hidden="1" x14ac:dyDescent="0.25">
      <c r="A55" s="46" t="s">
        <v>111</v>
      </c>
      <c r="B55" s="46" t="s">
        <v>235</v>
      </c>
      <c r="C55" s="47" t="s">
        <v>236</v>
      </c>
      <c r="D55" s="46" t="s">
        <v>87</v>
      </c>
      <c r="E55" s="48" t="s">
        <v>116</v>
      </c>
      <c r="F55" s="46"/>
      <c r="G55" s="46" t="s">
        <v>99</v>
      </c>
      <c r="H55" s="46" t="s">
        <v>99</v>
      </c>
      <c r="I55" s="46" t="s">
        <v>90</v>
      </c>
      <c r="J55" s="46" t="s">
        <v>91</v>
      </c>
      <c r="K55" s="46" t="s">
        <v>91</v>
      </c>
      <c r="L55" s="46"/>
      <c r="M55" s="46" t="s">
        <v>92</v>
      </c>
      <c r="N55" s="46" t="s">
        <v>136</v>
      </c>
      <c r="O55" s="48" t="s">
        <v>150</v>
      </c>
      <c r="P55" s="48" t="s">
        <v>227</v>
      </c>
    </row>
    <row r="56" spans="1:16" hidden="1" x14ac:dyDescent="0.25">
      <c r="A56" s="46" t="s">
        <v>111</v>
      </c>
      <c r="B56" s="46" t="s">
        <v>158</v>
      </c>
      <c r="C56" s="47" t="s">
        <v>159</v>
      </c>
      <c r="D56" s="46" t="s">
        <v>87</v>
      </c>
      <c r="E56" s="48" t="s">
        <v>116</v>
      </c>
      <c r="F56" s="46">
        <v>48</v>
      </c>
      <c r="G56" s="46" t="s">
        <v>89</v>
      </c>
      <c r="H56" s="46" t="s">
        <v>61</v>
      </c>
      <c r="I56" s="46" t="s">
        <v>90</v>
      </c>
      <c r="J56" s="46" t="s">
        <v>91</v>
      </c>
      <c r="K56" s="46" t="s">
        <v>91</v>
      </c>
      <c r="L56" s="46"/>
      <c r="M56" s="46" t="s">
        <v>92</v>
      </c>
      <c r="N56" s="46" t="s">
        <v>136</v>
      </c>
      <c r="O56" s="48" t="s">
        <v>94</v>
      </c>
      <c r="P56" s="48" t="s">
        <v>227</v>
      </c>
    </row>
    <row r="57" spans="1:16" hidden="1" x14ac:dyDescent="0.25">
      <c r="A57" s="46" t="s">
        <v>111</v>
      </c>
      <c r="B57" s="46" t="s">
        <v>237</v>
      </c>
      <c r="C57" s="47" t="s">
        <v>238</v>
      </c>
      <c r="D57" s="46" t="s">
        <v>87</v>
      </c>
      <c r="E57" s="48" t="s">
        <v>116</v>
      </c>
      <c r="F57" s="46">
        <v>48</v>
      </c>
      <c r="G57" s="46" t="s">
        <v>89</v>
      </c>
      <c r="H57" s="46" t="s">
        <v>61</v>
      </c>
      <c r="I57" s="46" t="s">
        <v>90</v>
      </c>
      <c r="J57" s="46" t="s">
        <v>91</v>
      </c>
      <c r="K57" s="46" t="s">
        <v>91</v>
      </c>
      <c r="L57" s="46"/>
      <c r="M57" s="46" t="s">
        <v>92</v>
      </c>
      <c r="N57" s="46" t="s">
        <v>136</v>
      </c>
      <c r="O57" s="48" t="s">
        <v>94</v>
      </c>
      <c r="P57" s="48" t="s">
        <v>227</v>
      </c>
    </row>
    <row r="58" spans="1:16" hidden="1" x14ac:dyDescent="0.25">
      <c r="A58" s="46" t="s">
        <v>111</v>
      </c>
      <c r="B58" s="46" t="s">
        <v>239</v>
      </c>
      <c r="C58" s="47" t="s">
        <v>68</v>
      </c>
      <c r="D58" s="46" t="s">
        <v>98</v>
      </c>
      <c r="E58" s="48" t="s">
        <v>240</v>
      </c>
      <c r="F58" s="46">
        <v>54</v>
      </c>
      <c r="G58" s="46" t="s">
        <v>89</v>
      </c>
      <c r="H58" s="46" t="s">
        <v>61</v>
      </c>
      <c r="I58" s="46" t="s">
        <v>90</v>
      </c>
      <c r="J58" s="46" t="s">
        <v>91</v>
      </c>
      <c r="K58" s="46" t="s">
        <v>91</v>
      </c>
      <c r="L58" s="46"/>
      <c r="M58" s="46" t="s">
        <v>241</v>
      </c>
      <c r="N58" s="46" t="s">
        <v>242</v>
      </c>
      <c r="O58" s="48" t="s">
        <v>94</v>
      </c>
      <c r="P58" s="48" t="s">
        <v>227</v>
      </c>
    </row>
    <row r="59" spans="1:16" hidden="1" x14ac:dyDescent="0.25">
      <c r="A59" s="46" t="s">
        <v>111</v>
      </c>
      <c r="B59" s="46" t="s">
        <v>239</v>
      </c>
      <c r="C59" s="47" t="s">
        <v>68</v>
      </c>
      <c r="D59" s="46" t="s">
        <v>87</v>
      </c>
      <c r="E59" s="48" t="s">
        <v>116</v>
      </c>
      <c r="F59" s="46">
        <v>48</v>
      </c>
      <c r="G59" s="46" t="s">
        <v>89</v>
      </c>
      <c r="H59" s="46" t="s">
        <v>61</v>
      </c>
      <c r="I59" s="46" t="s">
        <v>90</v>
      </c>
      <c r="J59" s="46" t="s">
        <v>91</v>
      </c>
      <c r="K59" s="46" t="s">
        <v>91</v>
      </c>
      <c r="L59" s="46"/>
      <c r="M59" s="46" t="s">
        <v>243</v>
      </c>
      <c r="N59" s="46" t="s">
        <v>244</v>
      </c>
      <c r="O59" s="48" t="s">
        <v>94</v>
      </c>
      <c r="P59" s="48" t="s">
        <v>227</v>
      </c>
    </row>
    <row r="60" spans="1:16" hidden="1" x14ac:dyDescent="0.25">
      <c r="A60" s="46" t="s">
        <v>111</v>
      </c>
      <c r="B60" s="46" t="s">
        <v>239</v>
      </c>
      <c r="C60" s="47" t="s">
        <v>68</v>
      </c>
      <c r="D60" s="46" t="s">
        <v>98</v>
      </c>
      <c r="E60" s="48" t="s">
        <v>227</v>
      </c>
      <c r="F60" s="46">
        <v>1</v>
      </c>
      <c r="G60" s="46" t="s">
        <v>89</v>
      </c>
      <c r="H60" s="46" t="s">
        <v>61</v>
      </c>
      <c r="I60" s="46" t="s">
        <v>90</v>
      </c>
      <c r="J60" s="46" t="s">
        <v>91</v>
      </c>
      <c r="K60" s="46" t="s">
        <v>91</v>
      </c>
      <c r="L60" s="46"/>
      <c r="M60" s="46" t="s">
        <v>245</v>
      </c>
      <c r="N60" s="46" t="s">
        <v>246</v>
      </c>
      <c r="O60" s="48" t="s">
        <v>94</v>
      </c>
      <c r="P60" s="48" t="s">
        <v>227</v>
      </c>
    </row>
  </sheetData>
  <autoFilter ref="A1:P60" xr:uid="{00000000-0001-0000-0100-000000000000}">
    <filterColumn colId="2">
      <filters>
        <filter val="2-003526"/>
      </filters>
    </filterColumn>
  </autoFilter>
  <dataValidations count="3">
    <dataValidation type="list" allowBlank="1" sqref="G2:G200" xr:uid="{00000000-0002-0000-0100-000000000000}">
      <formula1>"Vigente,Vencido,Completado"</formula1>
    </dataValidation>
    <dataValidation type="list" allowBlank="1" sqref="H2:H200" xr:uid="{00000000-0002-0000-0100-000001000000}">
      <formula1>"Por hacer,Completado"</formula1>
    </dataValidation>
    <dataValidation type="list" allowBlank="1" sqref="I2:I200" xr:uid="{00000000-0002-0000-0100-000002000000}">
      <formula1>"Alta,Media,Baja"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100-000003000000}">
          <x14:formula1>
            <xm:f>Catálogos!$A$4:$A$14</xm:f>
          </x14:formula1>
          <xm:sqref>J2:K200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C5A8A"/>
  </sheetPr>
  <dimension ref="B1:T53"/>
  <sheetViews>
    <sheetView showGridLines="0" workbookViewId="0">
      <pane ySplit="4" topLeftCell="A9" activePane="bottomLeft" state="frozen"/>
      <selection pane="bottomLeft" activeCell="B26" sqref="B26"/>
    </sheetView>
  </sheetViews>
  <sheetFormatPr baseColWidth="10" defaultColWidth="9.140625" defaultRowHeight="15" x14ac:dyDescent="0.25"/>
  <cols>
    <col min="1" max="1" width="2" customWidth="1"/>
    <col min="2" max="2" width="20" customWidth="1"/>
    <col min="3" max="3" width="24" customWidth="1"/>
    <col min="4" max="4" width="21.140625" customWidth="1"/>
    <col min="5" max="5" width="20" customWidth="1"/>
    <col min="6" max="7" width="22" customWidth="1"/>
    <col min="8" max="8" width="2" customWidth="1"/>
    <col min="20" max="20" width="13" hidden="1" customWidth="1"/>
  </cols>
  <sheetData>
    <row r="1" spans="2:5" ht="20.25" x14ac:dyDescent="0.3">
      <c r="B1" s="51" t="s">
        <v>0</v>
      </c>
    </row>
    <row r="2" spans="2:5" x14ac:dyDescent="0.25">
      <c r="B2" s="52" t="s">
        <v>1</v>
      </c>
    </row>
    <row r="4" spans="2:5" ht="15.75" x14ac:dyDescent="0.25">
      <c r="B4" s="40" t="s">
        <v>2</v>
      </c>
      <c r="C4" s="81" t="s">
        <v>600</v>
      </c>
    </row>
    <row r="6" spans="2:5" x14ac:dyDescent="0.25">
      <c r="B6" s="40" t="s">
        <v>4</v>
      </c>
    </row>
    <row r="7" spans="2:5" x14ac:dyDescent="0.25">
      <c r="C7" s="82" t="s">
        <v>5</v>
      </c>
      <c r="D7" s="82" t="s">
        <v>6</v>
      </c>
      <c r="E7" s="82" t="s">
        <v>7</v>
      </c>
    </row>
    <row r="8" spans="2:5" x14ac:dyDescent="0.25">
      <c r="C8" s="83" t="str">
        <f>IFERROR(VLOOKUP($C$4,Equipos!$C$2:$M$967,2,FALSE()),"—")</f>
        <v>Monitor Multiparámetros</v>
      </c>
      <c r="D8" s="83" t="str">
        <f>IFERROR(VLOOKUP($C$4,Equipos!$C$2:$M$967,3,FALSE()),"—")</f>
        <v>Pabellón Quirúrgico</v>
      </c>
      <c r="E8" s="83" t="str">
        <f>IFERROR(VLOOKUP($C$4,Equipos!$C$2:$M$967,5,FALSE()),"—")</f>
        <v>Pabellón 7</v>
      </c>
    </row>
    <row r="9" spans="2:5" x14ac:dyDescent="0.25">
      <c r="C9" s="82" t="s">
        <v>8</v>
      </c>
      <c r="D9" s="82" t="s">
        <v>9</v>
      </c>
      <c r="E9" s="82" t="s">
        <v>10</v>
      </c>
    </row>
    <row r="10" spans="2:5" x14ac:dyDescent="0.25">
      <c r="C10" s="83" t="str">
        <f>IFERROR(VLOOKUP($C$4,Equipos!$C$2:$M$967,7,FALSE()),"—")</f>
        <v>Drager</v>
      </c>
      <c r="D10" s="83" t="str">
        <f>IFERROR(VLOOKUP($C$4,Equipos!$C$2:$M$967,8,FALSE()),"—")</f>
        <v>M540</v>
      </c>
      <c r="E10" s="83" t="str">
        <f>IFERROR(VLOOKUP($C$4,Equipos!$C$2:$M$967,9,FALSE()),"—")</f>
        <v>5613543568</v>
      </c>
    </row>
    <row r="12" spans="2:5" x14ac:dyDescent="0.25">
      <c r="B12" s="40" t="s">
        <v>11</v>
      </c>
    </row>
    <row r="13" spans="2:5" x14ac:dyDescent="0.25">
      <c r="B13" s="84" t="s">
        <v>12</v>
      </c>
      <c r="D13" s="85" t="str">
        <f>IF(COUNTIFS('1. Órdenes de Trabajo'!$F$2:$F$301,$C$4,'1. Órdenes de Trabajo'!$J$2:$J$301,"Abierto")&gt;0,"SÍ — en proceso","No")</f>
        <v>SÍ — en proceso</v>
      </c>
    </row>
    <row r="14" spans="2:5" x14ac:dyDescent="0.25">
      <c r="B14" s="84" t="s">
        <v>13</v>
      </c>
      <c r="D14" s="85" t="str">
        <f>IF(SUMPRODUCT(('5. Servicio Técnico (Envíos)'!$C$2:$C$301=$C$4)*('5. Servicio Técnico (Envíos)'!$K$2:$K$301&lt;&gt;"Operativo"))&gt;0,"Sí","No")</f>
        <v>No</v>
      </c>
    </row>
    <row r="15" spans="2:5" x14ac:dyDescent="0.25">
      <c r="B15" s="84" t="s">
        <v>14</v>
      </c>
      <c r="D15" s="85">
        <f>COUNTIFS(Pendientes!$C$2:$C$200,$C$4,Pendientes!$H$2:$H$200,"Por hacer")</f>
        <v>0</v>
      </c>
    </row>
    <row r="16" spans="2:5" x14ac:dyDescent="0.25">
      <c r="B16" s="84" t="s">
        <v>15</v>
      </c>
      <c r="D16" s="85" t="str">
        <f>IFERROR(VLOOKUP($C$4,'MP Carta 2026'!$A$4:$Z$969,22,FALSE())&amp;" / "&amp;VLOOKUP($C$4,'MP Carta 2026'!$A$4:$Z$969,21,FALSE()),"—")</f>
        <v>1 / 1</v>
      </c>
    </row>
    <row r="18" spans="2:20" x14ac:dyDescent="0.25">
      <c r="B18" s="65" t="s">
        <v>16</v>
      </c>
    </row>
    <row r="19" spans="2:20" x14ac:dyDescent="0.25">
      <c r="B19" s="86" t="s">
        <v>17</v>
      </c>
      <c r="C19" s="86" t="s">
        <v>18</v>
      </c>
      <c r="D19" s="86" t="s">
        <v>19</v>
      </c>
      <c r="E19" s="86" t="s">
        <v>20</v>
      </c>
      <c r="F19" s="86" t="s">
        <v>21</v>
      </c>
      <c r="G19" s="86" t="s">
        <v>22</v>
      </c>
    </row>
    <row r="20" spans="2:20" x14ac:dyDescent="0.25">
      <c r="B20" s="87">
        <f>IFERROR(VLOOKUP($C$4,'MP Carta 2026'!$A$4:$T$969,9,FALSE()),"")</f>
        <v>0</v>
      </c>
      <c r="C20" s="87">
        <f>IFERROR(VLOOKUP($C$4,'MP Carta 2026'!$A$4:$T$969,10,FALSE()),"")</f>
        <v>0</v>
      </c>
      <c r="D20" s="87">
        <f>IFERROR(VLOOKUP($C$4,'MP Carta 2026'!$A$4:$T$969,11,FALSE()),"")</f>
        <v>0</v>
      </c>
      <c r="E20" s="87" t="str">
        <f>IFERROR(VLOOKUP($C$4,'MP Carta 2026'!$A$4:$T$969,12,FALSE()),"")</f>
        <v>E</v>
      </c>
      <c r="F20" s="87">
        <f>IFERROR(VLOOKUP($C$4,'MP Carta 2026'!$A$4:$T$969,13,FALSE()),"")</f>
        <v>0</v>
      </c>
      <c r="G20" s="87">
        <f>IFERROR(VLOOKUP($C$4,'MP Carta 2026'!$A$4:$T$969,14,FALSE()),"")</f>
        <v>0</v>
      </c>
    </row>
    <row r="21" spans="2:20" x14ac:dyDescent="0.25">
      <c r="B21" s="86" t="s">
        <v>23</v>
      </c>
      <c r="C21" s="86" t="s">
        <v>24</v>
      </c>
      <c r="D21" s="86" t="s">
        <v>25</v>
      </c>
      <c r="E21" s="86" t="s">
        <v>26</v>
      </c>
      <c r="F21" s="86" t="s">
        <v>27</v>
      </c>
      <c r="G21" s="86" t="s">
        <v>28</v>
      </c>
    </row>
    <row r="22" spans="2:20" x14ac:dyDescent="0.25">
      <c r="B22" s="87">
        <f>IFERROR(VLOOKUP($C$4,'MP Carta 2026'!$A$4:$T$969,15,FALSE()),"")</f>
        <v>0</v>
      </c>
      <c r="C22" s="87">
        <f>IFERROR(VLOOKUP($C$4,'MP Carta 2026'!$A$4:$T$969,16,FALSE()),"")</f>
        <v>0</v>
      </c>
      <c r="D22" s="87">
        <f>IFERROR(VLOOKUP($C$4,'MP Carta 2026'!$A$4:$T$969,17,FALSE()),"")</f>
        <v>0</v>
      </c>
      <c r="E22" s="87">
        <f>IFERROR(VLOOKUP($C$4,'MP Carta 2026'!$A$4:$T$969,18,FALSE()),"")</f>
        <v>0</v>
      </c>
      <c r="F22" s="87">
        <f>IFERROR(VLOOKUP($C$4,'MP Carta 2026'!$A$4:$T$969,19,FALSE()),"")</f>
        <v>0</v>
      </c>
      <c r="G22" s="87">
        <f>IFERROR(VLOOKUP($C$4,'MP Carta 2026'!$A$4:$T$969,20,FALSE()),"")</f>
        <v>0</v>
      </c>
    </row>
    <row r="24" spans="2:20" x14ac:dyDescent="0.25">
      <c r="B24" s="88" t="s">
        <v>29</v>
      </c>
    </row>
    <row r="25" spans="2:20" x14ac:dyDescent="0.25">
      <c r="B25" s="89" t="s">
        <v>30</v>
      </c>
      <c r="C25" s="89" t="s">
        <v>31</v>
      </c>
      <c r="D25" s="89" t="s">
        <v>32</v>
      </c>
      <c r="E25" s="89" t="s">
        <v>33</v>
      </c>
      <c r="F25" s="89" t="s">
        <v>34</v>
      </c>
    </row>
    <row r="26" spans="2:20" x14ac:dyDescent="0.25">
      <c r="B26" s="90" t="str">
        <f ca="1">IFERROR(INDEX('1. Órdenes de Trabajo'!$A$2:$A$301,$T26),"")</f>
        <v/>
      </c>
      <c r="C26" s="91" t="str">
        <f ca="1">IFERROR(INDEX('1. Órdenes de Trabajo'!$B$2:$B$301,$T26),"")</f>
        <v/>
      </c>
      <c r="D26" s="90" t="str">
        <f ca="1">IFERROR(INDEX('1. Órdenes de Trabajo'!$D$2:$D$301,$T26),"")</f>
        <v/>
      </c>
      <c r="E26" s="90" t="str">
        <f ca="1">IFERROR(INDEX('1. Órdenes de Trabajo'!$J$2:$J$301,$T26),"")</f>
        <v/>
      </c>
      <c r="F26" s="90" t="str">
        <f ca="1">IFERROR(INDEX('1. Órdenes de Trabajo'!$K$2:$K$301,$T26),"")</f>
        <v/>
      </c>
      <c r="T26" t="str">
        <f ca="1">IFERROR(_xludf.AGGREGATE(15,6,(ROW('1. Órdenes de Trabajo'!$F$2:$F$301)-ROW('1. Órdenes de Trabajo'!$F$2)+1)/('1. Órdenes de Trabajo'!$F$2:$F$301=$C$4),1),"")</f>
        <v/>
      </c>
    </row>
    <row r="27" spans="2:20" x14ac:dyDescent="0.25">
      <c r="B27" s="90" t="str">
        <f ca="1">IFERROR(INDEX('1. Órdenes de Trabajo'!$A$2:$A$301,$T27),"")</f>
        <v/>
      </c>
      <c r="C27" s="91" t="str">
        <f ca="1">IFERROR(INDEX('1. Órdenes de Trabajo'!$B$2:$B$301,$T27),"")</f>
        <v/>
      </c>
      <c r="D27" s="90" t="str">
        <f ca="1">IFERROR(INDEX('1. Órdenes de Trabajo'!$D$2:$D$301,$T27),"")</f>
        <v/>
      </c>
      <c r="E27" s="90" t="str">
        <f ca="1">IFERROR(INDEX('1. Órdenes de Trabajo'!$J$2:$J$301,$T27),"")</f>
        <v/>
      </c>
      <c r="F27" s="90" t="str">
        <f ca="1">IFERROR(INDEX('1. Órdenes de Trabajo'!$K$2:$K$301,$T27),"")</f>
        <v/>
      </c>
      <c r="T27" t="str">
        <f ca="1">IFERROR(_xludf.AGGREGATE(15,6,(ROW('1. Órdenes de Trabajo'!$F$2:$F$301)-ROW('1. Órdenes de Trabajo'!$F$2)+1)/('1. Órdenes de Trabajo'!$F$2:$F$301=$C$4),2),"")</f>
        <v/>
      </c>
    </row>
    <row r="28" spans="2:20" x14ac:dyDescent="0.25">
      <c r="B28" s="90" t="str">
        <f ca="1">IFERROR(INDEX('1. Órdenes de Trabajo'!$A$2:$A$301,$T28),"")</f>
        <v/>
      </c>
      <c r="C28" s="91" t="str">
        <f ca="1">IFERROR(INDEX('1. Órdenes de Trabajo'!$B$2:$B$301,$T28),"")</f>
        <v/>
      </c>
      <c r="D28" s="90" t="str">
        <f ca="1">IFERROR(INDEX('1. Órdenes de Trabajo'!$D$2:$D$301,$T28),"")</f>
        <v/>
      </c>
      <c r="E28" s="90" t="str">
        <f ca="1">IFERROR(INDEX('1. Órdenes de Trabajo'!$J$2:$J$301,$T28),"")</f>
        <v/>
      </c>
      <c r="F28" s="90" t="str">
        <f ca="1">IFERROR(INDEX('1. Órdenes de Trabajo'!$K$2:$K$301,$T28),"")</f>
        <v/>
      </c>
      <c r="T28" t="str">
        <f ca="1">IFERROR(_xludf.AGGREGATE(15,6,(ROW('1. Órdenes de Trabajo'!$F$2:$F$301)-ROW('1. Órdenes de Trabajo'!$F$2)+1)/('1. Órdenes de Trabajo'!$F$2:$F$301=$C$4),3),"")</f>
        <v/>
      </c>
    </row>
    <row r="29" spans="2:20" x14ac:dyDescent="0.25">
      <c r="B29" s="90" t="str">
        <f ca="1">IFERROR(INDEX('1. Órdenes de Trabajo'!$A$2:$A$301,$T29),"")</f>
        <v/>
      </c>
      <c r="C29" s="91" t="str">
        <f ca="1">IFERROR(INDEX('1. Órdenes de Trabajo'!$B$2:$B$301,$T29),"")</f>
        <v/>
      </c>
      <c r="D29" s="90" t="str">
        <f ca="1">IFERROR(INDEX('1. Órdenes de Trabajo'!$D$2:$D$301,$T29),"")</f>
        <v/>
      </c>
      <c r="E29" s="90" t="str">
        <f ca="1">IFERROR(INDEX('1. Órdenes de Trabajo'!$J$2:$J$301,$T29),"")</f>
        <v/>
      </c>
      <c r="F29" s="90" t="str">
        <f ca="1">IFERROR(INDEX('1. Órdenes de Trabajo'!$K$2:$K$301,$T29),"")</f>
        <v/>
      </c>
      <c r="T29" t="str">
        <f ca="1">IFERROR(_xludf.AGGREGATE(15,6,(ROW('1. Órdenes de Trabajo'!$F$2:$F$301)-ROW('1. Órdenes de Trabajo'!$F$2)+1)/('1. Órdenes de Trabajo'!$F$2:$F$301=$C$4),4),"")</f>
        <v/>
      </c>
    </row>
    <row r="30" spans="2:20" x14ac:dyDescent="0.25">
      <c r="B30" s="90" t="str">
        <f ca="1">IFERROR(INDEX('1. Órdenes de Trabajo'!$A$2:$A$301,$T30),"")</f>
        <v/>
      </c>
      <c r="C30" s="91" t="str">
        <f ca="1">IFERROR(INDEX('1. Órdenes de Trabajo'!$B$2:$B$301,$T30),"")</f>
        <v/>
      </c>
      <c r="D30" s="90" t="str">
        <f ca="1">IFERROR(INDEX('1. Órdenes de Trabajo'!$D$2:$D$301,$T30),"")</f>
        <v/>
      </c>
      <c r="E30" s="90" t="str">
        <f ca="1">IFERROR(INDEX('1. Órdenes de Trabajo'!$J$2:$J$301,$T30),"")</f>
        <v/>
      </c>
      <c r="F30" s="90" t="str">
        <f ca="1">IFERROR(INDEX('1. Órdenes de Trabajo'!$K$2:$K$301,$T30),"")</f>
        <v/>
      </c>
      <c r="T30" t="str">
        <f ca="1">IFERROR(_xludf.AGGREGATE(15,6,(ROW('1. Órdenes de Trabajo'!$F$2:$F$301)-ROW('1. Órdenes de Trabajo'!$F$2)+1)/('1. Órdenes de Trabajo'!$F$2:$F$301=$C$4),5),"")</f>
        <v/>
      </c>
    </row>
    <row r="31" spans="2:20" x14ac:dyDescent="0.25">
      <c r="B31" s="90" t="str">
        <f ca="1">IFERROR(INDEX('1. Órdenes de Trabajo'!$A$2:$A$301,$T31),"")</f>
        <v/>
      </c>
      <c r="C31" s="91" t="str">
        <f ca="1">IFERROR(INDEX('1. Órdenes de Trabajo'!$B$2:$B$301,$T31),"")</f>
        <v/>
      </c>
      <c r="D31" s="90" t="str">
        <f ca="1">IFERROR(INDEX('1. Órdenes de Trabajo'!$D$2:$D$301,$T31),"")</f>
        <v/>
      </c>
      <c r="E31" s="90" t="str">
        <f ca="1">IFERROR(INDEX('1. Órdenes de Trabajo'!$J$2:$J$301,$T31),"")</f>
        <v/>
      </c>
      <c r="F31" s="90" t="str">
        <f ca="1">IFERROR(INDEX('1. Órdenes de Trabajo'!$K$2:$K$301,$T31),"")</f>
        <v/>
      </c>
      <c r="T31" t="str">
        <f ca="1">IFERROR(_xludf.AGGREGATE(15,6,(ROW('1. Órdenes de Trabajo'!$F$2:$F$301)-ROW('1. Órdenes de Trabajo'!$F$2)+1)/('1. Órdenes de Trabajo'!$F$2:$F$301=$C$4),6),"")</f>
        <v/>
      </c>
    </row>
    <row r="33" spans="2:20" x14ac:dyDescent="0.25">
      <c r="B33" s="65" t="s">
        <v>35</v>
      </c>
    </row>
    <row r="34" spans="2:20" x14ac:dyDescent="0.25">
      <c r="B34" s="92" t="s">
        <v>36</v>
      </c>
      <c r="C34" s="92" t="s">
        <v>37</v>
      </c>
      <c r="D34" s="92" t="s">
        <v>38</v>
      </c>
      <c r="E34" s="92" t="s">
        <v>39</v>
      </c>
    </row>
    <row r="35" spans="2:20" x14ac:dyDescent="0.25">
      <c r="B35" s="90" t="str">
        <f ca="1">IFERROR(INDEX('Registro MP'!$G$2:$G$301,$T35),"")</f>
        <v/>
      </c>
      <c r="C35" s="90" t="str">
        <f ca="1">IFERROR(INDEX('Registro MP'!$J$2:$J$301,$T35),"")</f>
        <v/>
      </c>
      <c r="D35" s="91" t="str">
        <f ca="1">IFERROR(INDEX('Registro MP'!$L$2:$L$301,$T35),"")</f>
        <v/>
      </c>
      <c r="E35" s="90" t="str">
        <f ca="1">IFERROR(INDEX('Registro MP'!$N$2:$N$301,$T35),"")</f>
        <v/>
      </c>
      <c r="T35" t="str">
        <f ca="1">IFERROR(_xludf.AGGREGATE(15,6,(ROW('Registro MP'!$A$2:$A$301)-ROW('Registro MP'!$A$2)+1)/('Registro MP'!$A$2:$A$301=$C$4),1),"")</f>
        <v/>
      </c>
    </row>
    <row r="36" spans="2:20" x14ac:dyDescent="0.25">
      <c r="B36" s="90" t="str">
        <f ca="1">IFERROR(INDEX('Registro MP'!$G$2:$G$301,$T36),"")</f>
        <v/>
      </c>
      <c r="C36" s="90" t="str">
        <f ca="1">IFERROR(INDEX('Registro MP'!$J$2:$J$301,$T36),"")</f>
        <v/>
      </c>
      <c r="D36" s="91" t="str">
        <f ca="1">IFERROR(INDEX('Registro MP'!$L$2:$L$301,$T36),"")</f>
        <v/>
      </c>
      <c r="E36" s="90" t="str">
        <f ca="1">IFERROR(INDEX('Registro MP'!$N$2:$N$301,$T36),"")</f>
        <v/>
      </c>
      <c r="T36" t="str">
        <f ca="1">IFERROR(_xludf.AGGREGATE(15,6,(ROW('Registro MP'!$A$2:$A$301)-ROW('Registro MP'!$A$2)+1)/('Registro MP'!$A$2:$A$301=$C$4),2),"")</f>
        <v/>
      </c>
    </row>
    <row r="37" spans="2:20" x14ac:dyDescent="0.25">
      <c r="B37" s="90" t="str">
        <f ca="1">IFERROR(INDEX('Registro MP'!$G$2:$G$301,$T37),"")</f>
        <v/>
      </c>
      <c r="C37" s="90" t="str">
        <f ca="1">IFERROR(INDEX('Registro MP'!$J$2:$J$301,$T37),"")</f>
        <v/>
      </c>
      <c r="D37" s="91" t="str">
        <f ca="1">IFERROR(INDEX('Registro MP'!$L$2:$L$301,$T37),"")</f>
        <v/>
      </c>
      <c r="E37" s="90" t="str">
        <f ca="1">IFERROR(INDEX('Registro MP'!$N$2:$N$301,$T37),"")</f>
        <v/>
      </c>
      <c r="T37" t="str">
        <f ca="1">IFERROR(_xludf.AGGREGATE(15,6,(ROW('Registro MP'!$A$2:$A$301)-ROW('Registro MP'!$A$2)+1)/('Registro MP'!$A$2:$A$301=$C$4),3),"")</f>
        <v/>
      </c>
    </row>
    <row r="38" spans="2:20" x14ac:dyDescent="0.25">
      <c r="B38" s="90" t="str">
        <f ca="1">IFERROR(INDEX('Registro MP'!$G$2:$G$301,$T38),"")</f>
        <v/>
      </c>
      <c r="C38" s="90" t="str">
        <f ca="1">IFERROR(INDEX('Registro MP'!$J$2:$J$301,$T38),"")</f>
        <v/>
      </c>
      <c r="D38" s="91" t="str">
        <f ca="1">IFERROR(INDEX('Registro MP'!$L$2:$L$301,$T38),"")</f>
        <v/>
      </c>
      <c r="E38" s="90" t="str">
        <f ca="1">IFERROR(INDEX('Registro MP'!$N$2:$N$301,$T38),"")</f>
        <v/>
      </c>
      <c r="T38" t="str">
        <f ca="1">IFERROR(_xludf.AGGREGATE(15,6,(ROW('Registro MP'!$A$2:$A$301)-ROW('Registro MP'!$A$2)+1)/('Registro MP'!$A$2:$A$301=$C$4),4),"")</f>
        <v/>
      </c>
    </row>
    <row r="39" spans="2:20" x14ac:dyDescent="0.25">
      <c r="B39" s="90" t="str">
        <f ca="1">IFERROR(INDEX('Registro MP'!$G$2:$G$301,$T39),"")</f>
        <v/>
      </c>
      <c r="C39" s="90" t="str">
        <f ca="1">IFERROR(INDEX('Registro MP'!$J$2:$J$301,$T39),"")</f>
        <v/>
      </c>
      <c r="D39" s="91" t="str">
        <f ca="1">IFERROR(INDEX('Registro MP'!$L$2:$L$301,$T39),"")</f>
        <v/>
      </c>
      <c r="E39" s="90" t="str">
        <f ca="1">IFERROR(INDEX('Registro MP'!$N$2:$N$301,$T39),"")</f>
        <v/>
      </c>
      <c r="T39" t="str">
        <f ca="1">IFERROR(_xludf.AGGREGATE(15,6,(ROW('Registro MP'!$A$2:$A$301)-ROW('Registro MP'!$A$2)+1)/('Registro MP'!$A$2:$A$301=$C$4),5),"")</f>
        <v/>
      </c>
    </row>
    <row r="40" spans="2:20" x14ac:dyDescent="0.25">
      <c r="B40" s="90" t="str">
        <f ca="1">IFERROR(INDEX('Registro MP'!$G$2:$G$301,$T40),"")</f>
        <v/>
      </c>
      <c r="C40" s="90" t="str">
        <f ca="1">IFERROR(INDEX('Registro MP'!$J$2:$J$301,$T40),"")</f>
        <v/>
      </c>
      <c r="D40" s="91" t="str">
        <f ca="1">IFERROR(INDEX('Registro MP'!$L$2:$L$301,$T40),"")</f>
        <v/>
      </c>
      <c r="E40" s="90" t="str">
        <f ca="1">IFERROR(INDEX('Registro MP'!$N$2:$N$301,$T40),"")</f>
        <v/>
      </c>
      <c r="T40" t="str">
        <f ca="1">IFERROR(_xludf.AGGREGATE(15,6,(ROW('Registro MP'!$A$2:$A$301)-ROW('Registro MP'!$A$2)+1)/('Registro MP'!$A$2:$A$301=$C$4),6),"")</f>
        <v/>
      </c>
    </row>
    <row r="41" spans="2:20" x14ac:dyDescent="0.25">
      <c r="B41" s="90" t="str">
        <f ca="1">IFERROR(INDEX('Registro MP'!$G$2:$G$301,$T41),"")</f>
        <v/>
      </c>
      <c r="C41" s="90" t="str">
        <f ca="1">IFERROR(INDEX('Registro MP'!$J$2:$J$301,$T41),"")</f>
        <v/>
      </c>
      <c r="D41" s="91" t="str">
        <f ca="1">IFERROR(INDEX('Registro MP'!$L$2:$L$301,$T41),"")</f>
        <v/>
      </c>
      <c r="E41" s="90" t="str">
        <f ca="1">IFERROR(INDEX('Registro MP'!$N$2:$N$301,$T41),"")</f>
        <v/>
      </c>
      <c r="T41" t="str">
        <f ca="1">IFERROR(_xludf.AGGREGATE(15,6,(ROW('Registro MP'!$A$2:$A$301)-ROW('Registro MP'!$A$2)+1)/('Registro MP'!$A$2:$A$301=$C$4),7),"")</f>
        <v/>
      </c>
    </row>
    <row r="42" spans="2:20" x14ac:dyDescent="0.25">
      <c r="B42" s="90" t="str">
        <f ca="1">IFERROR(INDEX('Registro MP'!$G$2:$G$301,$T42),"")</f>
        <v/>
      </c>
      <c r="C42" s="90" t="str">
        <f ca="1">IFERROR(INDEX('Registro MP'!$J$2:$J$301,$T42),"")</f>
        <v/>
      </c>
      <c r="D42" s="91" t="str">
        <f ca="1">IFERROR(INDEX('Registro MP'!$L$2:$L$301,$T42),"")</f>
        <v/>
      </c>
      <c r="E42" s="90" t="str">
        <f ca="1">IFERROR(INDEX('Registro MP'!$N$2:$N$301,$T42),"")</f>
        <v/>
      </c>
      <c r="T42" t="str">
        <f ca="1">IFERROR(_xludf.AGGREGATE(15,6,(ROW('Registro MP'!$A$2:$A$301)-ROW('Registro MP'!$A$2)+1)/('Registro MP'!$A$2:$A$301=$C$4),8),"")</f>
        <v/>
      </c>
    </row>
    <row r="43" spans="2:20" x14ac:dyDescent="0.25">
      <c r="B43" s="90" t="str">
        <f ca="1">IFERROR(INDEX('Registro MP'!$G$2:$G$301,$T43),"")</f>
        <v/>
      </c>
      <c r="C43" s="90" t="str">
        <f ca="1">IFERROR(INDEX('Registro MP'!$J$2:$J$301,$T43),"")</f>
        <v/>
      </c>
      <c r="D43" s="91" t="str">
        <f ca="1">IFERROR(INDEX('Registro MP'!$L$2:$L$301,$T43),"")</f>
        <v/>
      </c>
      <c r="E43" s="90" t="str">
        <f ca="1">IFERROR(INDEX('Registro MP'!$N$2:$N$301,$T43),"")</f>
        <v/>
      </c>
      <c r="T43" t="str">
        <f ca="1">IFERROR(_xludf.AGGREGATE(15,6,(ROW('Registro MP'!$A$2:$A$301)-ROW('Registro MP'!$A$2)+1)/('Registro MP'!$A$2:$A$301=$C$4),9),"")</f>
        <v/>
      </c>
    </row>
    <row r="44" spans="2:20" x14ac:dyDescent="0.25">
      <c r="B44" s="90" t="str">
        <f ca="1">IFERROR(INDEX('Registro MP'!$G$2:$G$301,$T44),"")</f>
        <v/>
      </c>
      <c r="C44" s="90" t="str">
        <f ca="1">IFERROR(INDEX('Registro MP'!$J$2:$J$301,$T44),"")</f>
        <v/>
      </c>
      <c r="D44" s="91" t="str">
        <f ca="1">IFERROR(INDEX('Registro MP'!$L$2:$L$301,$T44),"")</f>
        <v/>
      </c>
      <c r="E44" s="90" t="str">
        <f ca="1">IFERROR(INDEX('Registro MP'!$N$2:$N$301,$T44),"")</f>
        <v/>
      </c>
      <c r="T44" t="str">
        <f ca="1">IFERROR(_xludf.AGGREGATE(15,6,(ROW('Registro MP'!$A$2:$A$301)-ROW('Registro MP'!$A$2)+1)/('Registro MP'!$A$2:$A$301=$C$4),10),"")</f>
        <v/>
      </c>
    </row>
    <row r="46" spans="2:20" x14ac:dyDescent="0.25">
      <c r="B46" s="71" t="s">
        <v>40</v>
      </c>
    </row>
    <row r="47" spans="2:20" x14ac:dyDescent="0.25">
      <c r="B47" s="93" t="s">
        <v>41</v>
      </c>
      <c r="C47" s="93" t="s">
        <v>33</v>
      </c>
      <c r="D47" s="93" t="s">
        <v>42</v>
      </c>
      <c r="E47" s="93" t="s">
        <v>43</v>
      </c>
      <c r="F47" s="93" t="s">
        <v>44</v>
      </c>
    </row>
    <row r="48" spans="2:20" x14ac:dyDescent="0.25">
      <c r="B48" s="90" t="str">
        <f ca="1">IFERROR(INDEX(Pendientes!$D$2:$D$301,$T48),"")</f>
        <v/>
      </c>
      <c r="C48" s="90" t="str">
        <f ca="1">IFERROR(INDEX(Pendientes!$H$2:$H$301,$T48),"")</f>
        <v/>
      </c>
      <c r="D48" s="90" t="str">
        <f ca="1">IFERROR(INDEX(Pendientes!$E$2:$E$301,$T48),"")</f>
        <v/>
      </c>
      <c r="E48" s="90" t="str">
        <f ca="1">IFERROR(INDEX(Pendientes!$J$2:$J$301,$T48),"")</f>
        <v/>
      </c>
      <c r="F48" s="90" t="str">
        <f ca="1">IFERROR(INDEX(Pendientes!$M$2:$M$301,$T48),"")</f>
        <v/>
      </c>
      <c r="T48" t="str">
        <f ca="1">IFERROR(_xludf.AGGREGATE(15,6,(ROW(Pendientes!$C$2:$C$301)-ROW(Pendientes!$C$2)+1)/(Pendientes!$C$2:$C$301=$C$4),1),"")</f>
        <v/>
      </c>
    </row>
    <row r="49" spans="2:20" x14ac:dyDescent="0.25">
      <c r="B49" s="90" t="str">
        <f ca="1">IFERROR(INDEX(Pendientes!$D$2:$D$301,$T49),"")</f>
        <v/>
      </c>
      <c r="C49" s="90" t="str">
        <f ca="1">IFERROR(INDEX(Pendientes!$H$2:$H$301,$T49),"")</f>
        <v/>
      </c>
      <c r="D49" s="90" t="str">
        <f ca="1">IFERROR(INDEX(Pendientes!$E$2:$E$301,$T49),"")</f>
        <v/>
      </c>
      <c r="E49" s="90" t="str">
        <f ca="1">IFERROR(INDEX(Pendientes!$J$2:$J$301,$T49),"")</f>
        <v/>
      </c>
      <c r="F49" s="90" t="str">
        <f ca="1">IFERROR(INDEX(Pendientes!$M$2:$M$301,$T49),"")</f>
        <v/>
      </c>
      <c r="T49" t="str">
        <f ca="1">IFERROR(_xludf.AGGREGATE(15,6,(ROW(Pendientes!$C$2:$C$301)-ROW(Pendientes!$C$2)+1)/(Pendientes!$C$2:$C$301=$C$4),2),"")</f>
        <v/>
      </c>
    </row>
    <row r="50" spans="2:20" x14ac:dyDescent="0.25">
      <c r="B50" s="90" t="str">
        <f ca="1">IFERROR(INDEX(Pendientes!$D$2:$D$301,$T50),"")</f>
        <v/>
      </c>
      <c r="C50" s="90" t="str">
        <f ca="1">IFERROR(INDEX(Pendientes!$H$2:$H$301,$T50),"")</f>
        <v/>
      </c>
      <c r="D50" s="90" t="str">
        <f ca="1">IFERROR(INDEX(Pendientes!$E$2:$E$301,$T50),"")</f>
        <v/>
      </c>
      <c r="E50" s="90" t="str">
        <f ca="1">IFERROR(INDEX(Pendientes!$J$2:$J$301,$T50),"")</f>
        <v/>
      </c>
      <c r="F50" s="90" t="str">
        <f ca="1">IFERROR(INDEX(Pendientes!$M$2:$M$301,$T50),"")</f>
        <v/>
      </c>
      <c r="T50" t="str">
        <f ca="1">IFERROR(_xludf.AGGREGATE(15,6,(ROW(Pendientes!$C$2:$C$301)-ROW(Pendientes!$C$2)+1)/(Pendientes!$C$2:$C$301=$C$4),3),"")</f>
        <v/>
      </c>
    </row>
    <row r="51" spans="2:20" x14ac:dyDescent="0.25">
      <c r="B51" s="90" t="str">
        <f ca="1">IFERROR(INDEX(Pendientes!$D$2:$D$301,$T51),"")</f>
        <v/>
      </c>
      <c r="C51" s="90" t="str">
        <f ca="1">IFERROR(INDEX(Pendientes!$H$2:$H$301,$T51),"")</f>
        <v/>
      </c>
      <c r="D51" s="90" t="str">
        <f ca="1">IFERROR(INDEX(Pendientes!$E$2:$E$301,$T51),"")</f>
        <v/>
      </c>
      <c r="E51" s="90" t="str">
        <f ca="1">IFERROR(INDEX(Pendientes!$J$2:$J$301,$T51),"")</f>
        <v/>
      </c>
      <c r="F51" s="90" t="str">
        <f ca="1">IFERROR(INDEX(Pendientes!$M$2:$M$301,$T51),"")</f>
        <v/>
      </c>
      <c r="T51" t="str">
        <f ca="1">IFERROR(_xludf.AGGREGATE(15,6,(ROW(Pendientes!$C$2:$C$301)-ROW(Pendientes!$C$2)+1)/(Pendientes!$C$2:$C$301=$C$4),4),"")</f>
        <v/>
      </c>
    </row>
    <row r="52" spans="2:20" x14ac:dyDescent="0.25">
      <c r="B52" s="90" t="str">
        <f ca="1">IFERROR(INDEX(Pendientes!$D$2:$D$301,$T52),"")</f>
        <v/>
      </c>
      <c r="C52" s="90" t="str">
        <f ca="1">IFERROR(INDEX(Pendientes!$H$2:$H$301,$T52),"")</f>
        <v/>
      </c>
      <c r="D52" s="90" t="str">
        <f ca="1">IFERROR(INDEX(Pendientes!$E$2:$E$301,$T52),"")</f>
        <v/>
      </c>
      <c r="E52" s="90" t="str">
        <f ca="1">IFERROR(INDEX(Pendientes!$J$2:$J$301,$T52),"")</f>
        <v/>
      </c>
      <c r="F52" s="90" t="str">
        <f ca="1">IFERROR(INDEX(Pendientes!$M$2:$M$301,$T52),"")</f>
        <v/>
      </c>
      <c r="T52" t="str">
        <f ca="1">IFERROR(_xludf.AGGREGATE(15,6,(ROW(Pendientes!$C$2:$C$301)-ROW(Pendientes!$C$2)+1)/(Pendientes!$C$2:$C$301=$C$4),5),"")</f>
        <v/>
      </c>
    </row>
    <row r="53" spans="2:20" x14ac:dyDescent="0.25">
      <c r="B53" s="90" t="str">
        <f ca="1">IFERROR(INDEX(Pendientes!$D$2:$D$301,$T53),"")</f>
        <v/>
      </c>
      <c r="C53" s="90" t="str">
        <f ca="1">IFERROR(INDEX(Pendientes!$H$2:$H$301,$T53),"")</f>
        <v/>
      </c>
      <c r="D53" s="90" t="str">
        <f ca="1">IFERROR(INDEX(Pendientes!$E$2:$E$301,$T53),"")</f>
        <v/>
      </c>
      <c r="E53" s="90" t="str">
        <f ca="1">IFERROR(INDEX(Pendientes!$J$2:$J$301,$T53),"")</f>
        <v/>
      </c>
      <c r="F53" s="90" t="str">
        <f ca="1">IFERROR(INDEX(Pendientes!$M$2:$M$301,$T53),"")</f>
        <v/>
      </c>
      <c r="T53" t="str">
        <f ca="1">IFERROR(_xludf.AGGREGATE(15,6,(ROW(Pendientes!$C$2:$C$301)-ROW(Pendientes!$C$2)+1)/(Pendientes!$C$2:$C$301=$C$4),6),"")</f>
        <v/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200-000000000000}">
          <x14:formula1>
            <xm:f>Equipos!$C$2:$C$967</xm:f>
          </x14:formula1>
          <xm:sqref>C4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3A5F"/>
  </sheetPr>
  <dimension ref="A1:H187"/>
  <sheetViews>
    <sheetView zoomScaleNormal="100" workbookViewId="0">
      <pane ySplit="9" topLeftCell="A10" activePane="bottomLeft" state="frozen"/>
      <selection pane="bottomLeft" sqref="A1:H1"/>
    </sheetView>
  </sheetViews>
  <sheetFormatPr baseColWidth="10" defaultColWidth="8.7109375" defaultRowHeight="15" x14ac:dyDescent="0.25"/>
  <cols>
    <col min="1" max="1" width="22" customWidth="1"/>
    <col min="2" max="2" width="24" customWidth="1"/>
    <col min="3" max="3" width="22" customWidth="1"/>
    <col min="4" max="4" width="18" customWidth="1"/>
    <col min="5" max="5" width="22" customWidth="1"/>
    <col min="6" max="8" width="20" customWidth="1"/>
  </cols>
  <sheetData>
    <row r="1" spans="1:8" ht="18" customHeight="1" x14ac:dyDescent="0.25">
      <c r="A1" s="100" t="s">
        <v>247</v>
      </c>
      <c r="B1" s="96"/>
      <c r="C1" s="96"/>
      <c r="D1" s="96"/>
      <c r="E1" s="96"/>
      <c r="F1" s="96"/>
      <c r="G1" s="96"/>
      <c r="H1" s="96"/>
    </row>
    <row r="2" spans="1:8" ht="15" customHeight="1" x14ac:dyDescent="0.25">
      <c r="A2" s="99" t="s">
        <v>248</v>
      </c>
      <c r="B2" s="96"/>
      <c r="C2" s="96"/>
      <c r="D2" s="96"/>
      <c r="E2" s="96"/>
      <c r="F2" s="96"/>
      <c r="G2" s="96"/>
      <c r="H2" s="96"/>
    </row>
    <row r="3" spans="1:8" ht="15" customHeight="1" x14ac:dyDescent="0.25">
      <c r="A3" s="1" t="s">
        <v>47</v>
      </c>
      <c r="B3" s="2">
        <f ca="1">TODAY()</f>
        <v>46191</v>
      </c>
    </row>
    <row r="5" spans="1:8" ht="27.75" customHeight="1" x14ac:dyDescent="0.25">
      <c r="A5" s="3" t="s">
        <v>49</v>
      </c>
      <c r="B5" s="4" t="s">
        <v>50</v>
      </c>
      <c r="C5" s="4" t="s">
        <v>249</v>
      </c>
      <c r="D5" s="5" t="s">
        <v>52</v>
      </c>
      <c r="E5" s="6" t="s">
        <v>250</v>
      </c>
      <c r="F5" s="7" t="s">
        <v>251</v>
      </c>
    </row>
    <row r="6" spans="1:8" ht="33.75" customHeight="1" x14ac:dyDescent="0.25">
      <c r="A6" s="8">
        <f>COUNTIF('1. Órdenes de Trabajo'!$J$2:$J$301,"Abierto")</f>
        <v>11</v>
      </c>
      <c r="B6" s="9">
        <f>COUNTIFS('1. Órdenes de Trabajo'!$J$2:$J$301,"Abierto",'1. Órdenes de Trabajo'!$H$2:$H$301,"No Operativo")</f>
        <v>11</v>
      </c>
      <c r="C6" s="9">
        <f>SUMPRODUCT(('5. Servicio Técnico (Envíos)'!$A$2:$A$301&lt;&gt;"")*('5. Servicio Técnico (Envíos)'!$I$2:$I$301=""))</f>
        <v>8</v>
      </c>
      <c r="D6" s="10">
        <f>COUNTIF('6. Bajas'!$A$2:$A$301,"?*")</f>
        <v>0</v>
      </c>
      <c r="E6" s="11">
        <f>COUNTIF('1. Órdenes de Trabajo'!$J$2:$J$301,"Cerrado")</f>
        <v>4</v>
      </c>
      <c r="F6" s="12">
        <f>COUNTIF('4. Visitas Técnicas'!$L$2:$L$301,"No")+COUNTIF('5. Servicio Técnico (Envíos)'!$M$2:$M$301,"No")</f>
        <v>2</v>
      </c>
    </row>
    <row r="9" spans="1:8" ht="27.75" customHeight="1" x14ac:dyDescent="0.25">
      <c r="A9" s="13" t="s">
        <v>252</v>
      </c>
      <c r="B9" s="13" t="s">
        <v>5</v>
      </c>
      <c r="C9" s="13" t="s">
        <v>6</v>
      </c>
      <c r="D9" s="13" t="s">
        <v>253</v>
      </c>
      <c r="E9" s="13" t="s">
        <v>254</v>
      </c>
      <c r="F9" s="13" t="s">
        <v>31</v>
      </c>
      <c r="G9" s="13" t="s">
        <v>255</v>
      </c>
      <c r="H9" s="13" t="s">
        <v>256</v>
      </c>
    </row>
    <row r="10" spans="1:8" ht="15" customHeight="1" x14ac:dyDescent="0.25">
      <c r="A10" s="14" t="str">
        <f>IF('1. Órdenes de Trabajo'!$J2="Abierto",'1. Órdenes de Trabajo'!$A2,"")</f>
        <v/>
      </c>
      <c r="B10" s="14" t="str">
        <f>IF('1. Órdenes de Trabajo'!$J2="Abierto",'1. Órdenes de Trabajo'!$E2,"")</f>
        <v/>
      </c>
      <c r="C10" s="14" t="str">
        <f>IF('1. Órdenes de Trabajo'!$J2="Abierto",'1. Órdenes de Trabajo'!$I2,"")</f>
        <v/>
      </c>
      <c r="D10" s="14" t="str">
        <f>IF('1. Órdenes de Trabajo'!$J2="Abierto",IF(COUNTIF('6. Bajas'!$A$2:$A$301,'1. Órdenes de Trabajo'!$A2)&gt;0,"Baja",IF(SUMPRODUCT(('5. Servicio Técnico (Envíos)'!$A$2:$A$301='1. Órdenes de Trabajo'!$A2)*('5. Servicio Técnico (Envíos)'!$I$2:$I$301=""))&gt;0,"Servicio Técnico",'1. Órdenes de Trabajo'!$H2)),"")</f>
        <v/>
      </c>
      <c r="E10" s="14" t="str">
        <f>IF('1. Órdenes de Trabajo'!$J2="Abierto",'1. Órdenes de Trabajo'!$C2,"")</f>
        <v/>
      </c>
      <c r="F10" s="15" t="str">
        <f>IF('1. Órdenes de Trabajo'!$J2="Abierto",'1. Órdenes de Trabajo'!$B2,"")</f>
        <v/>
      </c>
      <c r="G10" s="16" t="str">
        <f ca="1">IF('1. Órdenes de Trabajo'!$J2="Abierto",IF('1. Órdenes de Trabajo'!$B2="","",TODAY()-DATE(VALUE(MID('1. Órdenes de Trabajo'!$B2,7,4)),VALUE(MID('1. Órdenes de Trabajo'!$B2,4,2)),VALUE(MID('1. Órdenes de Trabajo'!$B2,1,2)))),"")</f>
        <v/>
      </c>
      <c r="H10" s="14" t="str">
        <f>IF('1. Órdenes de Trabajo'!$J2="Abierto",'1. Órdenes de Trabajo'!$J2,"")</f>
        <v/>
      </c>
    </row>
    <row r="11" spans="1:8" ht="15" customHeight="1" x14ac:dyDescent="0.25">
      <c r="A11" s="14" t="str">
        <f>IF('1. Órdenes de Trabajo'!$J3="Abierto",'1. Órdenes de Trabajo'!$A3,"")</f>
        <v>2025-121109-19-18809</v>
      </c>
      <c r="B11" s="14" t="str">
        <f>IF('1. Órdenes de Trabajo'!$J3="Abierto",'1. Órdenes de Trabajo'!$E3,"")</f>
        <v xml:space="preserve">Ventilador Mecánico </v>
      </c>
      <c r="C11" s="14" t="str">
        <f>IF('1. Órdenes de Trabajo'!$J3="Abierto",'1. Órdenes de Trabajo'!$I3,"")</f>
        <v xml:space="preserve">UPC Pediátrica </v>
      </c>
      <c r="D11" s="14" t="str">
        <f>IF('1. Órdenes de Trabajo'!$J3="Abierto",IF(COUNTIF('6. Bajas'!$A$2:$A$301,'1. Órdenes de Trabajo'!$A3)&gt;0,"Baja",IF(SUMPRODUCT(('5. Servicio Técnico (Envíos)'!$A$2:$A$301='1. Órdenes de Trabajo'!$A3)*('5. Servicio Técnico (Envíos)'!$I$2:$I$301=""))&gt;0,"Servicio Técnico",'1. Órdenes de Trabajo'!$H3)),"")</f>
        <v>No Operativo</v>
      </c>
      <c r="E11" s="14" t="str">
        <f>IF('1. Órdenes de Trabajo'!$J3="Abierto",'1. Órdenes de Trabajo'!$C3,"")</f>
        <v>Ricardo Matus Aroca</v>
      </c>
      <c r="F11" s="15" t="str">
        <f>IF('1. Órdenes de Trabajo'!$J3="Abierto",'1. Órdenes de Trabajo'!$B3,"")</f>
        <v>24-10-2025</v>
      </c>
      <c r="G11" s="16">
        <f ca="1">IF('1. Órdenes de Trabajo'!$J3="Abierto",IF('1. Órdenes de Trabajo'!$B3="","",TODAY()-DATE(VALUE(MID('1. Órdenes de Trabajo'!$B3,7,4)),VALUE(MID('1. Órdenes de Trabajo'!$B3,4,2)),VALUE(MID('1. Órdenes de Trabajo'!$B3,1,2)))),"")</f>
        <v>237</v>
      </c>
      <c r="H11" s="14" t="str">
        <f>IF('1. Órdenes de Trabajo'!$J3="Abierto",'1. Órdenes de Trabajo'!$J3,"")</f>
        <v>Abierto</v>
      </c>
    </row>
    <row r="12" spans="1:8" ht="15" customHeight="1" x14ac:dyDescent="0.25">
      <c r="A12" s="14" t="str">
        <f>IF('1. Órdenes de Trabajo'!$J4="Abierto",'1. Órdenes de Trabajo'!$A4,"")</f>
        <v/>
      </c>
      <c r="B12" s="14" t="str">
        <f>IF('1. Órdenes de Trabajo'!$J4="Abierto",'1. Órdenes de Trabajo'!$E4,"")</f>
        <v/>
      </c>
      <c r="C12" s="14" t="str">
        <f>IF('1. Órdenes de Trabajo'!$J4="Abierto",'1. Órdenes de Trabajo'!$I4,"")</f>
        <v/>
      </c>
      <c r="D12" s="14" t="str">
        <f>IF('1. Órdenes de Trabajo'!$J4="Abierto",IF(COUNTIF('6. Bajas'!$A$2:$A$301,'1. Órdenes de Trabajo'!$A4)&gt;0,"Baja",IF(SUMPRODUCT(('5. Servicio Técnico (Envíos)'!$A$2:$A$301='1. Órdenes de Trabajo'!$A4)*('5. Servicio Técnico (Envíos)'!$I$2:$I$301=""))&gt;0,"Servicio Técnico",'1. Órdenes de Trabajo'!$H4)),"")</f>
        <v/>
      </c>
      <c r="E12" s="14" t="str">
        <f>IF('1. Órdenes de Trabajo'!$J4="Abierto",'1. Órdenes de Trabajo'!$C4,"")</f>
        <v/>
      </c>
      <c r="F12" s="15" t="str">
        <f>IF('1. Órdenes de Trabajo'!$J4="Abierto",'1. Órdenes de Trabajo'!$B4,"")</f>
        <v/>
      </c>
      <c r="G12" s="16" t="str">
        <f ca="1">IF('1. Órdenes de Trabajo'!$J4="Abierto",IF('1. Órdenes de Trabajo'!$B4="","",TODAY()-DATE(VALUE(MID('1. Órdenes de Trabajo'!$B4,7,4)),VALUE(MID('1. Órdenes de Trabajo'!$B4,4,2)),VALUE(MID('1. Órdenes de Trabajo'!$B4,1,2)))),"")</f>
        <v/>
      </c>
      <c r="H12" s="14" t="str">
        <f>IF('1. Órdenes de Trabajo'!$J4="Abierto",'1. Órdenes de Trabajo'!$J4,"")</f>
        <v/>
      </c>
    </row>
    <row r="13" spans="1:8" ht="15" customHeight="1" x14ac:dyDescent="0.25">
      <c r="A13" s="14" t="str">
        <f>IF('1. Órdenes de Trabajo'!$J5="Abierto",'1. Órdenes de Trabajo'!$A5,"")</f>
        <v/>
      </c>
      <c r="B13" s="14" t="str">
        <f>IF('1. Órdenes de Trabajo'!$J5="Abierto",'1. Órdenes de Trabajo'!$E5,"")</f>
        <v/>
      </c>
      <c r="C13" s="14" t="str">
        <f>IF('1. Órdenes de Trabajo'!$J5="Abierto",'1. Órdenes de Trabajo'!$I5,"")</f>
        <v/>
      </c>
      <c r="D13" s="14" t="str">
        <f>IF('1. Órdenes de Trabajo'!$J5="Abierto",IF(COUNTIF('6. Bajas'!$A$2:$A$301,'1. Órdenes de Trabajo'!$A5)&gt;0,"Baja",IF(SUMPRODUCT(('5. Servicio Técnico (Envíos)'!$A$2:$A$301='1. Órdenes de Trabajo'!$A5)*('5. Servicio Técnico (Envíos)'!$I$2:$I$301=""))&gt;0,"Servicio Técnico",'1. Órdenes de Trabajo'!$H5)),"")</f>
        <v/>
      </c>
      <c r="E13" s="14" t="str">
        <f>IF('1. Órdenes de Trabajo'!$J5="Abierto",'1. Órdenes de Trabajo'!$C5,"")</f>
        <v/>
      </c>
      <c r="F13" s="15" t="str">
        <f>IF('1. Órdenes de Trabajo'!$J5="Abierto",'1. Órdenes de Trabajo'!$B5,"")</f>
        <v/>
      </c>
      <c r="G13" s="16" t="str">
        <f ca="1">IF('1. Órdenes de Trabajo'!$J5="Abierto",IF('1. Órdenes de Trabajo'!$B5="","",TODAY()-DATE(VALUE(MID('1. Órdenes de Trabajo'!$B5,7,4)),VALUE(MID('1. Órdenes de Trabajo'!$B5,4,2)),VALUE(MID('1. Órdenes de Trabajo'!$B5,1,2)))),"")</f>
        <v/>
      </c>
      <c r="H13" s="14" t="str">
        <f>IF('1. Órdenes de Trabajo'!$J5="Abierto",'1. Órdenes de Trabajo'!$J5,"")</f>
        <v/>
      </c>
    </row>
    <row r="14" spans="1:8" ht="15" customHeight="1" x14ac:dyDescent="0.25">
      <c r="A14" s="14" t="str">
        <f>IF('1. Órdenes de Trabajo'!$J6="Abierto",'1. Órdenes de Trabajo'!$A6,"")</f>
        <v>2026-121109-19-6215</v>
      </c>
      <c r="B14" s="14" t="str">
        <f>IF('1. Órdenes de Trabajo'!$J6="Abierto",'1. Órdenes de Trabajo'!$E6,"")</f>
        <v>Máquina Diálisis</v>
      </c>
      <c r="C14" s="14" t="str">
        <f>IF('1. Órdenes de Trabajo'!$J6="Abierto",'1. Órdenes de Trabajo'!$I6,"")</f>
        <v>Hemodiálisis</v>
      </c>
      <c r="D14" s="14" t="str">
        <f>IF('1. Órdenes de Trabajo'!$J6="Abierto",IF(COUNTIF('6. Bajas'!$A$2:$A$301,'1. Órdenes de Trabajo'!$A6)&gt;0,"Baja",IF(SUMPRODUCT(('5. Servicio Técnico (Envíos)'!$A$2:$A$301='1. Órdenes de Trabajo'!$A6)*('5. Servicio Técnico (Envíos)'!$I$2:$I$301=""))&gt;0,"Servicio Técnico",'1. Órdenes de Trabajo'!$H6)),"")</f>
        <v>No Operativo</v>
      </c>
      <c r="E14" s="14" t="str">
        <f>IF('1. Órdenes de Trabajo'!$J6="Abierto",'1. Órdenes de Trabajo'!$C6,"")</f>
        <v>Cristián Beltrán Oviedo</v>
      </c>
      <c r="F14" s="15" t="str">
        <f>IF('1. Órdenes de Trabajo'!$J6="Abierto",'1. Órdenes de Trabajo'!$B6,"")</f>
        <v>06-04-2026</v>
      </c>
      <c r="G14" s="16">
        <f ca="1">IF('1. Órdenes de Trabajo'!$J6="Abierto",IF('1. Órdenes de Trabajo'!$B6="","",TODAY()-DATE(VALUE(MID('1. Órdenes de Trabajo'!$B6,7,4)),VALUE(MID('1. Órdenes de Trabajo'!$B6,4,2)),VALUE(MID('1. Órdenes de Trabajo'!$B6,1,2)))),"")</f>
        <v>73</v>
      </c>
      <c r="H14" s="14" t="str">
        <f>IF('1. Órdenes de Trabajo'!$J6="Abierto",'1. Órdenes de Trabajo'!$J6,"")</f>
        <v>Abierto</v>
      </c>
    </row>
    <row r="15" spans="1:8" ht="15" customHeight="1" x14ac:dyDescent="0.25">
      <c r="A15" s="14" t="str">
        <f>IF('1. Órdenes de Trabajo'!$J7="Abierto",'1. Órdenes de Trabajo'!$A7,"")</f>
        <v>2026-121109-19-6271</v>
      </c>
      <c r="B15" s="14" t="str">
        <f>IF('1. Órdenes de Trabajo'!$J7="Abierto",'1. Órdenes de Trabajo'!$E7,"")</f>
        <v xml:space="preserve">Ventilador Mecánico </v>
      </c>
      <c r="C15" s="14" t="str">
        <f>IF('1. Órdenes de Trabajo'!$J7="Abierto",'1. Órdenes de Trabajo'!$I7,"")</f>
        <v>UPC 3er Piso</v>
      </c>
      <c r="D15" s="14" t="str">
        <f>IF('1. Órdenes de Trabajo'!$J7="Abierto",IF(COUNTIF('6. Bajas'!$A$2:$A$301,'1. Órdenes de Trabajo'!$A7)&gt;0,"Baja",IF(SUMPRODUCT(('5. Servicio Técnico (Envíos)'!$A$2:$A$301='1. Órdenes de Trabajo'!$A7)*('5. Servicio Técnico (Envíos)'!$I$2:$I$301=""))&gt;0,"Servicio Técnico",'1. Órdenes de Trabajo'!$H7)),"")</f>
        <v>Servicio Técnico</v>
      </c>
      <c r="E15" s="14" t="str">
        <f>IF('1. Órdenes de Trabajo'!$J7="Abierto",'1. Órdenes de Trabajo'!$C7,"")</f>
        <v>Ricardo Matus Aroca</v>
      </c>
      <c r="F15" s="15" t="str">
        <f>IF('1. Órdenes de Trabajo'!$J7="Abierto",'1. Órdenes de Trabajo'!$B7,"")</f>
        <v>07-04-2026</v>
      </c>
      <c r="G15" s="16">
        <f ca="1">IF('1. Órdenes de Trabajo'!$J7="Abierto",IF('1. Órdenes de Trabajo'!$B7="","",TODAY()-DATE(VALUE(MID('1. Órdenes de Trabajo'!$B7,7,4)),VALUE(MID('1. Órdenes de Trabajo'!$B7,4,2)),VALUE(MID('1. Órdenes de Trabajo'!$B7,1,2)))),"")</f>
        <v>72</v>
      </c>
      <c r="H15" s="14" t="str">
        <f>IF('1. Órdenes de Trabajo'!$J7="Abierto",'1. Órdenes de Trabajo'!$J7,"")</f>
        <v>Abierto</v>
      </c>
    </row>
    <row r="16" spans="1:8" ht="15" customHeight="1" x14ac:dyDescent="0.25">
      <c r="A16" s="14" t="str">
        <f>IF('1. Órdenes de Trabajo'!$J8="Abierto",'1. Órdenes de Trabajo'!$A8,"")</f>
        <v>2026-121109-19-6374</v>
      </c>
      <c r="B16" s="14" t="str">
        <f>IF('1. Órdenes de Trabajo'!$J8="Abierto",'1. Órdenes de Trabajo'!$E8,"")</f>
        <v xml:space="preserve">Ventilador Mecánico </v>
      </c>
      <c r="C16" s="14" t="str">
        <f>IF('1. Órdenes de Trabajo'!$J8="Abierto",'1. Órdenes de Trabajo'!$I8,"")</f>
        <v>UPC 3er Piso</v>
      </c>
      <c r="D16" s="14" t="str">
        <f>IF('1. Órdenes de Trabajo'!$J8="Abierto",IF(COUNTIF('6. Bajas'!$A$2:$A$301,'1. Órdenes de Trabajo'!$A8)&gt;0,"Baja",IF(SUMPRODUCT(('5. Servicio Técnico (Envíos)'!$A$2:$A$301='1. Órdenes de Trabajo'!$A8)*('5. Servicio Técnico (Envíos)'!$I$2:$I$301=""))&gt;0,"Servicio Técnico",'1. Órdenes de Trabajo'!$H8)),"")</f>
        <v>Servicio Técnico</v>
      </c>
      <c r="E16" s="14" t="str">
        <f>IF('1. Órdenes de Trabajo'!$J8="Abierto",'1. Órdenes de Trabajo'!$C8,"")</f>
        <v>Ricardo Matus Aroca</v>
      </c>
      <c r="F16" s="15" t="str">
        <f>IF('1. Órdenes de Trabajo'!$J8="Abierto",'1. Órdenes de Trabajo'!$B8,"")</f>
        <v>08-04-2026</v>
      </c>
      <c r="G16" s="16">
        <f ca="1">IF('1. Órdenes de Trabajo'!$J8="Abierto",IF('1. Órdenes de Trabajo'!$B8="","",TODAY()-DATE(VALUE(MID('1. Órdenes de Trabajo'!$B8,7,4)),VALUE(MID('1. Órdenes de Trabajo'!$B8,4,2)),VALUE(MID('1. Órdenes de Trabajo'!$B8,1,2)))),"")</f>
        <v>71</v>
      </c>
      <c r="H16" s="14" t="str">
        <f>IF('1. Órdenes de Trabajo'!$J8="Abierto",'1. Órdenes de Trabajo'!$J8,"")</f>
        <v>Abierto</v>
      </c>
    </row>
    <row r="17" spans="1:8" ht="15" customHeight="1" x14ac:dyDescent="0.25">
      <c r="A17" s="14" t="str">
        <f>IF('1. Órdenes de Trabajo'!$J9="Abierto",'1. Órdenes de Trabajo'!$A9,"")</f>
        <v/>
      </c>
      <c r="B17" s="14" t="str">
        <f>IF('1. Órdenes de Trabajo'!$J9="Abierto",'1. Órdenes de Trabajo'!$E9,"")</f>
        <v/>
      </c>
      <c r="C17" s="14" t="str">
        <f>IF('1. Órdenes de Trabajo'!$J9="Abierto",'1. Órdenes de Trabajo'!$I9,"")</f>
        <v/>
      </c>
      <c r="D17" s="14" t="str">
        <f>IF('1. Órdenes de Trabajo'!$J9="Abierto",IF(COUNTIF('6. Bajas'!$A$2:$A$301,'1. Órdenes de Trabajo'!$A9)&gt;0,"Baja",IF(SUMPRODUCT(('5. Servicio Técnico (Envíos)'!$A$2:$A$301='1. Órdenes de Trabajo'!$A9)*('5. Servicio Técnico (Envíos)'!$I$2:$I$301=""))&gt;0,"Servicio Técnico",'1. Órdenes de Trabajo'!$H9)),"")</f>
        <v/>
      </c>
      <c r="E17" s="14" t="str">
        <f>IF('1. Órdenes de Trabajo'!$J9="Abierto",'1. Órdenes de Trabajo'!$C9,"")</f>
        <v/>
      </c>
      <c r="F17" s="15" t="str">
        <f>IF('1. Órdenes de Trabajo'!$J9="Abierto",'1. Órdenes de Trabajo'!$B9,"")</f>
        <v/>
      </c>
      <c r="G17" s="16" t="str">
        <f ca="1">IF('1. Órdenes de Trabajo'!$J9="Abierto",IF('1. Órdenes de Trabajo'!$B9="","",TODAY()-DATE(VALUE(MID('1. Órdenes de Trabajo'!$B9,7,4)),VALUE(MID('1. Órdenes de Trabajo'!$B9,4,2)),VALUE(MID('1. Órdenes de Trabajo'!$B9,1,2)))),"")</f>
        <v/>
      </c>
      <c r="H17" s="14" t="str">
        <f>IF('1. Órdenes de Trabajo'!$J9="Abierto",'1. Órdenes de Trabajo'!$J9,"")</f>
        <v/>
      </c>
    </row>
    <row r="18" spans="1:8" ht="15" customHeight="1" x14ac:dyDescent="0.25">
      <c r="A18" s="14" t="str">
        <f>IF('1. Órdenes de Trabajo'!$J10="Abierto",'1. Órdenes de Trabajo'!$A10,"")</f>
        <v>2026-121109-19-7762</v>
      </c>
      <c r="B18" s="14" t="str">
        <f>IF('1. Órdenes de Trabajo'!$J10="Abierto",'1. Órdenes de Trabajo'!$E10,"")</f>
        <v>Monitor Multiparámetros</v>
      </c>
      <c r="C18" s="14" t="str">
        <f>IF('1. Órdenes de Trabajo'!$J10="Abierto",'1. Órdenes de Trabajo'!$I10,"")</f>
        <v>Medicina</v>
      </c>
      <c r="D18" s="14" t="str">
        <f>IF('1. Órdenes de Trabajo'!$J10="Abierto",IF(COUNTIF('6. Bajas'!$A$2:$A$301,'1. Órdenes de Trabajo'!$A10)&gt;0,"Baja",IF(SUMPRODUCT(('5. Servicio Técnico (Envíos)'!$A$2:$A$301='1. Órdenes de Trabajo'!$A10)*('5. Servicio Técnico (Envíos)'!$I$2:$I$301=""))&gt;0,"Servicio Técnico",'1. Órdenes de Trabajo'!$H10)),"")</f>
        <v>Servicio Técnico</v>
      </c>
      <c r="E18" s="14" t="str">
        <f>IF('1. Órdenes de Trabajo'!$J10="Abierto",'1. Órdenes de Trabajo'!$C10,"")</f>
        <v>Carlos Bahamondes Seguel</v>
      </c>
      <c r="F18" s="15" t="str">
        <f>IF('1. Órdenes de Trabajo'!$J10="Abierto",'1. Órdenes de Trabajo'!$B10,"")</f>
        <v>27-04-2026</v>
      </c>
      <c r="G18" s="16">
        <f ca="1">IF('1. Órdenes de Trabajo'!$J10="Abierto",IF('1. Órdenes de Trabajo'!$B10="","",TODAY()-DATE(VALUE(MID('1. Órdenes de Trabajo'!$B10,7,4)),VALUE(MID('1. Órdenes de Trabajo'!$B10,4,2)),VALUE(MID('1. Órdenes de Trabajo'!$B10,1,2)))),"")</f>
        <v>52</v>
      </c>
      <c r="H18" s="14" t="str">
        <f>IF('1. Órdenes de Trabajo'!$J10="Abierto",'1. Órdenes de Trabajo'!$J10,"")</f>
        <v>Abierto</v>
      </c>
    </row>
    <row r="19" spans="1:8" ht="15" customHeight="1" x14ac:dyDescent="0.25">
      <c r="A19" s="14" t="str">
        <f>IF('1. Órdenes de Trabajo'!$J11="Abierto",'1. Órdenes de Trabajo'!$A11,"")</f>
        <v>2026-121109-19-9046</v>
      </c>
      <c r="B19" s="14" t="str">
        <f>IF('1. Órdenes de Trabajo'!$J11="Abierto",'1. Órdenes de Trabajo'!$E11,"")</f>
        <v>Monitor Multiparámetros</v>
      </c>
      <c r="C19" s="14" t="str">
        <f>IF('1. Órdenes de Trabajo'!$J11="Abierto",'1. Órdenes de Trabajo'!$I11,"")</f>
        <v>Medicina</v>
      </c>
      <c r="D19" s="14" t="str">
        <f>IF('1. Órdenes de Trabajo'!$J11="Abierto",IF(COUNTIF('6. Bajas'!$A$2:$A$301,'1. Órdenes de Trabajo'!$A11)&gt;0,"Baja",IF(SUMPRODUCT(('5. Servicio Técnico (Envíos)'!$A$2:$A$301='1. Órdenes de Trabajo'!$A11)*('5. Servicio Técnico (Envíos)'!$I$2:$I$301=""))&gt;0,"Servicio Técnico",'1. Órdenes de Trabajo'!$H11)),"")</f>
        <v>Servicio Técnico</v>
      </c>
      <c r="E19" s="14" t="str">
        <f>IF('1. Órdenes de Trabajo'!$J11="Abierto",'1. Órdenes de Trabajo'!$C11,"")</f>
        <v>Carlos Bahamondes Seguel</v>
      </c>
      <c r="F19" s="15" t="str">
        <f>IF('1. Órdenes de Trabajo'!$J11="Abierto",'1. Órdenes de Trabajo'!$B11,"")</f>
        <v>14-05-2026</v>
      </c>
      <c r="G19" s="16">
        <f ca="1">IF('1. Órdenes de Trabajo'!$J11="Abierto",IF('1. Órdenes de Trabajo'!$B11="","",TODAY()-DATE(VALUE(MID('1. Órdenes de Trabajo'!$B11,7,4)),VALUE(MID('1. Órdenes de Trabajo'!$B11,4,2)),VALUE(MID('1. Órdenes de Trabajo'!$B11,1,2)))),"")</f>
        <v>35</v>
      </c>
      <c r="H19" s="14" t="str">
        <f>IF('1. Órdenes de Trabajo'!$J11="Abierto",'1. Órdenes de Trabajo'!$J11,"")</f>
        <v>Abierto</v>
      </c>
    </row>
    <row r="20" spans="1:8" ht="15" customHeight="1" x14ac:dyDescent="0.25">
      <c r="A20" s="14" t="str">
        <f>IF('1. Órdenes de Trabajo'!$J12="Abierto",'1. Órdenes de Trabajo'!$A12,"")</f>
        <v>2026-121109-19-9887</v>
      </c>
      <c r="B20" s="14" t="str">
        <f>IF('1. Órdenes de Trabajo'!$J12="Abierto",'1. Órdenes de Trabajo'!$E12,"")</f>
        <v>Monitor Multiparámetros</v>
      </c>
      <c r="C20" s="14" t="str">
        <f>IF('1. Órdenes de Trabajo'!$J12="Abierto",'1. Órdenes de Trabajo'!$I12,"")</f>
        <v>Pabellones Gineco-Obstétricos</v>
      </c>
      <c r="D20" s="14" t="str">
        <f>IF('1. Órdenes de Trabajo'!$J12="Abierto",IF(COUNTIF('6. Bajas'!$A$2:$A$301,'1. Órdenes de Trabajo'!$A12)&gt;0,"Baja",IF(SUMPRODUCT(('5. Servicio Técnico (Envíos)'!$A$2:$A$301='1. Órdenes de Trabajo'!$A12)*('5. Servicio Técnico (Envíos)'!$I$2:$I$301=""))&gt;0,"Servicio Técnico",'1. Órdenes de Trabajo'!$H12)),"")</f>
        <v>Servicio Técnico</v>
      </c>
      <c r="E20" s="14" t="str">
        <f>IF('1. Órdenes de Trabajo'!$J12="Abierto",'1. Órdenes de Trabajo'!$C12,"")</f>
        <v>Cristina Rozas Urrutia</v>
      </c>
      <c r="F20" s="15" t="str">
        <f>IF('1. Órdenes de Trabajo'!$J12="Abierto",'1. Órdenes de Trabajo'!$B12,"")</f>
        <v>28-05-2026</v>
      </c>
      <c r="G20" s="16">
        <f ca="1">IF('1. Órdenes de Trabajo'!$J12="Abierto",IF('1. Órdenes de Trabajo'!$B12="","",TODAY()-DATE(VALUE(MID('1. Órdenes de Trabajo'!$B12,7,4)),VALUE(MID('1. Órdenes de Trabajo'!$B12,4,2)),VALUE(MID('1. Órdenes de Trabajo'!$B12,1,2)))),"")</f>
        <v>21</v>
      </c>
      <c r="H20" s="14" t="str">
        <f>IF('1. Órdenes de Trabajo'!$J12="Abierto",'1. Órdenes de Trabajo'!$J12,"")</f>
        <v>Abierto</v>
      </c>
    </row>
    <row r="21" spans="1:8" ht="15" customHeight="1" x14ac:dyDescent="0.25">
      <c r="A21" s="14" t="str">
        <f>IF('1. Órdenes de Trabajo'!$J13="Abierto",'1. Órdenes de Trabajo'!$A13,"")</f>
        <v>2026-121109-19-10081</v>
      </c>
      <c r="B21" s="14" t="str">
        <f>IF('1. Órdenes de Trabajo'!$J13="Abierto",'1. Órdenes de Trabajo'!$E13,"")</f>
        <v>Máquina Diálisis</v>
      </c>
      <c r="C21" s="14" t="str">
        <f>IF('1. Órdenes de Trabajo'!$J13="Abierto",'1. Órdenes de Trabajo'!$I13,"")</f>
        <v>UPC Adulto</v>
      </c>
      <c r="D21" s="14" t="str">
        <f>IF('1. Órdenes de Trabajo'!$J13="Abierto",IF(COUNTIF('6. Bajas'!$A$2:$A$301,'1. Órdenes de Trabajo'!$A13)&gt;0,"Baja",IF(SUMPRODUCT(('5. Servicio Técnico (Envíos)'!$A$2:$A$301='1. Órdenes de Trabajo'!$A13)*('5. Servicio Técnico (Envíos)'!$I$2:$I$301=""))&gt;0,"Servicio Técnico",'1. Órdenes de Trabajo'!$H13)),"")</f>
        <v>No Operativo</v>
      </c>
      <c r="E21" s="14" t="str">
        <f>IF('1. Órdenes de Trabajo'!$J13="Abierto",'1. Órdenes de Trabajo'!$C13,"")</f>
        <v>Cristián Beltrán Oviedo</v>
      </c>
      <c r="F21" s="15" t="str">
        <f>IF('1. Órdenes de Trabajo'!$J13="Abierto",'1. Órdenes de Trabajo'!$B13,"")</f>
        <v>01-06-2026</v>
      </c>
      <c r="G21" s="16">
        <f ca="1">IF('1. Órdenes de Trabajo'!$J13="Abierto",IF('1. Órdenes de Trabajo'!$B13="","",TODAY()-DATE(VALUE(MID('1. Órdenes de Trabajo'!$B13,7,4)),VALUE(MID('1. Órdenes de Trabajo'!$B13,4,2)),VALUE(MID('1. Órdenes de Trabajo'!$B13,1,2)))),"")</f>
        <v>17</v>
      </c>
      <c r="H21" s="14" t="str">
        <f>IF('1. Órdenes de Trabajo'!$J13="Abierto",'1. Órdenes de Trabajo'!$J13,"")</f>
        <v>Abierto</v>
      </c>
    </row>
    <row r="22" spans="1:8" ht="15" customHeight="1" x14ac:dyDescent="0.25">
      <c r="A22" s="14" t="str">
        <f>IF('1. Órdenes de Trabajo'!$J14="Abierto",'1. Órdenes de Trabajo'!$A14,"")</f>
        <v>2026-121109-19-10464</v>
      </c>
      <c r="B22" s="14" t="str">
        <f>IF('1. Órdenes de Trabajo'!$J14="Abierto",'1. Órdenes de Trabajo'!$E14,"")</f>
        <v xml:space="preserve">Ventilador Mecánico </v>
      </c>
      <c r="C22" s="14" t="str">
        <f>IF('1. Órdenes de Trabajo'!$J14="Abierto",'1. Órdenes de Trabajo'!$I14,"")</f>
        <v>UPC Adulto</v>
      </c>
      <c r="D22" s="14" t="str">
        <f>IF('1. Órdenes de Trabajo'!$J14="Abierto",IF(COUNTIF('6. Bajas'!$A$2:$A$301,'1. Órdenes de Trabajo'!$A14)&gt;0,"Baja",IF(SUMPRODUCT(('5. Servicio Técnico (Envíos)'!$A$2:$A$301='1. Órdenes de Trabajo'!$A14)*('5. Servicio Técnico (Envíos)'!$I$2:$I$301=""))&gt;0,"Servicio Técnico",'1. Órdenes de Trabajo'!$H14)),"")</f>
        <v>Servicio Técnico</v>
      </c>
      <c r="E22" s="14" t="str">
        <f>IF('1. Órdenes de Trabajo'!$J14="Abierto",'1. Órdenes de Trabajo'!$C14,"")</f>
        <v>Ricardo Matus Aroca</v>
      </c>
      <c r="F22" s="15" t="str">
        <f>IF('1. Órdenes de Trabajo'!$J14="Abierto",'1. Órdenes de Trabajo'!$B14,"")</f>
        <v>05-06-2026</v>
      </c>
      <c r="G22" s="16">
        <f ca="1">IF('1. Órdenes de Trabajo'!$J14="Abierto",IF('1. Órdenes de Trabajo'!$B14="","",TODAY()-DATE(VALUE(MID('1. Órdenes de Trabajo'!$B14,7,4)),VALUE(MID('1. Órdenes de Trabajo'!$B14,4,2)),VALUE(MID('1. Órdenes de Trabajo'!$B14,1,2)))),"")</f>
        <v>13</v>
      </c>
      <c r="H22" s="14" t="str">
        <f>IF('1. Órdenes de Trabajo'!$J14="Abierto",'1. Órdenes de Trabajo'!$J14,"")</f>
        <v>Abierto</v>
      </c>
    </row>
    <row r="23" spans="1:8" ht="15" customHeight="1" x14ac:dyDescent="0.25">
      <c r="A23" s="14" t="str">
        <f>IF('1. Órdenes de Trabajo'!$J15="Abierto",'1. Órdenes de Trabajo'!$A15,"")</f>
        <v>2026-121109-19-10641</v>
      </c>
      <c r="B23" s="14" t="str">
        <f>IF('1. Órdenes de Trabajo'!$J15="Abierto",'1. Órdenes de Trabajo'!$E15,"")</f>
        <v xml:space="preserve">Ventilador Mecánico </v>
      </c>
      <c r="C23" s="14" t="str">
        <f>IF('1. Órdenes de Trabajo'!$J15="Abierto",'1. Órdenes de Trabajo'!$I15,"")</f>
        <v>UPC 3er Piso</v>
      </c>
      <c r="D23" s="14" t="str">
        <f>IF('1. Órdenes de Trabajo'!$J15="Abierto",IF(COUNTIF('6. Bajas'!$A$2:$A$301,'1. Órdenes de Trabajo'!$A15)&gt;0,"Baja",IF(SUMPRODUCT(('5. Servicio Técnico (Envíos)'!$A$2:$A$301='1. Órdenes de Trabajo'!$A15)*('5. Servicio Técnico (Envíos)'!$I$2:$I$301=""))&gt;0,"Servicio Técnico",'1. Órdenes de Trabajo'!$H15)),"")</f>
        <v>Servicio Técnico</v>
      </c>
      <c r="E23" s="14" t="str">
        <f>IF('1. Órdenes de Trabajo'!$J15="Abierto",'1. Órdenes de Trabajo'!$C15,"")</f>
        <v>Ricardo Matus Aroca</v>
      </c>
      <c r="F23" s="15" t="str">
        <f>IF('1. Órdenes de Trabajo'!$J15="Abierto",'1. Órdenes de Trabajo'!$B15,"")</f>
        <v>09-06-2026</v>
      </c>
      <c r="G23" s="16">
        <f ca="1">IF('1. Órdenes de Trabajo'!$J15="Abierto",IF('1. Órdenes de Trabajo'!$B15="","",TODAY()-DATE(VALUE(MID('1. Órdenes de Trabajo'!$B15,7,4)),VALUE(MID('1. Órdenes de Trabajo'!$B15,4,2)),VALUE(MID('1. Órdenes de Trabajo'!$B15,1,2)))),"")</f>
        <v>9</v>
      </c>
      <c r="H23" s="14" t="str">
        <f>IF('1. Órdenes de Trabajo'!$J15="Abierto",'1. Órdenes de Trabajo'!$J15,"")</f>
        <v>Abierto</v>
      </c>
    </row>
    <row r="24" spans="1:8" ht="15" customHeight="1" x14ac:dyDescent="0.25">
      <c r="A24" s="14" t="str">
        <f>IF('1. Órdenes de Trabajo'!$J16="Abierto",'1. Órdenes de Trabajo'!$A16,"")</f>
        <v>2026-121109-19-10869</v>
      </c>
      <c r="B24" s="14" t="str">
        <f>IF('1. Órdenes de Trabajo'!$J16="Abierto",'1. Órdenes de Trabajo'!$E16,"")</f>
        <v>Monitor Multiparámetros</v>
      </c>
      <c r="C24" s="14" t="str">
        <f>IF('1. Órdenes de Trabajo'!$J16="Abierto",'1. Órdenes de Trabajo'!$I16,"")</f>
        <v>Pabellón Quirúrgico</v>
      </c>
      <c r="D24" s="14" t="str">
        <f>IF('1. Órdenes de Trabajo'!$J16="Abierto",IF(COUNTIF('6. Bajas'!$A$2:$A$301,'1. Órdenes de Trabajo'!$A16)&gt;0,"Baja",IF(SUMPRODUCT(('5. Servicio Técnico (Envíos)'!$A$2:$A$301='1. Órdenes de Trabajo'!$A16)*('5. Servicio Técnico (Envíos)'!$I$2:$I$301=""))&gt;0,"Servicio Técnico",'1. Órdenes de Trabajo'!$H16)),"")</f>
        <v>Servicio Técnico</v>
      </c>
      <c r="E24" s="14" t="str">
        <f>IF('1. Órdenes de Trabajo'!$J16="Abierto",'1. Órdenes de Trabajo'!$C16,"")</f>
        <v>Cristina Rozas Urrutia</v>
      </c>
      <c r="F24" s="15">
        <f>IF('1. Órdenes de Trabajo'!$J16="Abierto",'1. Órdenes de Trabajo'!$B16,"")</f>
        <v>46184</v>
      </c>
      <c r="G24" s="16" t="e">
        <f ca="1">IF('1. Órdenes de Trabajo'!$J16="Abierto",IF('1. Órdenes de Trabajo'!$B16="","",TODAY()-DATE(VALUE(MID('1. Órdenes de Trabajo'!$B16,7,4)),VALUE(MID('1. Órdenes de Trabajo'!$B16,4,2)),VALUE(MID('1. Órdenes de Trabajo'!$B16,1,2)))),"")</f>
        <v>#VALUE!</v>
      </c>
      <c r="H24" s="14" t="str">
        <f>IF('1. Órdenes de Trabajo'!$J16="Abierto",'1. Órdenes de Trabajo'!$J16,"")</f>
        <v>Abierto</v>
      </c>
    </row>
    <row r="25" spans="1:8" ht="15" customHeight="1" x14ac:dyDescent="0.25">
      <c r="A25" s="14" t="str">
        <f>IF('1. Órdenes de Trabajo'!$J17="Abierto",'1. Órdenes de Trabajo'!$A17,"")</f>
        <v/>
      </c>
      <c r="B25" s="14" t="str">
        <f>IF('1. Órdenes de Trabajo'!$J17="Abierto",'1. Órdenes de Trabajo'!$E17,"")</f>
        <v/>
      </c>
      <c r="C25" s="14" t="str">
        <f>IF('1. Órdenes de Trabajo'!$J17="Abierto",'1. Órdenes de Trabajo'!$I17,"")</f>
        <v/>
      </c>
      <c r="D25" s="14" t="str">
        <f>IF('1. Órdenes de Trabajo'!$J17="Abierto",IF(COUNTIF('6. Bajas'!$A$2:$A$301,'1. Órdenes de Trabajo'!$A17)&gt;0,"Baja",IF(SUMPRODUCT(('5. Servicio Técnico (Envíos)'!$A$2:$A$301='1. Órdenes de Trabajo'!$A17)*('5. Servicio Técnico (Envíos)'!$I$2:$I$301=""))&gt;0,"Servicio Técnico",'1. Órdenes de Trabajo'!$H17)),"")</f>
        <v/>
      </c>
      <c r="E25" s="14" t="str">
        <f>IF('1. Órdenes de Trabajo'!$J17="Abierto",'1. Órdenes de Trabajo'!$C17,"")</f>
        <v/>
      </c>
      <c r="F25" s="15" t="str">
        <f>IF('1. Órdenes de Trabajo'!$J17="Abierto",'1. Órdenes de Trabajo'!$B17,"")</f>
        <v/>
      </c>
      <c r="G25" s="16" t="str">
        <f ca="1">IF('1. Órdenes de Trabajo'!$J17="Abierto",IF('1. Órdenes de Trabajo'!$B17="","",TODAY()-DATE(VALUE(MID('1. Órdenes de Trabajo'!$B17,7,4)),VALUE(MID('1. Órdenes de Trabajo'!$B17,4,2)),VALUE(MID('1. Órdenes de Trabajo'!$B17,1,2)))),"")</f>
        <v/>
      </c>
      <c r="H25" s="14" t="str">
        <f>IF('1. Órdenes de Trabajo'!$J17="Abierto",'1. Órdenes de Trabajo'!$J17,"")</f>
        <v/>
      </c>
    </row>
    <row r="26" spans="1:8" ht="15" customHeight="1" x14ac:dyDescent="0.25">
      <c r="A26" s="14" t="str">
        <f>IF('1. Órdenes de Trabajo'!$J18="Abierto",'1. Órdenes de Trabajo'!$A18,"")</f>
        <v/>
      </c>
      <c r="B26" s="14" t="str">
        <f>IF('1. Órdenes de Trabajo'!$J18="Abierto",'1. Órdenes de Trabajo'!$E18,"")</f>
        <v/>
      </c>
      <c r="C26" s="14" t="str">
        <f>IF('1. Órdenes de Trabajo'!$J18="Abierto",'1. Órdenes de Trabajo'!$I18,"")</f>
        <v/>
      </c>
      <c r="D26" s="14" t="str">
        <f>IF('1. Órdenes de Trabajo'!$J18="Abierto",IF(COUNTIF('6. Bajas'!$A$2:$A$301,'1. Órdenes de Trabajo'!$A18)&gt;0,"Baja",IF(SUMPRODUCT(('5. Servicio Técnico (Envíos)'!$A$2:$A$301='1. Órdenes de Trabajo'!$A18)*('5. Servicio Técnico (Envíos)'!$I$2:$I$301=""))&gt;0,"Servicio Técnico",'1. Órdenes de Trabajo'!$H18)),"")</f>
        <v/>
      </c>
      <c r="E26" s="14" t="str">
        <f>IF('1. Órdenes de Trabajo'!$J18="Abierto",'1. Órdenes de Trabajo'!$C18,"")</f>
        <v/>
      </c>
      <c r="F26" s="15" t="str">
        <f>IF('1. Órdenes de Trabajo'!$J18="Abierto",'1. Órdenes de Trabajo'!$B18,"")</f>
        <v/>
      </c>
      <c r="G26" s="16" t="str">
        <f ca="1">IF('1. Órdenes de Trabajo'!$J18="Abierto",IF('1. Órdenes de Trabajo'!$B18="","",TODAY()-DATE(VALUE(MID('1. Órdenes de Trabajo'!$B18,7,4)),VALUE(MID('1. Órdenes de Trabajo'!$B18,4,2)),VALUE(MID('1. Órdenes de Trabajo'!$B18,1,2)))),"")</f>
        <v/>
      </c>
      <c r="H26" s="14" t="str">
        <f>IF('1. Órdenes de Trabajo'!$J18="Abierto",'1. Órdenes de Trabajo'!$J18,"")</f>
        <v/>
      </c>
    </row>
    <row r="27" spans="1:8" ht="15" customHeight="1" x14ac:dyDescent="0.25">
      <c r="A27" s="14" t="str">
        <f>IF('1. Órdenes de Trabajo'!$J19="Abierto",'1. Órdenes de Trabajo'!$A19,"")</f>
        <v/>
      </c>
      <c r="B27" s="14" t="str">
        <f>IF('1. Órdenes de Trabajo'!$J19="Abierto",'1. Órdenes de Trabajo'!$E19,"")</f>
        <v/>
      </c>
      <c r="C27" s="14" t="str">
        <f>IF('1. Órdenes de Trabajo'!$J19="Abierto",'1. Órdenes de Trabajo'!$I19,"")</f>
        <v/>
      </c>
      <c r="D27" s="14" t="str">
        <f>IF('1. Órdenes de Trabajo'!$J19="Abierto",IF(COUNTIF('6. Bajas'!$A$2:$A$301,'1. Órdenes de Trabajo'!$A19)&gt;0,"Baja",IF(SUMPRODUCT(('5. Servicio Técnico (Envíos)'!$A$2:$A$301='1. Órdenes de Trabajo'!$A19)*('5. Servicio Técnico (Envíos)'!$I$2:$I$301=""))&gt;0,"Servicio Técnico",'1. Órdenes de Trabajo'!$H19)),"")</f>
        <v/>
      </c>
      <c r="E27" s="14" t="str">
        <f>IF('1. Órdenes de Trabajo'!$J19="Abierto",'1. Órdenes de Trabajo'!$C19,"")</f>
        <v/>
      </c>
      <c r="F27" s="15" t="str">
        <f>IF('1. Órdenes de Trabajo'!$J19="Abierto",'1. Órdenes de Trabajo'!$B19,"")</f>
        <v/>
      </c>
      <c r="G27" s="16" t="str">
        <f ca="1">IF('1. Órdenes de Trabajo'!$J19="Abierto",IF('1. Órdenes de Trabajo'!$B19="","",TODAY()-DATE(VALUE(MID('1. Órdenes de Trabajo'!$B19,7,4)),VALUE(MID('1. Órdenes de Trabajo'!$B19,4,2)),VALUE(MID('1. Órdenes de Trabajo'!$B19,1,2)))),"")</f>
        <v/>
      </c>
      <c r="H27" s="14" t="str">
        <f>IF('1. Órdenes de Trabajo'!$J19="Abierto",'1. Órdenes de Trabajo'!$J19,"")</f>
        <v/>
      </c>
    </row>
    <row r="28" spans="1:8" ht="15" customHeight="1" x14ac:dyDescent="0.25">
      <c r="A28" s="14" t="str">
        <f>IF('1. Órdenes de Trabajo'!$J20="Abierto",'1. Órdenes de Trabajo'!$A20,"")</f>
        <v/>
      </c>
      <c r="B28" s="14" t="str">
        <f>IF('1. Órdenes de Trabajo'!$J20="Abierto",'1. Órdenes de Trabajo'!$E20,"")</f>
        <v/>
      </c>
      <c r="C28" s="14" t="str">
        <f>IF('1. Órdenes de Trabajo'!$J20="Abierto",'1. Órdenes de Trabajo'!$I20,"")</f>
        <v/>
      </c>
      <c r="D28" s="14" t="str">
        <f>IF('1. Órdenes de Trabajo'!$J20="Abierto",IF(COUNTIF('6. Bajas'!$A$2:$A$301,'1. Órdenes de Trabajo'!$A20)&gt;0,"Baja",IF(SUMPRODUCT(('5. Servicio Técnico (Envíos)'!$A$2:$A$301='1. Órdenes de Trabajo'!$A20)*('5. Servicio Técnico (Envíos)'!$I$2:$I$301=""))&gt;0,"Servicio Técnico",'1. Órdenes de Trabajo'!$H20)),"")</f>
        <v/>
      </c>
      <c r="E28" s="14" t="str">
        <f>IF('1. Órdenes de Trabajo'!$J20="Abierto",'1. Órdenes de Trabajo'!$C20,"")</f>
        <v/>
      </c>
      <c r="F28" s="15" t="str">
        <f>IF('1. Órdenes de Trabajo'!$J20="Abierto",'1. Órdenes de Trabajo'!$B20,"")</f>
        <v/>
      </c>
      <c r="G28" s="16" t="str">
        <f ca="1">IF('1. Órdenes de Trabajo'!$J20="Abierto",IF('1. Órdenes de Trabajo'!$B20="","",TODAY()-DATE(VALUE(MID('1. Órdenes de Trabajo'!$B20,7,4)),VALUE(MID('1. Órdenes de Trabajo'!$B20,4,2)),VALUE(MID('1. Órdenes de Trabajo'!$B20,1,2)))),"")</f>
        <v/>
      </c>
      <c r="H28" s="14" t="str">
        <f>IF('1. Órdenes de Trabajo'!$J20="Abierto",'1. Órdenes de Trabajo'!$J20,"")</f>
        <v/>
      </c>
    </row>
    <row r="29" spans="1:8" ht="15" customHeight="1" x14ac:dyDescent="0.25">
      <c r="A29" s="14" t="str">
        <f>IF('1. Órdenes de Trabajo'!$J21="Abierto",'1. Órdenes de Trabajo'!$A21,"")</f>
        <v/>
      </c>
      <c r="B29" s="14" t="str">
        <f>IF('1. Órdenes de Trabajo'!$J21="Abierto",'1. Órdenes de Trabajo'!$E21,"")</f>
        <v/>
      </c>
      <c r="C29" s="14" t="str">
        <f>IF('1. Órdenes de Trabajo'!$J21="Abierto",'1. Órdenes de Trabajo'!$I21,"")</f>
        <v/>
      </c>
      <c r="D29" s="14" t="str">
        <f>IF('1. Órdenes de Trabajo'!$J21="Abierto",IF(COUNTIF('6. Bajas'!$A$2:$A$301,'1. Órdenes de Trabajo'!$A21)&gt;0,"Baja",IF(SUMPRODUCT(('5. Servicio Técnico (Envíos)'!$A$2:$A$301='1. Órdenes de Trabajo'!$A21)*('5. Servicio Técnico (Envíos)'!$I$2:$I$301=""))&gt;0,"Servicio Técnico",'1. Órdenes de Trabajo'!$H21)),"")</f>
        <v/>
      </c>
      <c r="E29" s="14" t="str">
        <f>IF('1. Órdenes de Trabajo'!$J21="Abierto",'1. Órdenes de Trabajo'!$C21,"")</f>
        <v/>
      </c>
      <c r="F29" s="15" t="str">
        <f>IF('1. Órdenes de Trabajo'!$J21="Abierto",'1. Órdenes de Trabajo'!$B21,"")</f>
        <v/>
      </c>
      <c r="G29" s="16" t="str">
        <f ca="1">IF('1. Órdenes de Trabajo'!$J21="Abierto",IF('1. Órdenes de Trabajo'!$B21="","",TODAY()-DATE(VALUE(MID('1. Órdenes de Trabajo'!$B21,7,4)),VALUE(MID('1. Órdenes de Trabajo'!$B21,4,2)),VALUE(MID('1. Órdenes de Trabajo'!$B21,1,2)))),"")</f>
        <v/>
      </c>
      <c r="H29" s="14" t="str">
        <f>IF('1. Órdenes de Trabajo'!$J21="Abierto",'1. Órdenes de Trabajo'!$J21,"")</f>
        <v/>
      </c>
    </row>
    <row r="30" spans="1:8" ht="15" customHeight="1" x14ac:dyDescent="0.25">
      <c r="A30" s="14" t="str">
        <f>IF('1. Órdenes de Trabajo'!$J22="Abierto",'1. Órdenes de Trabajo'!$A22,"")</f>
        <v/>
      </c>
      <c r="B30" s="14" t="str">
        <f>IF('1. Órdenes de Trabajo'!$J22="Abierto",'1. Órdenes de Trabajo'!$E22,"")</f>
        <v/>
      </c>
      <c r="C30" s="14" t="str">
        <f>IF('1. Órdenes de Trabajo'!$J22="Abierto",'1. Órdenes de Trabajo'!$I22,"")</f>
        <v/>
      </c>
      <c r="D30" s="14" t="str">
        <f>IF('1. Órdenes de Trabajo'!$J22="Abierto",IF(COUNTIF('6. Bajas'!$A$2:$A$301,'1. Órdenes de Trabajo'!$A22)&gt;0,"Baja",IF(SUMPRODUCT(('5. Servicio Técnico (Envíos)'!$A$2:$A$301='1. Órdenes de Trabajo'!$A22)*('5. Servicio Técnico (Envíos)'!$I$2:$I$301=""))&gt;0,"Servicio Técnico",'1. Órdenes de Trabajo'!$H22)),"")</f>
        <v/>
      </c>
      <c r="E30" s="14" t="str">
        <f>IF('1. Órdenes de Trabajo'!$J22="Abierto",'1. Órdenes de Trabajo'!$C22,"")</f>
        <v/>
      </c>
      <c r="F30" s="15" t="str">
        <f>IF('1. Órdenes de Trabajo'!$J22="Abierto",'1. Órdenes de Trabajo'!$B22,"")</f>
        <v/>
      </c>
      <c r="G30" s="16" t="str">
        <f ca="1">IF('1. Órdenes de Trabajo'!$J22="Abierto",IF('1. Órdenes de Trabajo'!$B22="","",TODAY()-DATE(VALUE(MID('1. Órdenes de Trabajo'!$B22,7,4)),VALUE(MID('1. Órdenes de Trabajo'!$B22,4,2)),VALUE(MID('1. Órdenes de Trabajo'!$B22,1,2)))),"")</f>
        <v/>
      </c>
      <c r="H30" s="14" t="str">
        <f>IF('1. Órdenes de Trabajo'!$J22="Abierto",'1. Órdenes de Trabajo'!$J22,"")</f>
        <v/>
      </c>
    </row>
    <row r="31" spans="1:8" ht="15" customHeight="1" x14ac:dyDescent="0.25">
      <c r="A31" s="14" t="str">
        <f>IF('1. Órdenes de Trabajo'!$J23="Abierto",'1. Órdenes de Trabajo'!$A23,"")</f>
        <v/>
      </c>
      <c r="B31" s="14" t="str">
        <f>IF('1. Órdenes de Trabajo'!$J23="Abierto",'1. Órdenes de Trabajo'!$E23,"")</f>
        <v/>
      </c>
      <c r="C31" s="14" t="str">
        <f>IF('1. Órdenes de Trabajo'!$J23="Abierto",'1. Órdenes de Trabajo'!$I23,"")</f>
        <v/>
      </c>
      <c r="D31" s="14" t="str">
        <f>IF('1. Órdenes de Trabajo'!$J23="Abierto",IF(COUNTIF('6. Bajas'!$A$2:$A$301,'1. Órdenes de Trabajo'!$A23)&gt;0,"Baja",IF(SUMPRODUCT(('5. Servicio Técnico (Envíos)'!$A$2:$A$301='1. Órdenes de Trabajo'!$A23)*('5. Servicio Técnico (Envíos)'!$I$2:$I$301=""))&gt;0,"Servicio Técnico",'1. Órdenes de Trabajo'!$H23)),"")</f>
        <v/>
      </c>
      <c r="E31" s="14" t="str">
        <f>IF('1. Órdenes de Trabajo'!$J23="Abierto",'1. Órdenes de Trabajo'!$C23,"")</f>
        <v/>
      </c>
      <c r="F31" s="15" t="str">
        <f>IF('1. Órdenes de Trabajo'!$J23="Abierto",'1. Órdenes de Trabajo'!$B23,"")</f>
        <v/>
      </c>
      <c r="G31" s="16" t="str">
        <f ca="1">IF('1. Órdenes de Trabajo'!$J23="Abierto",IF('1. Órdenes de Trabajo'!$B23="","",TODAY()-DATE(VALUE(MID('1. Órdenes de Trabajo'!$B23,7,4)),VALUE(MID('1. Órdenes de Trabajo'!$B23,4,2)),VALUE(MID('1. Órdenes de Trabajo'!$B23,1,2)))),"")</f>
        <v/>
      </c>
      <c r="H31" s="14" t="str">
        <f>IF('1. Órdenes de Trabajo'!$J23="Abierto",'1. Órdenes de Trabajo'!$J23,"")</f>
        <v/>
      </c>
    </row>
    <row r="32" spans="1:8" ht="15" customHeight="1" x14ac:dyDescent="0.25">
      <c r="A32" s="14" t="str">
        <f>IF('1. Órdenes de Trabajo'!$J24="Abierto",'1. Órdenes de Trabajo'!$A24,"")</f>
        <v/>
      </c>
      <c r="B32" s="14" t="str">
        <f>IF('1. Órdenes de Trabajo'!$J24="Abierto",'1. Órdenes de Trabajo'!$E24,"")</f>
        <v/>
      </c>
      <c r="C32" s="14" t="str">
        <f>IF('1. Órdenes de Trabajo'!$J24="Abierto",'1. Órdenes de Trabajo'!$I24,"")</f>
        <v/>
      </c>
      <c r="D32" s="14" t="str">
        <f>IF('1. Órdenes de Trabajo'!$J24="Abierto",IF(COUNTIF('6. Bajas'!$A$2:$A$301,'1. Órdenes de Trabajo'!$A24)&gt;0,"Baja",IF(SUMPRODUCT(('5. Servicio Técnico (Envíos)'!$A$2:$A$301='1. Órdenes de Trabajo'!$A24)*('5. Servicio Técnico (Envíos)'!$I$2:$I$301=""))&gt;0,"Servicio Técnico",'1. Órdenes de Trabajo'!$H24)),"")</f>
        <v/>
      </c>
      <c r="E32" s="14" t="str">
        <f>IF('1. Órdenes de Trabajo'!$J24="Abierto",'1. Órdenes de Trabajo'!$C24,"")</f>
        <v/>
      </c>
      <c r="F32" s="15" t="str">
        <f>IF('1. Órdenes de Trabajo'!$J24="Abierto",'1. Órdenes de Trabajo'!$B24,"")</f>
        <v/>
      </c>
      <c r="G32" s="16" t="str">
        <f ca="1">IF('1. Órdenes de Trabajo'!$J24="Abierto",IF('1. Órdenes de Trabajo'!$B24="","",TODAY()-DATE(VALUE(MID('1. Órdenes de Trabajo'!$B24,7,4)),VALUE(MID('1. Órdenes de Trabajo'!$B24,4,2)),VALUE(MID('1. Órdenes de Trabajo'!$B24,1,2)))),"")</f>
        <v/>
      </c>
      <c r="H32" s="14" t="str">
        <f>IF('1. Órdenes de Trabajo'!$J24="Abierto",'1. Órdenes de Trabajo'!$J24,"")</f>
        <v/>
      </c>
    </row>
    <row r="33" spans="1:8" ht="15" customHeight="1" x14ac:dyDescent="0.25">
      <c r="A33" s="14" t="str">
        <f>IF('1. Órdenes de Trabajo'!$J25="Abierto",'1. Órdenes de Trabajo'!$A25,"")</f>
        <v/>
      </c>
      <c r="B33" s="14" t="str">
        <f>IF('1. Órdenes de Trabajo'!$J25="Abierto",'1. Órdenes de Trabajo'!$E25,"")</f>
        <v/>
      </c>
      <c r="C33" s="14" t="str">
        <f>IF('1. Órdenes de Trabajo'!$J25="Abierto",'1. Órdenes de Trabajo'!$I25,"")</f>
        <v/>
      </c>
      <c r="D33" s="14" t="str">
        <f>IF('1. Órdenes de Trabajo'!$J25="Abierto",IF(COUNTIF('6. Bajas'!$A$2:$A$301,'1. Órdenes de Trabajo'!$A25)&gt;0,"Baja",IF(SUMPRODUCT(('5. Servicio Técnico (Envíos)'!$A$2:$A$301='1. Órdenes de Trabajo'!$A25)*('5. Servicio Técnico (Envíos)'!$I$2:$I$301=""))&gt;0,"Servicio Técnico",'1. Órdenes de Trabajo'!$H25)),"")</f>
        <v/>
      </c>
      <c r="E33" s="14" t="str">
        <f>IF('1. Órdenes de Trabajo'!$J25="Abierto",'1. Órdenes de Trabajo'!$C25,"")</f>
        <v/>
      </c>
      <c r="F33" s="15" t="str">
        <f>IF('1. Órdenes de Trabajo'!$J25="Abierto",'1. Órdenes de Trabajo'!$B25,"")</f>
        <v/>
      </c>
      <c r="G33" s="16" t="str">
        <f ca="1">IF('1. Órdenes de Trabajo'!$J25="Abierto",IF('1. Órdenes de Trabajo'!$B25="","",TODAY()-DATE(VALUE(MID('1. Órdenes de Trabajo'!$B25,7,4)),VALUE(MID('1. Órdenes de Trabajo'!$B25,4,2)),VALUE(MID('1. Órdenes de Trabajo'!$B25,1,2)))),"")</f>
        <v/>
      </c>
      <c r="H33" s="14" t="str">
        <f>IF('1. Órdenes de Trabajo'!$J25="Abierto",'1. Órdenes de Trabajo'!$J25,"")</f>
        <v/>
      </c>
    </row>
    <row r="34" spans="1:8" ht="15" customHeight="1" x14ac:dyDescent="0.25">
      <c r="A34" s="14" t="str">
        <f>IF('1. Órdenes de Trabajo'!$J26="Abierto",'1. Órdenes de Trabajo'!$A26,"")</f>
        <v/>
      </c>
      <c r="B34" s="14" t="str">
        <f>IF('1. Órdenes de Trabajo'!$J26="Abierto",'1. Órdenes de Trabajo'!$E26,"")</f>
        <v/>
      </c>
      <c r="C34" s="14" t="str">
        <f>IF('1. Órdenes de Trabajo'!$J26="Abierto",'1. Órdenes de Trabajo'!$I26,"")</f>
        <v/>
      </c>
      <c r="D34" s="14" t="str">
        <f>IF('1. Órdenes de Trabajo'!$J26="Abierto",IF(COUNTIF('6. Bajas'!$A$2:$A$301,'1. Órdenes de Trabajo'!$A26)&gt;0,"Baja",IF(SUMPRODUCT(('5. Servicio Técnico (Envíos)'!$A$2:$A$301='1. Órdenes de Trabajo'!$A26)*('5. Servicio Técnico (Envíos)'!$I$2:$I$301=""))&gt;0,"Servicio Técnico",'1. Órdenes de Trabajo'!$H26)),"")</f>
        <v/>
      </c>
      <c r="E34" s="14" t="str">
        <f>IF('1. Órdenes de Trabajo'!$J26="Abierto",'1. Órdenes de Trabajo'!$C26,"")</f>
        <v/>
      </c>
      <c r="F34" s="15" t="str">
        <f>IF('1. Órdenes de Trabajo'!$J26="Abierto",'1. Órdenes de Trabajo'!$B26,"")</f>
        <v/>
      </c>
      <c r="G34" s="16" t="str">
        <f ca="1">IF('1. Órdenes de Trabajo'!$J26="Abierto",IF('1. Órdenes de Trabajo'!$B26="","",TODAY()-DATE(VALUE(MID('1. Órdenes de Trabajo'!$B26,7,4)),VALUE(MID('1. Órdenes de Trabajo'!$B26,4,2)),VALUE(MID('1. Órdenes de Trabajo'!$B26,1,2)))),"")</f>
        <v/>
      </c>
      <c r="H34" s="14" t="str">
        <f>IF('1. Órdenes de Trabajo'!$J26="Abierto",'1. Órdenes de Trabajo'!$J26,"")</f>
        <v/>
      </c>
    </row>
    <row r="35" spans="1:8" ht="15" customHeight="1" x14ac:dyDescent="0.25">
      <c r="A35" s="14" t="str">
        <f>IF('1. Órdenes de Trabajo'!$J27="Abierto",'1. Órdenes de Trabajo'!$A27,"")</f>
        <v/>
      </c>
      <c r="B35" s="14" t="str">
        <f>IF('1. Órdenes de Trabajo'!$J27="Abierto",'1. Órdenes de Trabajo'!$E27,"")</f>
        <v/>
      </c>
      <c r="C35" s="14" t="str">
        <f>IF('1. Órdenes de Trabajo'!$J27="Abierto",'1. Órdenes de Trabajo'!$I27,"")</f>
        <v/>
      </c>
      <c r="D35" s="14" t="str">
        <f>IF('1. Órdenes de Trabajo'!$J27="Abierto",IF(COUNTIF('6. Bajas'!$A$2:$A$301,'1. Órdenes de Trabajo'!$A27)&gt;0,"Baja",IF(SUMPRODUCT(('5. Servicio Técnico (Envíos)'!$A$2:$A$301='1. Órdenes de Trabajo'!$A27)*('5. Servicio Técnico (Envíos)'!$I$2:$I$301=""))&gt;0,"Servicio Técnico",'1. Órdenes de Trabajo'!$H27)),"")</f>
        <v/>
      </c>
      <c r="E35" s="14" t="str">
        <f>IF('1. Órdenes de Trabajo'!$J27="Abierto",'1. Órdenes de Trabajo'!$C27,"")</f>
        <v/>
      </c>
      <c r="F35" s="15" t="str">
        <f>IF('1. Órdenes de Trabajo'!$J27="Abierto",'1. Órdenes de Trabajo'!$B27,"")</f>
        <v/>
      </c>
      <c r="G35" s="16" t="str">
        <f ca="1">IF('1. Órdenes de Trabajo'!$J27="Abierto",IF('1. Órdenes de Trabajo'!$B27="","",TODAY()-DATE(VALUE(MID('1. Órdenes de Trabajo'!$B27,7,4)),VALUE(MID('1. Órdenes de Trabajo'!$B27,4,2)),VALUE(MID('1. Órdenes de Trabajo'!$B27,1,2)))),"")</f>
        <v/>
      </c>
      <c r="H35" s="14" t="str">
        <f>IF('1. Órdenes de Trabajo'!$J27="Abierto",'1. Órdenes de Trabajo'!$J27,"")</f>
        <v/>
      </c>
    </row>
    <row r="36" spans="1:8" ht="15" customHeight="1" x14ac:dyDescent="0.25">
      <c r="A36" s="14" t="str">
        <f>IF('1. Órdenes de Trabajo'!$J28="Abierto",'1. Órdenes de Trabajo'!$A28,"")</f>
        <v/>
      </c>
      <c r="B36" s="14" t="str">
        <f>IF('1. Órdenes de Trabajo'!$J28="Abierto",'1. Órdenes de Trabajo'!$E28,"")</f>
        <v/>
      </c>
      <c r="C36" s="14" t="str">
        <f>IF('1. Órdenes de Trabajo'!$J28="Abierto",'1. Órdenes de Trabajo'!$I28,"")</f>
        <v/>
      </c>
      <c r="D36" s="14" t="str">
        <f>IF('1. Órdenes de Trabajo'!$J28="Abierto",IF(COUNTIF('6. Bajas'!$A$2:$A$301,'1. Órdenes de Trabajo'!$A28)&gt;0,"Baja",IF(SUMPRODUCT(('5. Servicio Técnico (Envíos)'!$A$2:$A$301='1. Órdenes de Trabajo'!$A28)*('5. Servicio Técnico (Envíos)'!$I$2:$I$301=""))&gt;0,"Servicio Técnico",'1. Órdenes de Trabajo'!$H28)),"")</f>
        <v/>
      </c>
      <c r="E36" s="14" t="str">
        <f>IF('1. Órdenes de Trabajo'!$J28="Abierto",'1. Órdenes de Trabajo'!$C28,"")</f>
        <v/>
      </c>
      <c r="F36" s="15" t="str">
        <f>IF('1. Órdenes de Trabajo'!$J28="Abierto",'1. Órdenes de Trabajo'!$B28,"")</f>
        <v/>
      </c>
      <c r="G36" s="16" t="str">
        <f ca="1">IF('1. Órdenes de Trabajo'!$J28="Abierto",IF('1. Órdenes de Trabajo'!$B28="","",TODAY()-DATE(VALUE(MID('1. Órdenes de Trabajo'!$B28,7,4)),VALUE(MID('1. Órdenes de Trabajo'!$B28,4,2)),VALUE(MID('1. Órdenes de Trabajo'!$B28,1,2)))),"")</f>
        <v/>
      </c>
      <c r="H36" s="14" t="str">
        <f>IF('1. Órdenes de Trabajo'!$J28="Abierto",'1. Órdenes de Trabajo'!$J28,"")</f>
        <v/>
      </c>
    </row>
    <row r="37" spans="1:8" ht="15" customHeight="1" x14ac:dyDescent="0.25">
      <c r="A37" s="14" t="str">
        <f>IF('1. Órdenes de Trabajo'!$J29="Abierto",'1. Órdenes de Trabajo'!$A29,"")</f>
        <v/>
      </c>
      <c r="B37" s="14" t="str">
        <f>IF('1. Órdenes de Trabajo'!$J29="Abierto",'1. Órdenes de Trabajo'!$E29,"")</f>
        <v/>
      </c>
      <c r="C37" s="14" t="str">
        <f>IF('1. Órdenes de Trabajo'!$J29="Abierto",'1. Órdenes de Trabajo'!$I29,"")</f>
        <v/>
      </c>
      <c r="D37" s="14" t="str">
        <f>IF('1. Órdenes de Trabajo'!$J29="Abierto",IF(COUNTIF('6. Bajas'!$A$2:$A$301,'1. Órdenes de Trabajo'!$A29)&gt;0,"Baja",IF(SUMPRODUCT(('5. Servicio Técnico (Envíos)'!$A$2:$A$301='1. Órdenes de Trabajo'!$A29)*('5. Servicio Técnico (Envíos)'!$I$2:$I$301=""))&gt;0,"Servicio Técnico",'1. Órdenes de Trabajo'!$H29)),"")</f>
        <v/>
      </c>
      <c r="E37" s="14" t="str">
        <f>IF('1. Órdenes de Trabajo'!$J29="Abierto",'1. Órdenes de Trabajo'!$C29,"")</f>
        <v/>
      </c>
      <c r="F37" s="15" t="str">
        <f>IF('1. Órdenes de Trabajo'!$J29="Abierto",'1. Órdenes de Trabajo'!$B29,"")</f>
        <v/>
      </c>
      <c r="G37" s="16" t="str">
        <f ca="1">IF('1. Órdenes de Trabajo'!$J29="Abierto",IF('1. Órdenes de Trabajo'!$B29="","",TODAY()-DATE(VALUE(MID('1. Órdenes de Trabajo'!$B29,7,4)),VALUE(MID('1. Órdenes de Trabajo'!$B29,4,2)),VALUE(MID('1. Órdenes de Trabajo'!$B29,1,2)))),"")</f>
        <v/>
      </c>
      <c r="H37" s="14" t="str">
        <f>IF('1. Órdenes de Trabajo'!$J29="Abierto",'1. Órdenes de Trabajo'!$J29,"")</f>
        <v/>
      </c>
    </row>
    <row r="38" spans="1:8" ht="15" customHeight="1" x14ac:dyDescent="0.25">
      <c r="A38" s="14" t="str">
        <f>IF('1. Órdenes de Trabajo'!$J30="Abierto",'1. Órdenes de Trabajo'!$A30,"")</f>
        <v/>
      </c>
      <c r="B38" s="14" t="str">
        <f>IF('1. Órdenes de Trabajo'!$J30="Abierto",'1. Órdenes de Trabajo'!$E30,"")</f>
        <v/>
      </c>
      <c r="C38" s="14" t="str">
        <f>IF('1. Órdenes de Trabajo'!$J30="Abierto",'1. Órdenes de Trabajo'!$I30,"")</f>
        <v/>
      </c>
      <c r="D38" s="14" t="str">
        <f>IF('1. Órdenes de Trabajo'!$J30="Abierto",IF(COUNTIF('6. Bajas'!$A$2:$A$301,'1. Órdenes de Trabajo'!$A30)&gt;0,"Baja",IF(SUMPRODUCT(('5. Servicio Técnico (Envíos)'!$A$2:$A$301='1. Órdenes de Trabajo'!$A30)*('5. Servicio Técnico (Envíos)'!$I$2:$I$301=""))&gt;0,"Servicio Técnico",'1. Órdenes de Trabajo'!$H30)),"")</f>
        <v/>
      </c>
      <c r="E38" s="14" t="str">
        <f>IF('1. Órdenes de Trabajo'!$J30="Abierto",'1. Órdenes de Trabajo'!$C30,"")</f>
        <v/>
      </c>
      <c r="F38" s="15" t="str">
        <f>IF('1. Órdenes de Trabajo'!$J30="Abierto",'1. Órdenes de Trabajo'!$B30,"")</f>
        <v/>
      </c>
      <c r="G38" s="16" t="str">
        <f ca="1">IF('1. Órdenes de Trabajo'!$J30="Abierto",IF('1. Órdenes de Trabajo'!$B30="","",TODAY()-DATE(VALUE(MID('1. Órdenes de Trabajo'!$B30,7,4)),VALUE(MID('1. Órdenes de Trabajo'!$B30,4,2)),VALUE(MID('1. Órdenes de Trabajo'!$B30,1,2)))),"")</f>
        <v/>
      </c>
      <c r="H38" s="14" t="str">
        <f>IF('1. Órdenes de Trabajo'!$J30="Abierto",'1. Órdenes de Trabajo'!$J30,"")</f>
        <v/>
      </c>
    </row>
    <row r="39" spans="1:8" ht="15" customHeight="1" x14ac:dyDescent="0.25">
      <c r="A39" s="14" t="str">
        <f>IF('1. Órdenes de Trabajo'!$J31="Abierto",'1. Órdenes de Trabajo'!$A31,"")</f>
        <v/>
      </c>
      <c r="B39" s="14" t="str">
        <f>IF('1. Órdenes de Trabajo'!$J31="Abierto",'1. Órdenes de Trabajo'!$E31,"")</f>
        <v/>
      </c>
      <c r="C39" s="14" t="str">
        <f>IF('1. Órdenes de Trabajo'!$J31="Abierto",'1. Órdenes de Trabajo'!$I31,"")</f>
        <v/>
      </c>
      <c r="D39" s="14" t="str">
        <f>IF('1. Órdenes de Trabajo'!$J31="Abierto",IF(COUNTIF('6. Bajas'!$A$2:$A$301,'1. Órdenes de Trabajo'!$A31)&gt;0,"Baja",IF(SUMPRODUCT(('5. Servicio Técnico (Envíos)'!$A$2:$A$301='1. Órdenes de Trabajo'!$A31)*('5. Servicio Técnico (Envíos)'!$I$2:$I$301=""))&gt;0,"Servicio Técnico",'1. Órdenes de Trabajo'!$H31)),"")</f>
        <v/>
      </c>
      <c r="E39" s="14" t="str">
        <f>IF('1. Órdenes de Trabajo'!$J31="Abierto",'1. Órdenes de Trabajo'!$C31,"")</f>
        <v/>
      </c>
      <c r="F39" s="15" t="str">
        <f>IF('1. Órdenes de Trabajo'!$J31="Abierto",'1. Órdenes de Trabajo'!$B31,"")</f>
        <v/>
      </c>
      <c r="G39" s="16" t="str">
        <f ca="1">IF('1. Órdenes de Trabajo'!$J31="Abierto",IF('1. Órdenes de Trabajo'!$B31="","",TODAY()-DATE(VALUE(MID('1. Órdenes de Trabajo'!$B31,7,4)),VALUE(MID('1. Órdenes de Trabajo'!$B31,4,2)),VALUE(MID('1. Órdenes de Trabajo'!$B31,1,2)))),"")</f>
        <v/>
      </c>
      <c r="H39" s="14" t="str">
        <f>IF('1. Órdenes de Trabajo'!$J31="Abierto",'1. Órdenes de Trabajo'!$J31,"")</f>
        <v/>
      </c>
    </row>
    <row r="40" spans="1:8" ht="15" customHeight="1" x14ac:dyDescent="0.25">
      <c r="A40" s="14" t="str">
        <f>IF('1. Órdenes de Trabajo'!$J32="Abierto",'1. Órdenes de Trabajo'!$A32,"")</f>
        <v/>
      </c>
      <c r="B40" s="14" t="str">
        <f>IF('1. Órdenes de Trabajo'!$J32="Abierto",'1. Órdenes de Trabajo'!$E32,"")</f>
        <v/>
      </c>
      <c r="C40" s="14" t="str">
        <f>IF('1. Órdenes de Trabajo'!$J32="Abierto",'1. Órdenes de Trabajo'!$I32,"")</f>
        <v/>
      </c>
      <c r="D40" s="14" t="str">
        <f>IF('1. Órdenes de Trabajo'!$J32="Abierto",IF(COUNTIF('6. Bajas'!$A$2:$A$301,'1. Órdenes de Trabajo'!$A32)&gt;0,"Baja",IF(SUMPRODUCT(('5. Servicio Técnico (Envíos)'!$A$2:$A$301='1. Órdenes de Trabajo'!$A32)*('5. Servicio Técnico (Envíos)'!$I$2:$I$301=""))&gt;0,"Servicio Técnico",'1. Órdenes de Trabajo'!$H32)),"")</f>
        <v/>
      </c>
      <c r="E40" s="14" t="str">
        <f>IF('1. Órdenes de Trabajo'!$J32="Abierto",'1. Órdenes de Trabajo'!$C32,"")</f>
        <v/>
      </c>
      <c r="F40" s="15" t="str">
        <f>IF('1. Órdenes de Trabajo'!$J32="Abierto",'1. Órdenes de Trabajo'!$B32,"")</f>
        <v/>
      </c>
      <c r="G40" s="16" t="str">
        <f ca="1">IF('1. Órdenes de Trabajo'!$J32="Abierto",IF('1. Órdenes de Trabajo'!$B32="","",TODAY()-DATE(VALUE(MID('1. Órdenes de Trabajo'!$B32,7,4)),VALUE(MID('1. Órdenes de Trabajo'!$B32,4,2)),VALUE(MID('1. Órdenes de Trabajo'!$B32,1,2)))),"")</f>
        <v/>
      </c>
      <c r="H40" s="14" t="str">
        <f>IF('1. Órdenes de Trabajo'!$J32="Abierto",'1. Órdenes de Trabajo'!$J32,"")</f>
        <v/>
      </c>
    </row>
    <row r="41" spans="1:8" ht="15" customHeight="1" x14ac:dyDescent="0.25">
      <c r="A41" s="14" t="str">
        <f>IF('1. Órdenes de Trabajo'!$J33="Abierto",'1. Órdenes de Trabajo'!$A33,"")</f>
        <v/>
      </c>
      <c r="B41" s="14" t="str">
        <f>IF('1. Órdenes de Trabajo'!$J33="Abierto",'1. Órdenes de Trabajo'!$E33,"")</f>
        <v/>
      </c>
      <c r="C41" s="14" t="str">
        <f>IF('1. Órdenes de Trabajo'!$J33="Abierto",'1. Órdenes de Trabajo'!$I33,"")</f>
        <v/>
      </c>
      <c r="D41" s="14" t="str">
        <f>IF('1. Órdenes de Trabajo'!$J33="Abierto",IF(COUNTIF('6. Bajas'!$A$2:$A$301,'1. Órdenes de Trabajo'!$A33)&gt;0,"Baja",IF(SUMPRODUCT(('5. Servicio Técnico (Envíos)'!$A$2:$A$301='1. Órdenes de Trabajo'!$A33)*('5. Servicio Técnico (Envíos)'!$I$2:$I$301=""))&gt;0,"Servicio Técnico",'1. Órdenes de Trabajo'!$H33)),"")</f>
        <v/>
      </c>
      <c r="E41" s="14" t="str">
        <f>IF('1. Órdenes de Trabajo'!$J33="Abierto",'1. Órdenes de Trabajo'!$C33,"")</f>
        <v/>
      </c>
      <c r="F41" s="15" t="str">
        <f>IF('1. Órdenes de Trabajo'!$J33="Abierto",'1. Órdenes de Trabajo'!$B33,"")</f>
        <v/>
      </c>
      <c r="G41" s="16" t="str">
        <f ca="1">IF('1. Órdenes de Trabajo'!$J33="Abierto",IF('1. Órdenes de Trabajo'!$B33="","",TODAY()-DATE(VALUE(MID('1. Órdenes de Trabajo'!$B33,7,4)),VALUE(MID('1. Órdenes de Trabajo'!$B33,4,2)),VALUE(MID('1. Órdenes de Trabajo'!$B33,1,2)))),"")</f>
        <v/>
      </c>
      <c r="H41" s="14" t="str">
        <f>IF('1. Órdenes de Trabajo'!$J33="Abierto",'1. Órdenes de Trabajo'!$J33,"")</f>
        <v/>
      </c>
    </row>
    <row r="42" spans="1:8" ht="15" customHeight="1" x14ac:dyDescent="0.25">
      <c r="A42" s="14" t="str">
        <f>IF('1. Órdenes de Trabajo'!$J34="Abierto",'1. Órdenes de Trabajo'!$A34,"")</f>
        <v/>
      </c>
      <c r="B42" s="14" t="str">
        <f>IF('1. Órdenes de Trabajo'!$J34="Abierto",'1. Órdenes de Trabajo'!$E34,"")</f>
        <v/>
      </c>
      <c r="C42" s="14" t="str">
        <f>IF('1. Órdenes de Trabajo'!$J34="Abierto",'1. Órdenes de Trabajo'!$I34,"")</f>
        <v/>
      </c>
      <c r="D42" s="14" t="str">
        <f>IF('1. Órdenes de Trabajo'!$J34="Abierto",IF(COUNTIF('6. Bajas'!$A$2:$A$301,'1. Órdenes de Trabajo'!$A34)&gt;0,"Baja",IF(SUMPRODUCT(('5. Servicio Técnico (Envíos)'!$A$2:$A$301='1. Órdenes de Trabajo'!$A34)*('5. Servicio Técnico (Envíos)'!$I$2:$I$301=""))&gt;0,"Servicio Técnico",'1. Órdenes de Trabajo'!$H34)),"")</f>
        <v/>
      </c>
      <c r="E42" s="14" t="str">
        <f>IF('1. Órdenes de Trabajo'!$J34="Abierto",'1. Órdenes de Trabajo'!$C34,"")</f>
        <v/>
      </c>
      <c r="F42" s="15" t="str">
        <f>IF('1. Órdenes de Trabajo'!$J34="Abierto",'1. Órdenes de Trabajo'!$B34,"")</f>
        <v/>
      </c>
      <c r="G42" s="16" t="str">
        <f ca="1">IF('1. Órdenes de Trabajo'!$J34="Abierto",IF('1. Órdenes de Trabajo'!$B34="","",TODAY()-DATE(VALUE(MID('1. Órdenes de Trabajo'!$B34,7,4)),VALUE(MID('1. Órdenes de Trabajo'!$B34,4,2)),VALUE(MID('1. Órdenes de Trabajo'!$B34,1,2)))),"")</f>
        <v/>
      </c>
      <c r="H42" s="14" t="str">
        <f>IF('1. Órdenes de Trabajo'!$J34="Abierto",'1. Órdenes de Trabajo'!$J34,"")</f>
        <v/>
      </c>
    </row>
    <row r="43" spans="1:8" ht="15" customHeight="1" x14ac:dyDescent="0.25">
      <c r="A43" s="14" t="str">
        <f>IF('1. Órdenes de Trabajo'!$J35="Abierto",'1. Órdenes de Trabajo'!$A35,"")</f>
        <v/>
      </c>
      <c r="B43" s="14" t="str">
        <f>IF('1. Órdenes de Trabajo'!$J35="Abierto",'1. Órdenes de Trabajo'!$E35,"")</f>
        <v/>
      </c>
      <c r="C43" s="14" t="str">
        <f>IF('1. Órdenes de Trabajo'!$J35="Abierto",'1. Órdenes de Trabajo'!$I35,"")</f>
        <v/>
      </c>
      <c r="D43" s="14" t="str">
        <f>IF('1. Órdenes de Trabajo'!$J35="Abierto",IF(COUNTIF('6. Bajas'!$A$2:$A$301,'1. Órdenes de Trabajo'!$A35)&gt;0,"Baja",IF(SUMPRODUCT(('5. Servicio Técnico (Envíos)'!$A$2:$A$301='1. Órdenes de Trabajo'!$A35)*('5. Servicio Técnico (Envíos)'!$I$2:$I$301=""))&gt;0,"Servicio Técnico",'1. Órdenes de Trabajo'!$H35)),"")</f>
        <v/>
      </c>
      <c r="E43" s="14" t="str">
        <f>IF('1. Órdenes de Trabajo'!$J35="Abierto",'1. Órdenes de Trabajo'!$C35,"")</f>
        <v/>
      </c>
      <c r="F43" s="15" t="str">
        <f>IF('1. Órdenes de Trabajo'!$J35="Abierto",'1. Órdenes de Trabajo'!$B35,"")</f>
        <v/>
      </c>
      <c r="G43" s="16" t="str">
        <f ca="1">IF('1. Órdenes de Trabajo'!$J35="Abierto",IF('1. Órdenes de Trabajo'!$B35="","",TODAY()-DATE(VALUE(MID('1. Órdenes de Trabajo'!$B35,7,4)),VALUE(MID('1. Órdenes de Trabajo'!$B35,4,2)),VALUE(MID('1. Órdenes de Trabajo'!$B35,1,2)))),"")</f>
        <v/>
      </c>
      <c r="H43" s="14" t="str">
        <f>IF('1. Órdenes de Trabajo'!$J35="Abierto",'1. Órdenes de Trabajo'!$J35,"")</f>
        <v/>
      </c>
    </row>
    <row r="44" spans="1:8" ht="15" customHeight="1" x14ac:dyDescent="0.25">
      <c r="A44" s="14" t="str">
        <f>IF('1. Órdenes de Trabajo'!$J36="Abierto",'1. Órdenes de Trabajo'!$A36,"")</f>
        <v/>
      </c>
      <c r="B44" s="14" t="str">
        <f>IF('1. Órdenes de Trabajo'!$J36="Abierto",'1. Órdenes de Trabajo'!$E36,"")</f>
        <v/>
      </c>
      <c r="C44" s="14" t="str">
        <f>IF('1. Órdenes de Trabajo'!$J36="Abierto",'1. Órdenes de Trabajo'!$I36,"")</f>
        <v/>
      </c>
      <c r="D44" s="14" t="str">
        <f>IF('1. Órdenes de Trabajo'!$J36="Abierto",IF(COUNTIF('6. Bajas'!$A$2:$A$301,'1. Órdenes de Trabajo'!$A36)&gt;0,"Baja",IF(SUMPRODUCT(('5. Servicio Técnico (Envíos)'!$A$2:$A$301='1. Órdenes de Trabajo'!$A36)*('5. Servicio Técnico (Envíos)'!$I$2:$I$301=""))&gt;0,"Servicio Técnico",'1. Órdenes de Trabajo'!$H36)),"")</f>
        <v/>
      </c>
      <c r="E44" s="14" t="str">
        <f>IF('1. Órdenes de Trabajo'!$J36="Abierto",'1. Órdenes de Trabajo'!$C36,"")</f>
        <v/>
      </c>
      <c r="F44" s="15" t="str">
        <f>IF('1. Órdenes de Trabajo'!$J36="Abierto",'1. Órdenes de Trabajo'!$B36,"")</f>
        <v/>
      </c>
      <c r="G44" s="16" t="str">
        <f ca="1">IF('1. Órdenes de Trabajo'!$J36="Abierto",IF('1. Órdenes de Trabajo'!$B36="","",TODAY()-DATE(VALUE(MID('1. Órdenes de Trabajo'!$B36,7,4)),VALUE(MID('1. Órdenes de Trabajo'!$B36,4,2)),VALUE(MID('1. Órdenes de Trabajo'!$B36,1,2)))),"")</f>
        <v/>
      </c>
      <c r="H44" s="14" t="str">
        <f>IF('1. Órdenes de Trabajo'!$J36="Abierto",'1. Órdenes de Trabajo'!$J36,"")</f>
        <v/>
      </c>
    </row>
    <row r="45" spans="1:8" ht="15" customHeight="1" x14ac:dyDescent="0.25">
      <c r="A45" s="14" t="str">
        <f>IF('1. Órdenes de Trabajo'!$J37="Abierto",'1. Órdenes de Trabajo'!$A37,"")</f>
        <v/>
      </c>
      <c r="B45" s="14" t="str">
        <f>IF('1. Órdenes de Trabajo'!$J37="Abierto",'1. Órdenes de Trabajo'!$E37,"")</f>
        <v/>
      </c>
      <c r="C45" s="14" t="str">
        <f>IF('1. Órdenes de Trabajo'!$J37="Abierto",'1. Órdenes de Trabajo'!$I37,"")</f>
        <v/>
      </c>
      <c r="D45" s="14" t="str">
        <f>IF('1. Órdenes de Trabajo'!$J37="Abierto",IF(COUNTIF('6. Bajas'!$A$2:$A$301,'1. Órdenes de Trabajo'!$A37)&gt;0,"Baja",IF(SUMPRODUCT(('5. Servicio Técnico (Envíos)'!$A$2:$A$301='1. Órdenes de Trabajo'!$A37)*('5. Servicio Técnico (Envíos)'!$I$2:$I$301=""))&gt;0,"Servicio Técnico",'1. Órdenes de Trabajo'!$H37)),"")</f>
        <v/>
      </c>
      <c r="E45" s="14" t="str">
        <f>IF('1. Órdenes de Trabajo'!$J37="Abierto",'1. Órdenes de Trabajo'!$C37,"")</f>
        <v/>
      </c>
      <c r="F45" s="15" t="str">
        <f>IF('1. Órdenes de Trabajo'!$J37="Abierto",'1. Órdenes de Trabajo'!$B37,"")</f>
        <v/>
      </c>
      <c r="G45" s="16" t="str">
        <f ca="1">IF('1. Órdenes de Trabajo'!$J37="Abierto",IF('1. Órdenes de Trabajo'!$B37="","",TODAY()-DATE(VALUE(MID('1. Órdenes de Trabajo'!$B37,7,4)),VALUE(MID('1. Órdenes de Trabajo'!$B37,4,2)),VALUE(MID('1. Órdenes de Trabajo'!$B37,1,2)))),"")</f>
        <v/>
      </c>
      <c r="H45" s="14" t="str">
        <f>IF('1. Órdenes de Trabajo'!$J37="Abierto",'1. Órdenes de Trabajo'!$J37,"")</f>
        <v/>
      </c>
    </row>
    <row r="46" spans="1:8" ht="15" customHeight="1" x14ac:dyDescent="0.25">
      <c r="A46" s="14" t="str">
        <f>IF('1. Órdenes de Trabajo'!$J38="Abierto",'1. Órdenes de Trabajo'!$A38,"")</f>
        <v/>
      </c>
      <c r="B46" s="14" t="str">
        <f>IF('1. Órdenes de Trabajo'!$J38="Abierto",'1. Órdenes de Trabajo'!$E38,"")</f>
        <v/>
      </c>
      <c r="C46" s="14" t="str">
        <f>IF('1. Órdenes de Trabajo'!$J38="Abierto",'1. Órdenes de Trabajo'!$I38,"")</f>
        <v/>
      </c>
      <c r="D46" s="14" t="str">
        <f>IF('1. Órdenes de Trabajo'!$J38="Abierto",IF(COUNTIF('6. Bajas'!$A$2:$A$301,'1. Órdenes de Trabajo'!$A38)&gt;0,"Baja",IF(SUMPRODUCT(('5. Servicio Técnico (Envíos)'!$A$2:$A$301='1. Órdenes de Trabajo'!$A38)*('5. Servicio Técnico (Envíos)'!$I$2:$I$301=""))&gt;0,"Servicio Técnico",'1. Órdenes de Trabajo'!$H38)),"")</f>
        <v/>
      </c>
      <c r="E46" s="14" t="str">
        <f>IF('1. Órdenes de Trabajo'!$J38="Abierto",'1. Órdenes de Trabajo'!$C38,"")</f>
        <v/>
      </c>
      <c r="F46" s="15" t="str">
        <f>IF('1. Órdenes de Trabajo'!$J38="Abierto",'1. Órdenes de Trabajo'!$B38,"")</f>
        <v/>
      </c>
      <c r="G46" s="16" t="str">
        <f ca="1">IF('1. Órdenes de Trabajo'!$J38="Abierto",IF('1. Órdenes de Trabajo'!$B38="","",TODAY()-DATE(VALUE(MID('1. Órdenes de Trabajo'!$B38,7,4)),VALUE(MID('1. Órdenes de Trabajo'!$B38,4,2)),VALUE(MID('1. Órdenes de Trabajo'!$B38,1,2)))),"")</f>
        <v/>
      </c>
      <c r="H46" s="14" t="str">
        <f>IF('1. Órdenes de Trabajo'!$J38="Abierto",'1. Órdenes de Trabajo'!$J38,"")</f>
        <v/>
      </c>
    </row>
    <row r="47" spans="1:8" ht="15" customHeight="1" x14ac:dyDescent="0.25">
      <c r="A47" s="14" t="str">
        <f>IF('1. Órdenes de Trabajo'!$J39="Abierto",'1. Órdenes de Trabajo'!$A39,"")</f>
        <v/>
      </c>
      <c r="B47" s="14" t="str">
        <f>IF('1. Órdenes de Trabajo'!$J39="Abierto",'1. Órdenes de Trabajo'!$E39,"")</f>
        <v/>
      </c>
      <c r="C47" s="14" t="str">
        <f>IF('1. Órdenes de Trabajo'!$J39="Abierto",'1. Órdenes de Trabajo'!$I39,"")</f>
        <v/>
      </c>
      <c r="D47" s="14" t="str">
        <f>IF('1. Órdenes de Trabajo'!$J39="Abierto",IF(COUNTIF('6. Bajas'!$A$2:$A$301,'1. Órdenes de Trabajo'!$A39)&gt;0,"Baja",IF(SUMPRODUCT(('5. Servicio Técnico (Envíos)'!$A$2:$A$301='1. Órdenes de Trabajo'!$A39)*('5. Servicio Técnico (Envíos)'!$I$2:$I$301=""))&gt;0,"Servicio Técnico",'1. Órdenes de Trabajo'!$H39)),"")</f>
        <v/>
      </c>
      <c r="E47" s="14" t="str">
        <f>IF('1. Órdenes de Trabajo'!$J39="Abierto",'1. Órdenes de Trabajo'!$C39,"")</f>
        <v/>
      </c>
      <c r="F47" s="15" t="str">
        <f>IF('1. Órdenes de Trabajo'!$J39="Abierto",'1. Órdenes de Trabajo'!$B39,"")</f>
        <v/>
      </c>
      <c r="G47" s="16" t="str">
        <f ca="1">IF('1. Órdenes de Trabajo'!$J39="Abierto",IF('1. Órdenes de Trabajo'!$B39="","",TODAY()-DATE(VALUE(MID('1. Órdenes de Trabajo'!$B39,7,4)),VALUE(MID('1. Órdenes de Trabajo'!$B39,4,2)),VALUE(MID('1. Órdenes de Trabajo'!$B39,1,2)))),"")</f>
        <v/>
      </c>
      <c r="H47" s="14" t="str">
        <f>IF('1. Órdenes de Trabajo'!$J39="Abierto",'1. Órdenes de Trabajo'!$J39,"")</f>
        <v/>
      </c>
    </row>
    <row r="48" spans="1:8" ht="15" customHeight="1" x14ac:dyDescent="0.25">
      <c r="A48" s="14" t="str">
        <f>IF('1. Órdenes de Trabajo'!$J40="Abierto",'1. Órdenes de Trabajo'!$A40,"")</f>
        <v/>
      </c>
      <c r="B48" s="14" t="str">
        <f>IF('1. Órdenes de Trabajo'!$J40="Abierto",'1. Órdenes de Trabajo'!$E40,"")</f>
        <v/>
      </c>
      <c r="C48" s="14" t="str">
        <f>IF('1. Órdenes de Trabajo'!$J40="Abierto",'1. Órdenes de Trabajo'!$I40,"")</f>
        <v/>
      </c>
      <c r="D48" s="14" t="str">
        <f>IF('1. Órdenes de Trabajo'!$J40="Abierto",IF(COUNTIF('6. Bajas'!$A$2:$A$301,'1. Órdenes de Trabajo'!$A40)&gt;0,"Baja",IF(SUMPRODUCT(('5. Servicio Técnico (Envíos)'!$A$2:$A$301='1. Órdenes de Trabajo'!$A40)*('5. Servicio Técnico (Envíos)'!$I$2:$I$301=""))&gt;0,"Servicio Técnico",'1. Órdenes de Trabajo'!$H40)),"")</f>
        <v/>
      </c>
      <c r="E48" s="14" t="str">
        <f>IF('1. Órdenes de Trabajo'!$J40="Abierto",'1. Órdenes de Trabajo'!$C40,"")</f>
        <v/>
      </c>
      <c r="F48" s="15" t="str">
        <f>IF('1. Órdenes de Trabajo'!$J40="Abierto",'1. Órdenes de Trabajo'!$B40,"")</f>
        <v/>
      </c>
      <c r="G48" s="16" t="str">
        <f ca="1">IF('1. Órdenes de Trabajo'!$J40="Abierto",IF('1. Órdenes de Trabajo'!$B40="","",TODAY()-DATE(VALUE(MID('1. Órdenes de Trabajo'!$B40,7,4)),VALUE(MID('1. Órdenes de Trabajo'!$B40,4,2)),VALUE(MID('1. Órdenes de Trabajo'!$B40,1,2)))),"")</f>
        <v/>
      </c>
      <c r="H48" s="14" t="str">
        <f>IF('1. Órdenes de Trabajo'!$J40="Abierto",'1. Órdenes de Trabajo'!$J40,"")</f>
        <v/>
      </c>
    </row>
    <row r="49" spans="1:8" ht="15" customHeight="1" x14ac:dyDescent="0.25">
      <c r="A49" s="14" t="str">
        <f>IF('1. Órdenes de Trabajo'!$J41="Abierto",'1. Órdenes de Trabajo'!$A41,"")</f>
        <v/>
      </c>
      <c r="B49" s="14" t="str">
        <f>IF('1. Órdenes de Trabajo'!$J41="Abierto",'1. Órdenes de Trabajo'!$E41,"")</f>
        <v/>
      </c>
      <c r="C49" s="14" t="str">
        <f>IF('1. Órdenes de Trabajo'!$J41="Abierto",'1. Órdenes de Trabajo'!$I41,"")</f>
        <v/>
      </c>
      <c r="D49" s="14" t="str">
        <f>IF('1. Órdenes de Trabajo'!$J41="Abierto",IF(COUNTIF('6. Bajas'!$A$2:$A$301,'1. Órdenes de Trabajo'!$A41)&gt;0,"Baja",IF(SUMPRODUCT(('5. Servicio Técnico (Envíos)'!$A$2:$A$301='1. Órdenes de Trabajo'!$A41)*('5. Servicio Técnico (Envíos)'!$I$2:$I$301=""))&gt;0,"Servicio Técnico",'1. Órdenes de Trabajo'!$H41)),"")</f>
        <v/>
      </c>
      <c r="E49" s="14" t="str">
        <f>IF('1. Órdenes de Trabajo'!$J41="Abierto",'1. Órdenes de Trabajo'!$C41,"")</f>
        <v/>
      </c>
      <c r="F49" s="15" t="str">
        <f>IF('1. Órdenes de Trabajo'!$J41="Abierto",'1. Órdenes de Trabajo'!$B41,"")</f>
        <v/>
      </c>
      <c r="G49" s="16" t="str">
        <f ca="1">IF('1. Órdenes de Trabajo'!$J41="Abierto",IF('1. Órdenes de Trabajo'!$B41="","",TODAY()-DATE(VALUE(MID('1. Órdenes de Trabajo'!$B41,7,4)),VALUE(MID('1. Órdenes de Trabajo'!$B41,4,2)),VALUE(MID('1. Órdenes de Trabajo'!$B41,1,2)))),"")</f>
        <v/>
      </c>
      <c r="H49" s="14" t="str">
        <f>IF('1. Órdenes de Trabajo'!$J41="Abierto",'1. Órdenes de Trabajo'!$J41,"")</f>
        <v/>
      </c>
    </row>
    <row r="50" spans="1:8" ht="15" customHeight="1" x14ac:dyDescent="0.25">
      <c r="A50" s="14" t="str">
        <f>IF('1. Órdenes de Trabajo'!$J42="Abierto",'1. Órdenes de Trabajo'!$A42,"")</f>
        <v/>
      </c>
      <c r="B50" s="14" t="str">
        <f>IF('1. Órdenes de Trabajo'!$J42="Abierto",'1. Órdenes de Trabajo'!$E42,"")</f>
        <v/>
      </c>
      <c r="C50" s="14" t="str">
        <f>IF('1. Órdenes de Trabajo'!$J42="Abierto",'1. Órdenes de Trabajo'!$I42,"")</f>
        <v/>
      </c>
      <c r="D50" s="14" t="str">
        <f>IF('1. Órdenes de Trabajo'!$J42="Abierto",IF(COUNTIF('6. Bajas'!$A$2:$A$301,'1. Órdenes de Trabajo'!$A42)&gt;0,"Baja",IF(SUMPRODUCT(('5. Servicio Técnico (Envíos)'!$A$2:$A$301='1. Órdenes de Trabajo'!$A42)*('5. Servicio Técnico (Envíos)'!$I$2:$I$301=""))&gt;0,"Servicio Técnico",'1. Órdenes de Trabajo'!$H42)),"")</f>
        <v/>
      </c>
      <c r="E50" s="14" t="str">
        <f>IF('1. Órdenes de Trabajo'!$J42="Abierto",'1. Órdenes de Trabajo'!$C42,"")</f>
        <v/>
      </c>
      <c r="F50" s="15" t="str">
        <f>IF('1. Órdenes de Trabajo'!$J42="Abierto",'1. Órdenes de Trabajo'!$B42,"")</f>
        <v/>
      </c>
      <c r="G50" s="16" t="str">
        <f ca="1">IF('1. Órdenes de Trabajo'!$J42="Abierto",IF('1. Órdenes de Trabajo'!$B42="","",TODAY()-DATE(VALUE(MID('1. Órdenes de Trabajo'!$B42,7,4)),VALUE(MID('1. Órdenes de Trabajo'!$B42,4,2)),VALUE(MID('1. Órdenes de Trabajo'!$B42,1,2)))),"")</f>
        <v/>
      </c>
      <c r="H50" s="14" t="str">
        <f>IF('1. Órdenes de Trabajo'!$J42="Abierto",'1. Órdenes de Trabajo'!$J42,"")</f>
        <v/>
      </c>
    </row>
    <row r="51" spans="1:8" ht="15" customHeight="1" x14ac:dyDescent="0.25">
      <c r="A51" s="14" t="str">
        <f>IF('1. Órdenes de Trabajo'!$J43="Abierto",'1. Órdenes de Trabajo'!$A43,"")</f>
        <v/>
      </c>
      <c r="B51" s="14" t="str">
        <f>IF('1. Órdenes de Trabajo'!$J43="Abierto",'1. Órdenes de Trabajo'!$E43,"")</f>
        <v/>
      </c>
      <c r="C51" s="14" t="str">
        <f>IF('1. Órdenes de Trabajo'!$J43="Abierto",'1. Órdenes de Trabajo'!$I43,"")</f>
        <v/>
      </c>
      <c r="D51" s="14" t="str">
        <f>IF('1. Órdenes de Trabajo'!$J43="Abierto",IF(COUNTIF('6. Bajas'!$A$2:$A$301,'1. Órdenes de Trabajo'!$A43)&gt;0,"Baja",IF(SUMPRODUCT(('5. Servicio Técnico (Envíos)'!$A$2:$A$301='1. Órdenes de Trabajo'!$A43)*('5. Servicio Técnico (Envíos)'!$I$2:$I$301=""))&gt;0,"Servicio Técnico",'1. Órdenes de Trabajo'!$H43)),"")</f>
        <v/>
      </c>
      <c r="E51" s="14" t="str">
        <f>IF('1. Órdenes de Trabajo'!$J43="Abierto",'1. Órdenes de Trabajo'!$C43,"")</f>
        <v/>
      </c>
      <c r="F51" s="15" t="str">
        <f>IF('1. Órdenes de Trabajo'!$J43="Abierto",'1. Órdenes de Trabajo'!$B43,"")</f>
        <v/>
      </c>
      <c r="G51" s="16" t="str">
        <f ca="1">IF('1. Órdenes de Trabajo'!$J43="Abierto",IF('1. Órdenes de Trabajo'!$B43="","",TODAY()-DATE(VALUE(MID('1. Órdenes de Trabajo'!$B43,7,4)),VALUE(MID('1. Órdenes de Trabajo'!$B43,4,2)),VALUE(MID('1. Órdenes de Trabajo'!$B43,1,2)))),"")</f>
        <v/>
      </c>
      <c r="H51" s="14" t="str">
        <f>IF('1. Órdenes de Trabajo'!$J43="Abierto",'1. Órdenes de Trabajo'!$J43,"")</f>
        <v/>
      </c>
    </row>
    <row r="52" spans="1:8" ht="15" customHeight="1" x14ac:dyDescent="0.25">
      <c r="A52" s="14" t="str">
        <f>IF('1. Órdenes de Trabajo'!$J44="Abierto",'1. Órdenes de Trabajo'!$A44,"")</f>
        <v/>
      </c>
      <c r="B52" s="14" t="str">
        <f>IF('1. Órdenes de Trabajo'!$J44="Abierto",'1. Órdenes de Trabajo'!$E44,"")</f>
        <v/>
      </c>
      <c r="C52" s="14" t="str">
        <f>IF('1. Órdenes de Trabajo'!$J44="Abierto",'1. Órdenes de Trabajo'!$I44,"")</f>
        <v/>
      </c>
      <c r="D52" s="14" t="str">
        <f>IF('1. Órdenes de Trabajo'!$J44="Abierto",IF(COUNTIF('6. Bajas'!$A$2:$A$301,'1. Órdenes de Trabajo'!$A44)&gt;0,"Baja",IF(SUMPRODUCT(('5. Servicio Técnico (Envíos)'!$A$2:$A$301='1. Órdenes de Trabajo'!$A44)*('5. Servicio Técnico (Envíos)'!$I$2:$I$301=""))&gt;0,"Servicio Técnico",'1. Órdenes de Trabajo'!$H44)),"")</f>
        <v/>
      </c>
      <c r="E52" s="14" t="str">
        <f>IF('1. Órdenes de Trabajo'!$J44="Abierto",'1. Órdenes de Trabajo'!$C44,"")</f>
        <v/>
      </c>
      <c r="F52" s="15" t="str">
        <f>IF('1. Órdenes de Trabajo'!$J44="Abierto",'1. Órdenes de Trabajo'!$B44,"")</f>
        <v/>
      </c>
      <c r="G52" s="16" t="str">
        <f ca="1">IF('1. Órdenes de Trabajo'!$J44="Abierto",IF('1. Órdenes de Trabajo'!$B44="","",TODAY()-DATE(VALUE(MID('1. Órdenes de Trabajo'!$B44,7,4)),VALUE(MID('1. Órdenes de Trabajo'!$B44,4,2)),VALUE(MID('1. Órdenes de Trabajo'!$B44,1,2)))),"")</f>
        <v/>
      </c>
      <c r="H52" s="14" t="str">
        <f>IF('1. Órdenes de Trabajo'!$J44="Abierto",'1. Órdenes de Trabajo'!$J44,"")</f>
        <v/>
      </c>
    </row>
    <row r="53" spans="1:8" ht="15" customHeight="1" x14ac:dyDescent="0.25">
      <c r="A53" s="14" t="str">
        <f>IF('1. Órdenes de Trabajo'!$J45="Abierto",'1. Órdenes de Trabajo'!$A45,"")</f>
        <v/>
      </c>
      <c r="B53" s="14" t="str">
        <f>IF('1. Órdenes de Trabajo'!$J45="Abierto",'1. Órdenes de Trabajo'!$E45,"")</f>
        <v/>
      </c>
      <c r="C53" s="14" t="str">
        <f>IF('1. Órdenes de Trabajo'!$J45="Abierto",'1. Órdenes de Trabajo'!$I45,"")</f>
        <v/>
      </c>
      <c r="D53" s="14" t="str">
        <f>IF('1. Órdenes de Trabajo'!$J45="Abierto",IF(COUNTIF('6. Bajas'!$A$2:$A$301,'1. Órdenes de Trabajo'!$A45)&gt;0,"Baja",IF(SUMPRODUCT(('5. Servicio Técnico (Envíos)'!$A$2:$A$301='1. Órdenes de Trabajo'!$A45)*('5. Servicio Técnico (Envíos)'!$I$2:$I$301=""))&gt;0,"Servicio Técnico",'1. Órdenes de Trabajo'!$H45)),"")</f>
        <v/>
      </c>
      <c r="E53" s="14" t="str">
        <f>IF('1. Órdenes de Trabajo'!$J45="Abierto",'1. Órdenes de Trabajo'!$C45,"")</f>
        <v/>
      </c>
      <c r="F53" s="15" t="str">
        <f>IF('1. Órdenes de Trabajo'!$J45="Abierto",'1. Órdenes de Trabajo'!$B45,"")</f>
        <v/>
      </c>
      <c r="G53" s="16" t="str">
        <f ca="1">IF('1. Órdenes de Trabajo'!$J45="Abierto",IF('1. Órdenes de Trabajo'!$B45="","",TODAY()-DATE(VALUE(MID('1. Órdenes de Trabajo'!$B45,7,4)),VALUE(MID('1. Órdenes de Trabajo'!$B45,4,2)),VALUE(MID('1. Órdenes de Trabajo'!$B45,1,2)))),"")</f>
        <v/>
      </c>
      <c r="H53" s="14" t="str">
        <f>IF('1. Órdenes de Trabajo'!$J45="Abierto",'1. Órdenes de Trabajo'!$J45,"")</f>
        <v/>
      </c>
    </row>
    <row r="54" spans="1:8" ht="15" customHeight="1" x14ac:dyDescent="0.25">
      <c r="A54" s="14" t="str">
        <f>IF('1. Órdenes de Trabajo'!$J46="Abierto",'1. Órdenes de Trabajo'!$A46,"")</f>
        <v/>
      </c>
      <c r="B54" s="14" t="str">
        <f>IF('1. Órdenes de Trabajo'!$J46="Abierto",'1. Órdenes de Trabajo'!$E46,"")</f>
        <v/>
      </c>
      <c r="C54" s="14" t="str">
        <f>IF('1. Órdenes de Trabajo'!$J46="Abierto",'1. Órdenes de Trabajo'!$I46,"")</f>
        <v/>
      </c>
      <c r="D54" s="14" t="str">
        <f>IF('1. Órdenes de Trabajo'!$J46="Abierto",IF(COUNTIF('6. Bajas'!$A$2:$A$301,'1. Órdenes de Trabajo'!$A46)&gt;0,"Baja",IF(SUMPRODUCT(('5. Servicio Técnico (Envíos)'!$A$2:$A$301='1. Órdenes de Trabajo'!$A46)*('5. Servicio Técnico (Envíos)'!$I$2:$I$301=""))&gt;0,"Servicio Técnico",'1. Órdenes de Trabajo'!$H46)),"")</f>
        <v/>
      </c>
      <c r="E54" s="14" t="str">
        <f>IF('1. Órdenes de Trabajo'!$J46="Abierto",'1. Órdenes de Trabajo'!$C46,"")</f>
        <v/>
      </c>
      <c r="F54" s="15" t="str">
        <f>IF('1. Órdenes de Trabajo'!$J46="Abierto",'1. Órdenes de Trabajo'!$B46,"")</f>
        <v/>
      </c>
      <c r="G54" s="16" t="str">
        <f ca="1">IF('1. Órdenes de Trabajo'!$J46="Abierto",IF('1. Órdenes de Trabajo'!$B46="","",TODAY()-DATE(VALUE(MID('1. Órdenes de Trabajo'!$B46,7,4)),VALUE(MID('1. Órdenes de Trabajo'!$B46,4,2)),VALUE(MID('1. Órdenes de Trabajo'!$B46,1,2)))),"")</f>
        <v/>
      </c>
      <c r="H54" s="14" t="str">
        <f>IF('1. Órdenes de Trabajo'!$J46="Abierto",'1. Órdenes de Trabajo'!$J46,"")</f>
        <v/>
      </c>
    </row>
    <row r="55" spans="1:8" ht="15" customHeight="1" x14ac:dyDescent="0.25">
      <c r="A55" s="14" t="str">
        <f>IF('1. Órdenes de Trabajo'!$J47="Abierto",'1. Órdenes de Trabajo'!$A47,"")</f>
        <v/>
      </c>
      <c r="B55" s="14" t="str">
        <f>IF('1. Órdenes de Trabajo'!$J47="Abierto",'1. Órdenes de Trabajo'!$E47,"")</f>
        <v/>
      </c>
      <c r="C55" s="14" t="str">
        <f>IF('1. Órdenes de Trabajo'!$J47="Abierto",'1. Órdenes de Trabajo'!$I47,"")</f>
        <v/>
      </c>
      <c r="D55" s="14" t="str">
        <f>IF('1. Órdenes de Trabajo'!$J47="Abierto",IF(COUNTIF('6. Bajas'!$A$2:$A$301,'1. Órdenes de Trabajo'!$A47)&gt;0,"Baja",IF(SUMPRODUCT(('5. Servicio Técnico (Envíos)'!$A$2:$A$301='1. Órdenes de Trabajo'!$A47)*('5. Servicio Técnico (Envíos)'!$I$2:$I$301=""))&gt;0,"Servicio Técnico",'1. Órdenes de Trabajo'!$H47)),"")</f>
        <v/>
      </c>
      <c r="E55" s="14" t="str">
        <f>IF('1. Órdenes de Trabajo'!$J47="Abierto",'1. Órdenes de Trabajo'!$C47,"")</f>
        <v/>
      </c>
      <c r="F55" s="15" t="str">
        <f>IF('1. Órdenes de Trabajo'!$J47="Abierto",'1. Órdenes de Trabajo'!$B47,"")</f>
        <v/>
      </c>
      <c r="G55" s="16" t="str">
        <f ca="1">IF('1. Órdenes de Trabajo'!$J47="Abierto",IF('1. Órdenes de Trabajo'!$B47="","",TODAY()-DATE(VALUE(MID('1. Órdenes de Trabajo'!$B47,7,4)),VALUE(MID('1. Órdenes de Trabajo'!$B47,4,2)),VALUE(MID('1. Órdenes de Trabajo'!$B47,1,2)))),"")</f>
        <v/>
      </c>
      <c r="H55" s="14" t="str">
        <f>IF('1. Órdenes de Trabajo'!$J47="Abierto",'1. Órdenes de Trabajo'!$J47,"")</f>
        <v/>
      </c>
    </row>
    <row r="56" spans="1:8" ht="15" customHeight="1" x14ac:dyDescent="0.25">
      <c r="A56" s="14" t="str">
        <f>IF('1. Órdenes de Trabajo'!$J48="Abierto",'1. Órdenes de Trabajo'!$A48,"")</f>
        <v/>
      </c>
      <c r="B56" s="14" t="str">
        <f>IF('1. Órdenes de Trabajo'!$J48="Abierto",'1. Órdenes de Trabajo'!$E48,"")</f>
        <v/>
      </c>
      <c r="C56" s="14" t="str">
        <f>IF('1. Órdenes de Trabajo'!$J48="Abierto",'1. Órdenes de Trabajo'!$I48,"")</f>
        <v/>
      </c>
      <c r="D56" s="14" t="str">
        <f>IF('1. Órdenes de Trabajo'!$J48="Abierto",IF(COUNTIF('6. Bajas'!$A$2:$A$301,'1. Órdenes de Trabajo'!$A48)&gt;0,"Baja",IF(SUMPRODUCT(('5. Servicio Técnico (Envíos)'!$A$2:$A$301='1. Órdenes de Trabajo'!$A48)*('5. Servicio Técnico (Envíos)'!$I$2:$I$301=""))&gt;0,"Servicio Técnico",'1. Órdenes de Trabajo'!$H48)),"")</f>
        <v/>
      </c>
      <c r="E56" s="14" t="str">
        <f>IF('1. Órdenes de Trabajo'!$J48="Abierto",'1. Órdenes de Trabajo'!$C48,"")</f>
        <v/>
      </c>
      <c r="F56" s="15" t="str">
        <f>IF('1. Órdenes de Trabajo'!$J48="Abierto",'1. Órdenes de Trabajo'!$B48,"")</f>
        <v/>
      </c>
      <c r="G56" s="16" t="str">
        <f ca="1">IF('1. Órdenes de Trabajo'!$J48="Abierto",IF('1. Órdenes de Trabajo'!$B48="","",TODAY()-DATE(VALUE(MID('1. Órdenes de Trabajo'!$B48,7,4)),VALUE(MID('1. Órdenes de Trabajo'!$B48,4,2)),VALUE(MID('1. Órdenes de Trabajo'!$B48,1,2)))),"")</f>
        <v/>
      </c>
      <c r="H56" s="14" t="str">
        <f>IF('1. Órdenes de Trabajo'!$J48="Abierto",'1. Órdenes de Trabajo'!$J48,"")</f>
        <v/>
      </c>
    </row>
    <row r="57" spans="1:8" ht="15" customHeight="1" x14ac:dyDescent="0.25">
      <c r="A57" s="14" t="str">
        <f>IF('1. Órdenes de Trabajo'!$J49="Abierto",'1. Órdenes de Trabajo'!$A49,"")</f>
        <v/>
      </c>
      <c r="B57" s="14" t="str">
        <f>IF('1. Órdenes de Trabajo'!$J49="Abierto",'1. Órdenes de Trabajo'!$E49,"")</f>
        <v/>
      </c>
      <c r="C57" s="14" t="str">
        <f>IF('1. Órdenes de Trabajo'!$J49="Abierto",'1. Órdenes de Trabajo'!$I49,"")</f>
        <v/>
      </c>
      <c r="D57" s="14" t="str">
        <f>IF('1. Órdenes de Trabajo'!$J49="Abierto",IF(COUNTIF('6. Bajas'!$A$2:$A$301,'1. Órdenes de Trabajo'!$A49)&gt;0,"Baja",IF(SUMPRODUCT(('5. Servicio Técnico (Envíos)'!$A$2:$A$301='1. Órdenes de Trabajo'!$A49)*('5. Servicio Técnico (Envíos)'!$I$2:$I$301=""))&gt;0,"Servicio Técnico",'1. Órdenes de Trabajo'!$H49)),"")</f>
        <v/>
      </c>
      <c r="E57" s="14" t="str">
        <f>IF('1. Órdenes de Trabajo'!$J49="Abierto",'1. Órdenes de Trabajo'!$C49,"")</f>
        <v/>
      </c>
      <c r="F57" s="15" t="str">
        <f>IF('1. Órdenes de Trabajo'!$J49="Abierto",'1. Órdenes de Trabajo'!$B49,"")</f>
        <v/>
      </c>
      <c r="G57" s="16" t="str">
        <f ca="1">IF('1. Órdenes de Trabajo'!$J49="Abierto",IF('1. Órdenes de Trabajo'!$B49="","",TODAY()-DATE(VALUE(MID('1. Órdenes de Trabajo'!$B49,7,4)),VALUE(MID('1. Órdenes de Trabajo'!$B49,4,2)),VALUE(MID('1. Órdenes de Trabajo'!$B49,1,2)))),"")</f>
        <v/>
      </c>
      <c r="H57" s="14" t="str">
        <f>IF('1. Órdenes de Trabajo'!$J49="Abierto",'1. Órdenes de Trabajo'!$J49,"")</f>
        <v/>
      </c>
    </row>
    <row r="58" spans="1:8" ht="15" customHeight="1" x14ac:dyDescent="0.25">
      <c r="A58" s="14" t="str">
        <f>IF('1. Órdenes de Trabajo'!$J50="Abierto",'1. Órdenes de Trabajo'!$A50,"")</f>
        <v/>
      </c>
      <c r="B58" s="14" t="str">
        <f>IF('1. Órdenes de Trabajo'!$J50="Abierto",'1. Órdenes de Trabajo'!$E50,"")</f>
        <v/>
      </c>
      <c r="C58" s="14" t="str">
        <f>IF('1. Órdenes de Trabajo'!$J50="Abierto",'1. Órdenes de Trabajo'!$I50,"")</f>
        <v/>
      </c>
      <c r="D58" s="14" t="str">
        <f>IF('1. Órdenes de Trabajo'!$J50="Abierto",IF(COUNTIF('6. Bajas'!$A$2:$A$301,'1. Órdenes de Trabajo'!$A50)&gt;0,"Baja",IF(SUMPRODUCT(('5. Servicio Técnico (Envíos)'!$A$2:$A$301='1. Órdenes de Trabajo'!$A50)*('5. Servicio Técnico (Envíos)'!$I$2:$I$301=""))&gt;0,"Servicio Técnico",'1. Órdenes de Trabajo'!$H50)),"")</f>
        <v/>
      </c>
      <c r="E58" s="14" t="str">
        <f>IF('1. Órdenes de Trabajo'!$J50="Abierto",'1. Órdenes de Trabajo'!$C50,"")</f>
        <v/>
      </c>
      <c r="F58" s="15" t="str">
        <f>IF('1. Órdenes de Trabajo'!$J50="Abierto",'1. Órdenes de Trabajo'!$B50,"")</f>
        <v/>
      </c>
      <c r="G58" s="16" t="str">
        <f ca="1">IF('1. Órdenes de Trabajo'!$J50="Abierto",IF('1. Órdenes de Trabajo'!$B50="","",TODAY()-DATE(VALUE(MID('1. Órdenes de Trabajo'!$B50,7,4)),VALUE(MID('1. Órdenes de Trabajo'!$B50,4,2)),VALUE(MID('1. Órdenes de Trabajo'!$B50,1,2)))),"")</f>
        <v/>
      </c>
      <c r="H58" s="14" t="str">
        <f>IF('1. Órdenes de Trabajo'!$J50="Abierto",'1. Órdenes de Trabajo'!$J50,"")</f>
        <v/>
      </c>
    </row>
    <row r="59" spans="1:8" ht="15" customHeight="1" x14ac:dyDescent="0.25">
      <c r="A59" s="14" t="str">
        <f>IF('1. Órdenes de Trabajo'!$J51="Abierto",'1. Órdenes de Trabajo'!$A51,"")</f>
        <v/>
      </c>
      <c r="B59" s="14" t="str">
        <f>IF('1. Órdenes de Trabajo'!$J51="Abierto",'1. Órdenes de Trabajo'!$E51,"")</f>
        <v/>
      </c>
      <c r="C59" s="14" t="str">
        <f>IF('1. Órdenes de Trabajo'!$J51="Abierto",'1. Órdenes de Trabajo'!$I51,"")</f>
        <v/>
      </c>
      <c r="D59" s="14" t="str">
        <f>IF('1. Órdenes de Trabajo'!$J51="Abierto",IF(COUNTIF('6. Bajas'!$A$2:$A$301,'1. Órdenes de Trabajo'!$A51)&gt;0,"Baja",IF(SUMPRODUCT(('5. Servicio Técnico (Envíos)'!$A$2:$A$301='1. Órdenes de Trabajo'!$A51)*('5. Servicio Técnico (Envíos)'!$I$2:$I$301=""))&gt;0,"Servicio Técnico",'1. Órdenes de Trabajo'!$H51)),"")</f>
        <v/>
      </c>
      <c r="E59" s="14" t="str">
        <f>IF('1. Órdenes de Trabajo'!$J51="Abierto",'1. Órdenes de Trabajo'!$C51,"")</f>
        <v/>
      </c>
      <c r="F59" s="15" t="str">
        <f>IF('1. Órdenes de Trabajo'!$J51="Abierto",'1. Órdenes de Trabajo'!$B51,"")</f>
        <v/>
      </c>
      <c r="G59" s="16" t="str">
        <f ca="1">IF('1. Órdenes de Trabajo'!$J51="Abierto",IF('1. Órdenes de Trabajo'!$B51="","",TODAY()-DATE(VALUE(MID('1. Órdenes de Trabajo'!$B51,7,4)),VALUE(MID('1. Órdenes de Trabajo'!$B51,4,2)),VALUE(MID('1. Órdenes de Trabajo'!$B51,1,2)))),"")</f>
        <v/>
      </c>
      <c r="H59" s="14" t="str">
        <f>IF('1. Órdenes de Trabajo'!$J51="Abierto",'1. Órdenes de Trabajo'!$J51,"")</f>
        <v/>
      </c>
    </row>
    <row r="60" spans="1:8" ht="15" customHeight="1" x14ac:dyDescent="0.25">
      <c r="A60" s="14" t="str">
        <f>IF('1. Órdenes de Trabajo'!$J52="Abierto",'1. Órdenes de Trabajo'!$A52,"")</f>
        <v/>
      </c>
      <c r="B60" s="14" t="str">
        <f>IF('1. Órdenes de Trabajo'!$J52="Abierto",'1. Órdenes de Trabajo'!$E52,"")</f>
        <v/>
      </c>
      <c r="C60" s="14" t="str">
        <f>IF('1. Órdenes de Trabajo'!$J52="Abierto",'1. Órdenes de Trabajo'!$I52,"")</f>
        <v/>
      </c>
      <c r="D60" s="14" t="str">
        <f>IF('1. Órdenes de Trabajo'!$J52="Abierto",IF(COUNTIF('6. Bajas'!$A$2:$A$301,'1. Órdenes de Trabajo'!$A52)&gt;0,"Baja",IF(SUMPRODUCT(('5. Servicio Técnico (Envíos)'!$A$2:$A$301='1. Órdenes de Trabajo'!$A52)*('5. Servicio Técnico (Envíos)'!$I$2:$I$301=""))&gt;0,"Servicio Técnico",'1. Órdenes de Trabajo'!$H52)),"")</f>
        <v/>
      </c>
      <c r="E60" s="14" t="str">
        <f>IF('1. Órdenes de Trabajo'!$J52="Abierto",'1. Órdenes de Trabajo'!$C52,"")</f>
        <v/>
      </c>
      <c r="F60" s="15" t="str">
        <f>IF('1. Órdenes de Trabajo'!$J52="Abierto",'1. Órdenes de Trabajo'!$B52,"")</f>
        <v/>
      </c>
      <c r="G60" s="16" t="str">
        <f ca="1">IF('1. Órdenes de Trabajo'!$J52="Abierto",IF('1. Órdenes de Trabajo'!$B52="","",TODAY()-DATE(VALUE(MID('1. Órdenes de Trabajo'!$B52,7,4)),VALUE(MID('1. Órdenes de Trabajo'!$B52,4,2)),VALUE(MID('1. Órdenes de Trabajo'!$B52,1,2)))),"")</f>
        <v/>
      </c>
      <c r="H60" s="14" t="str">
        <f>IF('1. Órdenes de Trabajo'!$J52="Abierto",'1. Órdenes de Trabajo'!$J52,"")</f>
        <v/>
      </c>
    </row>
    <row r="61" spans="1:8" ht="15" customHeight="1" x14ac:dyDescent="0.25">
      <c r="A61" s="14" t="str">
        <f>IF('1. Órdenes de Trabajo'!$J53="Abierto",'1. Órdenes de Trabajo'!$A53,"")</f>
        <v/>
      </c>
      <c r="B61" s="14" t="str">
        <f>IF('1. Órdenes de Trabajo'!$J53="Abierto",'1. Órdenes de Trabajo'!$E53,"")</f>
        <v/>
      </c>
      <c r="C61" s="14" t="str">
        <f>IF('1. Órdenes de Trabajo'!$J53="Abierto",'1. Órdenes de Trabajo'!$I53,"")</f>
        <v/>
      </c>
      <c r="D61" s="14" t="str">
        <f>IF('1. Órdenes de Trabajo'!$J53="Abierto",IF(COUNTIF('6. Bajas'!$A$2:$A$301,'1. Órdenes de Trabajo'!$A53)&gt;0,"Baja",IF(SUMPRODUCT(('5. Servicio Técnico (Envíos)'!$A$2:$A$301='1. Órdenes de Trabajo'!$A53)*('5. Servicio Técnico (Envíos)'!$I$2:$I$301=""))&gt;0,"Servicio Técnico",'1. Órdenes de Trabajo'!$H53)),"")</f>
        <v/>
      </c>
      <c r="E61" s="14" t="str">
        <f>IF('1. Órdenes de Trabajo'!$J53="Abierto",'1. Órdenes de Trabajo'!$C53,"")</f>
        <v/>
      </c>
      <c r="F61" s="15" t="str">
        <f>IF('1. Órdenes de Trabajo'!$J53="Abierto",'1. Órdenes de Trabajo'!$B53,"")</f>
        <v/>
      </c>
      <c r="G61" s="16" t="str">
        <f ca="1">IF('1. Órdenes de Trabajo'!$J53="Abierto",IF('1. Órdenes de Trabajo'!$B53="","",TODAY()-DATE(VALUE(MID('1. Órdenes de Trabajo'!$B53,7,4)),VALUE(MID('1. Órdenes de Trabajo'!$B53,4,2)),VALUE(MID('1. Órdenes de Trabajo'!$B53,1,2)))),"")</f>
        <v/>
      </c>
      <c r="H61" s="14" t="str">
        <f>IF('1. Órdenes de Trabajo'!$J53="Abierto",'1. Órdenes de Trabajo'!$J53,"")</f>
        <v/>
      </c>
    </row>
    <row r="62" spans="1:8" ht="15" customHeight="1" x14ac:dyDescent="0.25">
      <c r="A62" s="14" t="str">
        <f>IF('1. Órdenes de Trabajo'!$J54="Abierto",'1. Órdenes de Trabajo'!$A54,"")</f>
        <v/>
      </c>
      <c r="B62" s="14" t="str">
        <f>IF('1. Órdenes de Trabajo'!$J54="Abierto",'1. Órdenes de Trabajo'!$E54,"")</f>
        <v/>
      </c>
      <c r="C62" s="14" t="str">
        <f>IF('1. Órdenes de Trabajo'!$J54="Abierto",'1. Órdenes de Trabajo'!$I54,"")</f>
        <v/>
      </c>
      <c r="D62" s="14" t="str">
        <f>IF('1. Órdenes de Trabajo'!$J54="Abierto",IF(COUNTIF('6. Bajas'!$A$2:$A$301,'1. Órdenes de Trabajo'!$A54)&gt;0,"Baja",IF(SUMPRODUCT(('5. Servicio Técnico (Envíos)'!$A$2:$A$301='1. Órdenes de Trabajo'!$A54)*('5. Servicio Técnico (Envíos)'!$I$2:$I$301=""))&gt;0,"Servicio Técnico",'1. Órdenes de Trabajo'!$H54)),"")</f>
        <v/>
      </c>
      <c r="E62" s="14" t="str">
        <f>IF('1. Órdenes de Trabajo'!$J54="Abierto",'1. Órdenes de Trabajo'!$C54,"")</f>
        <v/>
      </c>
      <c r="F62" s="15" t="str">
        <f>IF('1. Órdenes de Trabajo'!$J54="Abierto",'1. Órdenes de Trabajo'!$B54,"")</f>
        <v/>
      </c>
      <c r="G62" s="16" t="str">
        <f ca="1">IF('1. Órdenes de Trabajo'!$J54="Abierto",IF('1. Órdenes de Trabajo'!$B54="","",TODAY()-DATE(VALUE(MID('1. Órdenes de Trabajo'!$B54,7,4)),VALUE(MID('1. Órdenes de Trabajo'!$B54,4,2)),VALUE(MID('1. Órdenes de Trabajo'!$B54,1,2)))),"")</f>
        <v/>
      </c>
      <c r="H62" s="14" t="str">
        <f>IF('1. Órdenes de Trabajo'!$J54="Abierto",'1. Órdenes de Trabajo'!$J54,"")</f>
        <v/>
      </c>
    </row>
    <row r="63" spans="1:8" ht="15" customHeight="1" x14ac:dyDescent="0.25">
      <c r="A63" s="14" t="str">
        <f>IF('1. Órdenes de Trabajo'!$J55="Abierto",'1. Órdenes de Trabajo'!$A55,"")</f>
        <v/>
      </c>
      <c r="B63" s="14" t="str">
        <f>IF('1. Órdenes de Trabajo'!$J55="Abierto",'1. Órdenes de Trabajo'!$E55,"")</f>
        <v/>
      </c>
      <c r="C63" s="14" t="str">
        <f>IF('1. Órdenes de Trabajo'!$J55="Abierto",'1. Órdenes de Trabajo'!$I55,"")</f>
        <v/>
      </c>
      <c r="D63" s="14" t="str">
        <f>IF('1. Órdenes de Trabajo'!$J55="Abierto",IF(COUNTIF('6. Bajas'!$A$2:$A$301,'1. Órdenes de Trabajo'!$A55)&gt;0,"Baja",IF(SUMPRODUCT(('5. Servicio Técnico (Envíos)'!$A$2:$A$301='1. Órdenes de Trabajo'!$A55)*('5. Servicio Técnico (Envíos)'!$I$2:$I$301=""))&gt;0,"Servicio Técnico",'1. Órdenes de Trabajo'!$H55)),"")</f>
        <v/>
      </c>
      <c r="E63" s="14" t="str">
        <f>IF('1. Órdenes de Trabajo'!$J55="Abierto",'1. Órdenes de Trabajo'!$C55,"")</f>
        <v/>
      </c>
      <c r="F63" s="15" t="str">
        <f>IF('1. Órdenes de Trabajo'!$J55="Abierto",'1. Órdenes de Trabajo'!$B55,"")</f>
        <v/>
      </c>
      <c r="G63" s="16" t="str">
        <f ca="1">IF('1. Órdenes de Trabajo'!$J55="Abierto",IF('1. Órdenes de Trabajo'!$B55="","",TODAY()-DATE(VALUE(MID('1. Órdenes de Trabajo'!$B55,7,4)),VALUE(MID('1. Órdenes de Trabajo'!$B55,4,2)),VALUE(MID('1. Órdenes de Trabajo'!$B55,1,2)))),"")</f>
        <v/>
      </c>
      <c r="H63" s="14" t="str">
        <f>IF('1. Órdenes de Trabajo'!$J55="Abierto",'1. Órdenes de Trabajo'!$J55,"")</f>
        <v/>
      </c>
    </row>
    <row r="64" spans="1:8" ht="15" customHeight="1" x14ac:dyDescent="0.25">
      <c r="A64" s="14" t="str">
        <f>IF('1. Órdenes de Trabajo'!$J56="Abierto",'1. Órdenes de Trabajo'!$A56,"")</f>
        <v/>
      </c>
      <c r="B64" s="14" t="str">
        <f>IF('1. Órdenes de Trabajo'!$J56="Abierto",'1. Órdenes de Trabajo'!$E56,"")</f>
        <v/>
      </c>
      <c r="C64" s="14" t="str">
        <f>IF('1. Órdenes de Trabajo'!$J56="Abierto",'1. Órdenes de Trabajo'!$I56,"")</f>
        <v/>
      </c>
      <c r="D64" s="14" t="str">
        <f>IF('1. Órdenes de Trabajo'!$J56="Abierto",IF(COUNTIF('6. Bajas'!$A$2:$A$301,'1. Órdenes de Trabajo'!$A56)&gt;0,"Baja",IF(SUMPRODUCT(('5. Servicio Técnico (Envíos)'!$A$2:$A$301='1. Órdenes de Trabajo'!$A56)*('5. Servicio Técnico (Envíos)'!$I$2:$I$301=""))&gt;0,"Servicio Técnico",'1. Órdenes de Trabajo'!$H56)),"")</f>
        <v/>
      </c>
      <c r="E64" s="14" t="str">
        <f>IF('1. Órdenes de Trabajo'!$J56="Abierto",'1. Órdenes de Trabajo'!$C56,"")</f>
        <v/>
      </c>
      <c r="F64" s="15" t="str">
        <f>IF('1. Órdenes de Trabajo'!$J56="Abierto",'1. Órdenes de Trabajo'!$B56,"")</f>
        <v/>
      </c>
      <c r="G64" s="16" t="str">
        <f ca="1">IF('1. Órdenes de Trabajo'!$J56="Abierto",IF('1. Órdenes de Trabajo'!$B56="","",TODAY()-DATE(VALUE(MID('1. Órdenes de Trabajo'!$B56,7,4)),VALUE(MID('1. Órdenes de Trabajo'!$B56,4,2)),VALUE(MID('1. Órdenes de Trabajo'!$B56,1,2)))),"")</f>
        <v/>
      </c>
      <c r="H64" s="14" t="str">
        <f>IF('1. Órdenes de Trabajo'!$J56="Abierto",'1. Órdenes de Trabajo'!$J56,"")</f>
        <v/>
      </c>
    </row>
    <row r="65" spans="1:8" ht="15" customHeight="1" x14ac:dyDescent="0.25">
      <c r="A65" s="14" t="str">
        <f>IF('1. Órdenes de Trabajo'!$J57="Abierto",'1. Órdenes de Trabajo'!$A57,"")</f>
        <v/>
      </c>
      <c r="B65" s="14" t="str">
        <f>IF('1. Órdenes de Trabajo'!$J57="Abierto",'1. Órdenes de Trabajo'!$E57,"")</f>
        <v/>
      </c>
      <c r="C65" s="14" t="str">
        <f>IF('1. Órdenes de Trabajo'!$J57="Abierto",'1. Órdenes de Trabajo'!$I57,"")</f>
        <v/>
      </c>
      <c r="D65" s="14" t="str">
        <f>IF('1. Órdenes de Trabajo'!$J57="Abierto",IF(COUNTIF('6. Bajas'!$A$2:$A$301,'1. Órdenes de Trabajo'!$A57)&gt;0,"Baja",IF(SUMPRODUCT(('5. Servicio Técnico (Envíos)'!$A$2:$A$301='1. Órdenes de Trabajo'!$A57)*('5. Servicio Técnico (Envíos)'!$I$2:$I$301=""))&gt;0,"Servicio Técnico",'1. Órdenes de Trabajo'!$H57)),"")</f>
        <v/>
      </c>
      <c r="E65" s="14" t="str">
        <f>IF('1. Órdenes de Trabajo'!$J57="Abierto",'1. Órdenes de Trabajo'!$C57,"")</f>
        <v/>
      </c>
      <c r="F65" s="15" t="str">
        <f>IF('1. Órdenes de Trabajo'!$J57="Abierto",'1. Órdenes de Trabajo'!$B57,"")</f>
        <v/>
      </c>
      <c r="G65" s="16" t="str">
        <f ca="1">IF('1. Órdenes de Trabajo'!$J57="Abierto",IF('1. Órdenes de Trabajo'!$B57="","",TODAY()-DATE(VALUE(MID('1. Órdenes de Trabajo'!$B57,7,4)),VALUE(MID('1. Órdenes de Trabajo'!$B57,4,2)),VALUE(MID('1. Órdenes de Trabajo'!$B57,1,2)))),"")</f>
        <v/>
      </c>
      <c r="H65" s="14" t="str">
        <f>IF('1. Órdenes de Trabajo'!$J57="Abierto",'1. Órdenes de Trabajo'!$J57,"")</f>
        <v/>
      </c>
    </row>
    <row r="66" spans="1:8" ht="15" customHeight="1" x14ac:dyDescent="0.25">
      <c r="A66" s="14" t="str">
        <f>IF('1. Órdenes de Trabajo'!$J58="Abierto",'1. Órdenes de Trabajo'!$A58,"")</f>
        <v/>
      </c>
      <c r="B66" s="14" t="str">
        <f>IF('1. Órdenes de Trabajo'!$J58="Abierto",'1. Órdenes de Trabajo'!$E58,"")</f>
        <v/>
      </c>
      <c r="C66" s="14" t="str">
        <f>IF('1. Órdenes de Trabajo'!$J58="Abierto",'1. Órdenes de Trabajo'!$I58,"")</f>
        <v/>
      </c>
      <c r="D66" s="14" t="str">
        <f>IF('1. Órdenes de Trabajo'!$J58="Abierto",IF(COUNTIF('6. Bajas'!$A$2:$A$301,'1. Órdenes de Trabajo'!$A58)&gt;0,"Baja",IF(SUMPRODUCT(('5. Servicio Técnico (Envíos)'!$A$2:$A$301='1. Órdenes de Trabajo'!$A58)*('5. Servicio Técnico (Envíos)'!$I$2:$I$301=""))&gt;0,"Servicio Técnico",'1. Órdenes de Trabajo'!$H58)),"")</f>
        <v/>
      </c>
      <c r="E66" s="14" t="str">
        <f>IF('1. Órdenes de Trabajo'!$J58="Abierto",'1. Órdenes de Trabajo'!$C58,"")</f>
        <v/>
      </c>
      <c r="F66" s="15" t="str">
        <f>IF('1. Órdenes de Trabajo'!$J58="Abierto",'1. Órdenes de Trabajo'!$B58,"")</f>
        <v/>
      </c>
      <c r="G66" s="16" t="str">
        <f ca="1">IF('1. Órdenes de Trabajo'!$J58="Abierto",IF('1. Órdenes de Trabajo'!$B58="","",TODAY()-DATE(VALUE(MID('1. Órdenes de Trabajo'!$B58,7,4)),VALUE(MID('1. Órdenes de Trabajo'!$B58,4,2)),VALUE(MID('1. Órdenes de Trabajo'!$B58,1,2)))),"")</f>
        <v/>
      </c>
      <c r="H66" s="14" t="str">
        <f>IF('1. Órdenes de Trabajo'!$J58="Abierto",'1. Órdenes de Trabajo'!$J58,"")</f>
        <v/>
      </c>
    </row>
    <row r="67" spans="1:8" ht="15" customHeight="1" x14ac:dyDescent="0.25">
      <c r="A67" s="14" t="str">
        <f>IF('1. Órdenes de Trabajo'!$J59="Abierto",'1. Órdenes de Trabajo'!$A59,"")</f>
        <v/>
      </c>
      <c r="B67" s="14" t="str">
        <f>IF('1. Órdenes de Trabajo'!$J59="Abierto",'1. Órdenes de Trabajo'!$E59,"")</f>
        <v/>
      </c>
      <c r="C67" s="14" t="str">
        <f>IF('1. Órdenes de Trabajo'!$J59="Abierto",'1. Órdenes de Trabajo'!$I59,"")</f>
        <v/>
      </c>
      <c r="D67" s="14" t="str">
        <f>IF('1. Órdenes de Trabajo'!$J59="Abierto",IF(COUNTIF('6. Bajas'!$A$2:$A$301,'1. Órdenes de Trabajo'!$A59)&gt;0,"Baja",IF(SUMPRODUCT(('5. Servicio Técnico (Envíos)'!$A$2:$A$301='1. Órdenes de Trabajo'!$A59)*('5. Servicio Técnico (Envíos)'!$I$2:$I$301=""))&gt;0,"Servicio Técnico",'1. Órdenes de Trabajo'!$H59)),"")</f>
        <v/>
      </c>
      <c r="E67" s="14" t="str">
        <f>IF('1. Órdenes de Trabajo'!$J59="Abierto",'1. Órdenes de Trabajo'!$C59,"")</f>
        <v/>
      </c>
      <c r="F67" s="15" t="str">
        <f>IF('1. Órdenes de Trabajo'!$J59="Abierto",'1. Órdenes de Trabajo'!$B59,"")</f>
        <v/>
      </c>
      <c r="G67" s="16" t="str">
        <f ca="1">IF('1. Órdenes de Trabajo'!$J59="Abierto",IF('1. Órdenes de Trabajo'!$B59="","",TODAY()-DATE(VALUE(MID('1. Órdenes de Trabajo'!$B59,7,4)),VALUE(MID('1. Órdenes de Trabajo'!$B59,4,2)),VALUE(MID('1. Órdenes de Trabajo'!$B59,1,2)))),"")</f>
        <v/>
      </c>
      <c r="H67" s="14" t="str">
        <f>IF('1. Órdenes de Trabajo'!$J59="Abierto",'1. Órdenes de Trabajo'!$J59,"")</f>
        <v/>
      </c>
    </row>
    <row r="68" spans="1:8" ht="15" customHeight="1" x14ac:dyDescent="0.25">
      <c r="A68" s="14" t="str">
        <f>IF('1. Órdenes de Trabajo'!$J60="Abierto",'1. Órdenes de Trabajo'!$A60,"")</f>
        <v/>
      </c>
      <c r="B68" s="14" t="str">
        <f>IF('1. Órdenes de Trabajo'!$J60="Abierto",'1. Órdenes de Trabajo'!$E60,"")</f>
        <v/>
      </c>
      <c r="C68" s="14" t="str">
        <f>IF('1. Órdenes de Trabajo'!$J60="Abierto",'1. Órdenes de Trabajo'!$I60,"")</f>
        <v/>
      </c>
      <c r="D68" s="14" t="str">
        <f>IF('1. Órdenes de Trabajo'!$J60="Abierto",IF(COUNTIF('6. Bajas'!$A$2:$A$301,'1. Órdenes de Trabajo'!$A60)&gt;0,"Baja",IF(SUMPRODUCT(('5. Servicio Técnico (Envíos)'!$A$2:$A$301='1. Órdenes de Trabajo'!$A60)*('5. Servicio Técnico (Envíos)'!$I$2:$I$301=""))&gt;0,"Servicio Técnico",'1. Órdenes de Trabajo'!$H60)),"")</f>
        <v/>
      </c>
      <c r="E68" s="14" t="str">
        <f>IF('1. Órdenes de Trabajo'!$J60="Abierto",'1. Órdenes de Trabajo'!$C60,"")</f>
        <v/>
      </c>
      <c r="F68" s="15" t="str">
        <f>IF('1. Órdenes de Trabajo'!$J60="Abierto",'1. Órdenes de Trabajo'!$B60,"")</f>
        <v/>
      </c>
      <c r="G68" s="16" t="str">
        <f ca="1">IF('1. Órdenes de Trabajo'!$J60="Abierto",IF('1. Órdenes de Trabajo'!$B60="","",TODAY()-DATE(VALUE(MID('1. Órdenes de Trabajo'!$B60,7,4)),VALUE(MID('1. Órdenes de Trabajo'!$B60,4,2)),VALUE(MID('1. Órdenes de Trabajo'!$B60,1,2)))),"")</f>
        <v/>
      </c>
      <c r="H68" s="14" t="str">
        <f>IF('1. Órdenes de Trabajo'!$J60="Abierto",'1. Órdenes de Trabajo'!$J60,"")</f>
        <v/>
      </c>
    </row>
    <row r="69" spans="1:8" ht="15" customHeight="1" x14ac:dyDescent="0.25">
      <c r="A69" s="14" t="str">
        <f>IF('1. Órdenes de Trabajo'!$J61="Abierto",'1. Órdenes de Trabajo'!$A61,"")</f>
        <v/>
      </c>
      <c r="B69" s="14" t="str">
        <f>IF('1. Órdenes de Trabajo'!$J61="Abierto",'1. Órdenes de Trabajo'!$E61,"")</f>
        <v/>
      </c>
      <c r="C69" s="14" t="str">
        <f>IF('1. Órdenes de Trabajo'!$J61="Abierto",'1. Órdenes de Trabajo'!$I61,"")</f>
        <v/>
      </c>
      <c r="D69" s="14" t="str">
        <f>IF('1. Órdenes de Trabajo'!$J61="Abierto",IF(COUNTIF('6. Bajas'!$A$2:$A$301,'1. Órdenes de Trabajo'!$A61)&gt;0,"Baja",IF(SUMPRODUCT(('5. Servicio Técnico (Envíos)'!$A$2:$A$301='1. Órdenes de Trabajo'!$A61)*('5. Servicio Técnico (Envíos)'!$I$2:$I$301=""))&gt;0,"Servicio Técnico",'1. Órdenes de Trabajo'!$H61)),"")</f>
        <v/>
      </c>
      <c r="E69" s="14" t="str">
        <f>IF('1. Órdenes de Trabajo'!$J61="Abierto",'1. Órdenes de Trabajo'!$C61,"")</f>
        <v/>
      </c>
      <c r="F69" s="15" t="str">
        <f>IF('1. Órdenes de Trabajo'!$J61="Abierto",'1. Órdenes de Trabajo'!$B61,"")</f>
        <v/>
      </c>
      <c r="G69" s="16" t="str">
        <f ca="1">IF('1. Órdenes de Trabajo'!$J61="Abierto",IF('1. Órdenes de Trabajo'!$B61="","",TODAY()-DATE(VALUE(MID('1. Órdenes de Trabajo'!$B61,7,4)),VALUE(MID('1. Órdenes de Trabajo'!$B61,4,2)),VALUE(MID('1. Órdenes de Trabajo'!$B61,1,2)))),"")</f>
        <v/>
      </c>
      <c r="H69" s="14" t="str">
        <f>IF('1. Órdenes de Trabajo'!$J61="Abierto",'1. Órdenes de Trabajo'!$J61,"")</f>
        <v/>
      </c>
    </row>
    <row r="70" spans="1:8" ht="15" customHeight="1" x14ac:dyDescent="0.25">
      <c r="A70" s="14" t="str">
        <f>IF('1. Órdenes de Trabajo'!$J62="Abierto",'1. Órdenes de Trabajo'!$A62,"")</f>
        <v/>
      </c>
      <c r="B70" s="14" t="str">
        <f>IF('1. Órdenes de Trabajo'!$J62="Abierto",'1. Órdenes de Trabajo'!$E62,"")</f>
        <v/>
      </c>
      <c r="C70" s="14" t="str">
        <f>IF('1. Órdenes de Trabajo'!$J62="Abierto",'1. Órdenes de Trabajo'!$I62,"")</f>
        <v/>
      </c>
      <c r="D70" s="14" t="str">
        <f>IF('1. Órdenes de Trabajo'!$J62="Abierto",IF(COUNTIF('6. Bajas'!$A$2:$A$301,'1. Órdenes de Trabajo'!$A62)&gt;0,"Baja",IF(SUMPRODUCT(('5. Servicio Técnico (Envíos)'!$A$2:$A$301='1. Órdenes de Trabajo'!$A62)*('5. Servicio Técnico (Envíos)'!$I$2:$I$301=""))&gt;0,"Servicio Técnico",'1. Órdenes de Trabajo'!$H62)),"")</f>
        <v/>
      </c>
      <c r="E70" s="14" t="str">
        <f>IF('1. Órdenes de Trabajo'!$J62="Abierto",'1. Órdenes de Trabajo'!$C62,"")</f>
        <v/>
      </c>
      <c r="F70" s="15" t="str">
        <f>IF('1. Órdenes de Trabajo'!$J62="Abierto",'1. Órdenes de Trabajo'!$B62,"")</f>
        <v/>
      </c>
      <c r="G70" s="16" t="str">
        <f ca="1">IF('1. Órdenes de Trabajo'!$J62="Abierto",IF('1. Órdenes de Trabajo'!$B62="","",TODAY()-DATE(VALUE(MID('1. Órdenes de Trabajo'!$B62,7,4)),VALUE(MID('1. Órdenes de Trabajo'!$B62,4,2)),VALUE(MID('1. Órdenes de Trabajo'!$B62,1,2)))),"")</f>
        <v/>
      </c>
      <c r="H70" s="14" t="str">
        <f>IF('1. Órdenes de Trabajo'!$J62="Abierto",'1. Órdenes de Trabajo'!$J62,"")</f>
        <v/>
      </c>
    </row>
    <row r="71" spans="1:8" ht="15" customHeight="1" x14ac:dyDescent="0.25">
      <c r="A71" s="14" t="str">
        <f>IF('1. Órdenes de Trabajo'!$J63="Abierto",'1. Órdenes de Trabajo'!$A63,"")</f>
        <v/>
      </c>
      <c r="B71" s="14" t="str">
        <f>IF('1. Órdenes de Trabajo'!$J63="Abierto",'1. Órdenes de Trabajo'!$E63,"")</f>
        <v/>
      </c>
      <c r="C71" s="14" t="str">
        <f>IF('1. Órdenes de Trabajo'!$J63="Abierto",'1. Órdenes de Trabajo'!$I63,"")</f>
        <v/>
      </c>
      <c r="D71" s="14" t="str">
        <f>IF('1. Órdenes de Trabajo'!$J63="Abierto",IF(COUNTIF('6. Bajas'!$A$2:$A$301,'1. Órdenes de Trabajo'!$A63)&gt;0,"Baja",IF(SUMPRODUCT(('5. Servicio Técnico (Envíos)'!$A$2:$A$301='1. Órdenes de Trabajo'!$A63)*('5. Servicio Técnico (Envíos)'!$I$2:$I$301=""))&gt;0,"Servicio Técnico",'1. Órdenes de Trabajo'!$H63)),"")</f>
        <v/>
      </c>
      <c r="E71" s="14" t="str">
        <f>IF('1. Órdenes de Trabajo'!$J63="Abierto",'1. Órdenes de Trabajo'!$C63,"")</f>
        <v/>
      </c>
      <c r="F71" s="15" t="str">
        <f>IF('1. Órdenes de Trabajo'!$J63="Abierto",'1. Órdenes de Trabajo'!$B63,"")</f>
        <v/>
      </c>
      <c r="G71" s="16" t="str">
        <f ca="1">IF('1. Órdenes de Trabajo'!$J63="Abierto",IF('1. Órdenes de Trabajo'!$B63="","",TODAY()-DATE(VALUE(MID('1. Órdenes de Trabajo'!$B63,7,4)),VALUE(MID('1. Órdenes de Trabajo'!$B63,4,2)),VALUE(MID('1. Órdenes de Trabajo'!$B63,1,2)))),"")</f>
        <v/>
      </c>
      <c r="H71" s="14" t="str">
        <f>IF('1. Órdenes de Trabajo'!$J63="Abierto",'1. Órdenes de Trabajo'!$J63,"")</f>
        <v/>
      </c>
    </row>
    <row r="72" spans="1:8" ht="15" customHeight="1" x14ac:dyDescent="0.25">
      <c r="A72" s="14" t="str">
        <f>IF('1. Órdenes de Trabajo'!$J64="Abierto",'1. Órdenes de Trabajo'!$A64,"")</f>
        <v/>
      </c>
      <c r="B72" s="14" t="str">
        <f>IF('1. Órdenes de Trabajo'!$J64="Abierto",'1. Órdenes de Trabajo'!$E64,"")</f>
        <v/>
      </c>
      <c r="C72" s="14" t="str">
        <f>IF('1. Órdenes de Trabajo'!$J64="Abierto",'1. Órdenes de Trabajo'!$I64,"")</f>
        <v/>
      </c>
      <c r="D72" s="14" t="str">
        <f>IF('1. Órdenes de Trabajo'!$J64="Abierto",IF(COUNTIF('6. Bajas'!$A$2:$A$301,'1. Órdenes de Trabajo'!$A64)&gt;0,"Baja",IF(SUMPRODUCT(('5. Servicio Técnico (Envíos)'!$A$2:$A$301='1. Órdenes de Trabajo'!$A64)*('5. Servicio Técnico (Envíos)'!$I$2:$I$301=""))&gt;0,"Servicio Técnico",'1. Órdenes de Trabajo'!$H64)),"")</f>
        <v/>
      </c>
      <c r="E72" s="14" t="str">
        <f>IF('1. Órdenes de Trabajo'!$J64="Abierto",'1. Órdenes de Trabajo'!$C64,"")</f>
        <v/>
      </c>
      <c r="F72" s="15" t="str">
        <f>IF('1. Órdenes de Trabajo'!$J64="Abierto",'1. Órdenes de Trabajo'!$B64,"")</f>
        <v/>
      </c>
      <c r="G72" s="16" t="str">
        <f ca="1">IF('1. Órdenes de Trabajo'!$J64="Abierto",IF('1. Órdenes de Trabajo'!$B64="","",TODAY()-DATE(VALUE(MID('1. Órdenes de Trabajo'!$B64,7,4)),VALUE(MID('1. Órdenes de Trabajo'!$B64,4,2)),VALUE(MID('1. Órdenes de Trabajo'!$B64,1,2)))),"")</f>
        <v/>
      </c>
      <c r="H72" s="14" t="str">
        <f>IF('1. Órdenes de Trabajo'!$J64="Abierto",'1. Órdenes de Trabajo'!$J64,"")</f>
        <v/>
      </c>
    </row>
    <row r="73" spans="1:8" ht="15" customHeight="1" x14ac:dyDescent="0.25">
      <c r="A73" s="14" t="str">
        <f>IF('1. Órdenes de Trabajo'!$J65="Abierto",'1. Órdenes de Trabajo'!$A65,"")</f>
        <v/>
      </c>
      <c r="B73" s="14" t="str">
        <f>IF('1. Órdenes de Trabajo'!$J65="Abierto",'1. Órdenes de Trabajo'!$E65,"")</f>
        <v/>
      </c>
      <c r="C73" s="14" t="str">
        <f>IF('1. Órdenes de Trabajo'!$J65="Abierto",'1. Órdenes de Trabajo'!$I65,"")</f>
        <v/>
      </c>
      <c r="D73" s="14" t="str">
        <f>IF('1. Órdenes de Trabajo'!$J65="Abierto",IF(COUNTIF('6. Bajas'!$A$2:$A$301,'1. Órdenes de Trabajo'!$A65)&gt;0,"Baja",IF(SUMPRODUCT(('5. Servicio Técnico (Envíos)'!$A$2:$A$301='1. Órdenes de Trabajo'!$A65)*('5. Servicio Técnico (Envíos)'!$I$2:$I$301=""))&gt;0,"Servicio Técnico",'1. Órdenes de Trabajo'!$H65)),"")</f>
        <v/>
      </c>
      <c r="E73" s="14" t="str">
        <f>IF('1. Órdenes de Trabajo'!$J65="Abierto",'1. Órdenes de Trabajo'!$C65,"")</f>
        <v/>
      </c>
      <c r="F73" s="15" t="str">
        <f>IF('1. Órdenes de Trabajo'!$J65="Abierto",'1. Órdenes de Trabajo'!$B65,"")</f>
        <v/>
      </c>
      <c r="G73" s="16" t="str">
        <f ca="1">IF('1. Órdenes de Trabajo'!$J65="Abierto",IF('1. Órdenes de Trabajo'!$B65="","",TODAY()-DATE(VALUE(MID('1. Órdenes de Trabajo'!$B65,7,4)),VALUE(MID('1. Órdenes de Trabajo'!$B65,4,2)),VALUE(MID('1. Órdenes de Trabajo'!$B65,1,2)))),"")</f>
        <v/>
      </c>
      <c r="H73" s="14" t="str">
        <f>IF('1. Órdenes de Trabajo'!$J65="Abierto",'1. Órdenes de Trabajo'!$J65,"")</f>
        <v/>
      </c>
    </row>
    <row r="74" spans="1:8" ht="15" customHeight="1" x14ac:dyDescent="0.25">
      <c r="A74" s="14" t="str">
        <f>IF('1. Órdenes de Trabajo'!$J66="Abierto",'1. Órdenes de Trabajo'!$A66,"")</f>
        <v/>
      </c>
      <c r="B74" s="14" t="str">
        <f>IF('1. Órdenes de Trabajo'!$J66="Abierto",'1. Órdenes de Trabajo'!$E66,"")</f>
        <v/>
      </c>
      <c r="C74" s="14" t="str">
        <f>IF('1. Órdenes de Trabajo'!$J66="Abierto",'1. Órdenes de Trabajo'!$I66,"")</f>
        <v/>
      </c>
      <c r="D74" s="14" t="str">
        <f>IF('1. Órdenes de Trabajo'!$J66="Abierto",IF(COUNTIF('6. Bajas'!$A$2:$A$301,'1. Órdenes de Trabajo'!$A66)&gt;0,"Baja",IF(SUMPRODUCT(('5. Servicio Técnico (Envíos)'!$A$2:$A$301='1. Órdenes de Trabajo'!$A66)*('5. Servicio Técnico (Envíos)'!$I$2:$I$301=""))&gt;0,"Servicio Técnico",'1. Órdenes de Trabajo'!$H66)),"")</f>
        <v/>
      </c>
      <c r="E74" s="14" t="str">
        <f>IF('1. Órdenes de Trabajo'!$J66="Abierto",'1. Órdenes de Trabajo'!$C66,"")</f>
        <v/>
      </c>
      <c r="F74" s="15" t="str">
        <f>IF('1. Órdenes de Trabajo'!$J66="Abierto",'1. Órdenes de Trabajo'!$B66,"")</f>
        <v/>
      </c>
      <c r="G74" s="16" t="str">
        <f ca="1">IF('1. Órdenes de Trabajo'!$J66="Abierto",IF('1. Órdenes de Trabajo'!$B66="","",TODAY()-DATE(VALUE(MID('1. Órdenes de Trabajo'!$B66,7,4)),VALUE(MID('1. Órdenes de Trabajo'!$B66,4,2)),VALUE(MID('1. Órdenes de Trabajo'!$B66,1,2)))),"")</f>
        <v/>
      </c>
      <c r="H74" s="14" t="str">
        <f>IF('1. Órdenes de Trabajo'!$J66="Abierto",'1. Órdenes de Trabajo'!$J66,"")</f>
        <v/>
      </c>
    </row>
    <row r="75" spans="1:8" ht="15" customHeight="1" x14ac:dyDescent="0.25">
      <c r="A75" s="14" t="str">
        <f>IF('1. Órdenes de Trabajo'!$J67="Abierto",'1. Órdenes de Trabajo'!$A67,"")</f>
        <v/>
      </c>
      <c r="B75" s="14" t="str">
        <f>IF('1. Órdenes de Trabajo'!$J67="Abierto",'1. Órdenes de Trabajo'!$E67,"")</f>
        <v/>
      </c>
      <c r="C75" s="14" t="str">
        <f>IF('1. Órdenes de Trabajo'!$J67="Abierto",'1. Órdenes de Trabajo'!$I67,"")</f>
        <v/>
      </c>
      <c r="D75" s="14" t="str">
        <f>IF('1. Órdenes de Trabajo'!$J67="Abierto",IF(COUNTIF('6. Bajas'!$A$2:$A$301,'1. Órdenes de Trabajo'!$A67)&gt;0,"Baja",IF(SUMPRODUCT(('5. Servicio Técnico (Envíos)'!$A$2:$A$301='1. Órdenes de Trabajo'!$A67)*('5. Servicio Técnico (Envíos)'!$I$2:$I$301=""))&gt;0,"Servicio Técnico",'1. Órdenes de Trabajo'!$H67)),"")</f>
        <v/>
      </c>
      <c r="E75" s="14" t="str">
        <f>IF('1. Órdenes de Trabajo'!$J67="Abierto",'1. Órdenes de Trabajo'!$C67,"")</f>
        <v/>
      </c>
      <c r="F75" s="15" t="str">
        <f>IF('1. Órdenes de Trabajo'!$J67="Abierto",'1. Órdenes de Trabajo'!$B67,"")</f>
        <v/>
      </c>
      <c r="G75" s="16" t="str">
        <f ca="1">IF('1. Órdenes de Trabajo'!$J67="Abierto",IF('1. Órdenes de Trabajo'!$B67="","",TODAY()-DATE(VALUE(MID('1. Órdenes de Trabajo'!$B67,7,4)),VALUE(MID('1. Órdenes de Trabajo'!$B67,4,2)),VALUE(MID('1. Órdenes de Trabajo'!$B67,1,2)))),"")</f>
        <v/>
      </c>
      <c r="H75" s="14" t="str">
        <f>IF('1. Órdenes de Trabajo'!$J67="Abierto",'1. Órdenes de Trabajo'!$J67,"")</f>
        <v/>
      </c>
    </row>
    <row r="76" spans="1:8" ht="15" customHeight="1" x14ac:dyDescent="0.25">
      <c r="A76" s="14" t="str">
        <f>IF('1. Órdenes de Trabajo'!$J68="Abierto",'1. Órdenes de Trabajo'!$A68,"")</f>
        <v/>
      </c>
      <c r="B76" s="14" t="str">
        <f>IF('1. Órdenes de Trabajo'!$J68="Abierto",'1. Órdenes de Trabajo'!$E68,"")</f>
        <v/>
      </c>
      <c r="C76" s="14" t="str">
        <f>IF('1. Órdenes de Trabajo'!$J68="Abierto",'1. Órdenes de Trabajo'!$I68,"")</f>
        <v/>
      </c>
      <c r="D76" s="14" t="str">
        <f>IF('1. Órdenes de Trabajo'!$J68="Abierto",IF(COUNTIF('6. Bajas'!$A$2:$A$301,'1. Órdenes de Trabajo'!$A68)&gt;0,"Baja",IF(SUMPRODUCT(('5. Servicio Técnico (Envíos)'!$A$2:$A$301='1. Órdenes de Trabajo'!$A68)*('5. Servicio Técnico (Envíos)'!$I$2:$I$301=""))&gt;0,"Servicio Técnico",'1. Órdenes de Trabajo'!$H68)),"")</f>
        <v/>
      </c>
      <c r="E76" s="14" t="str">
        <f>IF('1. Órdenes de Trabajo'!$J68="Abierto",'1. Órdenes de Trabajo'!$C68,"")</f>
        <v/>
      </c>
      <c r="F76" s="15" t="str">
        <f>IF('1. Órdenes de Trabajo'!$J68="Abierto",'1. Órdenes de Trabajo'!$B68,"")</f>
        <v/>
      </c>
      <c r="G76" s="16" t="str">
        <f ca="1">IF('1. Órdenes de Trabajo'!$J68="Abierto",IF('1. Órdenes de Trabajo'!$B68="","",TODAY()-DATE(VALUE(MID('1. Órdenes de Trabajo'!$B68,7,4)),VALUE(MID('1. Órdenes de Trabajo'!$B68,4,2)),VALUE(MID('1. Órdenes de Trabajo'!$B68,1,2)))),"")</f>
        <v/>
      </c>
      <c r="H76" s="14" t="str">
        <f>IF('1. Órdenes de Trabajo'!$J68="Abierto",'1. Órdenes de Trabajo'!$J68,"")</f>
        <v/>
      </c>
    </row>
    <row r="77" spans="1:8" ht="15" customHeight="1" x14ac:dyDescent="0.25">
      <c r="A77" s="14" t="str">
        <f>IF('1. Órdenes de Trabajo'!$J69="Abierto",'1. Órdenes de Trabajo'!$A69,"")</f>
        <v/>
      </c>
      <c r="B77" s="14" t="str">
        <f>IF('1. Órdenes de Trabajo'!$J69="Abierto",'1. Órdenes de Trabajo'!$E69,"")</f>
        <v/>
      </c>
      <c r="C77" s="14" t="str">
        <f>IF('1. Órdenes de Trabajo'!$J69="Abierto",'1. Órdenes de Trabajo'!$I69,"")</f>
        <v/>
      </c>
      <c r="D77" s="14" t="str">
        <f>IF('1. Órdenes de Trabajo'!$J69="Abierto",IF(COUNTIF('6. Bajas'!$A$2:$A$301,'1. Órdenes de Trabajo'!$A69)&gt;0,"Baja",IF(SUMPRODUCT(('5. Servicio Técnico (Envíos)'!$A$2:$A$301='1. Órdenes de Trabajo'!$A69)*('5. Servicio Técnico (Envíos)'!$I$2:$I$301=""))&gt;0,"Servicio Técnico",'1. Órdenes de Trabajo'!$H69)),"")</f>
        <v/>
      </c>
      <c r="E77" s="14" t="str">
        <f>IF('1. Órdenes de Trabajo'!$J69="Abierto",'1. Órdenes de Trabajo'!$C69,"")</f>
        <v/>
      </c>
      <c r="F77" s="15" t="str">
        <f>IF('1. Órdenes de Trabajo'!$J69="Abierto",'1. Órdenes de Trabajo'!$B69,"")</f>
        <v/>
      </c>
      <c r="G77" s="16" t="str">
        <f ca="1">IF('1. Órdenes de Trabajo'!$J69="Abierto",IF('1. Órdenes de Trabajo'!$B69="","",TODAY()-DATE(VALUE(MID('1. Órdenes de Trabajo'!$B69,7,4)),VALUE(MID('1. Órdenes de Trabajo'!$B69,4,2)),VALUE(MID('1. Órdenes de Trabajo'!$B69,1,2)))),"")</f>
        <v/>
      </c>
      <c r="H77" s="14" t="str">
        <f>IF('1. Órdenes de Trabajo'!$J69="Abierto",'1. Órdenes de Trabajo'!$J69,"")</f>
        <v/>
      </c>
    </row>
    <row r="78" spans="1:8" ht="15" customHeight="1" x14ac:dyDescent="0.25">
      <c r="A78" s="14" t="str">
        <f>IF('1. Órdenes de Trabajo'!$J70="Abierto",'1. Órdenes de Trabajo'!$A70,"")</f>
        <v/>
      </c>
      <c r="B78" s="14" t="str">
        <f>IF('1. Órdenes de Trabajo'!$J70="Abierto",'1. Órdenes de Trabajo'!$E70,"")</f>
        <v/>
      </c>
      <c r="C78" s="14" t="str">
        <f>IF('1. Órdenes de Trabajo'!$J70="Abierto",'1. Órdenes de Trabajo'!$I70,"")</f>
        <v/>
      </c>
      <c r="D78" s="14" t="str">
        <f>IF('1. Órdenes de Trabajo'!$J70="Abierto",IF(COUNTIF('6. Bajas'!$A$2:$A$301,'1. Órdenes de Trabajo'!$A70)&gt;0,"Baja",IF(SUMPRODUCT(('5. Servicio Técnico (Envíos)'!$A$2:$A$301='1. Órdenes de Trabajo'!$A70)*('5. Servicio Técnico (Envíos)'!$I$2:$I$301=""))&gt;0,"Servicio Técnico",'1. Órdenes de Trabajo'!$H70)),"")</f>
        <v/>
      </c>
      <c r="E78" s="14" t="str">
        <f>IF('1. Órdenes de Trabajo'!$J70="Abierto",'1. Órdenes de Trabajo'!$C70,"")</f>
        <v/>
      </c>
      <c r="F78" s="15" t="str">
        <f>IF('1. Órdenes de Trabajo'!$J70="Abierto",'1. Órdenes de Trabajo'!$B70,"")</f>
        <v/>
      </c>
      <c r="G78" s="16" t="str">
        <f ca="1">IF('1. Órdenes de Trabajo'!$J70="Abierto",IF('1. Órdenes de Trabajo'!$B70="","",TODAY()-DATE(VALUE(MID('1. Órdenes de Trabajo'!$B70,7,4)),VALUE(MID('1. Órdenes de Trabajo'!$B70,4,2)),VALUE(MID('1. Órdenes de Trabajo'!$B70,1,2)))),"")</f>
        <v/>
      </c>
      <c r="H78" s="14" t="str">
        <f>IF('1. Órdenes de Trabajo'!$J70="Abierto",'1. Órdenes de Trabajo'!$J70,"")</f>
        <v/>
      </c>
    </row>
    <row r="79" spans="1:8" ht="15" customHeight="1" x14ac:dyDescent="0.25">
      <c r="A79" s="14" t="str">
        <f>IF('1. Órdenes de Trabajo'!$J71="Abierto",'1. Órdenes de Trabajo'!$A71,"")</f>
        <v/>
      </c>
      <c r="B79" s="14" t="str">
        <f>IF('1. Órdenes de Trabajo'!$J71="Abierto",'1. Órdenes de Trabajo'!$E71,"")</f>
        <v/>
      </c>
      <c r="C79" s="14" t="str">
        <f>IF('1. Órdenes de Trabajo'!$J71="Abierto",'1. Órdenes de Trabajo'!$I71,"")</f>
        <v/>
      </c>
      <c r="D79" s="14" t="str">
        <f>IF('1. Órdenes de Trabajo'!$J71="Abierto",IF(COUNTIF('6. Bajas'!$A$2:$A$301,'1. Órdenes de Trabajo'!$A71)&gt;0,"Baja",IF(SUMPRODUCT(('5. Servicio Técnico (Envíos)'!$A$2:$A$301='1. Órdenes de Trabajo'!$A71)*('5. Servicio Técnico (Envíos)'!$I$2:$I$301=""))&gt;0,"Servicio Técnico",'1. Órdenes de Trabajo'!$H71)),"")</f>
        <v/>
      </c>
      <c r="E79" s="14" t="str">
        <f>IF('1. Órdenes de Trabajo'!$J71="Abierto",'1. Órdenes de Trabajo'!$C71,"")</f>
        <v/>
      </c>
      <c r="F79" s="15" t="str">
        <f>IF('1. Órdenes de Trabajo'!$J71="Abierto",'1. Órdenes de Trabajo'!$B71,"")</f>
        <v/>
      </c>
      <c r="G79" s="16" t="str">
        <f ca="1">IF('1. Órdenes de Trabajo'!$J71="Abierto",IF('1. Órdenes de Trabajo'!$B71="","",TODAY()-DATE(VALUE(MID('1. Órdenes de Trabajo'!$B71,7,4)),VALUE(MID('1. Órdenes de Trabajo'!$B71,4,2)),VALUE(MID('1. Órdenes de Trabajo'!$B71,1,2)))),"")</f>
        <v/>
      </c>
      <c r="H79" s="14" t="str">
        <f>IF('1. Órdenes de Trabajo'!$J71="Abierto",'1. Órdenes de Trabajo'!$J71,"")</f>
        <v/>
      </c>
    </row>
    <row r="80" spans="1:8" ht="15" customHeight="1" x14ac:dyDescent="0.25">
      <c r="A80" s="14" t="str">
        <f>IF('1. Órdenes de Trabajo'!$J72="Abierto",'1. Órdenes de Trabajo'!$A72,"")</f>
        <v/>
      </c>
      <c r="B80" s="14" t="str">
        <f>IF('1. Órdenes de Trabajo'!$J72="Abierto",'1. Órdenes de Trabajo'!$E72,"")</f>
        <v/>
      </c>
      <c r="C80" s="14" t="str">
        <f>IF('1. Órdenes de Trabajo'!$J72="Abierto",'1. Órdenes de Trabajo'!$I72,"")</f>
        <v/>
      </c>
      <c r="D80" s="14" t="str">
        <f>IF('1. Órdenes de Trabajo'!$J72="Abierto",IF(COUNTIF('6. Bajas'!$A$2:$A$301,'1. Órdenes de Trabajo'!$A72)&gt;0,"Baja",IF(SUMPRODUCT(('5. Servicio Técnico (Envíos)'!$A$2:$A$301='1. Órdenes de Trabajo'!$A72)*('5. Servicio Técnico (Envíos)'!$I$2:$I$301=""))&gt;0,"Servicio Técnico",'1. Órdenes de Trabajo'!$H72)),"")</f>
        <v/>
      </c>
      <c r="E80" s="14" t="str">
        <f>IF('1. Órdenes de Trabajo'!$J72="Abierto",'1. Órdenes de Trabajo'!$C72,"")</f>
        <v/>
      </c>
      <c r="F80" s="15" t="str">
        <f>IF('1. Órdenes de Trabajo'!$J72="Abierto",'1. Órdenes de Trabajo'!$B72,"")</f>
        <v/>
      </c>
      <c r="G80" s="16" t="str">
        <f ca="1">IF('1. Órdenes de Trabajo'!$J72="Abierto",IF('1. Órdenes de Trabajo'!$B72="","",TODAY()-DATE(VALUE(MID('1. Órdenes de Trabajo'!$B72,7,4)),VALUE(MID('1. Órdenes de Trabajo'!$B72,4,2)),VALUE(MID('1. Órdenes de Trabajo'!$B72,1,2)))),"")</f>
        <v/>
      </c>
      <c r="H80" s="14" t="str">
        <f>IF('1. Órdenes de Trabajo'!$J72="Abierto",'1. Órdenes de Trabajo'!$J72,"")</f>
        <v/>
      </c>
    </row>
    <row r="81" spans="1:8" ht="15" customHeight="1" x14ac:dyDescent="0.25">
      <c r="A81" s="14" t="str">
        <f>IF('1. Órdenes de Trabajo'!$J73="Abierto",'1. Órdenes de Trabajo'!$A73,"")</f>
        <v/>
      </c>
      <c r="B81" s="14" t="str">
        <f>IF('1. Órdenes de Trabajo'!$J73="Abierto",'1. Órdenes de Trabajo'!$E73,"")</f>
        <v/>
      </c>
      <c r="C81" s="14" t="str">
        <f>IF('1. Órdenes de Trabajo'!$J73="Abierto",'1. Órdenes de Trabajo'!$I73,"")</f>
        <v/>
      </c>
      <c r="D81" s="14" t="str">
        <f>IF('1. Órdenes de Trabajo'!$J73="Abierto",IF(COUNTIF('6. Bajas'!$A$2:$A$301,'1. Órdenes de Trabajo'!$A73)&gt;0,"Baja",IF(SUMPRODUCT(('5. Servicio Técnico (Envíos)'!$A$2:$A$301='1. Órdenes de Trabajo'!$A73)*('5. Servicio Técnico (Envíos)'!$I$2:$I$301=""))&gt;0,"Servicio Técnico",'1. Órdenes de Trabajo'!$H73)),"")</f>
        <v/>
      </c>
      <c r="E81" s="14" t="str">
        <f>IF('1. Órdenes de Trabajo'!$J73="Abierto",'1. Órdenes de Trabajo'!$C73,"")</f>
        <v/>
      </c>
      <c r="F81" s="15" t="str">
        <f>IF('1. Órdenes de Trabajo'!$J73="Abierto",'1. Órdenes de Trabajo'!$B73,"")</f>
        <v/>
      </c>
      <c r="G81" s="16" t="str">
        <f ca="1">IF('1. Órdenes de Trabajo'!$J73="Abierto",IF('1. Órdenes de Trabajo'!$B73="","",TODAY()-DATE(VALUE(MID('1. Órdenes de Trabajo'!$B73,7,4)),VALUE(MID('1. Órdenes de Trabajo'!$B73,4,2)),VALUE(MID('1. Órdenes de Trabajo'!$B73,1,2)))),"")</f>
        <v/>
      </c>
      <c r="H81" s="14" t="str">
        <f>IF('1. Órdenes de Trabajo'!$J73="Abierto",'1. Órdenes de Trabajo'!$J73,"")</f>
        <v/>
      </c>
    </row>
    <row r="82" spans="1:8" ht="15" customHeight="1" x14ac:dyDescent="0.25">
      <c r="A82" s="14" t="str">
        <f>IF('1. Órdenes de Trabajo'!$J74="Abierto",'1. Órdenes de Trabajo'!$A74,"")</f>
        <v/>
      </c>
      <c r="B82" s="14" t="str">
        <f>IF('1. Órdenes de Trabajo'!$J74="Abierto",'1. Órdenes de Trabajo'!$E74,"")</f>
        <v/>
      </c>
      <c r="C82" s="14" t="str">
        <f>IF('1. Órdenes de Trabajo'!$J74="Abierto",'1. Órdenes de Trabajo'!$I74,"")</f>
        <v/>
      </c>
      <c r="D82" s="14" t="str">
        <f>IF('1. Órdenes de Trabajo'!$J74="Abierto",IF(COUNTIF('6. Bajas'!$A$2:$A$301,'1. Órdenes de Trabajo'!$A74)&gt;0,"Baja",IF(SUMPRODUCT(('5. Servicio Técnico (Envíos)'!$A$2:$A$301='1. Órdenes de Trabajo'!$A74)*('5. Servicio Técnico (Envíos)'!$I$2:$I$301=""))&gt;0,"Servicio Técnico",'1. Órdenes de Trabajo'!$H74)),"")</f>
        <v/>
      </c>
      <c r="E82" s="14" t="str">
        <f>IF('1. Órdenes de Trabajo'!$J74="Abierto",'1. Órdenes de Trabajo'!$C74,"")</f>
        <v/>
      </c>
      <c r="F82" s="15" t="str">
        <f>IF('1. Órdenes de Trabajo'!$J74="Abierto",'1. Órdenes de Trabajo'!$B74,"")</f>
        <v/>
      </c>
      <c r="G82" s="16" t="str">
        <f ca="1">IF('1. Órdenes de Trabajo'!$J74="Abierto",IF('1. Órdenes de Trabajo'!$B74="","",TODAY()-DATE(VALUE(MID('1. Órdenes de Trabajo'!$B74,7,4)),VALUE(MID('1. Órdenes de Trabajo'!$B74,4,2)),VALUE(MID('1. Órdenes de Trabajo'!$B74,1,2)))),"")</f>
        <v/>
      </c>
      <c r="H82" s="14" t="str">
        <f>IF('1. Órdenes de Trabajo'!$J74="Abierto",'1. Órdenes de Trabajo'!$J74,"")</f>
        <v/>
      </c>
    </row>
    <row r="83" spans="1:8" ht="15" customHeight="1" x14ac:dyDescent="0.25">
      <c r="A83" s="14" t="str">
        <f>IF('1. Órdenes de Trabajo'!$J75="Abierto",'1. Órdenes de Trabajo'!$A75,"")</f>
        <v/>
      </c>
      <c r="B83" s="14" t="str">
        <f>IF('1. Órdenes de Trabajo'!$J75="Abierto",'1. Órdenes de Trabajo'!$E75,"")</f>
        <v/>
      </c>
      <c r="C83" s="14" t="str">
        <f>IF('1. Órdenes de Trabajo'!$J75="Abierto",'1. Órdenes de Trabajo'!$I75,"")</f>
        <v/>
      </c>
      <c r="D83" s="14" t="str">
        <f>IF('1. Órdenes de Trabajo'!$J75="Abierto",IF(COUNTIF('6. Bajas'!$A$2:$A$301,'1. Órdenes de Trabajo'!$A75)&gt;0,"Baja",IF(SUMPRODUCT(('5. Servicio Técnico (Envíos)'!$A$2:$A$301='1. Órdenes de Trabajo'!$A75)*('5. Servicio Técnico (Envíos)'!$I$2:$I$301=""))&gt;0,"Servicio Técnico",'1. Órdenes de Trabajo'!$H75)),"")</f>
        <v/>
      </c>
      <c r="E83" s="14" t="str">
        <f>IF('1. Órdenes de Trabajo'!$J75="Abierto",'1. Órdenes de Trabajo'!$C75,"")</f>
        <v/>
      </c>
      <c r="F83" s="15" t="str">
        <f>IF('1. Órdenes de Trabajo'!$J75="Abierto",'1. Órdenes de Trabajo'!$B75,"")</f>
        <v/>
      </c>
      <c r="G83" s="16" t="str">
        <f ca="1">IF('1. Órdenes de Trabajo'!$J75="Abierto",IF('1. Órdenes de Trabajo'!$B75="","",TODAY()-DATE(VALUE(MID('1. Órdenes de Trabajo'!$B75,7,4)),VALUE(MID('1. Órdenes de Trabajo'!$B75,4,2)),VALUE(MID('1. Órdenes de Trabajo'!$B75,1,2)))),"")</f>
        <v/>
      </c>
      <c r="H83" s="14" t="str">
        <f>IF('1. Órdenes de Trabajo'!$J75="Abierto",'1. Órdenes de Trabajo'!$J75,"")</f>
        <v/>
      </c>
    </row>
    <row r="84" spans="1:8" ht="15" customHeight="1" x14ac:dyDescent="0.25">
      <c r="A84" s="14" t="str">
        <f>IF('1. Órdenes de Trabajo'!$J76="Abierto",'1. Órdenes de Trabajo'!$A76,"")</f>
        <v/>
      </c>
      <c r="B84" s="14" t="str">
        <f>IF('1. Órdenes de Trabajo'!$J76="Abierto",'1. Órdenes de Trabajo'!$E76,"")</f>
        <v/>
      </c>
      <c r="C84" s="14" t="str">
        <f>IF('1. Órdenes de Trabajo'!$J76="Abierto",'1. Órdenes de Trabajo'!$I76,"")</f>
        <v/>
      </c>
      <c r="D84" s="14" t="str">
        <f>IF('1. Órdenes de Trabajo'!$J76="Abierto",IF(COUNTIF('6. Bajas'!$A$2:$A$301,'1. Órdenes de Trabajo'!$A76)&gt;0,"Baja",IF(SUMPRODUCT(('5. Servicio Técnico (Envíos)'!$A$2:$A$301='1. Órdenes de Trabajo'!$A76)*('5. Servicio Técnico (Envíos)'!$I$2:$I$301=""))&gt;0,"Servicio Técnico",'1. Órdenes de Trabajo'!$H76)),"")</f>
        <v/>
      </c>
      <c r="E84" s="14" t="str">
        <f>IF('1. Órdenes de Trabajo'!$J76="Abierto",'1. Órdenes de Trabajo'!$C76,"")</f>
        <v/>
      </c>
      <c r="F84" s="15" t="str">
        <f>IF('1. Órdenes de Trabajo'!$J76="Abierto",'1. Órdenes de Trabajo'!$B76,"")</f>
        <v/>
      </c>
      <c r="G84" s="16" t="str">
        <f ca="1">IF('1. Órdenes de Trabajo'!$J76="Abierto",IF('1. Órdenes de Trabajo'!$B76="","",TODAY()-DATE(VALUE(MID('1. Órdenes de Trabajo'!$B76,7,4)),VALUE(MID('1. Órdenes de Trabajo'!$B76,4,2)),VALUE(MID('1. Órdenes de Trabajo'!$B76,1,2)))),"")</f>
        <v/>
      </c>
      <c r="H84" s="14" t="str">
        <f>IF('1. Órdenes de Trabajo'!$J76="Abierto",'1. Órdenes de Trabajo'!$J76,"")</f>
        <v/>
      </c>
    </row>
    <row r="85" spans="1:8" ht="15" customHeight="1" x14ac:dyDescent="0.25">
      <c r="A85" s="14" t="str">
        <f>IF('1. Órdenes de Trabajo'!$J77="Abierto",'1. Órdenes de Trabajo'!$A77,"")</f>
        <v/>
      </c>
      <c r="B85" s="14" t="str">
        <f>IF('1. Órdenes de Trabajo'!$J77="Abierto",'1. Órdenes de Trabajo'!$E77,"")</f>
        <v/>
      </c>
      <c r="C85" s="14" t="str">
        <f>IF('1. Órdenes de Trabajo'!$J77="Abierto",'1. Órdenes de Trabajo'!$I77,"")</f>
        <v/>
      </c>
      <c r="D85" s="14" t="str">
        <f>IF('1. Órdenes de Trabajo'!$J77="Abierto",IF(COUNTIF('6. Bajas'!$A$2:$A$301,'1. Órdenes de Trabajo'!$A77)&gt;0,"Baja",IF(SUMPRODUCT(('5. Servicio Técnico (Envíos)'!$A$2:$A$301='1. Órdenes de Trabajo'!$A77)*('5. Servicio Técnico (Envíos)'!$I$2:$I$301=""))&gt;0,"Servicio Técnico",'1. Órdenes de Trabajo'!$H77)),"")</f>
        <v/>
      </c>
      <c r="E85" s="14" t="str">
        <f>IF('1. Órdenes de Trabajo'!$J77="Abierto",'1. Órdenes de Trabajo'!$C77,"")</f>
        <v/>
      </c>
      <c r="F85" s="15" t="str">
        <f>IF('1. Órdenes de Trabajo'!$J77="Abierto",'1. Órdenes de Trabajo'!$B77,"")</f>
        <v/>
      </c>
      <c r="G85" s="16" t="str">
        <f ca="1">IF('1. Órdenes de Trabajo'!$J77="Abierto",IF('1. Órdenes de Trabajo'!$B77="","",TODAY()-DATE(VALUE(MID('1. Órdenes de Trabajo'!$B77,7,4)),VALUE(MID('1. Órdenes de Trabajo'!$B77,4,2)),VALUE(MID('1. Órdenes de Trabajo'!$B77,1,2)))),"")</f>
        <v/>
      </c>
      <c r="H85" s="14" t="str">
        <f>IF('1. Órdenes de Trabajo'!$J77="Abierto",'1. Órdenes de Trabajo'!$J77,"")</f>
        <v/>
      </c>
    </row>
    <row r="86" spans="1:8" ht="15" customHeight="1" x14ac:dyDescent="0.25">
      <c r="A86" s="14" t="str">
        <f>IF('1. Órdenes de Trabajo'!$J78="Abierto",'1. Órdenes de Trabajo'!$A78,"")</f>
        <v/>
      </c>
      <c r="B86" s="14" t="str">
        <f>IF('1. Órdenes de Trabajo'!$J78="Abierto",'1. Órdenes de Trabajo'!$E78,"")</f>
        <v/>
      </c>
      <c r="C86" s="14" t="str">
        <f>IF('1. Órdenes de Trabajo'!$J78="Abierto",'1. Órdenes de Trabajo'!$I78,"")</f>
        <v/>
      </c>
      <c r="D86" s="14" t="str">
        <f>IF('1. Órdenes de Trabajo'!$J78="Abierto",IF(COUNTIF('6. Bajas'!$A$2:$A$301,'1. Órdenes de Trabajo'!$A78)&gt;0,"Baja",IF(SUMPRODUCT(('5. Servicio Técnico (Envíos)'!$A$2:$A$301='1. Órdenes de Trabajo'!$A78)*('5. Servicio Técnico (Envíos)'!$I$2:$I$301=""))&gt;0,"Servicio Técnico",'1. Órdenes de Trabajo'!$H78)),"")</f>
        <v/>
      </c>
      <c r="E86" s="14" t="str">
        <f>IF('1. Órdenes de Trabajo'!$J78="Abierto",'1. Órdenes de Trabajo'!$C78,"")</f>
        <v/>
      </c>
      <c r="F86" s="15" t="str">
        <f>IF('1. Órdenes de Trabajo'!$J78="Abierto",'1. Órdenes de Trabajo'!$B78,"")</f>
        <v/>
      </c>
      <c r="G86" s="16" t="str">
        <f ca="1">IF('1. Órdenes de Trabajo'!$J78="Abierto",IF('1. Órdenes de Trabajo'!$B78="","",TODAY()-DATE(VALUE(MID('1. Órdenes de Trabajo'!$B78,7,4)),VALUE(MID('1. Órdenes de Trabajo'!$B78,4,2)),VALUE(MID('1. Órdenes de Trabajo'!$B78,1,2)))),"")</f>
        <v/>
      </c>
      <c r="H86" s="14" t="str">
        <f>IF('1. Órdenes de Trabajo'!$J78="Abierto",'1. Órdenes de Trabajo'!$J78,"")</f>
        <v/>
      </c>
    </row>
    <row r="87" spans="1:8" ht="15" customHeight="1" x14ac:dyDescent="0.25">
      <c r="A87" s="14" t="str">
        <f>IF('1. Órdenes de Trabajo'!$J79="Abierto",'1. Órdenes de Trabajo'!$A79,"")</f>
        <v/>
      </c>
      <c r="B87" s="14" t="str">
        <f>IF('1. Órdenes de Trabajo'!$J79="Abierto",'1. Órdenes de Trabajo'!$E79,"")</f>
        <v/>
      </c>
      <c r="C87" s="14" t="str">
        <f>IF('1. Órdenes de Trabajo'!$J79="Abierto",'1. Órdenes de Trabajo'!$I79,"")</f>
        <v/>
      </c>
      <c r="D87" s="14" t="str">
        <f>IF('1. Órdenes de Trabajo'!$J79="Abierto",IF(COUNTIF('6. Bajas'!$A$2:$A$301,'1. Órdenes de Trabajo'!$A79)&gt;0,"Baja",IF(SUMPRODUCT(('5. Servicio Técnico (Envíos)'!$A$2:$A$301='1. Órdenes de Trabajo'!$A79)*('5. Servicio Técnico (Envíos)'!$I$2:$I$301=""))&gt;0,"Servicio Técnico",'1. Órdenes de Trabajo'!$H79)),"")</f>
        <v/>
      </c>
      <c r="E87" s="14" t="str">
        <f>IF('1. Órdenes de Trabajo'!$J79="Abierto",'1. Órdenes de Trabajo'!$C79,"")</f>
        <v/>
      </c>
      <c r="F87" s="15" t="str">
        <f>IF('1. Órdenes de Trabajo'!$J79="Abierto",'1. Órdenes de Trabajo'!$B79,"")</f>
        <v/>
      </c>
      <c r="G87" s="16" t="str">
        <f ca="1">IF('1. Órdenes de Trabajo'!$J79="Abierto",IF('1. Órdenes de Trabajo'!$B79="","",TODAY()-DATE(VALUE(MID('1. Órdenes de Trabajo'!$B79,7,4)),VALUE(MID('1. Órdenes de Trabajo'!$B79,4,2)),VALUE(MID('1. Órdenes de Trabajo'!$B79,1,2)))),"")</f>
        <v/>
      </c>
      <c r="H87" s="14" t="str">
        <f>IF('1. Órdenes de Trabajo'!$J79="Abierto",'1. Órdenes de Trabajo'!$J79,"")</f>
        <v/>
      </c>
    </row>
    <row r="88" spans="1:8" ht="15" customHeight="1" x14ac:dyDescent="0.25">
      <c r="A88" s="14" t="str">
        <f>IF('1. Órdenes de Trabajo'!$J80="Abierto",'1. Órdenes de Trabajo'!$A80,"")</f>
        <v/>
      </c>
      <c r="B88" s="14" t="str">
        <f>IF('1. Órdenes de Trabajo'!$J80="Abierto",'1. Órdenes de Trabajo'!$E80,"")</f>
        <v/>
      </c>
      <c r="C88" s="14" t="str">
        <f>IF('1. Órdenes de Trabajo'!$J80="Abierto",'1. Órdenes de Trabajo'!$I80,"")</f>
        <v/>
      </c>
      <c r="D88" s="14" t="str">
        <f>IF('1. Órdenes de Trabajo'!$J80="Abierto",IF(COUNTIF('6. Bajas'!$A$2:$A$301,'1. Órdenes de Trabajo'!$A80)&gt;0,"Baja",IF(SUMPRODUCT(('5. Servicio Técnico (Envíos)'!$A$2:$A$301='1. Órdenes de Trabajo'!$A80)*('5. Servicio Técnico (Envíos)'!$I$2:$I$301=""))&gt;0,"Servicio Técnico",'1. Órdenes de Trabajo'!$H80)),"")</f>
        <v/>
      </c>
      <c r="E88" s="14" t="str">
        <f>IF('1. Órdenes de Trabajo'!$J80="Abierto",'1. Órdenes de Trabajo'!$C80,"")</f>
        <v/>
      </c>
      <c r="F88" s="15" t="str">
        <f>IF('1. Órdenes de Trabajo'!$J80="Abierto",'1. Órdenes de Trabajo'!$B80,"")</f>
        <v/>
      </c>
      <c r="G88" s="16" t="str">
        <f ca="1">IF('1. Órdenes de Trabajo'!$J80="Abierto",IF('1. Órdenes de Trabajo'!$B80="","",TODAY()-DATE(VALUE(MID('1. Órdenes de Trabajo'!$B80,7,4)),VALUE(MID('1. Órdenes de Trabajo'!$B80,4,2)),VALUE(MID('1. Órdenes de Trabajo'!$B80,1,2)))),"")</f>
        <v/>
      </c>
      <c r="H88" s="14" t="str">
        <f>IF('1. Órdenes de Trabajo'!$J80="Abierto",'1. Órdenes de Trabajo'!$J80,"")</f>
        <v/>
      </c>
    </row>
    <row r="89" spans="1:8" ht="15" customHeight="1" x14ac:dyDescent="0.25">
      <c r="A89" s="14" t="str">
        <f>IF('1. Órdenes de Trabajo'!$J81="Abierto",'1. Órdenes de Trabajo'!$A81,"")</f>
        <v/>
      </c>
      <c r="B89" s="14" t="str">
        <f>IF('1. Órdenes de Trabajo'!$J81="Abierto",'1. Órdenes de Trabajo'!$E81,"")</f>
        <v/>
      </c>
      <c r="C89" s="14" t="str">
        <f>IF('1. Órdenes de Trabajo'!$J81="Abierto",'1. Órdenes de Trabajo'!$I81,"")</f>
        <v/>
      </c>
      <c r="D89" s="14" t="str">
        <f>IF('1. Órdenes de Trabajo'!$J81="Abierto",IF(COUNTIF('6. Bajas'!$A$2:$A$301,'1. Órdenes de Trabajo'!$A81)&gt;0,"Baja",IF(SUMPRODUCT(('5. Servicio Técnico (Envíos)'!$A$2:$A$301='1. Órdenes de Trabajo'!$A81)*('5. Servicio Técnico (Envíos)'!$I$2:$I$301=""))&gt;0,"Servicio Técnico",'1. Órdenes de Trabajo'!$H81)),"")</f>
        <v/>
      </c>
      <c r="E89" s="14" t="str">
        <f>IF('1. Órdenes de Trabajo'!$J81="Abierto",'1. Órdenes de Trabajo'!$C81,"")</f>
        <v/>
      </c>
      <c r="F89" s="15" t="str">
        <f>IF('1. Órdenes de Trabajo'!$J81="Abierto",'1. Órdenes de Trabajo'!$B81,"")</f>
        <v/>
      </c>
      <c r="G89" s="16" t="str">
        <f ca="1">IF('1. Órdenes de Trabajo'!$J81="Abierto",IF('1. Órdenes de Trabajo'!$B81="","",TODAY()-DATE(VALUE(MID('1. Órdenes de Trabajo'!$B81,7,4)),VALUE(MID('1. Órdenes de Trabajo'!$B81,4,2)),VALUE(MID('1. Órdenes de Trabajo'!$B81,1,2)))),"")</f>
        <v/>
      </c>
      <c r="H89" s="14" t="str">
        <f>IF('1. Órdenes de Trabajo'!$J81="Abierto",'1. Órdenes de Trabajo'!$J81,"")</f>
        <v/>
      </c>
    </row>
    <row r="91" spans="1:8" ht="42" customHeight="1" x14ac:dyDescent="0.25">
      <c r="A91" s="98" t="s">
        <v>257</v>
      </c>
      <c r="B91" s="96"/>
      <c r="C91" s="96"/>
      <c r="D91" s="96"/>
      <c r="E91" s="96"/>
      <c r="F91" s="96"/>
      <c r="G91" s="96"/>
      <c r="H91" s="96"/>
    </row>
    <row r="93" spans="1:8" ht="15" customHeight="1" x14ac:dyDescent="0.25">
      <c r="A93" s="95" t="s">
        <v>258</v>
      </c>
      <c r="B93" s="96"/>
      <c r="C93" s="96"/>
      <c r="D93" s="96"/>
      <c r="E93" s="96"/>
      <c r="F93" s="96"/>
      <c r="G93" s="96"/>
    </row>
    <row r="94" spans="1:8" ht="15" customHeight="1" x14ac:dyDescent="0.25">
      <c r="A94" s="97" t="s">
        <v>259</v>
      </c>
      <c r="B94" s="96"/>
      <c r="C94" s="96"/>
      <c r="D94" s="96"/>
      <c r="E94" s="96"/>
      <c r="F94" s="96"/>
      <c r="G94" s="96"/>
    </row>
    <row r="95" spans="1:8" ht="27.75" customHeight="1" x14ac:dyDescent="0.25">
      <c r="A95" s="13" t="s">
        <v>252</v>
      </c>
      <c r="B95" s="13" t="s">
        <v>5</v>
      </c>
      <c r="C95" s="13" t="s">
        <v>260</v>
      </c>
      <c r="D95" s="13" t="s">
        <v>261</v>
      </c>
      <c r="E95" s="13" t="s">
        <v>262</v>
      </c>
      <c r="F95" s="13" t="s">
        <v>263</v>
      </c>
      <c r="G95" s="13" t="s">
        <v>264</v>
      </c>
    </row>
    <row r="96" spans="1:8" ht="15" customHeight="1" x14ac:dyDescent="0.25">
      <c r="A96" s="14" t="str">
        <f>IF('5. Servicio Técnico (Envíos)'!$M2="No",'5. Servicio Técnico (Envíos)'!$A2,"")</f>
        <v>2025-121109-19-10024</v>
      </c>
      <c r="B96" s="14" t="str">
        <f>IF('5. Servicio Técnico (Envíos)'!$M2="No",IFERROR(VLOOKUP('5. Servicio Técnico (Envíos)'!$A2,'1. Órdenes de Trabajo'!$A$2:$E$301,5,FALSE()),""),"")</f>
        <v xml:space="preserve">Ventilador Mecánico </v>
      </c>
      <c r="C96" s="14" t="str">
        <f>IF('5. Servicio Técnico (Envíos)'!$M2="No","Servicio técnico","")</f>
        <v>Servicio técnico</v>
      </c>
      <c r="D96" s="14" t="str">
        <f>IF('5. Servicio Técnico (Envíos)'!$M2="No",'5. Servicio Técnico (Envíos)'!$E2,"")</f>
        <v>DRAGER CHILE LIMITADA</v>
      </c>
      <c r="E96" s="15" t="str">
        <f>IF('5. Servicio Técnico (Envíos)'!$M2="No",'5. Servicio Técnico (Envíos)'!$N2,"")</f>
        <v>Ricardo Matus Aroca</v>
      </c>
      <c r="F96" s="14" t="str">
        <f>IF('5. Servicio Técnico (Envíos)'!$M2="No",'5. Servicio Técnico (Envíos)'!$O2,"")</f>
        <v>Cristián Beltrán Oviedo</v>
      </c>
      <c r="G96" s="14" t="str">
        <f>IF('5. Servicio Técnico (Envíos)'!$M2="No",IFERROR(VLOOKUP('5. Servicio Técnico (Envíos)'!$A2,'1. Órdenes de Trabajo'!$A$2:$J$301,10,FALSE()),""),"")</f>
        <v>Cerrado</v>
      </c>
      <c r="H96" s="18"/>
    </row>
    <row r="97" spans="1:8" ht="15" customHeight="1" x14ac:dyDescent="0.25">
      <c r="A97" s="14" t="str">
        <f>IF('5. Servicio Técnico (Envíos)'!$M3="No",'5. Servicio Técnico (Envíos)'!$A3,"")</f>
        <v/>
      </c>
      <c r="B97" s="14" t="str">
        <f>IF('5. Servicio Técnico (Envíos)'!$M3="No",IFERROR(VLOOKUP('5. Servicio Técnico (Envíos)'!$A3,'1. Órdenes de Trabajo'!$A$2:$E$301,5,FALSE()),""),"")</f>
        <v/>
      </c>
      <c r="C97" s="14" t="str">
        <f>IF('5. Servicio Técnico (Envíos)'!$M3="No","Servicio técnico","")</f>
        <v/>
      </c>
      <c r="D97" s="14" t="str">
        <f>IF('5. Servicio Técnico (Envíos)'!$M3="No",'5. Servicio Técnico (Envíos)'!$E3,"")</f>
        <v/>
      </c>
      <c r="E97" s="15" t="str">
        <f>IF('5. Servicio Técnico (Envíos)'!$M3="No",'5. Servicio Técnico (Envíos)'!$N3,"")</f>
        <v/>
      </c>
      <c r="F97" s="14" t="str">
        <f>IF('5. Servicio Técnico (Envíos)'!$M3="No",'5. Servicio Técnico (Envíos)'!$O3,"")</f>
        <v/>
      </c>
      <c r="G97" s="14" t="str">
        <f>IF('5. Servicio Técnico (Envíos)'!$M3="No",IFERROR(VLOOKUP('5. Servicio Técnico (Envíos)'!$A3,'1. Órdenes de Trabajo'!$A$2:$J$301,10,FALSE()),""),"")</f>
        <v/>
      </c>
      <c r="H97" s="18"/>
    </row>
    <row r="98" spans="1:8" ht="15" customHeight="1" x14ac:dyDescent="0.25">
      <c r="A98" s="14" t="str">
        <f>IF('5. Servicio Técnico (Envíos)'!$M4="No",'5. Servicio Técnico (Envíos)'!$A4,"")</f>
        <v/>
      </c>
      <c r="B98" s="14" t="str">
        <f>IF('5. Servicio Técnico (Envíos)'!$M4="No",IFERROR(VLOOKUP('5. Servicio Técnico (Envíos)'!$A4,'1. Órdenes de Trabajo'!$A$2:$E$301,5,FALSE()),""),"")</f>
        <v/>
      </c>
      <c r="C98" s="14" t="str">
        <f>IF('5. Servicio Técnico (Envíos)'!$M4="No","Servicio técnico","")</f>
        <v/>
      </c>
      <c r="D98" s="14" t="str">
        <f>IF('5. Servicio Técnico (Envíos)'!$M4="No",'5. Servicio Técnico (Envíos)'!$E4,"")</f>
        <v/>
      </c>
      <c r="E98" s="15" t="str">
        <f>IF('5. Servicio Técnico (Envíos)'!$M4="No",'5. Servicio Técnico (Envíos)'!$N4,"")</f>
        <v/>
      </c>
      <c r="F98" s="14" t="str">
        <f>IF('5. Servicio Técnico (Envíos)'!$M4="No",'5. Servicio Técnico (Envíos)'!$O4,"")</f>
        <v/>
      </c>
      <c r="G98" s="14" t="str">
        <f>IF('5. Servicio Técnico (Envíos)'!$M4="No",IFERROR(VLOOKUP('5. Servicio Técnico (Envíos)'!$A4,'1. Órdenes de Trabajo'!$A$2:$J$301,10,FALSE()),""),"")</f>
        <v/>
      </c>
      <c r="H98" s="18"/>
    </row>
    <row r="99" spans="1:8" ht="15" customHeight="1" x14ac:dyDescent="0.25">
      <c r="A99" s="14" t="str">
        <f>IF('5. Servicio Técnico (Envíos)'!$M5="No",'5. Servicio Técnico (Envíos)'!$A5,"")</f>
        <v/>
      </c>
      <c r="B99" s="14" t="str">
        <f>IF('5. Servicio Técnico (Envíos)'!$M5="No",IFERROR(VLOOKUP('5. Servicio Técnico (Envíos)'!$A5,'1. Órdenes de Trabajo'!$A$2:$E$301,5,FALSE()),""),"")</f>
        <v/>
      </c>
      <c r="C99" s="14" t="str">
        <f>IF('5. Servicio Técnico (Envíos)'!$M5="No","Servicio técnico","")</f>
        <v/>
      </c>
      <c r="D99" s="14" t="str">
        <f>IF('5. Servicio Técnico (Envíos)'!$M5="No",'5. Servicio Técnico (Envíos)'!$E5,"")</f>
        <v/>
      </c>
      <c r="E99" s="15" t="str">
        <f>IF('5. Servicio Técnico (Envíos)'!$M5="No",'5. Servicio Técnico (Envíos)'!$N5,"")</f>
        <v/>
      </c>
      <c r="F99" s="14" t="str">
        <f>IF('5. Servicio Técnico (Envíos)'!$M5="No",'5. Servicio Técnico (Envíos)'!$O5,"")</f>
        <v/>
      </c>
      <c r="G99" s="14" t="str">
        <f>IF('5. Servicio Técnico (Envíos)'!$M5="No",IFERROR(VLOOKUP('5. Servicio Técnico (Envíos)'!$A5,'1. Órdenes de Trabajo'!$A$2:$J$301,10,FALSE()),""),"")</f>
        <v/>
      </c>
      <c r="H99" s="18"/>
    </row>
    <row r="100" spans="1:8" ht="15" customHeight="1" x14ac:dyDescent="0.25">
      <c r="A100" s="14" t="str">
        <f>IF('5. Servicio Técnico (Envíos)'!$M6="No",'5. Servicio Técnico (Envíos)'!$A6,"")</f>
        <v/>
      </c>
      <c r="B100" s="14" t="str">
        <f>IF('5. Servicio Técnico (Envíos)'!$M6="No",IFERROR(VLOOKUP('5. Servicio Técnico (Envíos)'!$A6,'1. Órdenes de Trabajo'!$A$2:$E$301,5,FALSE()),""),"")</f>
        <v/>
      </c>
      <c r="C100" s="14" t="str">
        <f>IF('5. Servicio Técnico (Envíos)'!$M6="No","Servicio técnico","")</f>
        <v/>
      </c>
      <c r="D100" s="14" t="str">
        <f>IF('5. Servicio Técnico (Envíos)'!$M6="No",'5. Servicio Técnico (Envíos)'!$E6,"")</f>
        <v/>
      </c>
      <c r="E100" s="15" t="str">
        <f>IF('5. Servicio Técnico (Envíos)'!$M6="No",'5. Servicio Técnico (Envíos)'!$N6,"")</f>
        <v/>
      </c>
      <c r="F100" s="14" t="str">
        <f>IF('5. Servicio Técnico (Envíos)'!$M6="No",'5. Servicio Técnico (Envíos)'!$O6,"")</f>
        <v/>
      </c>
      <c r="G100" s="14" t="str">
        <f>IF('5. Servicio Técnico (Envíos)'!$M6="No",IFERROR(VLOOKUP('5. Servicio Técnico (Envíos)'!$A6,'1. Órdenes de Trabajo'!$A$2:$J$301,10,FALSE()),""),"")</f>
        <v/>
      </c>
      <c r="H100" s="18"/>
    </row>
    <row r="101" spans="1:8" ht="15" customHeight="1" x14ac:dyDescent="0.25">
      <c r="A101" s="14" t="str">
        <f>IF('5. Servicio Técnico (Envíos)'!$M7="No",'5. Servicio Técnico (Envíos)'!$A7,"")</f>
        <v/>
      </c>
      <c r="B101" s="14" t="str">
        <f>IF('5. Servicio Técnico (Envíos)'!$M7="No",IFERROR(VLOOKUP('5. Servicio Técnico (Envíos)'!$A7,'1. Órdenes de Trabajo'!$A$2:$E$301,5,FALSE()),""),"")</f>
        <v/>
      </c>
      <c r="C101" s="14" t="str">
        <f>IF('5. Servicio Técnico (Envíos)'!$M7="No","Servicio técnico","")</f>
        <v/>
      </c>
      <c r="D101" s="14" t="str">
        <f>IF('5. Servicio Técnico (Envíos)'!$M7="No",'5. Servicio Técnico (Envíos)'!$E7,"")</f>
        <v/>
      </c>
      <c r="E101" s="15" t="str">
        <f>IF('5. Servicio Técnico (Envíos)'!$M7="No",'5. Servicio Técnico (Envíos)'!$N7,"")</f>
        <v/>
      </c>
      <c r="F101" s="14" t="str">
        <f>IF('5. Servicio Técnico (Envíos)'!$M7="No",'5. Servicio Técnico (Envíos)'!$O7,"")</f>
        <v/>
      </c>
      <c r="G101" s="14" t="str">
        <f>IF('5. Servicio Técnico (Envíos)'!$M7="No",IFERROR(VLOOKUP('5. Servicio Técnico (Envíos)'!$A7,'1. Órdenes de Trabajo'!$A$2:$J$301,10,FALSE()),""),"")</f>
        <v/>
      </c>
      <c r="H101" s="18"/>
    </row>
    <row r="102" spans="1:8" ht="15" customHeight="1" x14ac:dyDescent="0.25">
      <c r="A102" s="14" t="str">
        <f>IF('5. Servicio Técnico (Envíos)'!$M8="No",'5. Servicio Técnico (Envíos)'!$A8,"")</f>
        <v/>
      </c>
      <c r="B102" s="14" t="str">
        <f>IF('5. Servicio Técnico (Envíos)'!$M8="No",IFERROR(VLOOKUP('5. Servicio Técnico (Envíos)'!$A8,'1. Órdenes de Trabajo'!$A$2:$E$301,5,FALSE()),""),"")</f>
        <v/>
      </c>
      <c r="C102" s="14" t="str">
        <f>IF('5. Servicio Técnico (Envíos)'!$M8="No","Servicio técnico","")</f>
        <v/>
      </c>
      <c r="D102" s="14" t="str">
        <f>IF('5. Servicio Técnico (Envíos)'!$M8="No",'5. Servicio Técnico (Envíos)'!$E8,"")</f>
        <v/>
      </c>
      <c r="E102" s="15" t="str">
        <f>IF('5. Servicio Técnico (Envíos)'!$M8="No",'5. Servicio Técnico (Envíos)'!$N8,"")</f>
        <v/>
      </c>
      <c r="F102" s="14" t="str">
        <f>IF('5. Servicio Técnico (Envíos)'!$M8="No",'5. Servicio Técnico (Envíos)'!$O8,"")</f>
        <v/>
      </c>
      <c r="G102" s="14" t="str">
        <f>IF('5. Servicio Técnico (Envíos)'!$M8="No",IFERROR(VLOOKUP('5. Servicio Técnico (Envíos)'!$A8,'1. Órdenes de Trabajo'!$A$2:$J$301,10,FALSE()),""),"")</f>
        <v/>
      </c>
      <c r="H102" s="18"/>
    </row>
    <row r="103" spans="1:8" ht="15" customHeight="1" x14ac:dyDescent="0.25">
      <c r="A103" s="14" t="str">
        <f>IF('5. Servicio Técnico (Envíos)'!$M9="No",'5. Servicio Técnico (Envíos)'!$A9,"")</f>
        <v/>
      </c>
      <c r="B103" s="14" t="str">
        <f>IF('5. Servicio Técnico (Envíos)'!$M9="No",IFERROR(VLOOKUP('5. Servicio Técnico (Envíos)'!$A9,'1. Órdenes de Trabajo'!$A$2:$E$301,5,FALSE()),""),"")</f>
        <v/>
      </c>
      <c r="C103" s="14" t="str">
        <f>IF('5. Servicio Técnico (Envíos)'!$M9="No","Servicio técnico","")</f>
        <v/>
      </c>
      <c r="D103" s="14" t="str">
        <f>IF('5. Servicio Técnico (Envíos)'!$M9="No",'5. Servicio Técnico (Envíos)'!$E9,"")</f>
        <v/>
      </c>
      <c r="E103" s="15" t="str">
        <f>IF('5. Servicio Técnico (Envíos)'!$M9="No",'5. Servicio Técnico (Envíos)'!$N9,"")</f>
        <v/>
      </c>
      <c r="F103" s="14" t="str">
        <f>IF('5. Servicio Técnico (Envíos)'!$M9="No",'5. Servicio Técnico (Envíos)'!$O9,"")</f>
        <v/>
      </c>
      <c r="G103" s="14" t="str">
        <f>IF('5. Servicio Técnico (Envíos)'!$M9="No",IFERROR(VLOOKUP('5. Servicio Técnico (Envíos)'!$A9,'1. Órdenes de Trabajo'!$A$2:$J$301,10,FALSE()),""),"")</f>
        <v/>
      </c>
      <c r="H103" s="18"/>
    </row>
    <row r="104" spans="1:8" ht="15" customHeight="1" x14ac:dyDescent="0.25">
      <c r="A104" s="14" t="str">
        <f>IF('5. Servicio Técnico (Envíos)'!$M10="No",'5. Servicio Técnico (Envíos)'!$A10,"")</f>
        <v/>
      </c>
      <c r="B104" s="14" t="str">
        <f>IF('5. Servicio Técnico (Envíos)'!$M10="No",IFERROR(VLOOKUP('5. Servicio Técnico (Envíos)'!$A10,'1. Órdenes de Trabajo'!$A$2:$E$301,5,FALSE()),""),"")</f>
        <v/>
      </c>
      <c r="C104" s="14" t="str">
        <f>IF('5. Servicio Técnico (Envíos)'!$M10="No","Servicio técnico","")</f>
        <v/>
      </c>
      <c r="D104" s="14" t="str">
        <f>IF('5. Servicio Técnico (Envíos)'!$M10="No",'5. Servicio Técnico (Envíos)'!$E10,"")</f>
        <v/>
      </c>
      <c r="E104" s="15" t="str">
        <f>IF('5. Servicio Técnico (Envíos)'!$M10="No",'5. Servicio Técnico (Envíos)'!$N10,"")</f>
        <v/>
      </c>
      <c r="F104" s="14" t="str">
        <f>IF('5. Servicio Técnico (Envíos)'!$M10="No",'5. Servicio Técnico (Envíos)'!$O10,"")</f>
        <v/>
      </c>
      <c r="G104" s="14" t="str">
        <f>IF('5. Servicio Técnico (Envíos)'!$M10="No",IFERROR(VLOOKUP('5. Servicio Técnico (Envíos)'!$A10,'1. Órdenes de Trabajo'!$A$2:$J$301,10,FALSE()),""),"")</f>
        <v/>
      </c>
      <c r="H104" s="18"/>
    </row>
    <row r="105" spans="1:8" ht="15" customHeight="1" x14ac:dyDescent="0.25">
      <c r="A105" s="14" t="str">
        <f>IF('5. Servicio Técnico (Envíos)'!$M11="No",'5. Servicio Técnico (Envíos)'!$A11,"")</f>
        <v/>
      </c>
      <c r="B105" s="14" t="str">
        <f>IF('5. Servicio Técnico (Envíos)'!$M11="No",IFERROR(VLOOKUP('5. Servicio Técnico (Envíos)'!$A11,'1. Órdenes de Trabajo'!$A$2:$E$301,5,FALSE()),""),"")</f>
        <v/>
      </c>
      <c r="C105" s="14" t="str">
        <f>IF('5. Servicio Técnico (Envíos)'!$M11="No","Servicio técnico","")</f>
        <v/>
      </c>
      <c r="D105" s="14" t="str">
        <f>IF('5. Servicio Técnico (Envíos)'!$M11="No",'5. Servicio Técnico (Envíos)'!$E11,"")</f>
        <v/>
      </c>
      <c r="E105" s="15" t="str">
        <f>IF('5. Servicio Técnico (Envíos)'!$M11="No",'5. Servicio Técnico (Envíos)'!$N11,"")</f>
        <v/>
      </c>
      <c r="F105" s="14" t="str">
        <f>IF('5. Servicio Técnico (Envíos)'!$M11="No",'5. Servicio Técnico (Envíos)'!$O11,"")</f>
        <v/>
      </c>
      <c r="G105" s="14" t="str">
        <f>IF('5. Servicio Técnico (Envíos)'!$M11="No",IFERROR(VLOOKUP('5. Servicio Técnico (Envíos)'!$A11,'1. Órdenes de Trabajo'!$A$2:$J$301,10,FALSE()),""),"")</f>
        <v/>
      </c>
      <c r="H105" s="18"/>
    </row>
    <row r="106" spans="1:8" ht="15" customHeight="1" x14ac:dyDescent="0.25">
      <c r="A106" s="14" t="str">
        <f>IF('5. Servicio Técnico (Envíos)'!$M12="No",'5. Servicio Técnico (Envíos)'!$A12,"")</f>
        <v/>
      </c>
      <c r="B106" s="14" t="str">
        <f>IF('5. Servicio Técnico (Envíos)'!$M12="No",IFERROR(VLOOKUP('5. Servicio Técnico (Envíos)'!$A12,'1. Órdenes de Trabajo'!$A$2:$E$301,5,FALSE()),""),"")</f>
        <v/>
      </c>
      <c r="C106" s="14" t="str">
        <f>IF('5. Servicio Técnico (Envíos)'!$M12="No","Servicio técnico","")</f>
        <v/>
      </c>
      <c r="D106" s="14" t="str">
        <f>IF('5. Servicio Técnico (Envíos)'!$M12="No",'5. Servicio Técnico (Envíos)'!$E12,"")</f>
        <v/>
      </c>
      <c r="E106" s="15" t="str">
        <f>IF('5. Servicio Técnico (Envíos)'!$M12="No",'5. Servicio Técnico (Envíos)'!$N12,"")</f>
        <v/>
      </c>
      <c r="F106" s="14" t="str">
        <f>IF('5. Servicio Técnico (Envíos)'!$M12="No",'5. Servicio Técnico (Envíos)'!$O12,"")</f>
        <v/>
      </c>
      <c r="G106" s="14" t="str">
        <f>IF('5. Servicio Técnico (Envíos)'!$M12="No",IFERROR(VLOOKUP('5. Servicio Técnico (Envíos)'!$A12,'1. Órdenes de Trabajo'!$A$2:$J$301,10,FALSE()),""),"")</f>
        <v/>
      </c>
      <c r="H106" s="18"/>
    </row>
    <row r="107" spans="1:8" ht="15" customHeight="1" x14ac:dyDescent="0.25">
      <c r="A107" s="14" t="str">
        <f>IF('5. Servicio Técnico (Envíos)'!$M13="No",'5. Servicio Técnico (Envíos)'!$A13,"")</f>
        <v/>
      </c>
      <c r="B107" s="14" t="str">
        <f>IF('5. Servicio Técnico (Envíos)'!$M13="No",IFERROR(VLOOKUP('5. Servicio Técnico (Envíos)'!$A13,'1. Órdenes de Trabajo'!$A$2:$E$301,5,FALSE()),""),"")</f>
        <v/>
      </c>
      <c r="C107" s="14" t="str">
        <f>IF('5. Servicio Técnico (Envíos)'!$M13="No","Servicio técnico","")</f>
        <v/>
      </c>
      <c r="D107" s="14" t="str">
        <f>IF('5. Servicio Técnico (Envíos)'!$M13="No",'5. Servicio Técnico (Envíos)'!$E13,"")</f>
        <v/>
      </c>
      <c r="E107" s="15" t="str">
        <f>IF('5. Servicio Técnico (Envíos)'!$M13="No",'5. Servicio Técnico (Envíos)'!$N13,"")</f>
        <v/>
      </c>
      <c r="F107" s="14" t="str">
        <f>IF('5. Servicio Técnico (Envíos)'!$M13="No",'5. Servicio Técnico (Envíos)'!$O13,"")</f>
        <v/>
      </c>
      <c r="G107" s="14" t="str">
        <f>IF('5. Servicio Técnico (Envíos)'!$M13="No",IFERROR(VLOOKUP('5. Servicio Técnico (Envíos)'!$A13,'1. Órdenes de Trabajo'!$A$2:$J$301,10,FALSE()),""),"")</f>
        <v/>
      </c>
      <c r="H107" s="18"/>
    </row>
    <row r="108" spans="1:8" ht="15" customHeight="1" x14ac:dyDescent="0.25">
      <c r="A108" s="14" t="str">
        <f>IF('5. Servicio Técnico (Envíos)'!$M14="No",'5. Servicio Técnico (Envíos)'!$A14,"")</f>
        <v/>
      </c>
      <c r="B108" s="14" t="str">
        <f>IF('5. Servicio Técnico (Envíos)'!$M14="No",IFERROR(VLOOKUP('5. Servicio Técnico (Envíos)'!$A14,'1. Órdenes de Trabajo'!$A$2:$E$301,5,FALSE()),""),"")</f>
        <v/>
      </c>
      <c r="C108" s="14" t="str">
        <f>IF('5. Servicio Técnico (Envíos)'!$M14="No","Servicio técnico","")</f>
        <v/>
      </c>
      <c r="D108" s="14" t="str">
        <f>IF('5. Servicio Técnico (Envíos)'!$M14="No",'5. Servicio Técnico (Envíos)'!$E14,"")</f>
        <v/>
      </c>
      <c r="E108" s="15" t="str">
        <f>IF('5. Servicio Técnico (Envíos)'!$M14="No",'5. Servicio Técnico (Envíos)'!$N14,"")</f>
        <v/>
      </c>
      <c r="F108" s="14" t="str">
        <f>IF('5. Servicio Técnico (Envíos)'!$M14="No",'5. Servicio Técnico (Envíos)'!$O14,"")</f>
        <v/>
      </c>
      <c r="G108" s="14" t="str">
        <f>IF('5. Servicio Técnico (Envíos)'!$M14="No",IFERROR(VLOOKUP('5. Servicio Técnico (Envíos)'!$A14,'1. Órdenes de Trabajo'!$A$2:$J$301,10,FALSE()),""),"")</f>
        <v/>
      </c>
      <c r="H108" s="18"/>
    </row>
    <row r="109" spans="1:8" ht="15" customHeight="1" x14ac:dyDescent="0.25">
      <c r="A109" s="14" t="str">
        <f>IF('5. Servicio Técnico (Envíos)'!$M15="No",'5. Servicio Técnico (Envíos)'!$A15,"")</f>
        <v/>
      </c>
      <c r="B109" s="14" t="str">
        <f>IF('5. Servicio Técnico (Envíos)'!$M15="No",IFERROR(VLOOKUP('5. Servicio Técnico (Envíos)'!$A15,'1. Órdenes de Trabajo'!$A$2:$E$301,5,FALSE()),""),"")</f>
        <v/>
      </c>
      <c r="C109" s="14" t="str">
        <f>IF('5. Servicio Técnico (Envíos)'!$M15="No","Servicio técnico","")</f>
        <v/>
      </c>
      <c r="D109" s="14" t="str">
        <f>IF('5. Servicio Técnico (Envíos)'!$M15="No",'5. Servicio Técnico (Envíos)'!$E15,"")</f>
        <v/>
      </c>
      <c r="E109" s="15" t="str">
        <f>IF('5. Servicio Técnico (Envíos)'!$M15="No",'5. Servicio Técnico (Envíos)'!$N15,"")</f>
        <v/>
      </c>
      <c r="F109" s="14" t="str">
        <f>IF('5. Servicio Técnico (Envíos)'!$M15="No",'5. Servicio Técnico (Envíos)'!$O15,"")</f>
        <v/>
      </c>
      <c r="G109" s="14" t="str">
        <f>IF('5. Servicio Técnico (Envíos)'!$M15="No",IFERROR(VLOOKUP('5. Servicio Técnico (Envíos)'!$A15,'1. Órdenes de Trabajo'!$A$2:$J$301,10,FALSE()),""),"")</f>
        <v/>
      </c>
      <c r="H109" s="18"/>
    </row>
    <row r="110" spans="1:8" ht="15" customHeight="1" x14ac:dyDescent="0.25">
      <c r="A110" s="14" t="str">
        <f>IF('5. Servicio Técnico (Envíos)'!$M16="No",'5. Servicio Técnico (Envíos)'!$A16,"")</f>
        <v/>
      </c>
      <c r="B110" s="14" t="str">
        <f>IF('5. Servicio Técnico (Envíos)'!$M16="No",IFERROR(VLOOKUP('5. Servicio Técnico (Envíos)'!$A16,'1. Órdenes de Trabajo'!$A$2:$E$301,5,FALSE()),""),"")</f>
        <v/>
      </c>
      <c r="C110" s="14" t="str">
        <f>IF('5. Servicio Técnico (Envíos)'!$M16="No","Servicio técnico","")</f>
        <v/>
      </c>
      <c r="D110" s="14" t="str">
        <f>IF('5. Servicio Técnico (Envíos)'!$M16="No",'5. Servicio Técnico (Envíos)'!$E16,"")</f>
        <v/>
      </c>
      <c r="E110" s="15" t="str">
        <f>IF('5. Servicio Técnico (Envíos)'!$M16="No",'5. Servicio Técnico (Envíos)'!$N16,"")</f>
        <v/>
      </c>
      <c r="F110" s="14" t="str">
        <f>IF('5. Servicio Técnico (Envíos)'!$M16="No",'5. Servicio Técnico (Envíos)'!$O16,"")</f>
        <v/>
      </c>
      <c r="G110" s="14" t="str">
        <f>IF('5. Servicio Técnico (Envíos)'!$M16="No",IFERROR(VLOOKUP('5. Servicio Técnico (Envíos)'!$A16,'1. Órdenes de Trabajo'!$A$2:$J$301,10,FALSE()),""),"")</f>
        <v/>
      </c>
      <c r="H110" s="18"/>
    </row>
    <row r="111" spans="1:8" ht="15" customHeight="1" x14ac:dyDescent="0.25">
      <c r="A111" s="14" t="str">
        <f>IF('5. Servicio Técnico (Envíos)'!$M17="No",'5. Servicio Técnico (Envíos)'!$A17,"")</f>
        <v/>
      </c>
      <c r="B111" s="14" t="str">
        <f>IF('5. Servicio Técnico (Envíos)'!$M17="No",IFERROR(VLOOKUP('5. Servicio Técnico (Envíos)'!$A17,'1. Órdenes de Trabajo'!$A$2:$E$301,5,FALSE()),""),"")</f>
        <v/>
      </c>
      <c r="C111" s="14" t="str">
        <f>IF('5. Servicio Técnico (Envíos)'!$M17="No","Servicio técnico","")</f>
        <v/>
      </c>
      <c r="D111" s="14" t="str">
        <f>IF('5. Servicio Técnico (Envíos)'!$M17="No",'5. Servicio Técnico (Envíos)'!$E17,"")</f>
        <v/>
      </c>
      <c r="E111" s="15" t="str">
        <f>IF('5. Servicio Técnico (Envíos)'!$M17="No",'5. Servicio Técnico (Envíos)'!$N17,"")</f>
        <v/>
      </c>
      <c r="F111" s="14" t="str">
        <f>IF('5. Servicio Técnico (Envíos)'!$M17="No",'5. Servicio Técnico (Envíos)'!$O17,"")</f>
        <v/>
      </c>
      <c r="G111" s="14" t="str">
        <f>IF('5. Servicio Técnico (Envíos)'!$M17="No",IFERROR(VLOOKUP('5. Servicio Técnico (Envíos)'!$A17,'1. Órdenes de Trabajo'!$A$2:$J$301,10,FALSE()),""),"")</f>
        <v/>
      </c>
      <c r="H111" s="18"/>
    </row>
    <row r="112" spans="1:8" ht="15" customHeight="1" x14ac:dyDescent="0.25">
      <c r="A112" s="14" t="str">
        <f>IF('5. Servicio Técnico (Envíos)'!$M18="No",'5. Servicio Técnico (Envíos)'!$A18,"")</f>
        <v/>
      </c>
      <c r="B112" s="14" t="str">
        <f>IF('5. Servicio Técnico (Envíos)'!$M18="No",IFERROR(VLOOKUP('5. Servicio Técnico (Envíos)'!$A18,'1. Órdenes de Trabajo'!$A$2:$E$301,5,FALSE()),""),"")</f>
        <v/>
      </c>
      <c r="C112" s="14" t="str">
        <f>IF('5. Servicio Técnico (Envíos)'!$M18="No","Servicio técnico","")</f>
        <v/>
      </c>
      <c r="D112" s="14" t="str">
        <f>IF('5. Servicio Técnico (Envíos)'!$M18="No",'5. Servicio Técnico (Envíos)'!$E18,"")</f>
        <v/>
      </c>
      <c r="E112" s="15" t="str">
        <f>IF('5. Servicio Técnico (Envíos)'!$M18="No",'5. Servicio Técnico (Envíos)'!$N18,"")</f>
        <v/>
      </c>
      <c r="F112" s="14" t="str">
        <f>IF('5. Servicio Técnico (Envíos)'!$M18="No",'5. Servicio Técnico (Envíos)'!$O18,"")</f>
        <v/>
      </c>
      <c r="G112" s="14" t="str">
        <f>IF('5. Servicio Técnico (Envíos)'!$M18="No",IFERROR(VLOOKUP('5. Servicio Técnico (Envíos)'!$A18,'1. Órdenes de Trabajo'!$A$2:$J$301,10,FALSE()),""),"")</f>
        <v/>
      </c>
      <c r="H112" s="18"/>
    </row>
    <row r="113" spans="1:8" ht="15" customHeight="1" x14ac:dyDescent="0.25">
      <c r="A113" s="14" t="str">
        <f>IF('5. Servicio Técnico (Envíos)'!$M19="No",'5. Servicio Técnico (Envíos)'!$A19,"")</f>
        <v/>
      </c>
      <c r="B113" s="14" t="str">
        <f>IF('5. Servicio Técnico (Envíos)'!$M19="No",IFERROR(VLOOKUP('5. Servicio Técnico (Envíos)'!$A19,'1. Órdenes de Trabajo'!$A$2:$E$301,5,FALSE()),""),"")</f>
        <v/>
      </c>
      <c r="C113" s="14" t="str">
        <f>IF('5. Servicio Técnico (Envíos)'!$M19="No","Servicio técnico","")</f>
        <v/>
      </c>
      <c r="D113" s="14" t="str">
        <f>IF('5. Servicio Técnico (Envíos)'!$M19="No",'5. Servicio Técnico (Envíos)'!$E19,"")</f>
        <v/>
      </c>
      <c r="E113" s="15" t="str">
        <f>IF('5. Servicio Técnico (Envíos)'!$M19="No",'5. Servicio Técnico (Envíos)'!$N19,"")</f>
        <v/>
      </c>
      <c r="F113" s="14" t="str">
        <f>IF('5. Servicio Técnico (Envíos)'!$M19="No",'5. Servicio Técnico (Envíos)'!$O19,"")</f>
        <v/>
      </c>
      <c r="G113" s="14" t="str">
        <f>IF('5. Servicio Técnico (Envíos)'!$M19="No",IFERROR(VLOOKUP('5. Servicio Técnico (Envíos)'!$A19,'1. Órdenes de Trabajo'!$A$2:$J$301,10,FALSE()),""),"")</f>
        <v/>
      </c>
      <c r="H113" s="18"/>
    </row>
    <row r="114" spans="1:8" ht="15" customHeight="1" x14ac:dyDescent="0.25">
      <c r="A114" s="14" t="str">
        <f>IF('5. Servicio Técnico (Envíos)'!$M20="No",'5. Servicio Técnico (Envíos)'!$A20,"")</f>
        <v/>
      </c>
      <c r="B114" s="14" t="str">
        <f>IF('5. Servicio Técnico (Envíos)'!$M20="No",IFERROR(VLOOKUP('5. Servicio Técnico (Envíos)'!$A20,'1. Órdenes de Trabajo'!$A$2:$E$301,5,FALSE()),""),"")</f>
        <v/>
      </c>
      <c r="C114" s="14" t="str">
        <f>IF('5. Servicio Técnico (Envíos)'!$M20="No","Servicio técnico","")</f>
        <v/>
      </c>
      <c r="D114" s="14" t="str">
        <f>IF('5. Servicio Técnico (Envíos)'!$M20="No",'5. Servicio Técnico (Envíos)'!$E20,"")</f>
        <v/>
      </c>
      <c r="E114" s="15" t="str">
        <f>IF('5. Servicio Técnico (Envíos)'!$M20="No",'5. Servicio Técnico (Envíos)'!$N20,"")</f>
        <v/>
      </c>
      <c r="F114" s="14" t="str">
        <f>IF('5. Servicio Técnico (Envíos)'!$M20="No",'5. Servicio Técnico (Envíos)'!$O20,"")</f>
        <v/>
      </c>
      <c r="G114" s="14" t="str">
        <f>IF('5. Servicio Técnico (Envíos)'!$M20="No",IFERROR(VLOOKUP('5. Servicio Técnico (Envíos)'!$A20,'1. Órdenes de Trabajo'!$A$2:$J$301,10,FALSE()),""),"")</f>
        <v/>
      </c>
      <c r="H114" s="18"/>
    </row>
    <row r="115" spans="1:8" ht="15" customHeight="1" x14ac:dyDescent="0.25">
      <c r="A115" s="14" t="str">
        <f>IF('5. Servicio Técnico (Envíos)'!$M21="No",'5. Servicio Técnico (Envíos)'!$A21,"")</f>
        <v/>
      </c>
      <c r="B115" s="14" t="str">
        <f>IF('5. Servicio Técnico (Envíos)'!$M21="No",IFERROR(VLOOKUP('5. Servicio Técnico (Envíos)'!$A21,'1. Órdenes de Trabajo'!$A$2:$E$301,5,FALSE()),""),"")</f>
        <v/>
      </c>
      <c r="C115" s="14" t="str">
        <f>IF('5. Servicio Técnico (Envíos)'!$M21="No","Servicio técnico","")</f>
        <v/>
      </c>
      <c r="D115" s="14" t="str">
        <f>IF('5. Servicio Técnico (Envíos)'!$M21="No",'5. Servicio Técnico (Envíos)'!$E21,"")</f>
        <v/>
      </c>
      <c r="E115" s="15" t="str">
        <f>IF('5. Servicio Técnico (Envíos)'!$M21="No",'5. Servicio Técnico (Envíos)'!$N21,"")</f>
        <v/>
      </c>
      <c r="F115" s="14" t="str">
        <f>IF('5. Servicio Técnico (Envíos)'!$M21="No",'5. Servicio Técnico (Envíos)'!$O21,"")</f>
        <v/>
      </c>
      <c r="G115" s="14" t="str">
        <f>IF('5. Servicio Técnico (Envíos)'!$M21="No",IFERROR(VLOOKUP('5. Servicio Técnico (Envíos)'!$A21,'1. Órdenes de Trabajo'!$A$2:$J$301,10,FALSE()),""),"")</f>
        <v/>
      </c>
      <c r="H115" s="18"/>
    </row>
    <row r="116" spans="1:8" ht="15" customHeight="1" x14ac:dyDescent="0.25">
      <c r="A116" s="14" t="str">
        <f>IF('5. Servicio Técnico (Envíos)'!$M22="No",'5. Servicio Técnico (Envíos)'!$A22,"")</f>
        <v/>
      </c>
      <c r="B116" s="14" t="str">
        <f>IF('5. Servicio Técnico (Envíos)'!$M22="No",IFERROR(VLOOKUP('5. Servicio Técnico (Envíos)'!$A22,'1. Órdenes de Trabajo'!$A$2:$E$301,5,FALSE()),""),"")</f>
        <v/>
      </c>
      <c r="C116" s="14" t="str">
        <f>IF('5. Servicio Técnico (Envíos)'!$M22="No","Servicio técnico","")</f>
        <v/>
      </c>
      <c r="D116" s="14" t="str">
        <f>IF('5. Servicio Técnico (Envíos)'!$M22="No",'5. Servicio Técnico (Envíos)'!$E22,"")</f>
        <v/>
      </c>
      <c r="E116" s="15" t="str">
        <f>IF('5. Servicio Técnico (Envíos)'!$M22="No",'5. Servicio Técnico (Envíos)'!$N22,"")</f>
        <v/>
      </c>
      <c r="F116" s="14" t="str">
        <f>IF('5. Servicio Técnico (Envíos)'!$M22="No",'5. Servicio Técnico (Envíos)'!$O22,"")</f>
        <v/>
      </c>
      <c r="G116" s="14" t="str">
        <f>IF('5. Servicio Técnico (Envíos)'!$M22="No",IFERROR(VLOOKUP('5. Servicio Técnico (Envíos)'!$A22,'1. Órdenes de Trabajo'!$A$2:$J$301,10,FALSE()),""),"")</f>
        <v/>
      </c>
      <c r="H116" s="18"/>
    </row>
    <row r="117" spans="1:8" ht="15" customHeight="1" x14ac:dyDescent="0.25">
      <c r="A117" s="14" t="str">
        <f>IF('5. Servicio Técnico (Envíos)'!$M23="No",'5. Servicio Técnico (Envíos)'!$A23,"")</f>
        <v/>
      </c>
      <c r="B117" s="14" t="str">
        <f>IF('5. Servicio Técnico (Envíos)'!$M23="No",IFERROR(VLOOKUP('5. Servicio Técnico (Envíos)'!$A23,'1. Órdenes de Trabajo'!$A$2:$E$301,5,FALSE()),""),"")</f>
        <v/>
      </c>
      <c r="C117" s="14" t="str">
        <f>IF('5. Servicio Técnico (Envíos)'!$M23="No","Servicio técnico","")</f>
        <v/>
      </c>
      <c r="D117" s="14" t="str">
        <f>IF('5. Servicio Técnico (Envíos)'!$M23="No",'5. Servicio Técnico (Envíos)'!$E23,"")</f>
        <v/>
      </c>
      <c r="E117" s="15" t="str">
        <f>IF('5. Servicio Técnico (Envíos)'!$M23="No",'5. Servicio Técnico (Envíos)'!$N23,"")</f>
        <v/>
      </c>
      <c r="F117" s="14" t="str">
        <f>IF('5. Servicio Técnico (Envíos)'!$M23="No",'5. Servicio Técnico (Envíos)'!$O23,"")</f>
        <v/>
      </c>
      <c r="G117" s="14" t="str">
        <f>IF('5. Servicio Técnico (Envíos)'!$M23="No",IFERROR(VLOOKUP('5. Servicio Técnico (Envíos)'!$A23,'1. Órdenes de Trabajo'!$A$2:$J$301,10,FALSE()),""),"")</f>
        <v/>
      </c>
      <c r="H117" s="18"/>
    </row>
    <row r="118" spans="1:8" ht="15" customHeight="1" x14ac:dyDescent="0.25">
      <c r="A118" s="14" t="str">
        <f>IF('5. Servicio Técnico (Envíos)'!$M24="No",'5. Servicio Técnico (Envíos)'!$A24,"")</f>
        <v/>
      </c>
      <c r="B118" s="14" t="str">
        <f>IF('5. Servicio Técnico (Envíos)'!$M24="No",IFERROR(VLOOKUP('5. Servicio Técnico (Envíos)'!$A24,'1. Órdenes de Trabajo'!$A$2:$E$301,5,FALSE()),""),"")</f>
        <v/>
      </c>
      <c r="C118" s="14" t="str">
        <f>IF('5. Servicio Técnico (Envíos)'!$M24="No","Servicio técnico","")</f>
        <v/>
      </c>
      <c r="D118" s="14" t="str">
        <f>IF('5. Servicio Técnico (Envíos)'!$M24="No",'5. Servicio Técnico (Envíos)'!$E24,"")</f>
        <v/>
      </c>
      <c r="E118" s="15" t="str">
        <f>IF('5. Servicio Técnico (Envíos)'!$M24="No",'5. Servicio Técnico (Envíos)'!$N24,"")</f>
        <v/>
      </c>
      <c r="F118" s="14" t="str">
        <f>IF('5. Servicio Técnico (Envíos)'!$M24="No",'5. Servicio Técnico (Envíos)'!$O24,"")</f>
        <v/>
      </c>
      <c r="G118" s="14" t="str">
        <f>IF('5. Servicio Técnico (Envíos)'!$M24="No",IFERROR(VLOOKUP('5. Servicio Técnico (Envíos)'!$A24,'1. Órdenes de Trabajo'!$A$2:$J$301,10,FALSE()),""),"")</f>
        <v/>
      </c>
      <c r="H118" s="18"/>
    </row>
    <row r="119" spans="1:8" ht="15" customHeight="1" x14ac:dyDescent="0.25">
      <c r="A119" s="14" t="str">
        <f>IF('5. Servicio Técnico (Envíos)'!$M25="No",'5. Servicio Técnico (Envíos)'!$A25,"")</f>
        <v/>
      </c>
      <c r="B119" s="14" t="str">
        <f>IF('5. Servicio Técnico (Envíos)'!$M25="No",IFERROR(VLOOKUP('5. Servicio Técnico (Envíos)'!$A25,'1. Órdenes de Trabajo'!$A$2:$E$301,5,FALSE()),""),"")</f>
        <v/>
      </c>
      <c r="C119" s="14" t="str">
        <f>IF('5. Servicio Técnico (Envíos)'!$M25="No","Servicio técnico","")</f>
        <v/>
      </c>
      <c r="D119" s="14" t="str">
        <f>IF('5. Servicio Técnico (Envíos)'!$M25="No",'5. Servicio Técnico (Envíos)'!$E25,"")</f>
        <v/>
      </c>
      <c r="E119" s="15" t="str">
        <f>IF('5. Servicio Técnico (Envíos)'!$M25="No",'5. Servicio Técnico (Envíos)'!$N25,"")</f>
        <v/>
      </c>
      <c r="F119" s="14" t="str">
        <f>IF('5. Servicio Técnico (Envíos)'!$M25="No",'5. Servicio Técnico (Envíos)'!$O25,"")</f>
        <v/>
      </c>
      <c r="G119" s="14" t="str">
        <f>IF('5. Servicio Técnico (Envíos)'!$M25="No",IFERROR(VLOOKUP('5. Servicio Técnico (Envíos)'!$A25,'1. Órdenes de Trabajo'!$A$2:$J$301,10,FALSE()),""),"")</f>
        <v/>
      </c>
      <c r="H119" s="18"/>
    </row>
    <row r="120" spans="1:8" ht="15" customHeight="1" x14ac:dyDescent="0.25">
      <c r="A120" s="14" t="str">
        <f>IF('5. Servicio Técnico (Envíos)'!$M26="No",'5. Servicio Técnico (Envíos)'!$A26,"")</f>
        <v/>
      </c>
      <c r="B120" s="14" t="str">
        <f>IF('5. Servicio Técnico (Envíos)'!$M26="No",IFERROR(VLOOKUP('5. Servicio Técnico (Envíos)'!$A26,'1. Órdenes de Trabajo'!$A$2:$E$301,5,FALSE()),""),"")</f>
        <v/>
      </c>
      <c r="C120" s="14" t="str">
        <f>IF('5. Servicio Técnico (Envíos)'!$M26="No","Servicio técnico","")</f>
        <v/>
      </c>
      <c r="D120" s="14" t="str">
        <f>IF('5. Servicio Técnico (Envíos)'!$M26="No",'5. Servicio Técnico (Envíos)'!$E26,"")</f>
        <v/>
      </c>
      <c r="E120" s="15" t="str">
        <f>IF('5. Servicio Técnico (Envíos)'!$M26="No",'5. Servicio Técnico (Envíos)'!$N26,"")</f>
        <v/>
      </c>
      <c r="F120" s="14" t="str">
        <f>IF('5. Servicio Técnico (Envíos)'!$M26="No",'5. Servicio Técnico (Envíos)'!$O26,"")</f>
        <v/>
      </c>
      <c r="G120" s="14" t="str">
        <f>IF('5. Servicio Técnico (Envíos)'!$M26="No",IFERROR(VLOOKUP('5. Servicio Técnico (Envíos)'!$A26,'1. Órdenes de Trabajo'!$A$2:$J$301,10,FALSE()),""),"")</f>
        <v/>
      </c>
      <c r="H120" s="18"/>
    </row>
    <row r="121" spans="1:8" ht="15" customHeight="1" x14ac:dyDescent="0.25">
      <c r="A121" s="14" t="str">
        <f>IF('5. Servicio Técnico (Envíos)'!$M27="No",'5. Servicio Técnico (Envíos)'!$A27,"")</f>
        <v/>
      </c>
      <c r="B121" s="14" t="str">
        <f>IF('5. Servicio Técnico (Envíos)'!$M27="No",IFERROR(VLOOKUP('5. Servicio Técnico (Envíos)'!$A27,'1. Órdenes de Trabajo'!$A$2:$E$301,5,FALSE()),""),"")</f>
        <v/>
      </c>
      <c r="C121" s="14" t="str">
        <f>IF('5. Servicio Técnico (Envíos)'!$M27="No","Servicio técnico","")</f>
        <v/>
      </c>
      <c r="D121" s="14" t="str">
        <f>IF('5. Servicio Técnico (Envíos)'!$M27="No",'5. Servicio Técnico (Envíos)'!$E27,"")</f>
        <v/>
      </c>
      <c r="E121" s="15" t="str">
        <f>IF('5. Servicio Técnico (Envíos)'!$M27="No",'5. Servicio Técnico (Envíos)'!$N27,"")</f>
        <v/>
      </c>
      <c r="F121" s="14" t="str">
        <f>IF('5. Servicio Técnico (Envíos)'!$M27="No",'5. Servicio Técnico (Envíos)'!$O27,"")</f>
        <v/>
      </c>
      <c r="G121" s="14" t="str">
        <f>IF('5. Servicio Técnico (Envíos)'!$M27="No",IFERROR(VLOOKUP('5. Servicio Técnico (Envíos)'!$A27,'1. Órdenes de Trabajo'!$A$2:$J$301,10,FALSE()),""),"")</f>
        <v/>
      </c>
      <c r="H121" s="18"/>
    </row>
    <row r="122" spans="1:8" ht="15" customHeight="1" x14ac:dyDescent="0.25">
      <c r="A122" s="14" t="str">
        <f>IF('5. Servicio Técnico (Envíos)'!$M28="No",'5. Servicio Técnico (Envíos)'!$A28,"")</f>
        <v/>
      </c>
      <c r="B122" s="14" t="str">
        <f>IF('5. Servicio Técnico (Envíos)'!$M28="No",IFERROR(VLOOKUP('5. Servicio Técnico (Envíos)'!$A28,'1. Órdenes de Trabajo'!$A$2:$E$301,5,FALSE()),""),"")</f>
        <v/>
      </c>
      <c r="C122" s="14" t="str">
        <f>IF('5. Servicio Técnico (Envíos)'!$M28="No","Servicio técnico","")</f>
        <v/>
      </c>
      <c r="D122" s="14" t="str">
        <f>IF('5. Servicio Técnico (Envíos)'!$M28="No",'5. Servicio Técnico (Envíos)'!$E28,"")</f>
        <v/>
      </c>
      <c r="E122" s="15" t="str">
        <f>IF('5. Servicio Técnico (Envíos)'!$M28="No",'5. Servicio Técnico (Envíos)'!$N28,"")</f>
        <v/>
      </c>
      <c r="F122" s="14" t="str">
        <f>IF('5. Servicio Técnico (Envíos)'!$M28="No",'5. Servicio Técnico (Envíos)'!$O28,"")</f>
        <v/>
      </c>
      <c r="G122" s="14" t="str">
        <f>IF('5. Servicio Técnico (Envíos)'!$M28="No",IFERROR(VLOOKUP('5. Servicio Técnico (Envíos)'!$A28,'1. Órdenes de Trabajo'!$A$2:$J$301,10,FALSE()),""),"")</f>
        <v/>
      </c>
      <c r="H122" s="18"/>
    </row>
    <row r="123" spans="1:8" ht="15" customHeight="1" x14ac:dyDescent="0.25">
      <c r="A123" s="14" t="str">
        <f>IF('5. Servicio Técnico (Envíos)'!$M29="No",'5. Servicio Técnico (Envíos)'!$A29,"")</f>
        <v/>
      </c>
      <c r="B123" s="14" t="str">
        <f>IF('5. Servicio Técnico (Envíos)'!$M29="No",IFERROR(VLOOKUP('5. Servicio Técnico (Envíos)'!$A29,'1. Órdenes de Trabajo'!$A$2:$E$301,5,FALSE()),""),"")</f>
        <v/>
      </c>
      <c r="C123" s="14" t="str">
        <f>IF('5. Servicio Técnico (Envíos)'!$M29="No","Servicio técnico","")</f>
        <v/>
      </c>
      <c r="D123" s="14" t="str">
        <f>IF('5. Servicio Técnico (Envíos)'!$M29="No",'5. Servicio Técnico (Envíos)'!$E29,"")</f>
        <v/>
      </c>
      <c r="E123" s="15" t="str">
        <f>IF('5. Servicio Técnico (Envíos)'!$M29="No",'5. Servicio Técnico (Envíos)'!$N29,"")</f>
        <v/>
      </c>
      <c r="F123" s="14" t="str">
        <f>IF('5. Servicio Técnico (Envíos)'!$M29="No",'5. Servicio Técnico (Envíos)'!$O29,"")</f>
        <v/>
      </c>
      <c r="G123" s="14" t="str">
        <f>IF('5. Servicio Técnico (Envíos)'!$M29="No",IFERROR(VLOOKUP('5. Servicio Técnico (Envíos)'!$A29,'1. Órdenes de Trabajo'!$A$2:$J$301,10,FALSE()),""),"")</f>
        <v/>
      </c>
      <c r="H123" s="18"/>
    </row>
    <row r="124" spans="1:8" ht="15" customHeight="1" x14ac:dyDescent="0.25">
      <c r="A124" s="14" t="str">
        <f>IF('5. Servicio Técnico (Envíos)'!$M30="No",'5. Servicio Técnico (Envíos)'!$A30,"")</f>
        <v/>
      </c>
      <c r="B124" s="14" t="str">
        <f>IF('5. Servicio Técnico (Envíos)'!$M30="No",IFERROR(VLOOKUP('5. Servicio Técnico (Envíos)'!$A30,'1. Órdenes de Trabajo'!$A$2:$E$301,5,FALSE()),""),"")</f>
        <v/>
      </c>
      <c r="C124" s="14" t="str">
        <f>IF('5. Servicio Técnico (Envíos)'!$M30="No","Servicio técnico","")</f>
        <v/>
      </c>
      <c r="D124" s="14" t="str">
        <f>IF('5. Servicio Técnico (Envíos)'!$M30="No",'5. Servicio Técnico (Envíos)'!$E30,"")</f>
        <v/>
      </c>
      <c r="E124" s="15" t="str">
        <f>IF('5. Servicio Técnico (Envíos)'!$M30="No",'5. Servicio Técnico (Envíos)'!$N30,"")</f>
        <v/>
      </c>
      <c r="F124" s="14" t="str">
        <f>IF('5. Servicio Técnico (Envíos)'!$M30="No",'5. Servicio Técnico (Envíos)'!$O30,"")</f>
        <v/>
      </c>
      <c r="G124" s="14" t="str">
        <f>IF('5. Servicio Técnico (Envíos)'!$M30="No",IFERROR(VLOOKUP('5. Servicio Técnico (Envíos)'!$A30,'1. Órdenes de Trabajo'!$A$2:$J$301,10,FALSE()),""),"")</f>
        <v/>
      </c>
      <c r="H124" s="18"/>
    </row>
    <row r="125" spans="1:8" ht="15" customHeight="1" x14ac:dyDescent="0.25">
      <c r="A125" s="14" t="str">
        <f>IF('5. Servicio Técnico (Envíos)'!$M31="No",'5. Servicio Técnico (Envíos)'!$A31,"")</f>
        <v/>
      </c>
      <c r="B125" s="14" t="str">
        <f>IF('5. Servicio Técnico (Envíos)'!$M31="No",IFERROR(VLOOKUP('5. Servicio Técnico (Envíos)'!$A31,'1. Órdenes de Trabajo'!$A$2:$E$301,5,FALSE()),""),"")</f>
        <v/>
      </c>
      <c r="C125" s="14" t="str">
        <f>IF('5. Servicio Técnico (Envíos)'!$M31="No","Servicio técnico","")</f>
        <v/>
      </c>
      <c r="D125" s="14" t="str">
        <f>IF('5. Servicio Técnico (Envíos)'!$M31="No",'5. Servicio Técnico (Envíos)'!$E31,"")</f>
        <v/>
      </c>
      <c r="E125" s="15" t="str">
        <f>IF('5. Servicio Técnico (Envíos)'!$M31="No",'5. Servicio Técnico (Envíos)'!$N31,"")</f>
        <v/>
      </c>
      <c r="F125" s="14" t="str">
        <f>IF('5. Servicio Técnico (Envíos)'!$M31="No",'5. Servicio Técnico (Envíos)'!$O31,"")</f>
        <v/>
      </c>
      <c r="G125" s="14" t="str">
        <f>IF('5. Servicio Técnico (Envíos)'!$M31="No",IFERROR(VLOOKUP('5. Servicio Técnico (Envíos)'!$A31,'1. Órdenes de Trabajo'!$A$2:$J$301,10,FALSE()),""),"")</f>
        <v/>
      </c>
      <c r="H125" s="18"/>
    </row>
    <row r="126" spans="1:8" ht="15" customHeight="1" x14ac:dyDescent="0.25">
      <c r="A126" s="14" t="str">
        <f>IF('5. Servicio Técnico (Envíos)'!$M32="No",'5. Servicio Técnico (Envíos)'!$A32,"")</f>
        <v/>
      </c>
      <c r="B126" s="14" t="str">
        <f>IF('5. Servicio Técnico (Envíos)'!$M32="No",IFERROR(VLOOKUP('5. Servicio Técnico (Envíos)'!$A32,'1. Órdenes de Trabajo'!$A$2:$E$301,5,FALSE()),""),"")</f>
        <v/>
      </c>
      <c r="C126" s="14" t="str">
        <f>IF('5. Servicio Técnico (Envíos)'!$M32="No","Servicio técnico","")</f>
        <v/>
      </c>
      <c r="D126" s="14" t="str">
        <f>IF('5. Servicio Técnico (Envíos)'!$M32="No",'5. Servicio Técnico (Envíos)'!$E32,"")</f>
        <v/>
      </c>
      <c r="E126" s="15" t="str">
        <f>IF('5. Servicio Técnico (Envíos)'!$M32="No",'5. Servicio Técnico (Envíos)'!$N32,"")</f>
        <v/>
      </c>
      <c r="F126" s="14" t="str">
        <f>IF('5. Servicio Técnico (Envíos)'!$M32="No",'5. Servicio Técnico (Envíos)'!$O32,"")</f>
        <v/>
      </c>
      <c r="G126" s="14" t="str">
        <f>IF('5. Servicio Técnico (Envíos)'!$M32="No",IFERROR(VLOOKUP('5. Servicio Técnico (Envíos)'!$A32,'1. Órdenes de Trabajo'!$A$2:$J$301,10,FALSE()),""),"")</f>
        <v/>
      </c>
      <c r="H126" s="18"/>
    </row>
    <row r="127" spans="1:8" ht="15" customHeight="1" x14ac:dyDescent="0.25">
      <c r="A127" s="14" t="str">
        <f>IF('5. Servicio Técnico (Envíos)'!$M33="No",'5. Servicio Técnico (Envíos)'!$A33,"")</f>
        <v/>
      </c>
      <c r="B127" s="14" t="str">
        <f>IF('5. Servicio Técnico (Envíos)'!$M33="No",IFERROR(VLOOKUP('5. Servicio Técnico (Envíos)'!$A33,'1. Órdenes de Trabajo'!$A$2:$E$301,5,FALSE()),""),"")</f>
        <v/>
      </c>
      <c r="C127" s="14" t="str">
        <f>IF('5. Servicio Técnico (Envíos)'!$M33="No","Servicio técnico","")</f>
        <v/>
      </c>
      <c r="D127" s="14" t="str">
        <f>IF('5. Servicio Técnico (Envíos)'!$M33="No",'5. Servicio Técnico (Envíos)'!$E33,"")</f>
        <v/>
      </c>
      <c r="E127" s="15" t="str">
        <f>IF('5. Servicio Técnico (Envíos)'!$M33="No",'5. Servicio Técnico (Envíos)'!$N33,"")</f>
        <v/>
      </c>
      <c r="F127" s="14" t="str">
        <f>IF('5. Servicio Técnico (Envíos)'!$M33="No",'5. Servicio Técnico (Envíos)'!$O33,"")</f>
        <v/>
      </c>
      <c r="G127" s="14" t="str">
        <f>IF('5. Servicio Técnico (Envíos)'!$M33="No",IFERROR(VLOOKUP('5. Servicio Técnico (Envíos)'!$A33,'1. Órdenes de Trabajo'!$A$2:$J$301,10,FALSE()),""),"")</f>
        <v/>
      </c>
      <c r="H127" s="18"/>
    </row>
    <row r="128" spans="1:8" ht="15" customHeight="1" x14ac:dyDescent="0.25">
      <c r="A128" s="14" t="str">
        <f>IF('5. Servicio Técnico (Envíos)'!$M34="No",'5. Servicio Técnico (Envíos)'!$A34,"")</f>
        <v/>
      </c>
      <c r="B128" s="14" t="str">
        <f>IF('5. Servicio Técnico (Envíos)'!$M34="No",IFERROR(VLOOKUP('5. Servicio Técnico (Envíos)'!$A34,'1. Órdenes de Trabajo'!$A$2:$E$301,5,FALSE()),""),"")</f>
        <v/>
      </c>
      <c r="C128" s="14" t="str">
        <f>IF('5. Servicio Técnico (Envíos)'!$M34="No","Servicio técnico","")</f>
        <v/>
      </c>
      <c r="D128" s="14" t="str">
        <f>IF('5. Servicio Técnico (Envíos)'!$M34="No",'5. Servicio Técnico (Envíos)'!$E34,"")</f>
        <v/>
      </c>
      <c r="E128" s="15" t="str">
        <f>IF('5. Servicio Técnico (Envíos)'!$M34="No",'5. Servicio Técnico (Envíos)'!$N34,"")</f>
        <v/>
      </c>
      <c r="F128" s="14" t="str">
        <f>IF('5. Servicio Técnico (Envíos)'!$M34="No",'5. Servicio Técnico (Envíos)'!$O34,"")</f>
        <v/>
      </c>
      <c r="G128" s="14" t="str">
        <f>IF('5. Servicio Técnico (Envíos)'!$M34="No",IFERROR(VLOOKUP('5. Servicio Técnico (Envíos)'!$A34,'1. Órdenes de Trabajo'!$A$2:$J$301,10,FALSE()),""),"")</f>
        <v/>
      </c>
      <c r="H128" s="18"/>
    </row>
    <row r="129" spans="1:8" ht="15" customHeight="1" x14ac:dyDescent="0.25">
      <c r="A129" s="14" t="str">
        <f>IF('5. Servicio Técnico (Envíos)'!$M35="No",'5. Servicio Técnico (Envíos)'!$A35,"")</f>
        <v/>
      </c>
      <c r="B129" s="14" t="str">
        <f>IF('5. Servicio Técnico (Envíos)'!$M35="No",IFERROR(VLOOKUP('5. Servicio Técnico (Envíos)'!$A35,'1. Órdenes de Trabajo'!$A$2:$E$301,5,FALSE()),""),"")</f>
        <v/>
      </c>
      <c r="C129" s="14" t="str">
        <f>IF('5. Servicio Técnico (Envíos)'!$M35="No","Servicio técnico","")</f>
        <v/>
      </c>
      <c r="D129" s="14" t="str">
        <f>IF('5. Servicio Técnico (Envíos)'!$M35="No",'5. Servicio Técnico (Envíos)'!$E35,"")</f>
        <v/>
      </c>
      <c r="E129" s="15" t="str">
        <f>IF('5. Servicio Técnico (Envíos)'!$M35="No",'5. Servicio Técnico (Envíos)'!$N35,"")</f>
        <v/>
      </c>
      <c r="F129" s="14" t="str">
        <f>IF('5. Servicio Técnico (Envíos)'!$M35="No",'5. Servicio Técnico (Envíos)'!$O35,"")</f>
        <v/>
      </c>
      <c r="G129" s="14" t="str">
        <f>IF('5. Servicio Técnico (Envíos)'!$M35="No",IFERROR(VLOOKUP('5. Servicio Técnico (Envíos)'!$A35,'1. Órdenes de Trabajo'!$A$2:$J$301,10,FALSE()),""),"")</f>
        <v/>
      </c>
      <c r="H129" s="18"/>
    </row>
    <row r="130" spans="1:8" ht="15" customHeight="1" x14ac:dyDescent="0.25">
      <c r="A130" s="14" t="str">
        <f>IF('5. Servicio Técnico (Envíos)'!$M36="No",'5. Servicio Técnico (Envíos)'!$A36,"")</f>
        <v/>
      </c>
      <c r="B130" s="14" t="str">
        <f>IF('5. Servicio Técnico (Envíos)'!$M36="No",IFERROR(VLOOKUP('5. Servicio Técnico (Envíos)'!$A36,'1. Órdenes de Trabajo'!$A$2:$E$301,5,FALSE()),""),"")</f>
        <v/>
      </c>
      <c r="C130" s="14" t="str">
        <f>IF('5. Servicio Técnico (Envíos)'!$M36="No","Servicio técnico","")</f>
        <v/>
      </c>
      <c r="D130" s="14" t="str">
        <f>IF('5. Servicio Técnico (Envíos)'!$M36="No",'5. Servicio Técnico (Envíos)'!$E36,"")</f>
        <v/>
      </c>
      <c r="E130" s="15" t="str">
        <f>IF('5. Servicio Técnico (Envíos)'!$M36="No",'5. Servicio Técnico (Envíos)'!$N36,"")</f>
        <v/>
      </c>
      <c r="F130" s="14" t="str">
        <f>IF('5. Servicio Técnico (Envíos)'!$M36="No",'5. Servicio Técnico (Envíos)'!$O36,"")</f>
        <v/>
      </c>
      <c r="G130" s="14" t="str">
        <f>IF('5. Servicio Técnico (Envíos)'!$M36="No",IFERROR(VLOOKUP('5. Servicio Técnico (Envíos)'!$A36,'1. Órdenes de Trabajo'!$A$2:$J$301,10,FALSE()),""),"")</f>
        <v/>
      </c>
      <c r="H130" s="18"/>
    </row>
    <row r="131" spans="1:8" ht="15" customHeight="1" x14ac:dyDescent="0.25">
      <c r="A131" s="14" t="str">
        <f>IF('5. Servicio Técnico (Envíos)'!$M37="No",'5. Servicio Técnico (Envíos)'!$A37,"")</f>
        <v/>
      </c>
      <c r="B131" s="14" t="str">
        <f>IF('5. Servicio Técnico (Envíos)'!$M37="No",IFERROR(VLOOKUP('5. Servicio Técnico (Envíos)'!$A37,'1. Órdenes de Trabajo'!$A$2:$E$301,5,FALSE()),""),"")</f>
        <v/>
      </c>
      <c r="C131" s="14" t="str">
        <f>IF('5. Servicio Técnico (Envíos)'!$M37="No","Servicio técnico","")</f>
        <v/>
      </c>
      <c r="D131" s="14" t="str">
        <f>IF('5. Servicio Técnico (Envíos)'!$M37="No",'5. Servicio Técnico (Envíos)'!$E37,"")</f>
        <v/>
      </c>
      <c r="E131" s="15" t="str">
        <f>IF('5. Servicio Técnico (Envíos)'!$M37="No",'5. Servicio Técnico (Envíos)'!$N37,"")</f>
        <v/>
      </c>
      <c r="F131" s="14" t="str">
        <f>IF('5. Servicio Técnico (Envíos)'!$M37="No",'5. Servicio Técnico (Envíos)'!$O37,"")</f>
        <v/>
      </c>
      <c r="G131" s="14" t="str">
        <f>IF('5. Servicio Técnico (Envíos)'!$M37="No",IFERROR(VLOOKUP('5. Servicio Técnico (Envíos)'!$A37,'1. Órdenes de Trabajo'!$A$2:$J$301,10,FALSE()),""),"")</f>
        <v/>
      </c>
      <c r="H131" s="18"/>
    </row>
    <row r="132" spans="1:8" ht="15" customHeight="1" x14ac:dyDescent="0.25">
      <c r="A132" s="14" t="str">
        <f>IF('5. Servicio Técnico (Envíos)'!$M38="No",'5. Servicio Técnico (Envíos)'!$A38,"")</f>
        <v/>
      </c>
      <c r="B132" s="14" t="str">
        <f>IF('5. Servicio Técnico (Envíos)'!$M38="No",IFERROR(VLOOKUP('5. Servicio Técnico (Envíos)'!$A38,'1. Órdenes de Trabajo'!$A$2:$E$301,5,FALSE()),""),"")</f>
        <v/>
      </c>
      <c r="C132" s="14" t="str">
        <f>IF('5. Servicio Técnico (Envíos)'!$M38="No","Servicio técnico","")</f>
        <v/>
      </c>
      <c r="D132" s="14" t="str">
        <f>IF('5. Servicio Técnico (Envíos)'!$M38="No",'5. Servicio Técnico (Envíos)'!$E38,"")</f>
        <v/>
      </c>
      <c r="E132" s="15" t="str">
        <f>IF('5. Servicio Técnico (Envíos)'!$M38="No",'5. Servicio Técnico (Envíos)'!$N38,"")</f>
        <v/>
      </c>
      <c r="F132" s="14" t="str">
        <f>IF('5. Servicio Técnico (Envíos)'!$M38="No",'5. Servicio Técnico (Envíos)'!$O38,"")</f>
        <v/>
      </c>
      <c r="G132" s="14" t="str">
        <f>IF('5. Servicio Técnico (Envíos)'!$M38="No",IFERROR(VLOOKUP('5. Servicio Técnico (Envíos)'!$A38,'1. Órdenes de Trabajo'!$A$2:$J$301,10,FALSE()),""),"")</f>
        <v/>
      </c>
      <c r="H132" s="18"/>
    </row>
    <row r="133" spans="1:8" ht="15" customHeight="1" x14ac:dyDescent="0.25">
      <c r="A133" s="14" t="str">
        <f>IF('5. Servicio Técnico (Envíos)'!$M39="No",'5. Servicio Técnico (Envíos)'!$A39,"")</f>
        <v/>
      </c>
      <c r="B133" s="14" t="str">
        <f>IF('5. Servicio Técnico (Envíos)'!$M39="No",IFERROR(VLOOKUP('5. Servicio Técnico (Envíos)'!$A39,'1. Órdenes de Trabajo'!$A$2:$E$301,5,FALSE()),""),"")</f>
        <v/>
      </c>
      <c r="C133" s="14" t="str">
        <f>IF('5. Servicio Técnico (Envíos)'!$M39="No","Servicio técnico","")</f>
        <v/>
      </c>
      <c r="D133" s="14" t="str">
        <f>IF('5. Servicio Técnico (Envíos)'!$M39="No",'5. Servicio Técnico (Envíos)'!$E39,"")</f>
        <v/>
      </c>
      <c r="E133" s="15" t="str">
        <f>IF('5. Servicio Técnico (Envíos)'!$M39="No",'5. Servicio Técnico (Envíos)'!$N39,"")</f>
        <v/>
      </c>
      <c r="F133" s="14" t="str">
        <f>IF('5. Servicio Técnico (Envíos)'!$M39="No",'5. Servicio Técnico (Envíos)'!$O39,"")</f>
        <v/>
      </c>
      <c r="G133" s="14" t="str">
        <f>IF('5. Servicio Técnico (Envíos)'!$M39="No",IFERROR(VLOOKUP('5. Servicio Técnico (Envíos)'!$A39,'1. Órdenes de Trabajo'!$A$2:$J$301,10,FALSE()),""),"")</f>
        <v/>
      </c>
      <c r="H133" s="18"/>
    </row>
    <row r="134" spans="1:8" ht="15" customHeight="1" x14ac:dyDescent="0.25">
      <c r="A134" s="14" t="str">
        <f>IF('5. Servicio Técnico (Envíos)'!$M40="No",'5. Servicio Técnico (Envíos)'!$A40,"")</f>
        <v/>
      </c>
      <c r="B134" s="14" t="str">
        <f>IF('5. Servicio Técnico (Envíos)'!$M40="No",IFERROR(VLOOKUP('5. Servicio Técnico (Envíos)'!$A40,'1. Órdenes de Trabajo'!$A$2:$E$301,5,FALSE()),""),"")</f>
        <v/>
      </c>
      <c r="C134" s="14" t="str">
        <f>IF('5. Servicio Técnico (Envíos)'!$M40="No","Servicio técnico","")</f>
        <v/>
      </c>
      <c r="D134" s="14" t="str">
        <f>IF('5. Servicio Técnico (Envíos)'!$M40="No",'5. Servicio Técnico (Envíos)'!$E40,"")</f>
        <v/>
      </c>
      <c r="E134" s="15" t="str">
        <f>IF('5. Servicio Técnico (Envíos)'!$M40="No",'5. Servicio Técnico (Envíos)'!$N40,"")</f>
        <v/>
      </c>
      <c r="F134" s="14" t="str">
        <f>IF('5. Servicio Técnico (Envíos)'!$M40="No",'5. Servicio Técnico (Envíos)'!$O40,"")</f>
        <v/>
      </c>
      <c r="G134" s="14" t="str">
        <f>IF('5. Servicio Técnico (Envíos)'!$M40="No",IFERROR(VLOOKUP('5. Servicio Técnico (Envíos)'!$A40,'1. Órdenes de Trabajo'!$A$2:$J$301,10,FALSE()),""),"")</f>
        <v/>
      </c>
      <c r="H134" s="18"/>
    </row>
    <row r="135" spans="1:8" ht="15" customHeight="1" x14ac:dyDescent="0.25">
      <c r="A135" s="14" t="str">
        <f>IF('5. Servicio Técnico (Envíos)'!$M41="No",'5. Servicio Técnico (Envíos)'!$A41,"")</f>
        <v/>
      </c>
      <c r="B135" s="14" t="str">
        <f>IF('5. Servicio Técnico (Envíos)'!$M41="No",IFERROR(VLOOKUP('5. Servicio Técnico (Envíos)'!$A41,'1. Órdenes de Trabajo'!$A$2:$E$301,5,FALSE()),""),"")</f>
        <v/>
      </c>
      <c r="C135" s="14" t="str">
        <f>IF('5. Servicio Técnico (Envíos)'!$M41="No","Servicio técnico","")</f>
        <v/>
      </c>
      <c r="D135" s="14" t="str">
        <f>IF('5. Servicio Técnico (Envíos)'!$M41="No",'5. Servicio Técnico (Envíos)'!$E41,"")</f>
        <v/>
      </c>
      <c r="E135" s="15" t="str">
        <f>IF('5. Servicio Técnico (Envíos)'!$M41="No",'5. Servicio Técnico (Envíos)'!$N41,"")</f>
        <v/>
      </c>
      <c r="F135" s="14" t="str">
        <f>IF('5. Servicio Técnico (Envíos)'!$M41="No",'5. Servicio Técnico (Envíos)'!$O41,"")</f>
        <v/>
      </c>
      <c r="G135" s="14" t="str">
        <f>IF('5. Servicio Técnico (Envíos)'!$M41="No",IFERROR(VLOOKUP('5. Servicio Técnico (Envíos)'!$A41,'1. Órdenes de Trabajo'!$A$2:$J$301,10,FALSE()),""),"")</f>
        <v/>
      </c>
      <c r="H135" s="18"/>
    </row>
    <row r="136" spans="1:8" ht="15" customHeight="1" x14ac:dyDescent="0.25">
      <c r="A136" s="14" t="str">
        <f>IF('4. Visitas Técnicas'!$L2="No",'4. Visitas Técnicas'!$A2,"")</f>
        <v>2025-121109-19-10024</v>
      </c>
      <c r="B136" s="14" t="str">
        <f>IF('4. Visitas Técnicas'!$L2="No",IFERROR(VLOOKUP('4. Visitas Técnicas'!$A2,'1. Órdenes de Trabajo'!$A$2:$E$301,5,FALSE()),""),"")</f>
        <v xml:space="preserve">Ventilador Mecánico </v>
      </c>
      <c r="C136" s="14" t="str">
        <f>IF('4. Visitas Técnicas'!$L2="No","Visita técnica","")</f>
        <v>Visita técnica</v>
      </c>
      <c r="D136" s="14" t="str">
        <f>IF('4. Visitas Técnicas'!$L2="No",'4. Visitas Técnicas'!$C2,"")</f>
        <v>DRAGER CHILE LIMITADA</v>
      </c>
      <c r="E136" s="15" t="str">
        <f>IF('4. Visitas Técnicas'!$L2="No",'4. Visitas Técnicas'!$M2,"")</f>
        <v>Ricardo Matus Aroca</v>
      </c>
      <c r="F136" s="14" t="str">
        <f>IF('4. Visitas Técnicas'!$L2="No",'4. Visitas Técnicas'!$N2,"")</f>
        <v>Cristián Beltrán Oviedo</v>
      </c>
      <c r="G136" s="14" t="str">
        <f>IF('4. Visitas Técnicas'!$L2="No",IFERROR(VLOOKUP('4. Visitas Técnicas'!$A2,'1. Órdenes de Trabajo'!$A$2:$J$301,10,FALSE()),""),"")</f>
        <v>Cerrado</v>
      </c>
      <c r="H136" s="18"/>
    </row>
    <row r="137" spans="1:8" ht="15" customHeight="1" x14ac:dyDescent="0.25">
      <c r="A137" s="14" t="str">
        <f>IF('4. Visitas Técnicas'!$L3="No",'4. Visitas Técnicas'!$A3,"")</f>
        <v/>
      </c>
      <c r="B137" s="14" t="str">
        <f>IF('4. Visitas Técnicas'!$L3="No",IFERROR(VLOOKUP('4. Visitas Técnicas'!$A3,'1. Órdenes de Trabajo'!$A$2:$E$301,5,FALSE()),""),"")</f>
        <v/>
      </c>
      <c r="C137" s="14" t="str">
        <f>IF('4. Visitas Técnicas'!$L3="No","Visita técnica","")</f>
        <v/>
      </c>
      <c r="D137" s="14" t="str">
        <f>IF('4. Visitas Técnicas'!$L3="No",'4. Visitas Técnicas'!$C3,"")</f>
        <v/>
      </c>
      <c r="E137" s="15" t="str">
        <f>IF('4. Visitas Técnicas'!$L3="No",'4. Visitas Técnicas'!$M3,"")</f>
        <v/>
      </c>
      <c r="F137" s="14" t="str">
        <f>IF('4. Visitas Técnicas'!$L3="No",'4. Visitas Técnicas'!$N3,"")</f>
        <v/>
      </c>
      <c r="G137" s="14" t="str">
        <f>IF('4. Visitas Técnicas'!$L3="No",IFERROR(VLOOKUP('4. Visitas Técnicas'!$A3,'1. Órdenes de Trabajo'!$A$2:$J$301,10,FALSE()),""),"")</f>
        <v/>
      </c>
      <c r="H137" s="18"/>
    </row>
    <row r="138" spans="1:8" ht="15" customHeight="1" x14ac:dyDescent="0.25">
      <c r="A138" s="14" t="str">
        <f>IF('4. Visitas Técnicas'!$L4="No",'4. Visitas Técnicas'!$A4,"")</f>
        <v/>
      </c>
      <c r="B138" s="14" t="str">
        <f>IF('4. Visitas Técnicas'!$L4="No",IFERROR(VLOOKUP('4. Visitas Técnicas'!$A4,'1. Órdenes de Trabajo'!$A$2:$E$301,5,FALSE()),""),"")</f>
        <v/>
      </c>
      <c r="C138" s="14" t="str">
        <f>IF('4. Visitas Técnicas'!$L4="No","Visita técnica","")</f>
        <v/>
      </c>
      <c r="D138" s="14" t="str">
        <f>IF('4. Visitas Técnicas'!$L4="No",'4. Visitas Técnicas'!$C4,"")</f>
        <v/>
      </c>
      <c r="E138" s="15" t="str">
        <f>IF('4. Visitas Técnicas'!$L4="No",'4. Visitas Técnicas'!$M4,"")</f>
        <v/>
      </c>
      <c r="F138" s="14" t="str">
        <f>IF('4. Visitas Técnicas'!$L4="No",'4. Visitas Técnicas'!$N4,"")</f>
        <v/>
      </c>
      <c r="G138" s="14" t="str">
        <f>IF('4. Visitas Técnicas'!$L4="No",IFERROR(VLOOKUP('4. Visitas Técnicas'!$A4,'1. Órdenes de Trabajo'!$A$2:$J$301,10,FALSE()),""),"")</f>
        <v/>
      </c>
      <c r="H138" s="18"/>
    </row>
    <row r="139" spans="1:8" ht="15" customHeight="1" x14ac:dyDescent="0.25">
      <c r="A139" s="14" t="str">
        <f>IF('4. Visitas Técnicas'!$L5="No",'4. Visitas Técnicas'!$A5,"")</f>
        <v/>
      </c>
      <c r="B139" s="14" t="str">
        <f>IF('4. Visitas Técnicas'!$L5="No",IFERROR(VLOOKUP('4. Visitas Técnicas'!$A5,'1. Órdenes de Trabajo'!$A$2:$E$301,5,FALSE()),""),"")</f>
        <v/>
      </c>
      <c r="C139" s="14" t="str">
        <f>IF('4. Visitas Técnicas'!$L5="No","Visita técnica","")</f>
        <v/>
      </c>
      <c r="D139" s="14" t="str">
        <f>IF('4. Visitas Técnicas'!$L5="No",'4. Visitas Técnicas'!$C5,"")</f>
        <v/>
      </c>
      <c r="E139" s="15" t="str">
        <f>IF('4. Visitas Técnicas'!$L5="No",'4. Visitas Técnicas'!$M5,"")</f>
        <v/>
      </c>
      <c r="F139" s="14" t="str">
        <f>IF('4. Visitas Técnicas'!$L5="No",'4. Visitas Técnicas'!$N5,"")</f>
        <v/>
      </c>
      <c r="G139" s="14" t="str">
        <f>IF('4. Visitas Técnicas'!$L5="No",IFERROR(VLOOKUP('4. Visitas Técnicas'!$A5,'1. Órdenes de Trabajo'!$A$2:$J$301,10,FALSE()),""),"")</f>
        <v/>
      </c>
      <c r="H139" s="18"/>
    </row>
    <row r="140" spans="1:8" ht="15" customHeight="1" x14ac:dyDescent="0.25">
      <c r="A140" s="14" t="str">
        <f>IF('4. Visitas Técnicas'!$L6="No",'4. Visitas Técnicas'!$A6,"")</f>
        <v/>
      </c>
      <c r="B140" s="14" t="str">
        <f>IF('4. Visitas Técnicas'!$L6="No",IFERROR(VLOOKUP('4. Visitas Técnicas'!$A6,'1. Órdenes de Trabajo'!$A$2:$E$301,5,FALSE()),""),"")</f>
        <v/>
      </c>
      <c r="C140" s="14" t="str">
        <f>IF('4. Visitas Técnicas'!$L6="No","Visita técnica","")</f>
        <v/>
      </c>
      <c r="D140" s="14" t="str">
        <f>IF('4. Visitas Técnicas'!$L6="No",'4. Visitas Técnicas'!$C6,"")</f>
        <v/>
      </c>
      <c r="E140" s="15" t="str">
        <f>IF('4. Visitas Técnicas'!$L6="No",'4. Visitas Técnicas'!$M6,"")</f>
        <v/>
      </c>
      <c r="F140" s="14" t="str">
        <f>IF('4. Visitas Técnicas'!$L6="No",'4. Visitas Técnicas'!$N6,"")</f>
        <v/>
      </c>
      <c r="G140" s="14" t="str">
        <f>IF('4. Visitas Técnicas'!$L6="No",IFERROR(VLOOKUP('4. Visitas Técnicas'!$A6,'1. Órdenes de Trabajo'!$A$2:$J$301,10,FALSE()),""),"")</f>
        <v/>
      </c>
      <c r="H140" s="18"/>
    </row>
    <row r="141" spans="1:8" ht="15" customHeight="1" x14ac:dyDescent="0.25">
      <c r="A141" s="14" t="str">
        <f>IF('4. Visitas Técnicas'!$L7="No",'4. Visitas Técnicas'!$A7,"")</f>
        <v/>
      </c>
      <c r="B141" s="14" t="str">
        <f>IF('4. Visitas Técnicas'!$L7="No",IFERROR(VLOOKUP('4. Visitas Técnicas'!$A7,'1. Órdenes de Trabajo'!$A$2:$E$301,5,FALSE()),""),"")</f>
        <v/>
      </c>
      <c r="C141" s="14" t="str">
        <f>IF('4. Visitas Técnicas'!$L7="No","Visita técnica","")</f>
        <v/>
      </c>
      <c r="D141" s="14" t="str">
        <f>IF('4. Visitas Técnicas'!$L7="No",'4. Visitas Técnicas'!$C7,"")</f>
        <v/>
      </c>
      <c r="E141" s="15" t="str">
        <f>IF('4. Visitas Técnicas'!$L7="No",'4. Visitas Técnicas'!$M7,"")</f>
        <v/>
      </c>
      <c r="F141" s="14" t="str">
        <f>IF('4. Visitas Técnicas'!$L7="No",'4. Visitas Técnicas'!$N7,"")</f>
        <v/>
      </c>
      <c r="G141" s="14" t="str">
        <f>IF('4. Visitas Técnicas'!$L7="No",IFERROR(VLOOKUP('4. Visitas Técnicas'!$A7,'1. Órdenes de Trabajo'!$A$2:$J$301,10,FALSE()),""),"")</f>
        <v/>
      </c>
      <c r="H141" s="18"/>
    </row>
    <row r="142" spans="1:8" ht="15" customHeight="1" x14ac:dyDescent="0.25">
      <c r="A142" s="14" t="str">
        <f>IF('4. Visitas Técnicas'!$L8="No",'4. Visitas Técnicas'!$A8,"")</f>
        <v/>
      </c>
      <c r="B142" s="14" t="str">
        <f>IF('4. Visitas Técnicas'!$L8="No",IFERROR(VLOOKUP('4. Visitas Técnicas'!$A8,'1. Órdenes de Trabajo'!$A$2:$E$301,5,FALSE()),""),"")</f>
        <v/>
      </c>
      <c r="C142" s="14" t="str">
        <f>IF('4. Visitas Técnicas'!$L8="No","Visita técnica","")</f>
        <v/>
      </c>
      <c r="D142" s="14" t="str">
        <f>IF('4. Visitas Técnicas'!$L8="No",'4. Visitas Técnicas'!$C8,"")</f>
        <v/>
      </c>
      <c r="E142" s="15" t="str">
        <f>IF('4. Visitas Técnicas'!$L8="No",'4. Visitas Técnicas'!$M8,"")</f>
        <v/>
      </c>
      <c r="F142" s="14" t="str">
        <f>IF('4. Visitas Técnicas'!$L8="No",'4. Visitas Técnicas'!$N8,"")</f>
        <v/>
      </c>
      <c r="G142" s="14" t="str">
        <f>IF('4. Visitas Técnicas'!$L8="No",IFERROR(VLOOKUP('4. Visitas Técnicas'!$A8,'1. Órdenes de Trabajo'!$A$2:$J$301,10,FALSE()),""),"")</f>
        <v/>
      </c>
      <c r="H142" s="18"/>
    </row>
    <row r="143" spans="1:8" ht="15" customHeight="1" x14ac:dyDescent="0.25">
      <c r="A143" s="14" t="str">
        <f>IF('4. Visitas Técnicas'!$L9="No",'4. Visitas Técnicas'!$A9,"")</f>
        <v/>
      </c>
      <c r="B143" s="14" t="str">
        <f>IF('4. Visitas Técnicas'!$L9="No",IFERROR(VLOOKUP('4. Visitas Técnicas'!$A9,'1. Órdenes de Trabajo'!$A$2:$E$301,5,FALSE()),""),"")</f>
        <v/>
      </c>
      <c r="C143" s="14" t="str">
        <f>IF('4. Visitas Técnicas'!$L9="No","Visita técnica","")</f>
        <v/>
      </c>
      <c r="D143" s="14" t="str">
        <f>IF('4. Visitas Técnicas'!$L9="No",'4. Visitas Técnicas'!$C9,"")</f>
        <v/>
      </c>
      <c r="E143" s="15" t="str">
        <f>IF('4. Visitas Técnicas'!$L9="No",'4. Visitas Técnicas'!$M9,"")</f>
        <v/>
      </c>
      <c r="F143" s="14" t="str">
        <f>IF('4. Visitas Técnicas'!$L9="No",'4. Visitas Técnicas'!$N9,"")</f>
        <v/>
      </c>
      <c r="G143" s="14" t="str">
        <f>IF('4. Visitas Técnicas'!$L9="No",IFERROR(VLOOKUP('4. Visitas Técnicas'!$A9,'1. Órdenes de Trabajo'!$A$2:$J$301,10,FALSE()),""),"")</f>
        <v/>
      </c>
      <c r="H143" s="18"/>
    </row>
    <row r="144" spans="1:8" ht="15" customHeight="1" x14ac:dyDescent="0.25">
      <c r="A144" s="14" t="str">
        <f>IF('4. Visitas Técnicas'!$L10="No",'4. Visitas Técnicas'!$A10,"")</f>
        <v/>
      </c>
      <c r="B144" s="14" t="str">
        <f>IF('4. Visitas Técnicas'!$L10="No",IFERROR(VLOOKUP('4. Visitas Técnicas'!$A10,'1. Órdenes de Trabajo'!$A$2:$E$301,5,FALSE()),""),"")</f>
        <v/>
      </c>
      <c r="C144" s="14" t="str">
        <f>IF('4. Visitas Técnicas'!$L10="No","Visita técnica","")</f>
        <v/>
      </c>
      <c r="D144" s="14" t="str">
        <f>IF('4. Visitas Técnicas'!$L10="No",'4. Visitas Técnicas'!$C10,"")</f>
        <v/>
      </c>
      <c r="E144" s="15" t="str">
        <f>IF('4. Visitas Técnicas'!$L10="No",'4. Visitas Técnicas'!$M10,"")</f>
        <v/>
      </c>
      <c r="F144" s="14" t="str">
        <f>IF('4. Visitas Técnicas'!$L10="No",'4. Visitas Técnicas'!$N10,"")</f>
        <v/>
      </c>
      <c r="G144" s="14" t="str">
        <f>IF('4. Visitas Técnicas'!$L10="No",IFERROR(VLOOKUP('4. Visitas Técnicas'!$A10,'1. Órdenes de Trabajo'!$A$2:$J$301,10,FALSE()),""),"")</f>
        <v/>
      </c>
      <c r="H144" s="18"/>
    </row>
    <row r="145" spans="1:8" ht="15" customHeight="1" x14ac:dyDescent="0.25">
      <c r="A145" s="14" t="str">
        <f>IF('4. Visitas Técnicas'!$L11="No",'4. Visitas Técnicas'!$A11,"")</f>
        <v/>
      </c>
      <c r="B145" s="14" t="str">
        <f>IF('4. Visitas Técnicas'!$L11="No",IFERROR(VLOOKUP('4. Visitas Técnicas'!$A11,'1. Órdenes de Trabajo'!$A$2:$E$301,5,FALSE()),""),"")</f>
        <v/>
      </c>
      <c r="C145" s="14" t="str">
        <f>IF('4. Visitas Técnicas'!$L11="No","Visita técnica","")</f>
        <v/>
      </c>
      <c r="D145" s="14" t="str">
        <f>IF('4. Visitas Técnicas'!$L11="No",'4. Visitas Técnicas'!$C11,"")</f>
        <v/>
      </c>
      <c r="E145" s="15" t="str">
        <f>IF('4. Visitas Técnicas'!$L11="No",'4. Visitas Técnicas'!$M11,"")</f>
        <v/>
      </c>
      <c r="F145" s="14" t="str">
        <f>IF('4. Visitas Técnicas'!$L11="No",'4. Visitas Técnicas'!$N11,"")</f>
        <v/>
      </c>
      <c r="G145" s="14" t="str">
        <f>IF('4. Visitas Técnicas'!$L11="No",IFERROR(VLOOKUP('4. Visitas Técnicas'!$A11,'1. Órdenes de Trabajo'!$A$2:$J$301,10,FALSE()),""),"")</f>
        <v/>
      </c>
      <c r="H145" s="18"/>
    </row>
    <row r="146" spans="1:8" ht="15" customHeight="1" x14ac:dyDescent="0.25">
      <c r="A146" s="14" t="str">
        <f>IF('4. Visitas Técnicas'!$L12="No",'4. Visitas Técnicas'!$A12,"")</f>
        <v/>
      </c>
      <c r="B146" s="14" t="str">
        <f>IF('4. Visitas Técnicas'!$L12="No",IFERROR(VLOOKUP('4. Visitas Técnicas'!$A12,'1. Órdenes de Trabajo'!$A$2:$E$301,5,FALSE()),""),"")</f>
        <v/>
      </c>
      <c r="C146" s="14" t="str">
        <f>IF('4. Visitas Técnicas'!$L12="No","Visita técnica","")</f>
        <v/>
      </c>
      <c r="D146" s="14" t="str">
        <f>IF('4. Visitas Técnicas'!$L12="No",'4. Visitas Técnicas'!$C12,"")</f>
        <v/>
      </c>
      <c r="E146" s="15" t="str">
        <f>IF('4. Visitas Técnicas'!$L12="No",'4. Visitas Técnicas'!$M12,"")</f>
        <v/>
      </c>
      <c r="F146" s="14" t="str">
        <f>IF('4. Visitas Técnicas'!$L12="No",'4. Visitas Técnicas'!$N12,"")</f>
        <v/>
      </c>
      <c r="G146" s="14" t="str">
        <f>IF('4. Visitas Técnicas'!$L12="No",IFERROR(VLOOKUP('4. Visitas Técnicas'!$A12,'1. Órdenes de Trabajo'!$A$2:$J$301,10,FALSE()),""),"")</f>
        <v/>
      </c>
      <c r="H146" s="18"/>
    </row>
    <row r="147" spans="1:8" ht="15" customHeight="1" x14ac:dyDescent="0.25">
      <c r="A147" s="14" t="str">
        <f>IF('4. Visitas Técnicas'!$L13="No",'4. Visitas Técnicas'!$A13,"")</f>
        <v/>
      </c>
      <c r="B147" s="14" t="str">
        <f>IF('4. Visitas Técnicas'!$L13="No",IFERROR(VLOOKUP('4. Visitas Técnicas'!$A13,'1. Órdenes de Trabajo'!$A$2:$E$301,5,FALSE()),""),"")</f>
        <v/>
      </c>
      <c r="C147" s="14" t="str">
        <f>IF('4. Visitas Técnicas'!$L13="No","Visita técnica","")</f>
        <v/>
      </c>
      <c r="D147" s="14" t="str">
        <f>IF('4. Visitas Técnicas'!$L13="No",'4. Visitas Técnicas'!$C13,"")</f>
        <v/>
      </c>
      <c r="E147" s="15" t="str">
        <f>IF('4. Visitas Técnicas'!$L13="No",'4. Visitas Técnicas'!$M13,"")</f>
        <v/>
      </c>
      <c r="F147" s="14" t="str">
        <f>IF('4. Visitas Técnicas'!$L13="No",'4. Visitas Técnicas'!$N13,"")</f>
        <v/>
      </c>
      <c r="G147" s="14" t="str">
        <f>IF('4. Visitas Técnicas'!$L13="No",IFERROR(VLOOKUP('4. Visitas Técnicas'!$A13,'1. Órdenes de Trabajo'!$A$2:$J$301,10,FALSE()),""),"")</f>
        <v/>
      </c>
      <c r="H147" s="18"/>
    </row>
    <row r="148" spans="1:8" ht="15" customHeight="1" x14ac:dyDescent="0.25">
      <c r="A148" s="14" t="str">
        <f>IF('4. Visitas Técnicas'!$L14="No",'4. Visitas Técnicas'!$A14,"")</f>
        <v/>
      </c>
      <c r="B148" s="14" t="str">
        <f>IF('4. Visitas Técnicas'!$L14="No",IFERROR(VLOOKUP('4. Visitas Técnicas'!$A14,'1. Órdenes de Trabajo'!$A$2:$E$301,5,FALSE()),""),"")</f>
        <v/>
      </c>
      <c r="C148" s="14" t="str">
        <f>IF('4. Visitas Técnicas'!$L14="No","Visita técnica","")</f>
        <v/>
      </c>
      <c r="D148" s="14" t="str">
        <f>IF('4. Visitas Técnicas'!$L14="No",'4. Visitas Técnicas'!$C14,"")</f>
        <v/>
      </c>
      <c r="E148" s="15" t="str">
        <f>IF('4. Visitas Técnicas'!$L14="No",'4. Visitas Técnicas'!$M14,"")</f>
        <v/>
      </c>
      <c r="F148" s="14" t="str">
        <f>IF('4. Visitas Técnicas'!$L14="No",'4. Visitas Técnicas'!$N14,"")</f>
        <v/>
      </c>
      <c r="G148" s="14" t="str">
        <f>IF('4. Visitas Técnicas'!$L14="No",IFERROR(VLOOKUP('4. Visitas Técnicas'!$A14,'1. Órdenes de Trabajo'!$A$2:$J$301,10,FALSE()),""),"")</f>
        <v/>
      </c>
      <c r="H148" s="18"/>
    </row>
    <row r="149" spans="1:8" ht="15" customHeight="1" x14ac:dyDescent="0.25">
      <c r="A149" s="14" t="str">
        <f>IF('4. Visitas Técnicas'!$L15="No",'4. Visitas Técnicas'!$A15,"")</f>
        <v/>
      </c>
      <c r="B149" s="14" t="str">
        <f>IF('4. Visitas Técnicas'!$L15="No",IFERROR(VLOOKUP('4. Visitas Técnicas'!$A15,'1. Órdenes de Trabajo'!$A$2:$E$301,5,FALSE()),""),"")</f>
        <v/>
      </c>
      <c r="C149" s="14" t="str">
        <f>IF('4. Visitas Técnicas'!$L15="No","Visita técnica","")</f>
        <v/>
      </c>
      <c r="D149" s="14" t="str">
        <f>IF('4. Visitas Técnicas'!$L15="No",'4. Visitas Técnicas'!$C15,"")</f>
        <v/>
      </c>
      <c r="E149" s="15" t="str">
        <f>IF('4. Visitas Técnicas'!$L15="No",'4. Visitas Técnicas'!$M15,"")</f>
        <v/>
      </c>
      <c r="F149" s="14" t="str">
        <f>IF('4. Visitas Técnicas'!$L15="No",'4. Visitas Técnicas'!$N15,"")</f>
        <v/>
      </c>
      <c r="G149" s="14" t="str">
        <f>IF('4. Visitas Técnicas'!$L15="No",IFERROR(VLOOKUP('4. Visitas Técnicas'!$A15,'1. Órdenes de Trabajo'!$A$2:$J$301,10,FALSE()),""),"")</f>
        <v/>
      </c>
      <c r="H149" s="18"/>
    </row>
    <row r="150" spans="1:8" ht="15" customHeight="1" x14ac:dyDescent="0.25">
      <c r="A150" s="14" t="str">
        <f>IF('4. Visitas Técnicas'!$L16="No",'4. Visitas Técnicas'!$A16,"")</f>
        <v/>
      </c>
      <c r="B150" s="14" t="str">
        <f>IF('4. Visitas Técnicas'!$L16="No",IFERROR(VLOOKUP('4. Visitas Técnicas'!$A16,'1. Órdenes de Trabajo'!$A$2:$E$301,5,FALSE()),""),"")</f>
        <v/>
      </c>
      <c r="C150" s="14" t="str">
        <f>IF('4. Visitas Técnicas'!$L16="No","Visita técnica","")</f>
        <v/>
      </c>
      <c r="D150" s="14" t="str">
        <f>IF('4. Visitas Técnicas'!$L16="No",'4. Visitas Técnicas'!$C16,"")</f>
        <v/>
      </c>
      <c r="E150" s="15" t="str">
        <f>IF('4. Visitas Técnicas'!$L16="No",'4. Visitas Técnicas'!$M16,"")</f>
        <v/>
      </c>
      <c r="F150" s="14" t="str">
        <f>IF('4. Visitas Técnicas'!$L16="No",'4. Visitas Técnicas'!$N16,"")</f>
        <v/>
      </c>
      <c r="G150" s="14" t="str">
        <f>IF('4. Visitas Técnicas'!$L16="No",IFERROR(VLOOKUP('4. Visitas Técnicas'!$A16,'1. Órdenes de Trabajo'!$A$2:$J$301,10,FALSE()),""),"")</f>
        <v/>
      </c>
      <c r="H150" s="18"/>
    </row>
    <row r="151" spans="1:8" ht="15" customHeight="1" x14ac:dyDescent="0.25">
      <c r="A151" s="14" t="str">
        <f>IF('4. Visitas Técnicas'!$L17="No",'4. Visitas Técnicas'!$A17,"")</f>
        <v/>
      </c>
      <c r="B151" s="14" t="str">
        <f>IF('4. Visitas Técnicas'!$L17="No",IFERROR(VLOOKUP('4. Visitas Técnicas'!$A17,'1. Órdenes de Trabajo'!$A$2:$E$301,5,FALSE()),""),"")</f>
        <v/>
      </c>
      <c r="C151" s="14" t="str">
        <f>IF('4. Visitas Técnicas'!$L17="No","Visita técnica","")</f>
        <v/>
      </c>
      <c r="D151" s="14" t="str">
        <f>IF('4. Visitas Técnicas'!$L17="No",'4. Visitas Técnicas'!$C17,"")</f>
        <v/>
      </c>
      <c r="E151" s="15" t="str">
        <f>IF('4. Visitas Técnicas'!$L17="No",'4. Visitas Técnicas'!$M17,"")</f>
        <v/>
      </c>
      <c r="F151" s="14" t="str">
        <f>IF('4. Visitas Técnicas'!$L17="No",'4. Visitas Técnicas'!$N17,"")</f>
        <v/>
      </c>
      <c r="G151" s="14" t="str">
        <f>IF('4. Visitas Técnicas'!$L17="No",IFERROR(VLOOKUP('4. Visitas Técnicas'!$A17,'1. Órdenes de Trabajo'!$A$2:$J$301,10,FALSE()),""),"")</f>
        <v/>
      </c>
      <c r="H151" s="18"/>
    </row>
    <row r="152" spans="1:8" ht="15" customHeight="1" x14ac:dyDescent="0.25">
      <c r="A152" s="14" t="str">
        <f>IF('4. Visitas Técnicas'!$L18="No",'4. Visitas Técnicas'!$A18,"")</f>
        <v/>
      </c>
      <c r="B152" s="14" t="str">
        <f>IF('4. Visitas Técnicas'!$L18="No",IFERROR(VLOOKUP('4. Visitas Técnicas'!$A18,'1. Órdenes de Trabajo'!$A$2:$E$301,5,FALSE()),""),"")</f>
        <v/>
      </c>
      <c r="C152" s="14" t="str">
        <f>IF('4. Visitas Técnicas'!$L18="No","Visita técnica","")</f>
        <v/>
      </c>
      <c r="D152" s="14" t="str">
        <f>IF('4. Visitas Técnicas'!$L18="No",'4. Visitas Técnicas'!$C18,"")</f>
        <v/>
      </c>
      <c r="E152" s="15" t="str">
        <f>IF('4. Visitas Técnicas'!$L18="No",'4. Visitas Técnicas'!$M18,"")</f>
        <v/>
      </c>
      <c r="F152" s="14" t="str">
        <f>IF('4. Visitas Técnicas'!$L18="No",'4. Visitas Técnicas'!$N18,"")</f>
        <v/>
      </c>
      <c r="G152" s="14" t="str">
        <f>IF('4. Visitas Técnicas'!$L18="No",IFERROR(VLOOKUP('4. Visitas Técnicas'!$A18,'1. Órdenes de Trabajo'!$A$2:$J$301,10,FALSE()),""),"")</f>
        <v/>
      </c>
      <c r="H152" s="18"/>
    </row>
    <row r="153" spans="1:8" ht="15" customHeight="1" x14ac:dyDescent="0.25">
      <c r="A153" s="14" t="str">
        <f>IF('4. Visitas Técnicas'!$L19="No",'4. Visitas Técnicas'!$A19,"")</f>
        <v/>
      </c>
      <c r="B153" s="14" t="str">
        <f>IF('4. Visitas Técnicas'!$L19="No",IFERROR(VLOOKUP('4. Visitas Técnicas'!$A19,'1. Órdenes de Trabajo'!$A$2:$E$301,5,FALSE()),""),"")</f>
        <v/>
      </c>
      <c r="C153" s="14" t="str">
        <f>IF('4. Visitas Técnicas'!$L19="No","Visita técnica","")</f>
        <v/>
      </c>
      <c r="D153" s="14" t="str">
        <f>IF('4. Visitas Técnicas'!$L19="No",'4. Visitas Técnicas'!$C19,"")</f>
        <v/>
      </c>
      <c r="E153" s="15" t="str">
        <f>IF('4. Visitas Técnicas'!$L19="No",'4. Visitas Técnicas'!$M19,"")</f>
        <v/>
      </c>
      <c r="F153" s="14" t="str">
        <f>IF('4. Visitas Técnicas'!$L19="No",'4. Visitas Técnicas'!$N19,"")</f>
        <v/>
      </c>
      <c r="G153" s="14" t="str">
        <f>IF('4. Visitas Técnicas'!$L19="No",IFERROR(VLOOKUP('4. Visitas Técnicas'!$A19,'1. Órdenes de Trabajo'!$A$2:$J$301,10,FALSE()),""),"")</f>
        <v/>
      </c>
      <c r="H153" s="18"/>
    </row>
    <row r="154" spans="1:8" ht="15" customHeight="1" x14ac:dyDescent="0.25">
      <c r="A154" s="14" t="str">
        <f>IF('4. Visitas Técnicas'!$L20="No",'4. Visitas Técnicas'!$A20,"")</f>
        <v/>
      </c>
      <c r="B154" s="14" t="str">
        <f>IF('4. Visitas Técnicas'!$L20="No",IFERROR(VLOOKUP('4. Visitas Técnicas'!$A20,'1. Órdenes de Trabajo'!$A$2:$E$301,5,FALSE()),""),"")</f>
        <v/>
      </c>
      <c r="C154" s="14" t="str">
        <f>IF('4. Visitas Técnicas'!$L20="No","Visita técnica","")</f>
        <v/>
      </c>
      <c r="D154" s="14" t="str">
        <f>IF('4. Visitas Técnicas'!$L20="No",'4. Visitas Técnicas'!$C20,"")</f>
        <v/>
      </c>
      <c r="E154" s="15" t="str">
        <f>IF('4. Visitas Técnicas'!$L20="No",'4. Visitas Técnicas'!$M20,"")</f>
        <v/>
      </c>
      <c r="F154" s="14" t="str">
        <f>IF('4. Visitas Técnicas'!$L20="No",'4. Visitas Técnicas'!$N20,"")</f>
        <v/>
      </c>
      <c r="G154" s="14" t="str">
        <f>IF('4. Visitas Técnicas'!$L20="No",IFERROR(VLOOKUP('4. Visitas Técnicas'!$A20,'1. Órdenes de Trabajo'!$A$2:$J$301,10,FALSE()),""),"")</f>
        <v/>
      </c>
      <c r="H154" s="18"/>
    </row>
    <row r="155" spans="1:8" ht="15" customHeight="1" x14ac:dyDescent="0.25">
      <c r="A155" s="14" t="str">
        <f>IF('4. Visitas Técnicas'!$L21="No",'4. Visitas Técnicas'!$A21,"")</f>
        <v/>
      </c>
      <c r="B155" s="14" t="str">
        <f>IF('4. Visitas Técnicas'!$L21="No",IFERROR(VLOOKUP('4. Visitas Técnicas'!$A21,'1. Órdenes de Trabajo'!$A$2:$E$301,5,FALSE()),""),"")</f>
        <v/>
      </c>
      <c r="C155" s="14" t="str">
        <f>IF('4. Visitas Técnicas'!$L21="No","Visita técnica","")</f>
        <v/>
      </c>
      <c r="D155" s="14" t="str">
        <f>IF('4. Visitas Técnicas'!$L21="No",'4. Visitas Técnicas'!$C21,"")</f>
        <v/>
      </c>
      <c r="E155" s="15" t="str">
        <f>IF('4. Visitas Técnicas'!$L21="No",'4. Visitas Técnicas'!$M21,"")</f>
        <v/>
      </c>
      <c r="F155" s="14" t="str">
        <f>IF('4. Visitas Técnicas'!$L21="No",'4. Visitas Técnicas'!$N21,"")</f>
        <v/>
      </c>
      <c r="G155" s="14" t="str">
        <f>IF('4. Visitas Técnicas'!$L21="No",IFERROR(VLOOKUP('4. Visitas Técnicas'!$A21,'1. Órdenes de Trabajo'!$A$2:$J$301,10,FALSE()),""),"")</f>
        <v/>
      </c>
      <c r="H155" s="18"/>
    </row>
    <row r="156" spans="1:8" ht="15" customHeight="1" x14ac:dyDescent="0.25">
      <c r="A156" s="14" t="str">
        <f>IF('4. Visitas Técnicas'!$L22="No",'4. Visitas Técnicas'!$A22,"")</f>
        <v/>
      </c>
      <c r="B156" s="14" t="str">
        <f>IF('4. Visitas Técnicas'!$L22="No",IFERROR(VLOOKUP('4. Visitas Técnicas'!$A22,'1. Órdenes de Trabajo'!$A$2:$E$301,5,FALSE()),""),"")</f>
        <v/>
      </c>
      <c r="C156" s="14" t="str">
        <f>IF('4. Visitas Técnicas'!$L22="No","Visita técnica","")</f>
        <v/>
      </c>
      <c r="D156" s="14" t="str">
        <f>IF('4. Visitas Técnicas'!$L22="No",'4. Visitas Técnicas'!$C22,"")</f>
        <v/>
      </c>
      <c r="E156" s="15" t="str">
        <f>IF('4. Visitas Técnicas'!$L22="No",'4. Visitas Técnicas'!$M22,"")</f>
        <v/>
      </c>
      <c r="F156" s="14" t="str">
        <f>IF('4. Visitas Técnicas'!$L22="No",'4. Visitas Técnicas'!$N22,"")</f>
        <v/>
      </c>
      <c r="G156" s="14" t="str">
        <f>IF('4. Visitas Técnicas'!$L22="No",IFERROR(VLOOKUP('4. Visitas Técnicas'!$A22,'1. Órdenes de Trabajo'!$A$2:$J$301,10,FALSE()),""),"")</f>
        <v/>
      </c>
      <c r="H156" s="18"/>
    </row>
    <row r="157" spans="1:8" ht="15" customHeight="1" x14ac:dyDescent="0.25">
      <c r="A157" s="14" t="str">
        <f>IF('4. Visitas Técnicas'!$L23="No",'4. Visitas Técnicas'!$A23,"")</f>
        <v/>
      </c>
      <c r="B157" s="14" t="str">
        <f>IF('4. Visitas Técnicas'!$L23="No",IFERROR(VLOOKUP('4. Visitas Técnicas'!$A23,'1. Órdenes de Trabajo'!$A$2:$E$301,5,FALSE()),""),"")</f>
        <v/>
      </c>
      <c r="C157" s="14" t="str">
        <f>IF('4. Visitas Técnicas'!$L23="No","Visita técnica","")</f>
        <v/>
      </c>
      <c r="D157" s="14" t="str">
        <f>IF('4. Visitas Técnicas'!$L23="No",'4. Visitas Técnicas'!$C23,"")</f>
        <v/>
      </c>
      <c r="E157" s="15" t="str">
        <f>IF('4. Visitas Técnicas'!$L23="No",'4. Visitas Técnicas'!$M23,"")</f>
        <v/>
      </c>
      <c r="F157" s="14" t="str">
        <f>IF('4. Visitas Técnicas'!$L23="No",'4. Visitas Técnicas'!$N23,"")</f>
        <v/>
      </c>
      <c r="G157" s="14" t="str">
        <f>IF('4. Visitas Técnicas'!$L23="No",IFERROR(VLOOKUP('4. Visitas Técnicas'!$A23,'1. Órdenes de Trabajo'!$A$2:$J$301,10,FALSE()),""),"")</f>
        <v/>
      </c>
      <c r="H157" s="18"/>
    </row>
    <row r="158" spans="1:8" ht="15" customHeight="1" x14ac:dyDescent="0.25">
      <c r="A158" s="14" t="str">
        <f>IF('4. Visitas Técnicas'!$L24="No",'4. Visitas Técnicas'!$A24,"")</f>
        <v/>
      </c>
      <c r="B158" s="14" t="str">
        <f>IF('4. Visitas Técnicas'!$L24="No",IFERROR(VLOOKUP('4. Visitas Técnicas'!$A24,'1. Órdenes de Trabajo'!$A$2:$E$301,5,FALSE()),""),"")</f>
        <v/>
      </c>
      <c r="C158" s="14" t="str">
        <f>IF('4. Visitas Técnicas'!$L24="No","Visita técnica","")</f>
        <v/>
      </c>
      <c r="D158" s="14" t="str">
        <f>IF('4. Visitas Técnicas'!$L24="No",'4. Visitas Técnicas'!$C24,"")</f>
        <v/>
      </c>
      <c r="E158" s="15" t="str">
        <f>IF('4. Visitas Técnicas'!$L24="No",'4. Visitas Técnicas'!$M24,"")</f>
        <v/>
      </c>
      <c r="F158" s="14" t="str">
        <f>IF('4. Visitas Técnicas'!$L24="No",'4. Visitas Técnicas'!$N24,"")</f>
        <v/>
      </c>
      <c r="G158" s="14" t="str">
        <f>IF('4. Visitas Técnicas'!$L24="No",IFERROR(VLOOKUP('4. Visitas Técnicas'!$A24,'1. Órdenes de Trabajo'!$A$2:$J$301,10,FALSE()),""),"")</f>
        <v/>
      </c>
      <c r="H158" s="18"/>
    </row>
    <row r="159" spans="1:8" ht="15" customHeight="1" x14ac:dyDescent="0.25">
      <c r="A159" s="14" t="str">
        <f>IF('4. Visitas Técnicas'!$L25="No",'4. Visitas Técnicas'!$A25,"")</f>
        <v/>
      </c>
      <c r="B159" s="14" t="str">
        <f>IF('4. Visitas Técnicas'!$L25="No",IFERROR(VLOOKUP('4. Visitas Técnicas'!$A25,'1. Órdenes de Trabajo'!$A$2:$E$301,5,FALSE()),""),"")</f>
        <v/>
      </c>
      <c r="C159" s="14" t="str">
        <f>IF('4. Visitas Técnicas'!$L25="No","Visita técnica","")</f>
        <v/>
      </c>
      <c r="D159" s="14" t="str">
        <f>IF('4. Visitas Técnicas'!$L25="No",'4. Visitas Técnicas'!$C25,"")</f>
        <v/>
      </c>
      <c r="E159" s="15" t="str">
        <f>IF('4. Visitas Técnicas'!$L25="No",'4. Visitas Técnicas'!$M25,"")</f>
        <v/>
      </c>
      <c r="F159" s="14" t="str">
        <f>IF('4. Visitas Técnicas'!$L25="No",'4. Visitas Técnicas'!$N25,"")</f>
        <v/>
      </c>
      <c r="G159" s="14" t="str">
        <f>IF('4. Visitas Técnicas'!$L25="No",IFERROR(VLOOKUP('4. Visitas Técnicas'!$A25,'1. Órdenes de Trabajo'!$A$2:$J$301,10,FALSE()),""),"")</f>
        <v/>
      </c>
      <c r="H159" s="18"/>
    </row>
    <row r="160" spans="1:8" ht="15" customHeight="1" x14ac:dyDescent="0.25">
      <c r="A160" s="14" t="str">
        <f>IF('4. Visitas Técnicas'!$L26="No",'4. Visitas Técnicas'!$A26,"")</f>
        <v/>
      </c>
      <c r="B160" s="14" t="str">
        <f>IF('4. Visitas Técnicas'!$L26="No",IFERROR(VLOOKUP('4. Visitas Técnicas'!$A26,'1. Órdenes de Trabajo'!$A$2:$E$301,5,FALSE()),""),"")</f>
        <v/>
      </c>
      <c r="C160" s="14" t="str">
        <f>IF('4. Visitas Técnicas'!$L26="No","Visita técnica","")</f>
        <v/>
      </c>
      <c r="D160" s="14" t="str">
        <f>IF('4. Visitas Técnicas'!$L26="No",'4. Visitas Técnicas'!$C26,"")</f>
        <v/>
      </c>
      <c r="E160" s="15" t="str">
        <f>IF('4. Visitas Técnicas'!$L26="No",'4. Visitas Técnicas'!$M26,"")</f>
        <v/>
      </c>
      <c r="F160" s="14" t="str">
        <f>IF('4. Visitas Técnicas'!$L26="No",'4. Visitas Técnicas'!$N26,"")</f>
        <v/>
      </c>
      <c r="G160" s="14" t="str">
        <f>IF('4. Visitas Técnicas'!$L26="No",IFERROR(VLOOKUP('4. Visitas Técnicas'!$A26,'1. Órdenes de Trabajo'!$A$2:$J$301,10,FALSE()),""),"")</f>
        <v/>
      </c>
      <c r="H160" s="18"/>
    </row>
    <row r="161" spans="1:8" ht="15" customHeight="1" x14ac:dyDescent="0.25">
      <c r="A161" s="14" t="str">
        <f>IF('4. Visitas Técnicas'!$L27="No",'4. Visitas Técnicas'!$A27,"")</f>
        <v/>
      </c>
      <c r="B161" s="14" t="str">
        <f>IF('4. Visitas Técnicas'!$L27="No",IFERROR(VLOOKUP('4. Visitas Técnicas'!$A27,'1. Órdenes de Trabajo'!$A$2:$E$301,5,FALSE()),""),"")</f>
        <v/>
      </c>
      <c r="C161" s="14" t="str">
        <f>IF('4. Visitas Técnicas'!$L27="No","Visita técnica","")</f>
        <v/>
      </c>
      <c r="D161" s="14" t="str">
        <f>IF('4. Visitas Técnicas'!$L27="No",'4. Visitas Técnicas'!$C27,"")</f>
        <v/>
      </c>
      <c r="E161" s="15" t="str">
        <f>IF('4. Visitas Técnicas'!$L27="No",'4. Visitas Técnicas'!$M27,"")</f>
        <v/>
      </c>
      <c r="F161" s="14" t="str">
        <f>IF('4. Visitas Técnicas'!$L27="No",'4. Visitas Técnicas'!$N27,"")</f>
        <v/>
      </c>
      <c r="G161" s="14" t="str">
        <f>IF('4. Visitas Técnicas'!$L27="No",IFERROR(VLOOKUP('4. Visitas Técnicas'!$A27,'1. Órdenes de Trabajo'!$A$2:$J$301,10,FALSE()),""),"")</f>
        <v/>
      </c>
      <c r="H161" s="18"/>
    </row>
    <row r="162" spans="1:8" ht="15" customHeight="1" x14ac:dyDescent="0.25">
      <c r="A162" s="14" t="str">
        <f>IF('4. Visitas Técnicas'!$L28="No",'4. Visitas Técnicas'!$A28,"")</f>
        <v/>
      </c>
      <c r="B162" s="14" t="str">
        <f>IF('4. Visitas Técnicas'!$L28="No",IFERROR(VLOOKUP('4. Visitas Técnicas'!$A28,'1. Órdenes de Trabajo'!$A$2:$E$301,5,FALSE()),""),"")</f>
        <v/>
      </c>
      <c r="C162" s="14" t="str">
        <f>IF('4. Visitas Técnicas'!$L28="No","Visita técnica","")</f>
        <v/>
      </c>
      <c r="D162" s="14" t="str">
        <f>IF('4. Visitas Técnicas'!$L28="No",'4. Visitas Técnicas'!$C28,"")</f>
        <v/>
      </c>
      <c r="E162" s="15" t="str">
        <f>IF('4. Visitas Técnicas'!$L28="No",'4. Visitas Técnicas'!$M28,"")</f>
        <v/>
      </c>
      <c r="F162" s="14" t="str">
        <f>IF('4. Visitas Técnicas'!$L28="No",'4. Visitas Técnicas'!$N28,"")</f>
        <v/>
      </c>
      <c r="G162" s="14" t="str">
        <f>IF('4. Visitas Técnicas'!$L28="No",IFERROR(VLOOKUP('4. Visitas Técnicas'!$A28,'1. Órdenes de Trabajo'!$A$2:$J$301,10,FALSE()),""),"")</f>
        <v/>
      </c>
      <c r="H162" s="18"/>
    </row>
    <row r="163" spans="1:8" ht="15" customHeight="1" x14ac:dyDescent="0.25">
      <c r="A163" s="14" t="str">
        <f>IF('4. Visitas Técnicas'!$L29="No",'4. Visitas Técnicas'!$A29,"")</f>
        <v/>
      </c>
      <c r="B163" s="14" t="str">
        <f>IF('4. Visitas Técnicas'!$L29="No",IFERROR(VLOOKUP('4. Visitas Técnicas'!$A29,'1. Órdenes de Trabajo'!$A$2:$E$301,5,FALSE()),""),"")</f>
        <v/>
      </c>
      <c r="C163" s="14" t="str">
        <f>IF('4. Visitas Técnicas'!$L29="No","Visita técnica","")</f>
        <v/>
      </c>
      <c r="D163" s="14" t="str">
        <f>IF('4. Visitas Técnicas'!$L29="No",'4. Visitas Técnicas'!$C29,"")</f>
        <v/>
      </c>
      <c r="E163" s="15" t="str">
        <f>IF('4. Visitas Técnicas'!$L29="No",'4. Visitas Técnicas'!$M29,"")</f>
        <v/>
      </c>
      <c r="F163" s="14" t="str">
        <f>IF('4. Visitas Técnicas'!$L29="No",'4. Visitas Técnicas'!$N29,"")</f>
        <v/>
      </c>
      <c r="G163" s="14" t="str">
        <f>IF('4. Visitas Técnicas'!$L29="No",IFERROR(VLOOKUP('4. Visitas Técnicas'!$A29,'1. Órdenes de Trabajo'!$A$2:$J$301,10,FALSE()),""),"")</f>
        <v/>
      </c>
      <c r="H163" s="18"/>
    </row>
    <row r="164" spans="1:8" ht="15" customHeight="1" x14ac:dyDescent="0.25">
      <c r="A164" s="14" t="str">
        <f>IF('4. Visitas Técnicas'!$L30="No",'4. Visitas Técnicas'!$A30,"")</f>
        <v/>
      </c>
      <c r="B164" s="14" t="str">
        <f>IF('4. Visitas Técnicas'!$L30="No",IFERROR(VLOOKUP('4. Visitas Técnicas'!$A30,'1. Órdenes de Trabajo'!$A$2:$E$301,5,FALSE()),""),"")</f>
        <v/>
      </c>
      <c r="C164" s="14" t="str">
        <f>IF('4. Visitas Técnicas'!$L30="No","Visita técnica","")</f>
        <v/>
      </c>
      <c r="D164" s="14" t="str">
        <f>IF('4. Visitas Técnicas'!$L30="No",'4. Visitas Técnicas'!$C30,"")</f>
        <v/>
      </c>
      <c r="E164" s="15" t="str">
        <f>IF('4. Visitas Técnicas'!$L30="No",'4. Visitas Técnicas'!$M30,"")</f>
        <v/>
      </c>
      <c r="F164" s="14" t="str">
        <f>IF('4. Visitas Técnicas'!$L30="No",'4. Visitas Técnicas'!$N30,"")</f>
        <v/>
      </c>
      <c r="G164" s="14" t="str">
        <f>IF('4. Visitas Técnicas'!$L30="No",IFERROR(VLOOKUP('4. Visitas Técnicas'!$A30,'1. Órdenes de Trabajo'!$A$2:$J$301,10,FALSE()),""),"")</f>
        <v/>
      </c>
      <c r="H164" s="18"/>
    </row>
    <row r="165" spans="1:8" ht="15" customHeight="1" x14ac:dyDescent="0.25">
      <c r="A165" s="14" t="str">
        <f>IF('4. Visitas Técnicas'!$L31="No",'4. Visitas Técnicas'!$A31,"")</f>
        <v/>
      </c>
      <c r="B165" s="14" t="str">
        <f>IF('4. Visitas Técnicas'!$L31="No",IFERROR(VLOOKUP('4. Visitas Técnicas'!$A31,'1. Órdenes de Trabajo'!$A$2:$E$301,5,FALSE()),""),"")</f>
        <v/>
      </c>
      <c r="C165" s="14" t="str">
        <f>IF('4. Visitas Técnicas'!$L31="No","Visita técnica","")</f>
        <v/>
      </c>
      <c r="D165" s="14" t="str">
        <f>IF('4. Visitas Técnicas'!$L31="No",'4. Visitas Técnicas'!$C31,"")</f>
        <v/>
      </c>
      <c r="E165" s="15" t="str">
        <f>IF('4. Visitas Técnicas'!$L31="No",'4. Visitas Técnicas'!$M31,"")</f>
        <v/>
      </c>
      <c r="F165" s="14" t="str">
        <f>IF('4. Visitas Técnicas'!$L31="No",'4. Visitas Técnicas'!$N31,"")</f>
        <v/>
      </c>
      <c r="G165" s="14" t="str">
        <f>IF('4. Visitas Técnicas'!$L31="No",IFERROR(VLOOKUP('4. Visitas Técnicas'!$A31,'1. Órdenes de Trabajo'!$A$2:$J$301,10,FALSE()),""),"")</f>
        <v/>
      </c>
      <c r="H165" s="18"/>
    </row>
    <row r="166" spans="1:8" ht="15" customHeight="1" x14ac:dyDescent="0.25">
      <c r="A166" s="14" t="str">
        <f>IF('4. Visitas Técnicas'!$L32="No",'4. Visitas Técnicas'!$A32,"")</f>
        <v/>
      </c>
      <c r="B166" s="14" t="str">
        <f>IF('4. Visitas Técnicas'!$L32="No",IFERROR(VLOOKUP('4. Visitas Técnicas'!$A32,'1. Órdenes de Trabajo'!$A$2:$E$301,5,FALSE()),""),"")</f>
        <v/>
      </c>
      <c r="C166" s="14" t="str">
        <f>IF('4. Visitas Técnicas'!$L32="No","Visita técnica","")</f>
        <v/>
      </c>
      <c r="D166" s="14" t="str">
        <f>IF('4. Visitas Técnicas'!$L32="No",'4. Visitas Técnicas'!$C32,"")</f>
        <v/>
      </c>
      <c r="E166" s="15" t="str">
        <f>IF('4. Visitas Técnicas'!$L32="No",'4. Visitas Técnicas'!$M32,"")</f>
        <v/>
      </c>
      <c r="F166" s="14" t="str">
        <f>IF('4. Visitas Técnicas'!$L32="No",'4. Visitas Técnicas'!$N32,"")</f>
        <v/>
      </c>
      <c r="G166" s="14" t="str">
        <f>IF('4. Visitas Técnicas'!$L32="No",IFERROR(VLOOKUP('4. Visitas Técnicas'!$A32,'1. Órdenes de Trabajo'!$A$2:$J$301,10,FALSE()),""),"")</f>
        <v/>
      </c>
      <c r="H166" s="18"/>
    </row>
    <row r="167" spans="1:8" ht="15" customHeight="1" x14ac:dyDescent="0.25">
      <c r="A167" s="14" t="str">
        <f>IF('4. Visitas Técnicas'!$L33="No",'4. Visitas Técnicas'!$A33,"")</f>
        <v/>
      </c>
      <c r="B167" s="14" t="str">
        <f>IF('4. Visitas Técnicas'!$L33="No",IFERROR(VLOOKUP('4. Visitas Técnicas'!$A33,'1. Órdenes de Trabajo'!$A$2:$E$301,5,FALSE()),""),"")</f>
        <v/>
      </c>
      <c r="C167" s="14" t="str">
        <f>IF('4. Visitas Técnicas'!$L33="No","Visita técnica","")</f>
        <v/>
      </c>
      <c r="D167" s="14" t="str">
        <f>IF('4. Visitas Técnicas'!$L33="No",'4. Visitas Técnicas'!$C33,"")</f>
        <v/>
      </c>
      <c r="E167" s="15" t="str">
        <f>IF('4. Visitas Técnicas'!$L33="No",'4. Visitas Técnicas'!$M33,"")</f>
        <v/>
      </c>
      <c r="F167" s="14" t="str">
        <f>IF('4. Visitas Técnicas'!$L33="No",'4. Visitas Técnicas'!$N33,"")</f>
        <v/>
      </c>
      <c r="G167" s="14" t="str">
        <f>IF('4. Visitas Técnicas'!$L33="No",IFERROR(VLOOKUP('4. Visitas Técnicas'!$A33,'1. Órdenes de Trabajo'!$A$2:$J$301,10,FALSE()),""),"")</f>
        <v/>
      </c>
      <c r="H167" s="18"/>
    </row>
    <row r="168" spans="1:8" ht="15" customHeight="1" x14ac:dyDescent="0.25">
      <c r="A168" s="14" t="str">
        <f>IF('4. Visitas Técnicas'!$L34="No",'4. Visitas Técnicas'!$A34,"")</f>
        <v/>
      </c>
      <c r="B168" s="14" t="str">
        <f>IF('4. Visitas Técnicas'!$L34="No",IFERROR(VLOOKUP('4. Visitas Técnicas'!$A34,'1. Órdenes de Trabajo'!$A$2:$E$301,5,FALSE()),""),"")</f>
        <v/>
      </c>
      <c r="C168" s="14" t="str">
        <f>IF('4. Visitas Técnicas'!$L34="No","Visita técnica","")</f>
        <v/>
      </c>
      <c r="D168" s="14" t="str">
        <f>IF('4. Visitas Técnicas'!$L34="No",'4. Visitas Técnicas'!$C34,"")</f>
        <v/>
      </c>
      <c r="E168" s="15" t="str">
        <f>IF('4. Visitas Técnicas'!$L34="No",'4. Visitas Técnicas'!$M34,"")</f>
        <v/>
      </c>
      <c r="F168" s="14" t="str">
        <f>IF('4. Visitas Técnicas'!$L34="No",'4. Visitas Técnicas'!$N34,"")</f>
        <v/>
      </c>
      <c r="G168" s="14" t="str">
        <f>IF('4. Visitas Técnicas'!$L34="No",IFERROR(VLOOKUP('4. Visitas Técnicas'!$A34,'1. Órdenes de Trabajo'!$A$2:$J$301,10,FALSE()),""),"")</f>
        <v/>
      </c>
      <c r="H168" s="18"/>
    </row>
    <row r="169" spans="1:8" ht="15" customHeight="1" x14ac:dyDescent="0.25">
      <c r="A169" s="14" t="str">
        <f>IF('4. Visitas Técnicas'!$L35="No",'4. Visitas Técnicas'!$A35,"")</f>
        <v/>
      </c>
      <c r="B169" s="14" t="str">
        <f>IF('4. Visitas Técnicas'!$L35="No",IFERROR(VLOOKUP('4. Visitas Técnicas'!$A35,'1. Órdenes de Trabajo'!$A$2:$E$301,5,FALSE()),""),"")</f>
        <v/>
      </c>
      <c r="C169" s="14" t="str">
        <f>IF('4. Visitas Técnicas'!$L35="No","Visita técnica","")</f>
        <v/>
      </c>
      <c r="D169" s="14" t="str">
        <f>IF('4. Visitas Técnicas'!$L35="No",'4. Visitas Técnicas'!$C35,"")</f>
        <v/>
      </c>
      <c r="E169" s="15" t="str">
        <f>IF('4. Visitas Técnicas'!$L35="No",'4. Visitas Técnicas'!$M35,"")</f>
        <v/>
      </c>
      <c r="F169" s="14" t="str">
        <f>IF('4. Visitas Técnicas'!$L35="No",'4. Visitas Técnicas'!$N35,"")</f>
        <v/>
      </c>
      <c r="G169" s="14" t="str">
        <f>IF('4. Visitas Técnicas'!$L35="No",IFERROR(VLOOKUP('4. Visitas Técnicas'!$A35,'1. Órdenes de Trabajo'!$A$2:$J$301,10,FALSE()),""),"")</f>
        <v/>
      </c>
      <c r="H169" s="18"/>
    </row>
    <row r="170" spans="1:8" ht="15" customHeight="1" x14ac:dyDescent="0.25">
      <c r="A170" s="14" t="str">
        <f>IF('4. Visitas Técnicas'!$L36="No",'4. Visitas Técnicas'!$A36,"")</f>
        <v/>
      </c>
      <c r="B170" s="14" t="str">
        <f>IF('4. Visitas Técnicas'!$L36="No",IFERROR(VLOOKUP('4. Visitas Técnicas'!$A36,'1. Órdenes de Trabajo'!$A$2:$E$301,5,FALSE()),""),"")</f>
        <v/>
      </c>
      <c r="C170" s="14" t="str">
        <f>IF('4. Visitas Técnicas'!$L36="No","Visita técnica","")</f>
        <v/>
      </c>
      <c r="D170" s="14" t="str">
        <f>IF('4. Visitas Técnicas'!$L36="No",'4. Visitas Técnicas'!$C36,"")</f>
        <v/>
      </c>
      <c r="E170" s="15" t="str">
        <f>IF('4. Visitas Técnicas'!$L36="No",'4. Visitas Técnicas'!$M36,"")</f>
        <v/>
      </c>
      <c r="F170" s="14" t="str">
        <f>IF('4. Visitas Técnicas'!$L36="No",'4. Visitas Técnicas'!$N36,"")</f>
        <v/>
      </c>
      <c r="G170" s="14" t="str">
        <f>IF('4. Visitas Técnicas'!$L36="No",IFERROR(VLOOKUP('4. Visitas Técnicas'!$A36,'1. Órdenes de Trabajo'!$A$2:$J$301,10,FALSE()),""),"")</f>
        <v/>
      </c>
      <c r="H170" s="18"/>
    </row>
    <row r="171" spans="1:8" ht="15" customHeight="1" x14ac:dyDescent="0.25">
      <c r="A171" s="14" t="str">
        <f>IF('4. Visitas Técnicas'!$L37="No",'4. Visitas Técnicas'!$A37,"")</f>
        <v/>
      </c>
      <c r="B171" s="14" t="str">
        <f>IF('4. Visitas Técnicas'!$L37="No",IFERROR(VLOOKUP('4. Visitas Técnicas'!$A37,'1. Órdenes de Trabajo'!$A$2:$E$301,5,FALSE()),""),"")</f>
        <v/>
      </c>
      <c r="C171" s="14" t="str">
        <f>IF('4. Visitas Técnicas'!$L37="No","Visita técnica","")</f>
        <v/>
      </c>
      <c r="D171" s="14" t="str">
        <f>IF('4. Visitas Técnicas'!$L37="No",'4. Visitas Técnicas'!$C37,"")</f>
        <v/>
      </c>
      <c r="E171" s="15" t="str">
        <f>IF('4. Visitas Técnicas'!$L37="No",'4. Visitas Técnicas'!$M37,"")</f>
        <v/>
      </c>
      <c r="F171" s="14" t="str">
        <f>IF('4. Visitas Técnicas'!$L37="No",'4. Visitas Técnicas'!$N37,"")</f>
        <v/>
      </c>
      <c r="G171" s="14" t="str">
        <f>IF('4. Visitas Técnicas'!$L37="No",IFERROR(VLOOKUP('4. Visitas Técnicas'!$A37,'1. Órdenes de Trabajo'!$A$2:$J$301,10,FALSE()),""),"")</f>
        <v/>
      </c>
      <c r="H171" s="18"/>
    </row>
    <row r="172" spans="1:8" ht="15" customHeight="1" x14ac:dyDescent="0.25">
      <c r="A172" s="14" t="str">
        <f>IF('4. Visitas Técnicas'!$L38="No",'4. Visitas Técnicas'!$A38,"")</f>
        <v/>
      </c>
      <c r="B172" s="14" t="str">
        <f>IF('4. Visitas Técnicas'!$L38="No",IFERROR(VLOOKUP('4. Visitas Técnicas'!$A38,'1. Órdenes de Trabajo'!$A$2:$E$301,5,FALSE()),""),"")</f>
        <v/>
      </c>
      <c r="C172" s="14" t="str">
        <f>IF('4. Visitas Técnicas'!$L38="No","Visita técnica","")</f>
        <v/>
      </c>
      <c r="D172" s="14" t="str">
        <f>IF('4. Visitas Técnicas'!$L38="No",'4. Visitas Técnicas'!$C38,"")</f>
        <v/>
      </c>
      <c r="E172" s="15" t="str">
        <f>IF('4. Visitas Técnicas'!$L38="No",'4. Visitas Técnicas'!$M38,"")</f>
        <v/>
      </c>
      <c r="F172" s="14" t="str">
        <f>IF('4. Visitas Técnicas'!$L38="No",'4. Visitas Técnicas'!$N38,"")</f>
        <v/>
      </c>
      <c r="G172" s="14" t="str">
        <f>IF('4. Visitas Técnicas'!$L38="No",IFERROR(VLOOKUP('4. Visitas Técnicas'!$A38,'1. Órdenes de Trabajo'!$A$2:$J$301,10,FALSE()),""),"")</f>
        <v/>
      </c>
      <c r="H172" s="18"/>
    </row>
    <row r="173" spans="1:8" ht="15" customHeight="1" x14ac:dyDescent="0.25">
      <c r="A173" s="14" t="str">
        <f>IF('4. Visitas Técnicas'!$L39="No",'4. Visitas Técnicas'!$A39,"")</f>
        <v/>
      </c>
      <c r="B173" s="14" t="str">
        <f>IF('4. Visitas Técnicas'!$L39="No",IFERROR(VLOOKUP('4. Visitas Técnicas'!$A39,'1. Órdenes de Trabajo'!$A$2:$E$301,5,FALSE()),""),"")</f>
        <v/>
      </c>
      <c r="C173" s="14" t="str">
        <f>IF('4. Visitas Técnicas'!$L39="No","Visita técnica","")</f>
        <v/>
      </c>
      <c r="D173" s="14" t="str">
        <f>IF('4. Visitas Técnicas'!$L39="No",'4. Visitas Técnicas'!$C39,"")</f>
        <v/>
      </c>
      <c r="E173" s="15" t="str">
        <f>IF('4. Visitas Técnicas'!$L39="No",'4. Visitas Técnicas'!$M39,"")</f>
        <v/>
      </c>
      <c r="F173" s="14" t="str">
        <f>IF('4. Visitas Técnicas'!$L39="No",'4. Visitas Técnicas'!$N39,"")</f>
        <v/>
      </c>
      <c r="G173" s="14" t="str">
        <f>IF('4. Visitas Técnicas'!$L39="No",IFERROR(VLOOKUP('4. Visitas Técnicas'!$A39,'1. Órdenes de Trabajo'!$A$2:$J$301,10,FALSE()),""),"")</f>
        <v/>
      </c>
      <c r="H173" s="18"/>
    </row>
    <row r="174" spans="1:8" ht="15" customHeight="1" x14ac:dyDescent="0.25">
      <c r="A174" s="14" t="str">
        <f>IF('4. Visitas Técnicas'!$L40="No",'4. Visitas Técnicas'!$A40,"")</f>
        <v/>
      </c>
      <c r="B174" s="14" t="str">
        <f>IF('4. Visitas Técnicas'!$L40="No",IFERROR(VLOOKUP('4. Visitas Técnicas'!$A40,'1. Órdenes de Trabajo'!$A$2:$E$301,5,FALSE()),""),"")</f>
        <v/>
      </c>
      <c r="C174" s="14" t="str">
        <f>IF('4. Visitas Técnicas'!$L40="No","Visita técnica","")</f>
        <v/>
      </c>
      <c r="D174" s="14" t="str">
        <f>IF('4. Visitas Técnicas'!$L40="No",'4. Visitas Técnicas'!$C40,"")</f>
        <v/>
      </c>
      <c r="E174" s="15" t="str">
        <f>IF('4. Visitas Técnicas'!$L40="No",'4. Visitas Técnicas'!$M40,"")</f>
        <v/>
      </c>
      <c r="F174" s="14" t="str">
        <f>IF('4. Visitas Técnicas'!$L40="No",'4. Visitas Técnicas'!$N40,"")</f>
        <v/>
      </c>
      <c r="G174" s="14" t="str">
        <f>IF('4. Visitas Técnicas'!$L40="No",IFERROR(VLOOKUP('4. Visitas Técnicas'!$A40,'1. Órdenes de Trabajo'!$A$2:$J$301,10,FALSE()),""),"")</f>
        <v/>
      </c>
      <c r="H174" s="18"/>
    </row>
    <row r="175" spans="1:8" ht="15" customHeight="1" x14ac:dyDescent="0.25">
      <c r="A175" s="14" t="str">
        <f>IF('4. Visitas Técnicas'!$L41="No",'4. Visitas Técnicas'!$A41,"")</f>
        <v/>
      </c>
      <c r="B175" s="14" t="str">
        <f>IF('4. Visitas Técnicas'!$L41="No",IFERROR(VLOOKUP('4. Visitas Técnicas'!$A41,'1. Órdenes de Trabajo'!$A$2:$E$301,5,FALSE()),""),"")</f>
        <v/>
      </c>
      <c r="C175" s="14" t="str">
        <f>IF('4. Visitas Técnicas'!$L41="No","Visita técnica","")</f>
        <v/>
      </c>
      <c r="D175" s="14" t="str">
        <f>IF('4. Visitas Técnicas'!$L41="No",'4. Visitas Técnicas'!$C41,"")</f>
        <v/>
      </c>
      <c r="E175" s="15" t="str">
        <f>IF('4. Visitas Técnicas'!$L41="No",'4. Visitas Técnicas'!$M41,"")</f>
        <v/>
      </c>
      <c r="F175" s="14" t="str">
        <f>IF('4. Visitas Técnicas'!$L41="No",'4. Visitas Técnicas'!$N41,"")</f>
        <v/>
      </c>
      <c r="G175" s="14" t="str">
        <f>IF('4. Visitas Técnicas'!$L41="No",IFERROR(VLOOKUP('4. Visitas Técnicas'!$A41,'1. Órdenes de Trabajo'!$A$2:$J$301,10,FALSE()),""),"")</f>
        <v/>
      </c>
      <c r="H175" s="18"/>
    </row>
    <row r="176" spans="1:8" ht="15" customHeight="1" x14ac:dyDescent="0.25">
      <c r="A176" s="18"/>
      <c r="B176" s="18"/>
      <c r="C176" s="18"/>
      <c r="D176" s="18"/>
      <c r="E176" s="18"/>
      <c r="F176" s="18"/>
      <c r="G176" s="18"/>
      <c r="H176" s="18"/>
    </row>
    <row r="177" spans="1:8" ht="15" customHeight="1" x14ac:dyDescent="0.25">
      <c r="A177" s="18"/>
      <c r="B177" s="18"/>
      <c r="C177" s="18"/>
      <c r="D177" s="18"/>
      <c r="E177" s="18"/>
      <c r="F177" s="18"/>
      <c r="G177" s="18"/>
      <c r="H177" s="18"/>
    </row>
    <row r="178" spans="1:8" ht="15" customHeight="1" x14ac:dyDescent="0.25">
      <c r="A178" s="18"/>
      <c r="B178" s="18"/>
      <c r="C178" s="18"/>
      <c r="D178" s="18"/>
      <c r="E178" s="18"/>
      <c r="F178" s="18"/>
      <c r="G178" s="18"/>
      <c r="H178" s="18"/>
    </row>
    <row r="179" spans="1:8" ht="15" customHeight="1" x14ac:dyDescent="0.25">
      <c r="A179" s="18"/>
      <c r="B179" s="18"/>
      <c r="C179" s="18"/>
      <c r="D179" s="18"/>
      <c r="E179" s="18"/>
      <c r="F179" s="18"/>
      <c r="G179" s="18"/>
      <c r="H179" s="18"/>
    </row>
    <row r="180" spans="1:8" ht="15" customHeight="1" x14ac:dyDescent="0.25">
      <c r="A180" s="18"/>
      <c r="B180" s="18"/>
      <c r="C180" s="18"/>
      <c r="D180" s="18"/>
      <c r="E180" s="18"/>
      <c r="F180" s="18"/>
      <c r="G180" s="18"/>
      <c r="H180" s="18"/>
    </row>
    <row r="184" spans="1:8" ht="18" customHeight="1" x14ac:dyDescent="0.25">
      <c r="A184" s="34" t="s">
        <v>265</v>
      </c>
    </row>
    <row r="185" spans="1:8" x14ac:dyDescent="0.25">
      <c r="A185" s="35" t="s">
        <v>266</v>
      </c>
    </row>
    <row r="186" spans="1:8" x14ac:dyDescent="0.25">
      <c r="A186" s="41" t="s">
        <v>267</v>
      </c>
      <c r="B186" s="41" t="s">
        <v>268</v>
      </c>
      <c r="C186" s="41" t="s">
        <v>269</v>
      </c>
      <c r="D186" s="41" t="s">
        <v>270</v>
      </c>
      <c r="E186" s="41" t="s">
        <v>57</v>
      </c>
    </row>
    <row r="187" spans="1:8" ht="23.25" customHeight="1" x14ac:dyDescent="0.25">
      <c r="A187" s="42">
        <f>SUM('MP Carta 2026'!$U$4:$U$969)</f>
        <v>1234</v>
      </c>
      <c r="B187" s="42">
        <f>SUM('MP Carta 2026'!$V$4:$V$969)</f>
        <v>888</v>
      </c>
      <c r="C187" s="42">
        <f>SUM('MP Carta 2026'!$W$4:$W$969)</f>
        <v>0</v>
      </c>
      <c r="D187" s="42">
        <f ca="1">SUM('MP Carta 2026'!$Y$4:$Y$969)</f>
        <v>0</v>
      </c>
      <c r="E187" s="43">
        <f>IFERROR(SUM('MP Carta 2026'!$V$4:$V$969)/SUM('MP Carta 2026'!$U$4:$U$969),"")</f>
        <v>0.7196110210696921</v>
      </c>
    </row>
  </sheetData>
  <mergeCells count="5">
    <mergeCell ref="A93:G93"/>
    <mergeCell ref="A94:G94"/>
    <mergeCell ref="A91:H91"/>
    <mergeCell ref="A2:H2"/>
    <mergeCell ref="A1:H1"/>
  </mergeCells>
  <conditionalFormatting sqref="D10:D89">
    <cfRule type="cellIs" dxfId="4" priority="2" operator="equal">
      <formula>"No Operativo"</formula>
    </cfRule>
    <cfRule type="cellIs" dxfId="3" priority="3" operator="equal">
      <formula>"Servicio Técnico"</formula>
    </cfRule>
    <cfRule type="cellIs" dxfId="2" priority="4" operator="equal">
      <formula>"Operativo"</formula>
    </cfRule>
    <cfRule type="cellIs" dxfId="1" priority="5" operator="equal">
      <formula>"Baja"</formula>
    </cfRule>
  </conditionalFormatting>
  <conditionalFormatting sqref="G10:G89">
    <cfRule type="cellIs" dxfId="0" priority="6" operator="greaterThan">
      <formula>30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E8E5A"/>
  </sheetPr>
  <dimension ref="A1:Z969"/>
  <sheetViews>
    <sheetView workbookViewId="0">
      <pane xSplit="8" ySplit="3" topLeftCell="I4" activePane="bottomRight" state="frozen"/>
      <selection pane="topRight"/>
      <selection pane="bottomLeft"/>
      <selection pane="bottomRight" activeCell="O5" sqref="O5"/>
    </sheetView>
  </sheetViews>
  <sheetFormatPr baseColWidth="10" defaultColWidth="9.140625" defaultRowHeight="15" x14ac:dyDescent="0.25"/>
  <cols>
    <col min="1" max="1" width="14" customWidth="1"/>
    <col min="2" max="2" width="24" customWidth="1"/>
    <col min="3" max="3" width="22" customWidth="1"/>
    <col min="4" max="5" width="16" customWidth="1"/>
    <col min="6" max="6" width="20" customWidth="1"/>
    <col min="7" max="7" width="14" customWidth="1"/>
    <col min="8" max="8" width="13" customWidth="1"/>
    <col min="9" max="20" width="5" customWidth="1"/>
    <col min="21" max="24" width="11" customWidth="1"/>
    <col min="25" max="25" width="10" customWidth="1"/>
    <col min="26" max="26" width="9" customWidth="1"/>
  </cols>
  <sheetData>
    <row r="1" spans="1:26" ht="18" customHeight="1" x14ac:dyDescent="0.25">
      <c r="A1" s="34" t="s">
        <v>271</v>
      </c>
    </row>
    <row r="2" spans="1:26" x14ac:dyDescent="0.25">
      <c r="A2" s="35" t="s">
        <v>272</v>
      </c>
    </row>
    <row r="3" spans="1:26" x14ac:dyDescent="0.25">
      <c r="A3" s="36" t="s">
        <v>65</v>
      </c>
      <c r="B3" s="36" t="s">
        <v>5</v>
      </c>
      <c r="C3" s="36" t="s">
        <v>6</v>
      </c>
      <c r="D3" s="36" t="s">
        <v>7</v>
      </c>
      <c r="E3" s="36" t="s">
        <v>8</v>
      </c>
      <c r="F3" s="36" t="s">
        <v>9</v>
      </c>
      <c r="G3" s="36" t="s">
        <v>10</v>
      </c>
      <c r="H3" s="36" t="s">
        <v>273</v>
      </c>
      <c r="I3" s="36" t="s">
        <v>17</v>
      </c>
      <c r="J3" s="36" t="s">
        <v>18</v>
      </c>
      <c r="K3" s="36" t="s">
        <v>19</v>
      </c>
      <c r="L3" s="36" t="s">
        <v>20</v>
      </c>
      <c r="M3" s="36" t="s">
        <v>21</v>
      </c>
      <c r="N3" s="36" t="s">
        <v>22</v>
      </c>
      <c r="O3" s="36" t="s">
        <v>23</v>
      </c>
      <c r="P3" s="36" t="s">
        <v>24</v>
      </c>
      <c r="Q3" s="36" t="s">
        <v>25</v>
      </c>
      <c r="R3" s="36" t="s">
        <v>26</v>
      </c>
      <c r="S3" s="36" t="s">
        <v>27</v>
      </c>
      <c r="T3" s="36" t="s">
        <v>28</v>
      </c>
      <c r="U3" s="36" t="s">
        <v>267</v>
      </c>
      <c r="V3" s="36" t="s">
        <v>268</v>
      </c>
      <c r="W3" s="36" t="s">
        <v>269</v>
      </c>
      <c r="X3" s="36" t="s">
        <v>274</v>
      </c>
      <c r="Y3" s="36" t="s">
        <v>270</v>
      </c>
      <c r="Z3" s="36" t="s">
        <v>57</v>
      </c>
    </row>
    <row r="4" spans="1:26" x14ac:dyDescent="0.25">
      <c r="A4" s="37" t="str">
        <f>Equipos!C2</f>
        <v>2-115361</v>
      </c>
      <c r="B4" s="33" t="str">
        <f>Equipos!D2</f>
        <v>Incubadora</v>
      </c>
      <c r="C4" s="33" t="str">
        <f>Equipos!E2</f>
        <v>Neonatología</v>
      </c>
      <c r="D4" s="33" t="str">
        <f>Equipos!G2</f>
        <v>UTI 1/2</v>
      </c>
      <c r="E4" s="33" t="str">
        <f>Equipos!I2</f>
        <v>DRAGER</v>
      </c>
      <c r="F4" s="33" t="str">
        <f>Equipos!J2</f>
        <v>CALEO</v>
      </c>
      <c r="G4" s="37" t="str">
        <f>Equipos!K2</f>
        <v>ASJL-0008</v>
      </c>
      <c r="H4" s="33"/>
      <c r="I4" s="38"/>
      <c r="J4" s="50" t="s">
        <v>275</v>
      </c>
      <c r="K4" s="38"/>
      <c r="L4" s="38"/>
      <c r="M4" s="50" t="s">
        <v>275</v>
      </c>
      <c r="N4" s="38"/>
      <c r="O4" s="38"/>
      <c r="P4" s="38"/>
      <c r="Q4" s="38"/>
      <c r="R4" s="38"/>
      <c r="S4" s="38"/>
      <c r="T4" s="38"/>
      <c r="U4" s="33">
        <f t="shared" ref="U4:U67" si="0">V4+W4+X4+COUNTIF(I4:T4,"R")</f>
        <v>2</v>
      </c>
      <c r="V4" s="33">
        <f t="shared" ref="V4:V67" si="1">COUNTIF(I4:T4,"E")</f>
        <v>2</v>
      </c>
      <c r="W4" s="33">
        <f t="shared" ref="W4:W67" si="2">COUNTIF(I4:T4,"X")</f>
        <v>0</v>
      </c>
      <c r="X4" s="33">
        <f t="shared" ref="X4:X67" si="3">COUNTIF(I4:T4,"C2")+COUNTIF(I4:T4,"C3")</f>
        <v>0</v>
      </c>
      <c r="Y4" s="33">
        <f ca="1">SUMPRODUCT((I4:INDEX(I4:T4,MONTH(TODAY()))="X")*1)</f>
        <v>0</v>
      </c>
      <c r="Z4" s="39">
        <f t="shared" ref="Z4:Z67" si="4">IFERROR(V4/U4,"")</f>
        <v>1</v>
      </c>
    </row>
    <row r="5" spans="1:26" x14ac:dyDescent="0.25">
      <c r="A5" s="37" t="str">
        <f>Equipos!C3</f>
        <v>2-116070</v>
      </c>
      <c r="B5" s="33" t="str">
        <f>Equipos!D3</f>
        <v>Incubadora</v>
      </c>
      <c r="C5" s="33" t="str">
        <f>Equipos!E3</f>
        <v>Neonatología</v>
      </c>
      <c r="D5" s="33" t="str">
        <f>Equipos!G3</f>
        <v>SALA EQUIPOS</v>
      </c>
      <c r="E5" s="33" t="str">
        <f>Equipos!I3</f>
        <v>GENERAL ELECTRIC</v>
      </c>
      <c r="F5" s="33" t="str">
        <f>Equipos!J3</f>
        <v>GIRAFFE OMNIBED CARESTATION</v>
      </c>
      <c r="G5" s="37" t="str">
        <f>Equipos!K3</f>
        <v>TABX62307</v>
      </c>
      <c r="H5" s="33"/>
      <c r="I5" s="38"/>
      <c r="J5" s="50" t="s">
        <v>275</v>
      </c>
      <c r="K5" s="38"/>
      <c r="L5" s="38"/>
      <c r="M5" s="50" t="s">
        <v>275</v>
      </c>
      <c r="N5" s="38"/>
      <c r="O5" s="38"/>
      <c r="P5" s="38"/>
      <c r="Q5" s="38"/>
      <c r="R5" s="38"/>
      <c r="S5" s="38"/>
      <c r="T5" s="38"/>
      <c r="U5" s="33">
        <f t="shared" si="0"/>
        <v>2</v>
      </c>
      <c r="V5" s="33">
        <f t="shared" si="1"/>
        <v>2</v>
      </c>
      <c r="W5" s="33">
        <f t="shared" si="2"/>
        <v>0</v>
      </c>
      <c r="X5" s="33">
        <f t="shared" si="3"/>
        <v>0</v>
      </c>
      <c r="Y5" s="33">
        <f ca="1">SUMPRODUCT((I5:INDEX(I5:T5,MONTH(TODAY()))="X")*1)</f>
        <v>0</v>
      </c>
      <c r="Z5" s="39">
        <f t="shared" si="4"/>
        <v>1</v>
      </c>
    </row>
    <row r="6" spans="1:26" x14ac:dyDescent="0.25">
      <c r="A6" s="37" t="str">
        <f>Equipos!C4</f>
        <v>2-116071</v>
      </c>
      <c r="B6" s="33" t="str">
        <f>Equipos!D4</f>
        <v>Incubadora</v>
      </c>
      <c r="C6" s="33" t="str">
        <f>Equipos!E4</f>
        <v>Neonatología</v>
      </c>
      <c r="D6" s="33" t="str">
        <f>Equipos!G4</f>
        <v>UCI 16</v>
      </c>
      <c r="E6" s="33" t="str">
        <f>Equipos!I4</f>
        <v>GENERAL ELECTRIC</v>
      </c>
      <c r="F6" s="33" t="str">
        <f>Equipos!J4</f>
        <v>GIRAFFE OMNIBED CARESTATION</v>
      </c>
      <c r="G6" s="37" t="str">
        <f>Equipos!K4</f>
        <v>TABX62308</v>
      </c>
      <c r="H6" s="33"/>
      <c r="I6" s="38"/>
      <c r="J6" s="50" t="s">
        <v>275</v>
      </c>
      <c r="K6" s="38"/>
      <c r="L6" s="38"/>
      <c r="M6" s="50" t="s">
        <v>275</v>
      </c>
      <c r="N6" s="38"/>
      <c r="O6" s="38"/>
      <c r="P6" s="38"/>
      <c r="Q6" s="38"/>
      <c r="R6" s="38"/>
      <c r="S6" s="38"/>
      <c r="T6" s="38"/>
      <c r="U6" s="33">
        <f t="shared" si="0"/>
        <v>2</v>
      </c>
      <c r="V6" s="33">
        <f t="shared" si="1"/>
        <v>2</v>
      </c>
      <c r="W6" s="33">
        <f t="shared" si="2"/>
        <v>0</v>
      </c>
      <c r="X6" s="33">
        <f t="shared" si="3"/>
        <v>0</v>
      </c>
      <c r="Y6" s="33">
        <f ca="1">SUMPRODUCT((I6:INDEX(I6:T6,MONTH(TODAY()))="X")*1)</f>
        <v>0</v>
      </c>
      <c r="Z6" s="39">
        <f t="shared" si="4"/>
        <v>1</v>
      </c>
    </row>
    <row r="7" spans="1:26" x14ac:dyDescent="0.25">
      <c r="A7" s="37" t="str">
        <f>Equipos!C5</f>
        <v>2-116018</v>
      </c>
      <c r="B7" s="33" t="str">
        <f>Equipos!D5</f>
        <v>Incubadora</v>
      </c>
      <c r="C7" s="33" t="str">
        <f>Equipos!E5</f>
        <v>Neonatología</v>
      </c>
      <c r="D7" s="33" t="str">
        <f>Equipos!G5</f>
        <v>UTI 1/4</v>
      </c>
      <c r="E7" s="33" t="str">
        <f>Equipos!I5</f>
        <v>DRAGER</v>
      </c>
      <c r="F7" s="33" t="str">
        <f>Equipos!J5</f>
        <v>CALEO</v>
      </c>
      <c r="G7" s="37" t="str">
        <f>Equipos!K5</f>
        <v>ASHM-0118</v>
      </c>
      <c r="H7" s="33"/>
      <c r="I7" s="38"/>
      <c r="J7" s="50" t="s">
        <v>275</v>
      </c>
      <c r="K7" s="38"/>
      <c r="L7" s="38"/>
      <c r="M7" s="50" t="s">
        <v>275</v>
      </c>
      <c r="N7" s="38"/>
      <c r="O7" s="38"/>
      <c r="P7" s="38"/>
      <c r="Q7" s="38"/>
      <c r="R7" s="38"/>
      <c r="S7" s="38"/>
      <c r="T7" s="38"/>
      <c r="U7" s="33">
        <f t="shared" si="0"/>
        <v>2</v>
      </c>
      <c r="V7" s="33">
        <f t="shared" si="1"/>
        <v>2</v>
      </c>
      <c r="W7" s="33">
        <f t="shared" si="2"/>
        <v>0</v>
      </c>
      <c r="X7" s="33">
        <f t="shared" si="3"/>
        <v>0</v>
      </c>
      <c r="Y7" s="33">
        <f ca="1">SUMPRODUCT((I7:INDEX(I7:T7,MONTH(TODAY()))="X")*1)</f>
        <v>0</v>
      </c>
      <c r="Z7" s="39">
        <f t="shared" si="4"/>
        <v>1</v>
      </c>
    </row>
    <row r="8" spans="1:26" x14ac:dyDescent="0.25">
      <c r="A8" s="37" t="str">
        <f>Equipos!C6</f>
        <v>2-116072</v>
      </c>
      <c r="B8" s="33" t="str">
        <f>Equipos!D6</f>
        <v>Incubadora</v>
      </c>
      <c r="C8" s="33" t="str">
        <f>Equipos!E6</f>
        <v>Neonatología</v>
      </c>
      <c r="D8" s="33" t="str">
        <f>Equipos!G6</f>
        <v>UCI 4</v>
      </c>
      <c r="E8" s="33" t="str">
        <f>Equipos!I6</f>
        <v>GENERAL ELECTRIC</v>
      </c>
      <c r="F8" s="33" t="str">
        <f>Equipos!J6</f>
        <v>GIRAFFE OMNIBED CARESTATION</v>
      </c>
      <c r="G8" s="37" t="str">
        <f>Equipos!K6</f>
        <v>TABX62309</v>
      </c>
      <c r="H8" s="33"/>
      <c r="I8" s="38"/>
      <c r="J8" s="50" t="s">
        <v>275</v>
      </c>
      <c r="K8" s="38"/>
      <c r="L8" s="38"/>
      <c r="M8" s="38"/>
      <c r="N8" s="38"/>
      <c r="O8" s="38"/>
      <c r="P8" s="38"/>
      <c r="Q8" s="38"/>
      <c r="R8" s="38"/>
      <c r="S8" s="38"/>
      <c r="T8" s="38"/>
      <c r="U8" s="33">
        <f t="shared" si="0"/>
        <v>1</v>
      </c>
      <c r="V8" s="33">
        <f t="shared" si="1"/>
        <v>1</v>
      </c>
      <c r="W8" s="33">
        <f t="shared" si="2"/>
        <v>0</v>
      </c>
      <c r="X8" s="33">
        <f t="shared" si="3"/>
        <v>0</v>
      </c>
      <c r="Y8" s="33">
        <f ca="1">SUMPRODUCT((I8:INDEX(I8:T8,MONTH(TODAY()))="X")*1)</f>
        <v>0</v>
      </c>
      <c r="Z8" s="39">
        <f t="shared" si="4"/>
        <v>1</v>
      </c>
    </row>
    <row r="9" spans="1:26" x14ac:dyDescent="0.25">
      <c r="A9" s="37">
        <f>Equipos!C7</f>
        <v>0</v>
      </c>
      <c r="B9" s="33" t="str">
        <f>Equipos!D7</f>
        <v>Incubadora</v>
      </c>
      <c r="C9" s="33" t="str">
        <f>Equipos!E7</f>
        <v>Neonatología</v>
      </c>
      <c r="D9" s="33">
        <f>Equipos!G7</f>
        <v>0</v>
      </c>
      <c r="E9" s="33" t="str">
        <f>Equipos!I7</f>
        <v>TSE</v>
      </c>
      <c r="F9" s="33" t="str">
        <f>Equipos!J7</f>
        <v>Shelly 610</v>
      </c>
      <c r="G9" s="37" t="str">
        <f>Equipos!K7</f>
        <v>02516.</v>
      </c>
      <c r="H9" s="33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3">
        <f t="shared" si="0"/>
        <v>0</v>
      </c>
      <c r="V9" s="33">
        <f t="shared" si="1"/>
        <v>0</v>
      </c>
      <c r="W9" s="33">
        <f t="shared" si="2"/>
        <v>0</v>
      </c>
      <c r="X9" s="33">
        <f t="shared" si="3"/>
        <v>0</v>
      </c>
      <c r="Y9" s="33">
        <f ca="1">SUMPRODUCT((I9:INDEX(I9:T9,MONTH(TODAY()))="X")*1)</f>
        <v>0</v>
      </c>
      <c r="Z9" s="39" t="str">
        <f t="shared" si="4"/>
        <v/>
      </c>
    </row>
    <row r="10" spans="1:26" x14ac:dyDescent="0.25">
      <c r="A10" s="37" t="str">
        <f>Equipos!C8</f>
        <v>2-022133</v>
      </c>
      <c r="B10" s="33" t="str">
        <f>Equipos!D8</f>
        <v>Incubadora</v>
      </c>
      <c r="C10" s="33" t="str">
        <f>Equipos!E8</f>
        <v>Neonatología</v>
      </c>
      <c r="D10" s="33" t="str">
        <f>Equipos!G8</f>
        <v>Pasillo</v>
      </c>
      <c r="E10" s="33" t="str">
        <f>Equipos!I8</f>
        <v>HILL-ROM</v>
      </c>
      <c r="F10" s="33" t="str">
        <f>Equipos!J8</f>
        <v>TI500</v>
      </c>
      <c r="G10" s="37" t="str">
        <f>Equipos!K8</f>
        <v>VD03887</v>
      </c>
      <c r="H10" s="33"/>
      <c r="I10" s="38"/>
      <c r="J10" s="50" t="s">
        <v>275</v>
      </c>
      <c r="K10" s="38"/>
      <c r="L10" s="38"/>
      <c r="M10" s="50" t="s">
        <v>275</v>
      </c>
      <c r="N10" s="38"/>
      <c r="O10" s="38"/>
      <c r="P10" s="38"/>
      <c r="Q10" s="38"/>
      <c r="R10" s="38"/>
      <c r="S10" s="38"/>
      <c r="T10" s="38"/>
      <c r="U10" s="33">
        <f t="shared" si="0"/>
        <v>2</v>
      </c>
      <c r="V10" s="33">
        <f t="shared" si="1"/>
        <v>2</v>
      </c>
      <c r="W10" s="33">
        <f t="shared" si="2"/>
        <v>0</v>
      </c>
      <c r="X10" s="33">
        <f t="shared" si="3"/>
        <v>0</v>
      </c>
      <c r="Y10" s="33">
        <f ca="1">SUMPRODUCT((I10:INDEX(I10:T10,MONTH(TODAY()))="X")*1)</f>
        <v>0</v>
      </c>
      <c r="Z10" s="39">
        <f t="shared" si="4"/>
        <v>1</v>
      </c>
    </row>
    <row r="11" spans="1:26" x14ac:dyDescent="0.25">
      <c r="A11" s="37" t="str">
        <f>Equipos!C9</f>
        <v>2-116019</v>
      </c>
      <c r="B11" s="33" t="str">
        <f>Equipos!D9</f>
        <v>Incubadora</v>
      </c>
      <c r="C11" s="33" t="str">
        <f>Equipos!E9</f>
        <v>Neonatología</v>
      </c>
      <c r="D11" s="33" t="str">
        <f>Equipos!G9</f>
        <v>UCI 2</v>
      </c>
      <c r="E11" s="33" t="str">
        <f>Equipos!I9</f>
        <v>DRAGER</v>
      </c>
      <c r="F11" s="33" t="str">
        <f>Equipos!J9</f>
        <v>CALEO</v>
      </c>
      <c r="G11" s="37" t="str">
        <f>Equipos!K9</f>
        <v>ASLB-0016</v>
      </c>
      <c r="H11" s="33"/>
      <c r="I11" s="38"/>
      <c r="J11" s="50" t="s">
        <v>275</v>
      </c>
      <c r="K11" s="38"/>
      <c r="L11" s="38"/>
      <c r="M11" s="50" t="s">
        <v>275</v>
      </c>
      <c r="N11" s="38"/>
      <c r="O11" s="38"/>
      <c r="P11" s="38"/>
      <c r="Q11" s="38"/>
      <c r="R11" s="38"/>
      <c r="S11" s="38"/>
      <c r="T11" s="38"/>
      <c r="U11" s="33">
        <f t="shared" si="0"/>
        <v>2</v>
      </c>
      <c r="V11" s="33">
        <f t="shared" si="1"/>
        <v>2</v>
      </c>
      <c r="W11" s="33">
        <f t="shared" si="2"/>
        <v>0</v>
      </c>
      <c r="X11" s="33">
        <f t="shared" si="3"/>
        <v>0</v>
      </c>
      <c r="Y11" s="33">
        <f ca="1">SUMPRODUCT((I11:INDEX(I11:T11,MONTH(TODAY()))="X")*1)</f>
        <v>0</v>
      </c>
      <c r="Z11" s="39">
        <f t="shared" si="4"/>
        <v>1</v>
      </c>
    </row>
    <row r="12" spans="1:26" x14ac:dyDescent="0.25">
      <c r="A12" s="37" t="str">
        <f>Equipos!C10</f>
        <v>2-116073</v>
      </c>
      <c r="B12" s="33" t="str">
        <f>Equipos!D10</f>
        <v>Incubadora</v>
      </c>
      <c r="C12" s="33" t="str">
        <f>Equipos!E10</f>
        <v>Neonatología</v>
      </c>
      <c r="D12" s="33" t="str">
        <f>Equipos!G10</f>
        <v>UTI 2/6</v>
      </c>
      <c r="E12" s="33" t="str">
        <f>Equipos!I10</f>
        <v>GENERAL ELECTRIC</v>
      </c>
      <c r="F12" s="33" t="str">
        <f>Equipos!J10</f>
        <v>GIRAFFE OMNIBED CARESTATION</v>
      </c>
      <c r="G12" s="37" t="str">
        <f>Equipos!K10</f>
        <v>TABX62310</v>
      </c>
      <c r="H12" s="33"/>
      <c r="I12" s="38"/>
      <c r="J12" s="50" t="s">
        <v>275</v>
      </c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3">
        <f t="shared" si="0"/>
        <v>1</v>
      </c>
      <c r="V12" s="33">
        <f t="shared" si="1"/>
        <v>1</v>
      </c>
      <c r="W12" s="33">
        <f t="shared" si="2"/>
        <v>0</v>
      </c>
      <c r="X12" s="33">
        <f t="shared" si="3"/>
        <v>0</v>
      </c>
      <c r="Y12" s="33">
        <f ca="1">SUMPRODUCT((I12:INDEX(I12:T12,MONTH(TODAY()))="X")*1)</f>
        <v>0</v>
      </c>
      <c r="Z12" s="39">
        <f t="shared" si="4"/>
        <v>1</v>
      </c>
    </row>
    <row r="13" spans="1:26" x14ac:dyDescent="0.25">
      <c r="A13" s="37">
        <f>Equipos!C11</f>
        <v>0</v>
      </c>
      <c r="B13" s="33" t="str">
        <f>Equipos!D11</f>
        <v>Incubadora</v>
      </c>
      <c r="C13" s="33">
        <f>Equipos!E11</f>
        <v>0</v>
      </c>
      <c r="D13" s="33">
        <f>Equipos!G11</f>
        <v>0</v>
      </c>
      <c r="E13" s="33">
        <f>Equipos!I11</f>
        <v>0</v>
      </c>
      <c r="F13" s="33">
        <f>Equipos!J11</f>
        <v>0</v>
      </c>
      <c r="G13" s="37">
        <f>Equipos!K11</f>
        <v>0</v>
      </c>
      <c r="H13" s="33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3">
        <f t="shared" si="0"/>
        <v>0</v>
      </c>
      <c r="V13" s="33">
        <f t="shared" si="1"/>
        <v>0</v>
      </c>
      <c r="W13" s="33">
        <f t="shared" si="2"/>
        <v>0</v>
      </c>
      <c r="X13" s="33">
        <f t="shared" si="3"/>
        <v>0</v>
      </c>
      <c r="Y13" s="33">
        <f ca="1">SUMPRODUCT((I13:INDEX(I13:T13,MONTH(TODAY()))="X")*1)</f>
        <v>0</v>
      </c>
      <c r="Z13" s="39" t="str">
        <f t="shared" si="4"/>
        <v/>
      </c>
    </row>
    <row r="14" spans="1:26" x14ac:dyDescent="0.25">
      <c r="A14" s="37" t="str">
        <f>Equipos!C12</f>
        <v>2-125347</v>
      </c>
      <c r="B14" s="33" t="str">
        <f>Equipos!D12</f>
        <v>Incubadora</v>
      </c>
      <c r="C14" s="33" t="str">
        <f>Equipos!E12</f>
        <v>SAMU</v>
      </c>
      <c r="D14" s="33" t="str">
        <f>Equipos!G12</f>
        <v>Base 1</v>
      </c>
      <c r="E14" s="33" t="str">
        <f>Equipos!I12</f>
        <v>ATOM</v>
      </c>
      <c r="F14" s="33" t="str">
        <f>Equipos!J12</f>
        <v>INCU ARCH</v>
      </c>
      <c r="G14" s="37" t="str">
        <f>Equipos!K12</f>
        <v>621012300012</v>
      </c>
      <c r="H14" s="33"/>
      <c r="I14" s="38"/>
      <c r="J14" s="50" t="s">
        <v>275</v>
      </c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3">
        <f t="shared" si="0"/>
        <v>1</v>
      </c>
      <c r="V14" s="33">
        <f t="shared" si="1"/>
        <v>1</v>
      </c>
      <c r="W14" s="33">
        <f t="shared" si="2"/>
        <v>0</v>
      </c>
      <c r="X14" s="33">
        <f t="shared" si="3"/>
        <v>0</v>
      </c>
      <c r="Y14" s="33">
        <f ca="1">SUMPRODUCT((I14:INDEX(I14:T14,MONTH(TODAY()))="X")*1)</f>
        <v>0</v>
      </c>
      <c r="Z14" s="39">
        <f t="shared" si="4"/>
        <v>1</v>
      </c>
    </row>
    <row r="15" spans="1:26" x14ac:dyDescent="0.25">
      <c r="A15" s="37">
        <f>Equipos!C13</f>
        <v>0</v>
      </c>
      <c r="B15" s="33" t="str">
        <f>Equipos!D13</f>
        <v>Incubadora</v>
      </c>
      <c r="C15" s="33">
        <f>Equipos!E13</f>
        <v>0</v>
      </c>
      <c r="D15" s="33">
        <f>Equipos!G13</f>
        <v>0</v>
      </c>
      <c r="E15" s="33">
        <f>Equipos!I13</f>
        <v>0</v>
      </c>
      <c r="F15" s="33">
        <f>Equipos!J13</f>
        <v>0</v>
      </c>
      <c r="G15" s="37">
        <f>Equipos!K13</f>
        <v>0</v>
      </c>
      <c r="H15" s="33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3">
        <f t="shared" si="0"/>
        <v>0</v>
      </c>
      <c r="V15" s="33">
        <f t="shared" si="1"/>
        <v>0</v>
      </c>
      <c r="W15" s="33">
        <f t="shared" si="2"/>
        <v>0</v>
      </c>
      <c r="X15" s="33">
        <f t="shared" si="3"/>
        <v>0</v>
      </c>
      <c r="Y15" s="33">
        <f ca="1">SUMPRODUCT((I15:INDEX(I15:T15,MONTH(TODAY()))="X")*1)</f>
        <v>0</v>
      </c>
      <c r="Z15" s="39" t="str">
        <f t="shared" si="4"/>
        <v/>
      </c>
    </row>
    <row r="16" spans="1:26" x14ac:dyDescent="0.25">
      <c r="A16" s="37">
        <f>Equipos!C14</f>
        <v>0</v>
      </c>
      <c r="B16" s="33" t="str">
        <f>Equipos!D14</f>
        <v>Incubadora</v>
      </c>
      <c r="C16" s="33">
        <f>Equipos!E14</f>
        <v>0</v>
      </c>
      <c r="D16" s="33">
        <f>Equipos!G14</f>
        <v>0</v>
      </c>
      <c r="E16" s="33">
        <f>Equipos!I14</f>
        <v>0</v>
      </c>
      <c r="F16" s="33">
        <f>Equipos!J14</f>
        <v>0</v>
      </c>
      <c r="G16" s="37">
        <f>Equipos!K14</f>
        <v>0</v>
      </c>
      <c r="H16" s="33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3">
        <f t="shared" si="0"/>
        <v>0</v>
      </c>
      <c r="V16" s="33">
        <f t="shared" si="1"/>
        <v>0</v>
      </c>
      <c r="W16" s="33">
        <f t="shared" si="2"/>
        <v>0</v>
      </c>
      <c r="X16" s="33">
        <f t="shared" si="3"/>
        <v>0</v>
      </c>
      <c r="Y16" s="33">
        <f ca="1">SUMPRODUCT((I16:INDEX(I16:T16,MONTH(TODAY()))="X")*1)</f>
        <v>0</v>
      </c>
      <c r="Z16" s="39" t="str">
        <f t="shared" si="4"/>
        <v/>
      </c>
    </row>
    <row r="17" spans="1:26" x14ac:dyDescent="0.25">
      <c r="A17" s="37">
        <f>Equipos!C15</f>
        <v>0</v>
      </c>
      <c r="B17" s="33" t="str">
        <f>Equipos!D15</f>
        <v>Incubadora</v>
      </c>
      <c r="C17" s="33">
        <f>Equipos!E15</f>
        <v>0</v>
      </c>
      <c r="D17" s="33">
        <f>Equipos!G15</f>
        <v>0</v>
      </c>
      <c r="E17" s="33">
        <f>Equipos!I15</f>
        <v>0</v>
      </c>
      <c r="F17" s="33">
        <f>Equipos!J15</f>
        <v>0</v>
      </c>
      <c r="G17" s="37">
        <f>Equipos!K15</f>
        <v>0</v>
      </c>
      <c r="H17" s="33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3">
        <f t="shared" si="0"/>
        <v>0</v>
      </c>
      <c r="V17" s="33">
        <f t="shared" si="1"/>
        <v>0</v>
      </c>
      <c r="W17" s="33">
        <f t="shared" si="2"/>
        <v>0</v>
      </c>
      <c r="X17" s="33">
        <f t="shared" si="3"/>
        <v>0</v>
      </c>
      <c r="Y17" s="33">
        <f ca="1">SUMPRODUCT((I17:INDEX(I17:T17,MONTH(TODAY()))="X")*1)</f>
        <v>0</v>
      </c>
      <c r="Z17" s="39" t="str">
        <f t="shared" si="4"/>
        <v/>
      </c>
    </row>
    <row r="18" spans="1:26" x14ac:dyDescent="0.25">
      <c r="A18" s="37">
        <f>Equipos!C16</f>
        <v>0</v>
      </c>
      <c r="B18" s="33" t="str">
        <f>Equipos!D16</f>
        <v>Incubadora</v>
      </c>
      <c r="C18" s="33">
        <f>Equipos!E16</f>
        <v>0</v>
      </c>
      <c r="D18" s="33">
        <f>Equipos!G16</f>
        <v>0</v>
      </c>
      <c r="E18" s="33">
        <f>Equipos!I16</f>
        <v>0</v>
      </c>
      <c r="F18" s="33">
        <f>Equipos!J16</f>
        <v>0</v>
      </c>
      <c r="G18" s="37">
        <f>Equipos!K16</f>
        <v>0</v>
      </c>
      <c r="H18" s="33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3">
        <f t="shared" si="0"/>
        <v>0</v>
      </c>
      <c r="V18" s="33">
        <f t="shared" si="1"/>
        <v>0</v>
      </c>
      <c r="W18" s="33">
        <f t="shared" si="2"/>
        <v>0</v>
      </c>
      <c r="X18" s="33">
        <f t="shared" si="3"/>
        <v>0</v>
      </c>
      <c r="Y18" s="33">
        <f ca="1">SUMPRODUCT((I18:INDEX(I18:T18,MONTH(TODAY()))="X")*1)</f>
        <v>0</v>
      </c>
      <c r="Z18" s="39" t="str">
        <f t="shared" si="4"/>
        <v/>
      </c>
    </row>
    <row r="19" spans="1:26" x14ac:dyDescent="0.25">
      <c r="A19" s="37" t="str">
        <f>Equipos!C17</f>
        <v>2-116024</v>
      </c>
      <c r="B19" s="33" t="str">
        <f>Equipos!D17</f>
        <v>Incubadora</v>
      </c>
      <c r="C19" s="33" t="str">
        <f>Equipos!E17</f>
        <v>Neonatología</v>
      </c>
      <c r="D19" s="33" t="str">
        <f>Equipos!G17</f>
        <v>UTI 3/3</v>
      </c>
      <c r="E19" s="33" t="str">
        <f>Equipos!I17</f>
        <v>DRAGER</v>
      </c>
      <c r="F19" s="33" t="str">
        <f>Equipos!J17</f>
        <v>CALEO</v>
      </c>
      <c r="G19" s="37" t="str">
        <f>Equipos!K17</f>
        <v>ASLB-0009</v>
      </c>
      <c r="H19" s="33"/>
      <c r="I19" s="38"/>
      <c r="J19" s="50" t="s">
        <v>275</v>
      </c>
      <c r="K19" s="38"/>
      <c r="L19" s="38"/>
      <c r="M19" s="50" t="s">
        <v>275</v>
      </c>
      <c r="N19" s="38"/>
      <c r="O19" s="38"/>
      <c r="P19" s="38"/>
      <c r="Q19" s="38"/>
      <c r="R19" s="38"/>
      <c r="S19" s="38"/>
      <c r="T19" s="38"/>
      <c r="U19" s="33">
        <f t="shared" si="0"/>
        <v>2</v>
      </c>
      <c r="V19" s="33">
        <f t="shared" si="1"/>
        <v>2</v>
      </c>
      <c r="W19" s="33">
        <f t="shared" si="2"/>
        <v>0</v>
      </c>
      <c r="X19" s="33">
        <f t="shared" si="3"/>
        <v>0</v>
      </c>
      <c r="Y19" s="33">
        <f ca="1">SUMPRODUCT((I19:INDEX(I19:T19,MONTH(TODAY()))="X")*1)</f>
        <v>0</v>
      </c>
      <c r="Z19" s="39">
        <f t="shared" si="4"/>
        <v>1</v>
      </c>
    </row>
    <row r="20" spans="1:26" x14ac:dyDescent="0.25">
      <c r="A20" s="37">
        <f>Equipos!C18</f>
        <v>0</v>
      </c>
      <c r="B20" s="33" t="str">
        <f>Equipos!D18</f>
        <v>Incubadora</v>
      </c>
      <c r="C20" s="33">
        <f>Equipos!E18</f>
        <v>0</v>
      </c>
      <c r="D20" s="33">
        <f>Equipos!G18</f>
        <v>0</v>
      </c>
      <c r="E20" s="33">
        <f>Equipos!I18</f>
        <v>0</v>
      </c>
      <c r="F20" s="33">
        <f>Equipos!J18</f>
        <v>0</v>
      </c>
      <c r="G20" s="37">
        <f>Equipos!K18</f>
        <v>0</v>
      </c>
      <c r="H20" s="33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3">
        <f t="shared" si="0"/>
        <v>0</v>
      </c>
      <c r="V20" s="33">
        <f t="shared" si="1"/>
        <v>0</v>
      </c>
      <c r="W20" s="33">
        <f t="shared" si="2"/>
        <v>0</v>
      </c>
      <c r="X20" s="33">
        <f t="shared" si="3"/>
        <v>0</v>
      </c>
      <c r="Y20" s="33">
        <f ca="1">SUMPRODUCT((I20:INDEX(I20:T20,MONTH(TODAY()))="X")*1)</f>
        <v>0</v>
      </c>
      <c r="Z20" s="39" t="str">
        <f t="shared" si="4"/>
        <v/>
      </c>
    </row>
    <row r="21" spans="1:26" x14ac:dyDescent="0.25">
      <c r="A21" s="37" t="str">
        <f>Equipos!C19</f>
        <v>2-112137</v>
      </c>
      <c r="B21" s="33" t="str">
        <f>Equipos!D19</f>
        <v>Incubadora</v>
      </c>
      <c r="C21" s="33" t="str">
        <f>Equipos!E19</f>
        <v>Neonatología</v>
      </c>
      <c r="D21" s="33" t="str">
        <f>Equipos!G19</f>
        <v>UTI 1/6</v>
      </c>
      <c r="E21" s="33" t="str">
        <f>Equipos!I19</f>
        <v>DRAGER</v>
      </c>
      <c r="F21" s="33" t="str">
        <f>Equipos!J19</f>
        <v>CALEO</v>
      </c>
      <c r="G21" s="37" t="str">
        <f>Equipos!K19</f>
        <v>ASDA-0012</v>
      </c>
      <c r="H21" s="33"/>
      <c r="I21" s="38"/>
      <c r="J21" s="50" t="s">
        <v>275</v>
      </c>
      <c r="K21" s="38"/>
      <c r="L21" s="38"/>
      <c r="M21" s="50" t="s">
        <v>275</v>
      </c>
      <c r="N21" s="38"/>
      <c r="O21" s="38"/>
      <c r="P21" s="38"/>
      <c r="Q21" s="38"/>
      <c r="R21" s="38"/>
      <c r="S21" s="38"/>
      <c r="T21" s="38"/>
      <c r="U21" s="33">
        <f t="shared" si="0"/>
        <v>2</v>
      </c>
      <c r="V21" s="33">
        <f t="shared" si="1"/>
        <v>2</v>
      </c>
      <c r="W21" s="33">
        <f t="shared" si="2"/>
        <v>0</v>
      </c>
      <c r="X21" s="33">
        <f t="shared" si="3"/>
        <v>0</v>
      </c>
      <c r="Y21" s="33">
        <f ca="1">SUMPRODUCT((I21:INDEX(I21:T21,MONTH(TODAY()))="X")*1)</f>
        <v>0</v>
      </c>
      <c r="Z21" s="39">
        <f t="shared" si="4"/>
        <v>1</v>
      </c>
    </row>
    <row r="22" spans="1:26" x14ac:dyDescent="0.25">
      <c r="A22" s="37" t="str">
        <f>Equipos!C20</f>
        <v>2-016566</v>
      </c>
      <c r="B22" s="33" t="str">
        <f>Equipos!D20</f>
        <v>Incubadora</v>
      </c>
      <c r="C22" s="33" t="str">
        <f>Equipos!E20</f>
        <v>Neonatología</v>
      </c>
      <c r="D22" s="33" t="str">
        <f>Equipos!G20</f>
        <v>UCI 6</v>
      </c>
      <c r="E22" s="33" t="str">
        <f>Equipos!I20</f>
        <v>DRAGER</v>
      </c>
      <c r="F22" s="33" t="str">
        <f>Equipos!J20</f>
        <v>CALEO</v>
      </c>
      <c r="G22" s="37" t="str">
        <f>Equipos!K20</f>
        <v>ASDA-0009</v>
      </c>
      <c r="H22" s="33"/>
      <c r="I22" s="38"/>
      <c r="J22" s="50" t="s">
        <v>275</v>
      </c>
      <c r="K22" s="38"/>
      <c r="L22" s="38"/>
      <c r="M22" s="50" t="s">
        <v>275</v>
      </c>
      <c r="N22" s="38"/>
      <c r="O22" s="38"/>
      <c r="P22" s="38"/>
      <c r="Q22" s="38"/>
      <c r="R22" s="38"/>
      <c r="S22" s="38"/>
      <c r="T22" s="38"/>
      <c r="U22" s="33">
        <f t="shared" si="0"/>
        <v>2</v>
      </c>
      <c r="V22" s="33">
        <f t="shared" si="1"/>
        <v>2</v>
      </c>
      <c r="W22" s="33">
        <f t="shared" si="2"/>
        <v>0</v>
      </c>
      <c r="X22" s="33">
        <f t="shared" si="3"/>
        <v>0</v>
      </c>
      <c r="Y22" s="33">
        <f ca="1">SUMPRODUCT((I22:INDEX(I22:T22,MONTH(TODAY()))="X")*1)</f>
        <v>0</v>
      </c>
      <c r="Z22" s="39">
        <f t="shared" si="4"/>
        <v>1</v>
      </c>
    </row>
    <row r="23" spans="1:26" x14ac:dyDescent="0.25">
      <c r="A23" s="37" t="str">
        <f>Equipos!C21</f>
        <v>2-112138</v>
      </c>
      <c r="B23" s="33" t="str">
        <f>Equipos!D21</f>
        <v>Incubadora</v>
      </c>
      <c r="C23" s="33" t="str">
        <f>Equipos!E21</f>
        <v>Neonatología</v>
      </c>
      <c r="D23" s="33" t="str">
        <f>Equipos!G21</f>
        <v>UCI 13</v>
      </c>
      <c r="E23" s="33" t="str">
        <f>Equipos!I21</f>
        <v>DRAGER</v>
      </c>
      <c r="F23" s="33" t="str">
        <f>Equipos!J21</f>
        <v>CALEO</v>
      </c>
      <c r="G23" s="37" t="str">
        <f>Equipos!K21</f>
        <v>ASDA-0010</v>
      </c>
      <c r="H23" s="33"/>
      <c r="I23" s="38"/>
      <c r="J23" s="50" t="s">
        <v>275</v>
      </c>
      <c r="K23" s="38"/>
      <c r="L23" s="38"/>
      <c r="M23" s="50" t="s">
        <v>275</v>
      </c>
      <c r="N23" s="38"/>
      <c r="O23" s="38"/>
      <c r="P23" s="38"/>
      <c r="Q23" s="38"/>
      <c r="R23" s="38"/>
      <c r="S23" s="38"/>
      <c r="T23" s="38"/>
      <c r="U23" s="33">
        <f t="shared" si="0"/>
        <v>2</v>
      </c>
      <c r="V23" s="33">
        <f t="shared" si="1"/>
        <v>2</v>
      </c>
      <c r="W23" s="33">
        <f t="shared" si="2"/>
        <v>0</v>
      </c>
      <c r="X23" s="33">
        <f t="shared" si="3"/>
        <v>0</v>
      </c>
      <c r="Y23" s="33">
        <f ca="1">SUMPRODUCT((I23:INDEX(I23:T23,MONTH(TODAY()))="X")*1)</f>
        <v>0</v>
      </c>
      <c r="Z23" s="39">
        <f t="shared" si="4"/>
        <v>1</v>
      </c>
    </row>
    <row r="24" spans="1:26" x14ac:dyDescent="0.25">
      <c r="A24" s="37" t="str">
        <f>Equipos!C22</f>
        <v>2-112141</v>
      </c>
      <c r="B24" s="33" t="str">
        <f>Equipos!D22</f>
        <v>Incubadora</v>
      </c>
      <c r="C24" s="33" t="str">
        <f>Equipos!E22</f>
        <v>Neonatología</v>
      </c>
      <c r="D24" s="33" t="str">
        <f>Equipos!G22</f>
        <v>UTI 4/2</v>
      </c>
      <c r="E24" s="33" t="str">
        <f>Equipos!I22</f>
        <v>DRAGER</v>
      </c>
      <c r="F24" s="33" t="str">
        <f>Equipos!J22</f>
        <v>CALEO</v>
      </c>
      <c r="G24" s="37" t="str">
        <f>Equipos!K22</f>
        <v>ASDA-0011</v>
      </c>
      <c r="H24" s="33"/>
      <c r="I24" s="38"/>
      <c r="J24" s="50" t="s">
        <v>275</v>
      </c>
      <c r="K24" s="38"/>
      <c r="L24" s="38"/>
      <c r="M24" s="50" t="s">
        <v>275</v>
      </c>
      <c r="N24" s="38"/>
      <c r="O24" s="38"/>
      <c r="P24" s="38"/>
      <c r="Q24" s="38"/>
      <c r="R24" s="38"/>
      <c r="S24" s="38"/>
      <c r="T24" s="38"/>
      <c r="U24" s="33">
        <f t="shared" si="0"/>
        <v>2</v>
      </c>
      <c r="V24" s="33">
        <f t="shared" si="1"/>
        <v>2</v>
      </c>
      <c r="W24" s="33">
        <f t="shared" si="2"/>
        <v>0</v>
      </c>
      <c r="X24" s="33">
        <f t="shared" si="3"/>
        <v>0</v>
      </c>
      <c r="Y24" s="33">
        <f ca="1">SUMPRODUCT((I24:INDEX(I24:T24,MONTH(TODAY()))="X")*1)</f>
        <v>0</v>
      </c>
      <c r="Z24" s="39">
        <f t="shared" si="4"/>
        <v>1</v>
      </c>
    </row>
    <row r="25" spans="1:26" x14ac:dyDescent="0.25">
      <c r="A25" s="37">
        <f>Equipos!C23</f>
        <v>0</v>
      </c>
      <c r="B25" s="33" t="str">
        <f>Equipos!D23</f>
        <v>Incubadora</v>
      </c>
      <c r="C25" s="33">
        <f>Equipos!E23</f>
        <v>0</v>
      </c>
      <c r="D25" s="33">
        <f>Equipos!G23</f>
        <v>0</v>
      </c>
      <c r="E25" s="33">
        <f>Equipos!I23</f>
        <v>0</v>
      </c>
      <c r="F25" s="33">
        <f>Equipos!J23</f>
        <v>0</v>
      </c>
      <c r="G25" s="37">
        <f>Equipos!K23</f>
        <v>0</v>
      </c>
      <c r="H25" s="33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3">
        <f t="shared" si="0"/>
        <v>0</v>
      </c>
      <c r="V25" s="33">
        <f t="shared" si="1"/>
        <v>0</v>
      </c>
      <c r="W25" s="33">
        <f t="shared" si="2"/>
        <v>0</v>
      </c>
      <c r="X25" s="33">
        <f t="shared" si="3"/>
        <v>0</v>
      </c>
      <c r="Y25" s="33">
        <f ca="1">SUMPRODUCT((I25:INDEX(I25:T25,MONTH(TODAY()))="X")*1)</f>
        <v>0</v>
      </c>
      <c r="Z25" s="39" t="str">
        <f t="shared" si="4"/>
        <v/>
      </c>
    </row>
    <row r="26" spans="1:26" x14ac:dyDescent="0.25">
      <c r="A26" s="37">
        <f>Equipos!C24</f>
        <v>0</v>
      </c>
      <c r="B26" s="33" t="str">
        <f>Equipos!D24</f>
        <v>Incubadora</v>
      </c>
      <c r="C26" s="33">
        <f>Equipos!E24</f>
        <v>0</v>
      </c>
      <c r="D26" s="33">
        <f>Equipos!G24</f>
        <v>0</v>
      </c>
      <c r="E26" s="33">
        <f>Equipos!I24</f>
        <v>0</v>
      </c>
      <c r="F26" s="33">
        <f>Equipos!J24</f>
        <v>0</v>
      </c>
      <c r="G26" s="37">
        <f>Equipos!K24</f>
        <v>0</v>
      </c>
      <c r="H26" s="33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3">
        <f t="shared" si="0"/>
        <v>0</v>
      </c>
      <c r="V26" s="33">
        <f t="shared" si="1"/>
        <v>0</v>
      </c>
      <c r="W26" s="33">
        <f t="shared" si="2"/>
        <v>0</v>
      </c>
      <c r="X26" s="33">
        <f t="shared" si="3"/>
        <v>0</v>
      </c>
      <c r="Y26" s="33">
        <f ca="1">SUMPRODUCT((I26:INDEX(I26:T26,MONTH(TODAY()))="X")*1)</f>
        <v>0</v>
      </c>
      <c r="Z26" s="39" t="str">
        <f t="shared" si="4"/>
        <v/>
      </c>
    </row>
    <row r="27" spans="1:26" x14ac:dyDescent="0.25">
      <c r="A27" s="37" t="str">
        <f>Equipos!C25</f>
        <v>2-116025</v>
      </c>
      <c r="B27" s="33" t="str">
        <f>Equipos!D25</f>
        <v>Incubadora</v>
      </c>
      <c r="C27" s="33" t="str">
        <f>Equipos!E25</f>
        <v>Neonatología</v>
      </c>
      <c r="D27" s="33" t="str">
        <f>Equipos!G25</f>
        <v>UCI 5</v>
      </c>
      <c r="E27" s="33" t="str">
        <f>Equipos!I25</f>
        <v>DRAGER</v>
      </c>
      <c r="F27" s="33" t="str">
        <f>Equipos!J25</f>
        <v>CALEO</v>
      </c>
      <c r="G27" s="37" t="str">
        <f>Equipos!K25</f>
        <v>ASLB-0010</v>
      </c>
      <c r="H27" s="33"/>
      <c r="I27" s="38"/>
      <c r="J27" s="50" t="s">
        <v>276</v>
      </c>
      <c r="K27" s="50" t="s">
        <v>275</v>
      </c>
      <c r="L27" s="38"/>
      <c r="M27" s="50" t="s">
        <v>275</v>
      </c>
      <c r="N27" s="38"/>
      <c r="O27" s="38"/>
      <c r="P27" s="38"/>
      <c r="Q27" s="38"/>
      <c r="R27" s="38"/>
      <c r="S27" s="38"/>
      <c r="T27" s="38"/>
      <c r="U27" s="33">
        <f t="shared" si="0"/>
        <v>3</v>
      </c>
      <c r="V27" s="33">
        <f t="shared" si="1"/>
        <v>2</v>
      </c>
      <c r="W27" s="33">
        <f t="shared" si="2"/>
        <v>0</v>
      </c>
      <c r="X27" s="33">
        <f t="shared" si="3"/>
        <v>0</v>
      </c>
      <c r="Y27" s="33">
        <f ca="1">SUMPRODUCT((I27:INDEX(I27:T27,MONTH(TODAY()))="X")*1)</f>
        <v>0</v>
      </c>
      <c r="Z27" s="39">
        <f t="shared" si="4"/>
        <v>0.66666666666666663</v>
      </c>
    </row>
    <row r="28" spans="1:26" x14ac:dyDescent="0.25">
      <c r="A28" s="37">
        <f>Equipos!C26</f>
        <v>0</v>
      </c>
      <c r="B28" s="33" t="str">
        <f>Equipos!D26</f>
        <v>Incubadora</v>
      </c>
      <c r="C28" s="33">
        <f>Equipos!E26</f>
        <v>0</v>
      </c>
      <c r="D28" s="33">
        <f>Equipos!G26</f>
        <v>0</v>
      </c>
      <c r="E28" s="33">
        <f>Equipos!I26</f>
        <v>0</v>
      </c>
      <c r="F28" s="33">
        <f>Equipos!J26</f>
        <v>0</v>
      </c>
      <c r="G28" s="37">
        <f>Equipos!K26</f>
        <v>0</v>
      </c>
      <c r="H28" s="33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3">
        <f t="shared" si="0"/>
        <v>0</v>
      </c>
      <c r="V28" s="33">
        <f t="shared" si="1"/>
        <v>0</v>
      </c>
      <c r="W28" s="33">
        <f t="shared" si="2"/>
        <v>0</v>
      </c>
      <c r="X28" s="33">
        <f t="shared" si="3"/>
        <v>0</v>
      </c>
      <c r="Y28" s="33">
        <f ca="1">SUMPRODUCT((I28:INDEX(I28:T28,MONTH(TODAY()))="X")*1)</f>
        <v>0</v>
      </c>
      <c r="Z28" s="39" t="str">
        <f t="shared" si="4"/>
        <v/>
      </c>
    </row>
    <row r="29" spans="1:26" x14ac:dyDescent="0.25">
      <c r="A29" s="37">
        <f>Equipos!C27</f>
        <v>0</v>
      </c>
      <c r="B29" s="33" t="str">
        <f>Equipos!D27</f>
        <v>Incubadora</v>
      </c>
      <c r="C29" s="33">
        <f>Equipos!E27</f>
        <v>0</v>
      </c>
      <c r="D29" s="33">
        <f>Equipos!G27</f>
        <v>0</v>
      </c>
      <c r="E29" s="33">
        <f>Equipos!I27</f>
        <v>0</v>
      </c>
      <c r="F29" s="33">
        <f>Equipos!J27</f>
        <v>0</v>
      </c>
      <c r="G29" s="37">
        <f>Equipos!K27</f>
        <v>0</v>
      </c>
      <c r="H29" s="33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3">
        <f t="shared" si="0"/>
        <v>0</v>
      </c>
      <c r="V29" s="33">
        <f t="shared" si="1"/>
        <v>0</v>
      </c>
      <c r="W29" s="33">
        <f t="shared" si="2"/>
        <v>0</v>
      </c>
      <c r="X29" s="33">
        <f t="shared" si="3"/>
        <v>0</v>
      </c>
      <c r="Y29" s="33">
        <f ca="1">SUMPRODUCT((I29:INDEX(I29:T29,MONTH(TODAY()))="X")*1)</f>
        <v>0</v>
      </c>
      <c r="Z29" s="39" t="str">
        <f t="shared" si="4"/>
        <v/>
      </c>
    </row>
    <row r="30" spans="1:26" x14ac:dyDescent="0.25">
      <c r="A30" s="37">
        <f>Equipos!C28</f>
        <v>0</v>
      </c>
      <c r="B30" s="33" t="str">
        <f>Equipos!D28</f>
        <v>Incubadora</v>
      </c>
      <c r="C30" s="33">
        <f>Equipos!E28</f>
        <v>0</v>
      </c>
      <c r="D30" s="33">
        <f>Equipos!G28</f>
        <v>0</v>
      </c>
      <c r="E30" s="33">
        <f>Equipos!I28</f>
        <v>0</v>
      </c>
      <c r="F30" s="33">
        <f>Equipos!J28</f>
        <v>0</v>
      </c>
      <c r="G30" s="37">
        <f>Equipos!K28</f>
        <v>0</v>
      </c>
      <c r="H30" s="33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3">
        <f t="shared" si="0"/>
        <v>0</v>
      </c>
      <c r="V30" s="33">
        <f t="shared" si="1"/>
        <v>0</v>
      </c>
      <c r="W30" s="33">
        <f t="shared" si="2"/>
        <v>0</v>
      </c>
      <c r="X30" s="33">
        <f t="shared" si="3"/>
        <v>0</v>
      </c>
      <c r="Y30" s="33">
        <f ca="1">SUMPRODUCT((I30:INDEX(I30:T30,MONTH(TODAY()))="X")*1)</f>
        <v>0</v>
      </c>
      <c r="Z30" s="39" t="str">
        <f t="shared" si="4"/>
        <v/>
      </c>
    </row>
    <row r="31" spans="1:26" x14ac:dyDescent="0.25">
      <c r="A31" s="37">
        <f>Equipos!C29</f>
        <v>0</v>
      </c>
      <c r="B31" s="33" t="str">
        <f>Equipos!D29</f>
        <v>Incubadora</v>
      </c>
      <c r="C31" s="33">
        <f>Equipos!E29</f>
        <v>0</v>
      </c>
      <c r="D31" s="33">
        <f>Equipos!G29</f>
        <v>0</v>
      </c>
      <c r="E31" s="33">
        <f>Equipos!I29</f>
        <v>0</v>
      </c>
      <c r="F31" s="33">
        <f>Equipos!J29</f>
        <v>0</v>
      </c>
      <c r="G31" s="37">
        <f>Equipos!K29</f>
        <v>0</v>
      </c>
      <c r="H31" s="33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3">
        <f t="shared" si="0"/>
        <v>0</v>
      </c>
      <c r="V31" s="33">
        <f t="shared" si="1"/>
        <v>0</v>
      </c>
      <c r="W31" s="33">
        <f t="shared" si="2"/>
        <v>0</v>
      </c>
      <c r="X31" s="33">
        <f t="shared" si="3"/>
        <v>0</v>
      </c>
      <c r="Y31" s="33">
        <f ca="1">SUMPRODUCT((I31:INDEX(I31:T31,MONTH(TODAY()))="X")*1)</f>
        <v>0</v>
      </c>
      <c r="Z31" s="39" t="str">
        <f t="shared" si="4"/>
        <v/>
      </c>
    </row>
    <row r="32" spans="1:26" x14ac:dyDescent="0.25">
      <c r="A32" s="37">
        <f>Equipos!C30</f>
        <v>0</v>
      </c>
      <c r="B32" s="33" t="str">
        <f>Equipos!D30</f>
        <v>Incubadora</v>
      </c>
      <c r="C32" s="33">
        <f>Equipos!E30</f>
        <v>0</v>
      </c>
      <c r="D32" s="33">
        <f>Equipos!G30</f>
        <v>0</v>
      </c>
      <c r="E32" s="33">
        <f>Equipos!I30</f>
        <v>0</v>
      </c>
      <c r="F32" s="33">
        <f>Equipos!J30</f>
        <v>0</v>
      </c>
      <c r="G32" s="37">
        <f>Equipos!K30</f>
        <v>0</v>
      </c>
      <c r="H32" s="33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3">
        <f t="shared" si="0"/>
        <v>0</v>
      </c>
      <c r="V32" s="33">
        <f t="shared" si="1"/>
        <v>0</v>
      </c>
      <c r="W32" s="33">
        <f t="shared" si="2"/>
        <v>0</v>
      </c>
      <c r="X32" s="33">
        <f t="shared" si="3"/>
        <v>0</v>
      </c>
      <c r="Y32" s="33">
        <f ca="1">SUMPRODUCT((I32:INDEX(I32:T32,MONTH(TODAY()))="X")*1)</f>
        <v>0</v>
      </c>
      <c r="Z32" s="39" t="str">
        <f t="shared" si="4"/>
        <v/>
      </c>
    </row>
    <row r="33" spans="1:26" x14ac:dyDescent="0.25">
      <c r="A33" s="37">
        <f>Equipos!C31</f>
        <v>0</v>
      </c>
      <c r="B33" s="33" t="str">
        <f>Equipos!D31</f>
        <v>Incubadora</v>
      </c>
      <c r="C33" s="33">
        <f>Equipos!E31</f>
        <v>0</v>
      </c>
      <c r="D33" s="33">
        <f>Equipos!G31</f>
        <v>0</v>
      </c>
      <c r="E33" s="33">
        <f>Equipos!I31</f>
        <v>0</v>
      </c>
      <c r="F33" s="33">
        <f>Equipos!J31</f>
        <v>0</v>
      </c>
      <c r="G33" s="37">
        <f>Equipos!K31</f>
        <v>0</v>
      </c>
      <c r="H33" s="33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3">
        <f t="shared" si="0"/>
        <v>0</v>
      </c>
      <c r="V33" s="33">
        <f t="shared" si="1"/>
        <v>0</v>
      </c>
      <c r="W33" s="33">
        <f t="shared" si="2"/>
        <v>0</v>
      </c>
      <c r="X33" s="33">
        <f t="shared" si="3"/>
        <v>0</v>
      </c>
      <c r="Y33" s="33">
        <f ca="1">SUMPRODUCT((I33:INDEX(I33:T33,MONTH(TODAY()))="X")*1)</f>
        <v>0</v>
      </c>
      <c r="Z33" s="39" t="str">
        <f t="shared" si="4"/>
        <v/>
      </c>
    </row>
    <row r="34" spans="1:26" x14ac:dyDescent="0.25">
      <c r="A34" s="37" t="str">
        <f>Equipos!C32</f>
        <v>2-024094</v>
      </c>
      <c r="B34" s="33" t="str">
        <f>Equipos!D32</f>
        <v>Incubadora</v>
      </c>
      <c r="C34" s="33" t="str">
        <f>Equipos!E32</f>
        <v>Neonatología</v>
      </c>
      <c r="D34" s="33">
        <f>Equipos!G32</f>
        <v>0</v>
      </c>
      <c r="E34" s="33" t="str">
        <f>Equipos!I32</f>
        <v>DRAGER</v>
      </c>
      <c r="F34" s="33" t="str">
        <f>Equipos!J32</f>
        <v>TI500</v>
      </c>
      <c r="G34" s="37" t="str">
        <f>Equipos!K32</f>
        <v>KM10530</v>
      </c>
      <c r="H34" s="33"/>
      <c r="I34" s="38"/>
      <c r="J34" s="50" t="s">
        <v>275</v>
      </c>
      <c r="K34" s="38"/>
      <c r="L34" s="38"/>
      <c r="M34" s="50" t="s">
        <v>275</v>
      </c>
      <c r="N34" s="38"/>
      <c r="O34" s="38"/>
      <c r="P34" s="38"/>
      <c r="Q34" s="38"/>
      <c r="R34" s="38"/>
      <c r="S34" s="38"/>
      <c r="T34" s="38"/>
      <c r="U34" s="33">
        <f t="shared" si="0"/>
        <v>2</v>
      </c>
      <c r="V34" s="33">
        <f t="shared" si="1"/>
        <v>2</v>
      </c>
      <c r="W34" s="33">
        <f t="shared" si="2"/>
        <v>0</v>
      </c>
      <c r="X34" s="33">
        <f t="shared" si="3"/>
        <v>0</v>
      </c>
      <c r="Y34" s="33">
        <f ca="1">SUMPRODUCT((I34:INDEX(I34:T34,MONTH(TODAY()))="X")*1)</f>
        <v>0</v>
      </c>
      <c r="Z34" s="39">
        <f t="shared" si="4"/>
        <v>1</v>
      </c>
    </row>
    <row r="35" spans="1:26" x14ac:dyDescent="0.25">
      <c r="A35" s="37" t="str">
        <f>Equipos!C33</f>
        <v>2-116022</v>
      </c>
      <c r="B35" s="33" t="str">
        <f>Equipos!D33</f>
        <v>Incubadora</v>
      </c>
      <c r="C35" s="33" t="str">
        <f>Equipos!E33</f>
        <v>Neonatología</v>
      </c>
      <c r="D35" s="33" t="str">
        <f>Equipos!G33</f>
        <v>UCI 7</v>
      </c>
      <c r="E35" s="33" t="str">
        <f>Equipos!I33</f>
        <v>DRAGER</v>
      </c>
      <c r="F35" s="33" t="str">
        <f>Equipos!J33</f>
        <v>CALEO</v>
      </c>
      <c r="G35" s="37" t="str">
        <f>Equipos!K33</f>
        <v>ASLB-0011</v>
      </c>
      <c r="H35" s="33"/>
      <c r="I35" s="38"/>
      <c r="J35" s="50" t="s">
        <v>275</v>
      </c>
      <c r="K35" s="38"/>
      <c r="L35" s="38"/>
      <c r="M35" s="50" t="s">
        <v>275</v>
      </c>
      <c r="N35" s="38"/>
      <c r="O35" s="38"/>
      <c r="P35" s="38"/>
      <c r="Q35" s="38"/>
      <c r="R35" s="38"/>
      <c r="S35" s="38"/>
      <c r="T35" s="38"/>
      <c r="U35" s="33">
        <f t="shared" si="0"/>
        <v>2</v>
      </c>
      <c r="V35" s="33">
        <f t="shared" si="1"/>
        <v>2</v>
      </c>
      <c r="W35" s="33">
        <f t="shared" si="2"/>
        <v>0</v>
      </c>
      <c r="X35" s="33">
        <f t="shared" si="3"/>
        <v>0</v>
      </c>
      <c r="Y35" s="33">
        <f ca="1">SUMPRODUCT((I35:INDEX(I35:T35,MONTH(TODAY()))="X")*1)</f>
        <v>0</v>
      </c>
      <c r="Z35" s="39">
        <f t="shared" si="4"/>
        <v>1</v>
      </c>
    </row>
    <row r="36" spans="1:26" x14ac:dyDescent="0.25">
      <c r="A36" s="37" t="str">
        <f>Equipos!C34</f>
        <v>2-116017</v>
      </c>
      <c r="B36" s="33" t="str">
        <f>Equipos!D34</f>
        <v>Incubadora</v>
      </c>
      <c r="C36" s="33" t="str">
        <f>Equipos!E34</f>
        <v>Neonatología</v>
      </c>
      <c r="D36" s="33" t="str">
        <f>Equipos!G34</f>
        <v>SALA EQUIPOS</v>
      </c>
      <c r="E36" s="33" t="str">
        <f>Equipos!I34</f>
        <v>DRAGER</v>
      </c>
      <c r="F36" s="33" t="str">
        <f>Equipos!J34</f>
        <v>CALEO</v>
      </c>
      <c r="G36" s="37" t="str">
        <f>Equipos!K34</f>
        <v>ASLB-0012</v>
      </c>
      <c r="H36" s="33"/>
      <c r="I36" s="38"/>
      <c r="J36" s="50" t="s">
        <v>275</v>
      </c>
      <c r="K36" s="38"/>
      <c r="L36" s="38"/>
      <c r="M36" s="50" t="s">
        <v>275</v>
      </c>
      <c r="N36" s="38"/>
      <c r="O36" s="38"/>
      <c r="P36" s="38"/>
      <c r="Q36" s="38"/>
      <c r="R36" s="38"/>
      <c r="S36" s="38"/>
      <c r="T36" s="38"/>
      <c r="U36" s="33">
        <f t="shared" si="0"/>
        <v>2</v>
      </c>
      <c r="V36" s="33">
        <f t="shared" si="1"/>
        <v>2</v>
      </c>
      <c r="W36" s="33">
        <f t="shared" si="2"/>
        <v>0</v>
      </c>
      <c r="X36" s="33">
        <f t="shared" si="3"/>
        <v>0</v>
      </c>
      <c r="Y36" s="33">
        <f ca="1">SUMPRODUCT((I36:INDEX(I36:T36,MONTH(TODAY()))="X")*1)</f>
        <v>0</v>
      </c>
      <c r="Z36" s="39">
        <f t="shared" si="4"/>
        <v>1</v>
      </c>
    </row>
    <row r="37" spans="1:26" x14ac:dyDescent="0.25">
      <c r="A37" s="37" t="str">
        <f>Equipos!C35</f>
        <v>2-116021</v>
      </c>
      <c r="B37" s="33" t="str">
        <f>Equipos!D35</f>
        <v>Incubadora</v>
      </c>
      <c r="C37" s="33" t="str">
        <f>Equipos!E35</f>
        <v>Neonatología</v>
      </c>
      <c r="D37" s="33" t="str">
        <f>Equipos!G35</f>
        <v>UTI 1/5</v>
      </c>
      <c r="E37" s="33" t="str">
        <f>Equipos!I35</f>
        <v>DRAGER</v>
      </c>
      <c r="F37" s="33" t="str">
        <f>Equipos!J35</f>
        <v>CALEO</v>
      </c>
      <c r="G37" s="37" t="str">
        <f>Equipos!K35</f>
        <v>ASLB-0013</v>
      </c>
      <c r="H37" s="33"/>
      <c r="I37" s="38"/>
      <c r="J37" s="50" t="s">
        <v>275</v>
      </c>
      <c r="K37" s="38"/>
      <c r="L37" s="38"/>
      <c r="M37" s="50" t="s">
        <v>275</v>
      </c>
      <c r="N37" s="38"/>
      <c r="O37" s="38"/>
      <c r="P37" s="38"/>
      <c r="Q37" s="38"/>
      <c r="R37" s="38"/>
      <c r="S37" s="38"/>
      <c r="T37" s="38"/>
      <c r="U37" s="33">
        <f t="shared" si="0"/>
        <v>2</v>
      </c>
      <c r="V37" s="33">
        <f t="shared" si="1"/>
        <v>2</v>
      </c>
      <c r="W37" s="33">
        <f t="shared" si="2"/>
        <v>0</v>
      </c>
      <c r="X37" s="33">
        <f t="shared" si="3"/>
        <v>0</v>
      </c>
      <c r="Y37" s="33">
        <f ca="1">SUMPRODUCT((I37:INDEX(I37:T37,MONTH(TODAY()))="X")*1)</f>
        <v>0</v>
      </c>
      <c r="Z37" s="39">
        <f t="shared" si="4"/>
        <v>1</v>
      </c>
    </row>
    <row r="38" spans="1:26" x14ac:dyDescent="0.25">
      <c r="A38" s="37" t="str">
        <f>Equipos!C36</f>
        <v>2-116023</v>
      </c>
      <c r="B38" s="33" t="str">
        <f>Equipos!D36</f>
        <v>Incubadora</v>
      </c>
      <c r="C38" s="33" t="str">
        <f>Equipos!E36</f>
        <v>Neonatología</v>
      </c>
      <c r="D38" s="33" t="str">
        <f>Equipos!G36</f>
        <v>UTI 1/3</v>
      </c>
      <c r="E38" s="33" t="str">
        <f>Equipos!I36</f>
        <v>DRAGER</v>
      </c>
      <c r="F38" s="33" t="str">
        <f>Equipos!J36</f>
        <v>CALEO</v>
      </c>
      <c r="G38" s="37" t="str">
        <f>Equipos!K36</f>
        <v>ASLB-0014</v>
      </c>
      <c r="H38" s="33"/>
      <c r="I38" s="38"/>
      <c r="J38" s="50" t="s">
        <v>275</v>
      </c>
      <c r="K38" s="38"/>
      <c r="L38" s="38"/>
      <c r="M38" s="50" t="s">
        <v>275</v>
      </c>
      <c r="N38" s="38"/>
      <c r="O38" s="38"/>
      <c r="P38" s="38"/>
      <c r="Q38" s="38"/>
      <c r="R38" s="38"/>
      <c r="S38" s="38"/>
      <c r="T38" s="38"/>
      <c r="U38" s="33">
        <f t="shared" si="0"/>
        <v>2</v>
      </c>
      <c r="V38" s="33">
        <f t="shared" si="1"/>
        <v>2</v>
      </c>
      <c r="W38" s="33">
        <f t="shared" si="2"/>
        <v>0</v>
      </c>
      <c r="X38" s="33">
        <f t="shared" si="3"/>
        <v>0</v>
      </c>
      <c r="Y38" s="33">
        <f ca="1">SUMPRODUCT((I38:INDEX(I38:T38,MONTH(TODAY()))="X")*1)</f>
        <v>0</v>
      </c>
      <c r="Z38" s="39">
        <f t="shared" si="4"/>
        <v>1</v>
      </c>
    </row>
    <row r="39" spans="1:26" x14ac:dyDescent="0.25">
      <c r="A39" s="37" t="str">
        <f>Equipos!C37</f>
        <v>2-116020</v>
      </c>
      <c r="B39" s="33" t="str">
        <f>Equipos!D37</f>
        <v>Incubadora</v>
      </c>
      <c r="C39" s="33" t="str">
        <f>Equipos!E37</f>
        <v>Neonatología</v>
      </c>
      <c r="D39" s="33" t="str">
        <f>Equipos!G37</f>
        <v>UTI 2/4</v>
      </c>
      <c r="E39" s="33" t="str">
        <f>Equipos!I37</f>
        <v>DRAGER</v>
      </c>
      <c r="F39" s="33" t="str">
        <f>Equipos!J37</f>
        <v>CALEO</v>
      </c>
      <c r="G39" s="37" t="str">
        <f>Equipos!K37</f>
        <v>ASLB-0015</v>
      </c>
      <c r="H39" s="33"/>
      <c r="I39" s="38"/>
      <c r="J39" s="50" t="s">
        <v>275</v>
      </c>
      <c r="K39" s="38"/>
      <c r="L39" s="38"/>
      <c r="M39" s="50" t="s">
        <v>276</v>
      </c>
      <c r="N39" s="50" t="s">
        <v>275</v>
      </c>
      <c r="O39" s="38"/>
      <c r="P39" s="38"/>
      <c r="Q39" s="38"/>
      <c r="R39" s="38"/>
      <c r="S39" s="38"/>
      <c r="T39" s="38"/>
      <c r="U39" s="33">
        <f t="shared" si="0"/>
        <v>3</v>
      </c>
      <c r="V39" s="33">
        <f t="shared" si="1"/>
        <v>2</v>
      </c>
      <c r="W39" s="33">
        <f t="shared" si="2"/>
        <v>0</v>
      </c>
      <c r="X39" s="33">
        <f t="shared" si="3"/>
        <v>0</v>
      </c>
      <c r="Y39" s="33">
        <f ca="1">SUMPRODUCT((I39:INDEX(I39:T39,MONTH(TODAY()))="X")*1)</f>
        <v>0</v>
      </c>
      <c r="Z39" s="39">
        <f t="shared" si="4"/>
        <v>0.66666666666666663</v>
      </c>
    </row>
    <row r="40" spans="1:26" x14ac:dyDescent="0.25">
      <c r="A40" s="37" t="str">
        <f>Equipos!C38</f>
        <v>2-115788</v>
      </c>
      <c r="B40" s="33" t="str">
        <f>Equipos!D38</f>
        <v>Incubadora</v>
      </c>
      <c r="C40" s="33" t="str">
        <f>Equipos!E38</f>
        <v>Neonatología</v>
      </c>
      <c r="D40" s="33" t="str">
        <f>Equipos!G38</f>
        <v>SALA EQUIPOS</v>
      </c>
      <c r="E40" s="33" t="str">
        <f>Equipos!I38</f>
        <v>DRAGER</v>
      </c>
      <c r="F40" s="33" t="str">
        <f>Equipos!J38</f>
        <v>CALEO</v>
      </c>
      <c r="G40" s="37" t="str">
        <f>Equipos!K38</f>
        <v>ASJL-0039</v>
      </c>
      <c r="H40" s="33"/>
      <c r="I40" s="38"/>
      <c r="J40" s="50" t="s">
        <v>276</v>
      </c>
      <c r="K40" s="50" t="s">
        <v>275</v>
      </c>
      <c r="L40" s="38"/>
      <c r="M40" s="50" t="s">
        <v>275</v>
      </c>
      <c r="N40" s="38"/>
      <c r="O40" s="38"/>
      <c r="P40" s="38"/>
      <c r="Q40" s="38"/>
      <c r="R40" s="38"/>
      <c r="S40" s="38"/>
      <c r="T40" s="38"/>
      <c r="U40" s="33">
        <f t="shared" si="0"/>
        <v>3</v>
      </c>
      <c r="V40" s="33">
        <f t="shared" si="1"/>
        <v>2</v>
      </c>
      <c r="W40" s="33">
        <f t="shared" si="2"/>
        <v>0</v>
      </c>
      <c r="X40" s="33">
        <f t="shared" si="3"/>
        <v>0</v>
      </c>
      <c r="Y40" s="33">
        <f ca="1">SUMPRODUCT((I40:INDEX(I40:T40,MONTH(TODAY()))="X")*1)</f>
        <v>0</v>
      </c>
      <c r="Z40" s="39">
        <f t="shared" si="4"/>
        <v>0.66666666666666663</v>
      </c>
    </row>
    <row r="41" spans="1:26" x14ac:dyDescent="0.25">
      <c r="A41" s="37" t="str">
        <f>Equipos!C39</f>
        <v>2-115787</v>
      </c>
      <c r="B41" s="33" t="str">
        <f>Equipos!D39</f>
        <v>Incubadora</v>
      </c>
      <c r="C41" s="33" t="str">
        <f>Equipos!E39</f>
        <v>Neonatología</v>
      </c>
      <c r="D41" s="33" t="str">
        <f>Equipos!G39</f>
        <v>UTI 1/1</v>
      </c>
      <c r="E41" s="33" t="str">
        <f>Equipos!I39</f>
        <v>DRAGER</v>
      </c>
      <c r="F41" s="33" t="str">
        <f>Equipos!J39</f>
        <v>CALEO</v>
      </c>
      <c r="G41" s="37" t="str">
        <f>Equipos!K39</f>
        <v>ASJL-0015</v>
      </c>
      <c r="H41" s="33"/>
      <c r="I41" s="38"/>
      <c r="J41" s="50" t="s">
        <v>275</v>
      </c>
      <c r="K41" s="38"/>
      <c r="L41" s="38"/>
      <c r="M41" s="50" t="s">
        <v>275</v>
      </c>
      <c r="N41" s="38"/>
      <c r="O41" s="38"/>
      <c r="P41" s="38"/>
      <c r="Q41" s="38"/>
      <c r="R41" s="38"/>
      <c r="S41" s="38"/>
      <c r="T41" s="38"/>
      <c r="U41" s="33">
        <f t="shared" si="0"/>
        <v>2</v>
      </c>
      <c r="V41" s="33">
        <f t="shared" si="1"/>
        <v>2</v>
      </c>
      <c r="W41" s="33">
        <f t="shared" si="2"/>
        <v>0</v>
      </c>
      <c r="X41" s="33">
        <f t="shared" si="3"/>
        <v>0</v>
      </c>
      <c r="Y41" s="33">
        <f ca="1">SUMPRODUCT((I41:INDEX(I41:T41,MONTH(TODAY()))="X")*1)</f>
        <v>0</v>
      </c>
      <c r="Z41" s="39">
        <f t="shared" si="4"/>
        <v>1</v>
      </c>
    </row>
    <row r="42" spans="1:26" x14ac:dyDescent="0.25">
      <c r="A42" s="37" t="str">
        <f>Equipos!C40</f>
        <v>2-115785</v>
      </c>
      <c r="B42" s="33" t="str">
        <f>Equipos!D40</f>
        <v>Incubadora</v>
      </c>
      <c r="C42" s="33" t="str">
        <f>Equipos!E40</f>
        <v>Neonatología</v>
      </c>
      <c r="D42" s="33" t="str">
        <f>Equipos!G40</f>
        <v>UCI 8</v>
      </c>
      <c r="E42" s="33" t="str">
        <f>Equipos!I40</f>
        <v>DRAGER</v>
      </c>
      <c r="F42" s="33" t="str">
        <f>Equipos!J40</f>
        <v>CALEO</v>
      </c>
      <c r="G42" s="37" t="str">
        <f>Equipos!K40</f>
        <v>ASJL-0007</v>
      </c>
      <c r="H42" s="33"/>
      <c r="I42" s="38"/>
      <c r="J42" s="50" t="s">
        <v>275</v>
      </c>
      <c r="K42" s="38"/>
      <c r="L42" s="38"/>
      <c r="M42" s="50" t="s">
        <v>275</v>
      </c>
      <c r="N42" s="38"/>
      <c r="O42" s="38"/>
      <c r="P42" s="38"/>
      <c r="Q42" s="38"/>
      <c r="R42" s="38"/>
      <c r="S42" s="38"/>
      <c r="T42" s="38"/>
      <c r="U42" s="33">
        <f t="shared" si="0"/>
        <v>2</v>
      </c>
      <c r="V42" s="33">
        <f t="shared" si="1"/>
        <v>2</v>
      </c>
      <c r="W42" s="33">
        <f t="shared" si="2"/>
        <v>0</v>
      </c>
      <c r="X42" s="33">
        <f t="shared" si="3"/>
        <v>0</v>
      </c>
      <c r="Y42" s="33">
        <f ca="1">SUMPRODUCT((I42:INDEX(I42:T42,MONTH(TODAY()))="X")*1)</f>
        <v>0</v>
      </c>
      <c r="Z42" s="39">
        <f t="shared" si="4"/>
        <v>1</v>
      </c>
    </row>
    <row r="43" spans="1:26" x14ac:dyDescent="0.25">
      <c r="A43" s="37" t="str">
        <f>Equipos!C41</f>
        <v>2-115784</v>
      </c>
      <c r="B43" s="33" t="str">
        <f>Equipos!D41</f>
        <v>Incubadora</v>
      </c>
      <c r="C43" s="33" t="str">
        <f>Equipos!E41</f>
        <v>Neonatología</v>
      </c>
      <c r="D43" s="33" t="str">
        <f>Equipos!G41</f>
        <v>UCI 11</v>
      </c>
      <c r="E43" s="33" t="str">
        <f>Equipos!I41</f>
        <v>DRAGER</v>
      </c>
      <c r="F43" s="33" t="str">
        <f>Equipos!J41</f>
        <v>CALEO</v>
      </c>
      <c r="G43" s="37" t="str">
        <f>Equipos!K41</f>
        <v>ASJL-0006</v>
      </c>
      <c r="H43" s="33"/>
      <c r="I43" s="38"/>
      <c r="J43" s="50" t="s">
        <v>276</v>
      </c>
      <c r="K43" s="50" t="s">
        <v>275</v>
      </c>
      <c r="L43" s="38"/>
      <c r="M43" s="50" t="s">
        <v>275</v>
      </c>
      <c r="N43" s="38"/>
      <c r="O43" s="38"/>
      <c r="P43" s="38"/>
      <c r="Q43" s="38"/>
      <c r="R43" s="38"/>
      <c r="S43" s="38"/>
      <c r="T43" s="38"/>
      <c r="U43" s="33">
        <f t="shared" si="0"/>
        <v>3</v>
      </c>
      <c r="V43" s="33">
        <f t="shared" si="1"/>
        <v>2</v>
      </c>
      <c r="W43" s="33">
        <f t="shared" si="2"/>
        <v>0</v>
      </c>
      <c r="X43" s="33">
        <f t="shared" si="3"/>
        <v>0</v>
      </c>
      <c r="Y43" s="33">
        <f ca="1">SUMPRODUCT((I43:INDEX(I43:T43,MONTH(TODAY()))="X")*1)</f>
        <v>0</v>
      </c>
      <c r="Z43" s="39">
        <f t="shared" si="4"/>
        <v>0.66666666666666663</v>
      </c>
    </row>
    <row r="44" spans="1:26" x14ac:dyDescent="0.25">
      <c r="A44" s="37" t="str">
        <f>Equipos!C42</f>
        <v>2-115786</v>
      </c>
      <c r="B44" s="33" t="str">
        <f>Equipos!D42</f>
        <v>Incubadora</v>
      </c>
      <c r="C44" s="33" t="str">
        <f>Equipos!E42</f>
        <v>Neonatología</v>
      </c>
      <c r="D44" s="33" t="str">
        <f>Equipos!G42</f>
        <v>UTI 2/1</v>
      </c>
      <c r="E44" s="33" t="str">
        <f>Equipos!I42</f>
        <v>DRAGER</v>
      </c>
      <c r="F44" s="33" t="str">
        <f>Equipos!J42</f>
        <v>CALEO</v>
      </c>
      <c r="G44" s="37" t="str">
        <f>Equipos!K42</f>
        <v>ASJL-0013</v>
      </c>
      <c r="H44" s="33"/>
      <c r="I44" s="38"/>
      <c r="J44" s="50" t="s">
        <v>275</v>
      </c>
      <c r="K44" s="38"/>
      <c r="L44" s="38"/>
      <c r="M44" s="50" t="s">
        <v>275</v>
      </c>
      <c r="N44" s="38"/>
      <c r="O44" s="38"/>
      <c r="P44" s="38"/>
      <c r="Q44" s="38"/>
      <c r="R44" s="38"/>
      <c r="S44" s="38"/>
      <c r="T44" s="38"/>
      <c r="U44" s="33">
        <f t="shared" si="0"/>
        <v>2</v>
      </c>
      <c r="V44" s="33">
        <f t="shared" si="1"/>
        <v>2</v>
      </c>
      <c r="W44" s="33">
        <f t="shared" si="2"/>
        <v>0</v>
      </c>
      <c r="X44" s="33">
        <f t="shared" si="3"/>
        <v>0</v>
      </c>
      <c r="Y44" s="33">
        <f ca="1">SUMPRODUCT((I44:INDEX(I44:T44,MONTH(TODAY()))="X")*1)</f>
        <v>0</v>
      </c>
      <c r="Z44" s="39">
        <f t="shared" si="4"/>
        <v>1</v>
      </c>
    </row>
    <row r="45" spans="1:26" x14ac:dyDescent="0.25">
      <c r="A45" s="37" t="str">
        <f>Equipos!C43</f>
        <v>2-135839</v>
      </c>
      <c r="B45" s="33" t="str">
        <f>Equipos!D43</f>
        <v>DEA</v>
      </c>
      <c r="C45" s="33" t="str">
        <f>Equipos!E43</f>
        <v>TROI</v>
      </c>
      <c r="D45" s="33">
        <f>Equipos!G43</f>
        <v>0</v>
      </c>
      <c r="E45" s="33" t="str">
        <f>Equipos!I43</f>
        <v>Mindray</v>
      </c>
      <c r="F45" s="33" t="str">
        <f>Equipos!J43</f>
        <v>BeneHeart C2</v>
      </c>
      <c r="G45" s="37" t="str">
        <f>Equipos!K43</f>
        <v>AE7-2408132</v>
      </c>
      <c r="H45" s="33"/>
      <c r="I45" s="38"/>
      <c r="J45" s="38"/>
      <c r="K45" s="38"/>
      <c r="L45" s="50" t="s">
        <v>275</v>
      </c>
      <c r="M45" s="38"/>
      <c r="N45" s="38"/>
      <c r="O45" s="38"/>
      <c r="P45" s="38"/>
      <c r="Q45" s="38"/>
      <c r="R45" s="38"/>
      <c r="S45" s="38"/>
      <c r="T45" s="38"/>
      <c r="U45" s="33">
        <f t="shared" si="0"/>
        <v>1</v>
      </c>
      <c r="V45" s="33">
        <f t="shared" si="1"/>
        <v>1</v>
      </c>
      <c r="W45" s="33">
        <f t="shared" si="2"/>
        <v>0</v>
      </c>
      <c r="X45" s="33">
        <f t="shared" si="3"/>
        <v>0</v>
      </c>
      <c r="Y45" s="33">
        <f ca="1">SUMPRODUCT((I45:INDEX(I45:T45,MONTH(TODAY()))="X")*1)</f>
        <v>0</v>
      </c>
      <c r="Z45" s="39">
        <f t="shared" si="4"/>
        <v>1</v>
      </c>
    </row>
    <row r="46" spans="1:26" x14ac:dyDescent="0.25">
      <c r="A46" s="37" t="str">
        <f>Equipos!C44</f>
        <v>2-024223</v>
      </c>
      <c r="B46" s="33" t="str">
        <f>Equipos!D44</f>
        <v>Desfibrilador</v>
      </c>
      <c r="C46" s="33" t="str">
        <f>Equipos!E44</f>
        <v>Pabellón (Hemodinamia)</v>
      </c>
      <c r="D46" s="33" t="str">
        <f>Equipos!G44</f>
        <v>Pabellón 2Piso</v>
      </c>
      <c r="E46" s="33" t="str">
        <f>Equipos!I44</f>
        <v xml:space="preserve">Zoll </v>
      </c>
      <c r="F46" s="33" t="str">
        <f>Equipos!J44</f>
        <v>R SERIES ALS</v>
      </c>
      <c r="G46" s="37" t="str">
        <f>Equipos!K44</f>
        <v>AF12B020910</v>
      </c>
      <c r="H46" s="33"/>
      <c r="I46" s="38"/>
      <c r="J46" s="38"/>
      <c r="K46" s="38"/>
      <c r="L46" s="50" t="s">
        <v>275</v>
      </c>
      <c r="M46" s="38"/>
      <c r="N46" s="38"/>
      <c r="O46" s="38"/>
      <c r="P46" s="38"/>
      <c r="Q46" s="38"/>
      <c r="R46" s="38"/>
      <c r="S46" s="38"/>
      <c r="T46" s="38"/>
      <c r="U46" s="33">
        <f t="shared" si="0"/>
        <v>1</v>
      </c>
      <c r="V46" s="33">
        <f t="shared" si="1"/>
        <v>1</v>
      </c>
      <c r="W46" s="33">
        <f t="shared" si="2"/>
        <v>0</v>
      </c>
      <c r="X46" s="33">
        <f t="shared" si="3"/>
        <v>0</v>
      </c>
      <c r="Y46" s="33">
        <f ca="1">SUMPRODUCT((I46:INDEX(I46:T46,MONTH(TODAY()))="X")*1)</f>
        <v>0</v>
      </c>
      <c r="Z46" s="39">
        <f t="shared" si="4"/>
        <v>1</v>
      </c>
    </row>
    <row r="47" spans="1:26" x14ac:dyDescent="0.25">
      <c r="A47" s="37" t="str">
        <f>Equipos!C45</f>
        <v>2-112264</v>
      </c>
      <c r="B47" s="33" t="str">
        <f>Equipos!D45</f>
        <v>Desfibrilador</v>
      </c>
      <c r="C47" s="33" t="str">
        <f>Equipos!E45</f>
        <v>UPC Adulto (Prestado a Urgencia Adulto)</v>
      </c>
      <c r="D47" s="33" t="str">
        <f>Equipos!G45</f>
        <v>Sala Reanimación</v>
      </c>
      <c r="E47" s="33" t="str">
        <f>Equipos!I45</f>
        <v xml:space="preserve">Zoll </v>
      </c>
      <c r="F47" s="33" t="str">
        <f>Equipos!J45</f>
        <v>R SERIES ALS</v>
      </c>
      <c r="G47" s="37" t="str">
        <f>Equipos!K45</f>
        <v>AF10H011856</v>
      </c>
      <c r="H47" s="33"/>
      <c r="I47" s="38"/>
      <c r="J47" s="50" t="s">
        <v>275</v>
      </c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3">
        <f t="shared" si="0"/>
        <v>1</v>
      </c>
      <c r="V47" s="33">
        <f t="shared" si="1"/>
        <v>1</v>
      </c>
      <c r="W47" s="33">
        <f t="shared" si="2"/>
        <v>0</v>
      </c>
      <c r="X47" s="33">
        <f t="shared" si="3"/>
        <v>0</v>
      </c>
      <c r="Y47" s="33">
        <f ca="1">SUMPRODUCT((I47:INDEX(I47:T47,MONTH(TODAY()))="X")*1)</f>
        <v>0</v>
      </c>
      <c r="Z47" s="39">
        <f t="shared" si="4"/>
        <v>1</v>
      </c>
    </row>
    <row r="48" spans="1:26" x14ac:dyDescent="0.25">
      <c r="A48" s="37" t="str">
        <f>Equipos!C46</f>
        <v>2-013518</v>
      </c>
      <c r="B48" s="33" t="str">
        <f>Equipos!D46</f>
        <v>Desfibrilador</v>
      </c>
      <c r="C48" s="33" t="str">
        <f>Equipos!E46</f>
        <v>Medicina (Prestado a Medicina cardiovascular)</v>
      </c>
      <c r="D48" s="33" t="str">
        <f>Equipos!G46</f>
        <v>Zócalo</v>
      </c>
      <c r="E48" s="33" t="str">
        <f>Equipos!I46</f>
        <v>Nihon Kohden</v>
      </c>
      <c r="F48" s="33" t="str">
        <f>Equipos!J46</f>
        <v>TEC 5531E</v>
      </c>
      <c r="G48" s="37" t="str">
        <f>Equipos!K46</f>
        <v>01816</v>
      </c>
      <c r="H48" s="33"/>
      <c r="I48" s="50" t="s">
        <v>275</v>
      </c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3">
        <f t="shared" si="0"/>
        <v>1</v>
      </c>
      <c r="V48" s="33">
        <f t="shared" si="1"/>
        <v>1</v>
      </c>
      <c r="W48" s="33">
        <f t="shared" si="2"/>
        <v>0</v>
      </c>
      <c r="X48" s="33">
        <f t="shared" si="3"/>
        <v>0</v>
      </c>
      <c r="Y48" s="33">
        <f ca="1">SUMPRODUCT((I48:INDEX(I48:T48,MONTH(TODAY()))="X")*1)</f>
        <v>0</v>
      </c>
      <c r="Z48" s="39">
        <f t="shared" si="4"/>
        <v>1</v>
      </c>
    </row>
    <row r="49" spans="1:26" x14ac:dyDescent="0.25">
      <c r="A49" s="37" t="str">
        <f>Equipos!C47</f>
        <v>2-117973</v>
      </c>
      <c r="B49" s="33" t="str">
        <f>Equipos!D47</f>
        <v>DEA</v>
      </c>
      <c r="C49" s="33" t="str">
        <f>Equipos!E47</f>
        <v>Gestión de Pacientes</v>
      </c>
      <c r="D49" s="33" t="str">
        <f>Equipos!G47</f>
        <v>Gestión de Pacientes</v>
      </c>
      <c r="E49" s="33" t="str">
        <f>Equipos!I47</f>
        <v>Zoll</v>
      </c>
      <c r="F49" s="33" t="str">
        <f>Equipos!J47</f>
        <v>AEDPLUS</v>
      </c>
      <c r="G49" s="37" t="str">
        <f>Equipos!K47</f>
        <v>X18E028657</v>
      </c>
      <c r="H49" s="33"/>
      <c r="I49" s="50" t="s">
        <v>275</v>
      </c>
      <c r="J49" s="50" t="s">
        <v>275</v>
      </c>
      <c r="K49" s="50" t="s">
        <v>275</v>
      </c>
      <c r="L49" s="50" t="s">
        <v>275</v>
      </c>
      <c r="M49" s="50" t="s">
        <v>275</v>
      </c>
      <c r="N49" s="38"/>
      <c r="O49" s="38"/>
      <c r="P49" s="38"/>
      <c r="Q49" s="38"/>
      <c r="R49" s="38"/>
      <c r="S49" s="38"/>
      <c r="T49" s="38"/>
      <c r="U49" s="33">
        <f t="shared" si="0"/>
        <v>5</v>
      </c>
      <c r="V49" s="33">
        <f t="shared" si="1"/>
        <v>5</v>
      </c>
      <c r="W49" s="33">
        <f t="shared" si="2"/>
        <v>0</v>
      </c>
      <c r="X49" s="33">
        <f t="shared" si="3"/>
        <v>0</v>
      </c>
      <c r="Y49" s="33">
        <f ca="1">SUMPRODUCT((I49:INDEX(I49:T49,MONTH(TODAY()))="X")*1)</f>
        <v>0</v>
      </c>
      <c r="Z49" s="39">
        <f t="shared" si="4"/>
        <v>1</v>
      </c>
    </row>
    <row r="50" spans="1:26" x14ac:dyDescent="0.25">
      <c r="A50" s="37" t="str">
        <f>Equipos!C48</f>
        <v>121010-024575</v>
      </c>
      <c r="B50" s="33" t="str">
        <f>Equipos!D48</f>
        <v>DEA</v>
      </c>
      <c r="C50" s="33" t="str">
        <f>Equipos!E48</f>
        <v>Unidad Evaluación Paciente Imputado</v>
      </c>
      <c r="D50" s="33" t="str">
        <f>Equipos!G48</f>
        <v>UEPI-103</v>
      </c>
      <c r="E50" s="33" t="str">
        <f>Equipos!I48</f>
        <v>Nihon Kohden</v>
      </c>
      <c r="F50" s="33" t="str">
        <f>Equipos!J48</f>
        <v>AED-3100</v>
      </c>
      <c r="G50" s="37" t="str">
        <f>Equipos!K48</f>
        <v>13042</v>
      </c>
      <c r="H50" s="33"/>
      <c r="I50" s="50" t="s">
        <v>275</v>
      </c>
      <c r="J50" s="50" t="s">
        <v>275</v>
      </c>
      <c r="K50" s="50" t="s">
        <v>275</v>
      </c>
      <c r="L50" s="50" t="s">
        <v>275</v>
      </c>
      <c r="M50" s="50" t="s">
        <v>275</v>
      </c>
      <c r="N50" s="38"/>
      <c r="O50" s="38"/>
      <c r="P50" s="38"/>
      <c r="Q50" s="38"/>
      <c r="R50" s="38"/>
      <c r="S50" s="38"/>
      <c r="T50" s="38"/>
      <c r="U50" s="33">
        <f t="shared" si="0"/>
        <v>5</v>
      </c>
      <c r="V50" s="33">
        <f t="shared" si="1"/>
        <v>5</v>
      </c>
      <c r="W50" s="33">
        <f t="shared" si="2"/>
        <v>0</v>
      </c>
      <c r="X50" s="33">
        <f t="shared" si="3"/>
        <v>0</v>
      </c>
      <c r="Y50" s="33">
        <f ca="1">SUMPRODUCT((I50:INDEX(I50:T50,MONTH(TODAY()))="X")*1)</f>
        <v>0</v>
      </c>
      <c r="Z50" s="39">
        <f t="shared" si="4"/>
        <v>1</v>
      </c>
    </row>
    <row r="51" spans="1:26" x14ac:dyDescent="0.25">
      <c r="A51" s="37" t="str">
        <f>Equipos!C49</f>
        <v>2-134465</v>
      </c>
      <c r="B51" s="33" t="str">
        <f>Equipos!D49</f>
        <v>DEA</v>
      </c>
      <c r="C51" s="33" t="str">
        <f>Equipos!E49</f>
        <v>SAMU</v>
      </c>
      <c r="D51" s="33" t="str">
        <f>Equipos!G49</f>
        <v>Ambulancia</v>
      </c>
      <c r="E51" s="33" t="str">
        <f>Equipos!I49</f>
        <v>Mindray</v>
      </c>
      <c r="F51" s="33" t="str">
        <f>Equipos!J49</f>
        <v>BeneHeart C1A</v>
      </c>
      <c r="G51" s="37" t="str">
        <f>Equipos!K49</f>
        <v>AF1-48110851</v>
      </c>
      <c r="H51" s="33"/>
      <c r="I51" s="50" t="s">
        <v>275</v>
      </c>
      <c r="J51" s="50" t="s">
        <v>275</v>
      </c>
      <c r="K51" s="50" t="s">
        <v>275</v>
      </c>
      <c r="L51" s="50" t="s">
        <v>275</v>
      </c>
      <c r="M51" s="50" t="s">
        <v>275</v>
      </c>
      <c r="N51" s="38"/>
      <c r="O51" s="38"/>
      <c r="P51" s="38"/>
      <c r="Q51" s="38"/>
      <c r="R51" s="38"/>
      <c r="S51" s="38"/>
      <c r="T51" s="38"/>
      <c r="U51" s="33">
        <f t="shared" si="0"/>
        <v>5</v>
      </c>
      <c r="V51" s="33">
        <f t="shared" si="1"/>
        <v>5</v>
      </c>
      <c r="W51" s="33">
        <f t="shared" si="2"/>
        <v>0</v>
      </c>
      <c r="X51" s="33">
        <f t="shared" si="3"/>
        <v>0</v>
      </c>
      <c r="Y51" s="33">
        <f ca="1">SUMPRODUCT((I51:INDEX(I51:T51,MONTH(TODAY()))="X")*1)</f>
        <v>0</v>
      </c>
      <c r="Z51" s="39">
        <f t="shared" si="4"/>
        <v>1</v>
      </c>
    </row>
    <row r="52" spans="1:26" x14ac:dyDescent="0.25">
      <c r="A52" s="37" t="str">
        <f>Equipos!C50</f>
        <v>2-112265</v>
      </c>
      <c r="B52" s="33" t="str">
        <f>Equipos!D50</f>
        <v>Desfibrilador</v>
      </c>
      <c r="C52" s="33" t="str">
        <f>Equipos!E50</f>
        <v>Urgencia Infantil</v>
      </c>
      <c r="D52" s="33" t="str">
        <f>Equipos!G50</f>
        <v>SUI sala IRA</v>
      </c>
      <c r="E52" s="33" t="str">
        <f>Equipos!I50</f>
        <v>Nihon Kohden</v>
      </c>
      <c r="F52" s="33" t="str">
        <f>Equipos!J50</f>
        <v>TEC 5531E</v>
      </c>
      <c r="G52" s="37" t="str">
        <f>Equipos!K50</f>
        <v>00888</v>
      </c>
      <c r="H52" s="33"/>
      <c r="I52" s="38"/>
      <c r="J52" s="38"/>
      <c r="K52" s="50" t="s">
        <v>277</v>
      </c>
      <c r="L52" s="50" t="s">
        <v>275</v>
      </c>
      <c r="M52" s="38"/>
      <c r="N52" s="38"/>
      <c r="O52" s="38"/>
      <c r="P52" s="38"/>
      <c r="Q52" s="38"/>
      <c r="R52" s="38"/>
      <c r="S52" s="38"/>
      <c r="T52" s="38"/>
      <c r="U52" s="33">
        <f t="shared" si="0"/>
        <v>2</v>
      </c>
      <c r="V52" s="33">
        <f t="shared" si="1"/>
        <v>1</v>
      </c>
      <c r="W52" s="33">
        <f t="shared" si="2"/>
        <v>0</v>
      </c>
      <c r="X52" s="33">
        <f t="shared" si="3"/>
        <v>1</v>
      </c>
      <c r="Y52" s="33">
        <f ca="1">SUMPRODUCT((I52:INDEX(I52:T52,MONTH(TODAY()))="X")*1)</f>
        <v>0</v>
      </c>
      <c r="Z52" s="39">
        <f t="shared" si="4"/>
        <v>0.5</v>
      </c>
    </row>
    <row r="53" spans="1:26" x14ac:dyDescent="0.25">
      <c r="A53" s="37" t="str">
        <f>Equipos!C51</f>
        <v>2-112266</v>
      </c>
      <c r="B53" s="33" t="str">
        <f>Equipos!D51</f>
        <v>Desfibrilador</v>
      </c>
      <c r="C53" s="33" t="str">
        <f>Equipos!E51</f>
        <v>Endoscopía</v>
      </c>
      <c r="D53" s="33" t="str">
        <f>Equipos!G51</f>
        <v>CDT-P1-SA06</v>
      </c>
      <c r="E53" s="33" t="str">
        <f>Equipos!I51</f>
        <v>Zoll</v>
      </c>
      <c r="F53" s="33" t="str">
        <f>Equipos!J51</f>
        <v>R SERIES ALS</v>
      </c>
      <c r="G53" s="37" t="str">
        <f>Equipos!K51</f>
        <v>AF12B020988</v>
      </c>
      <c r="H53" s="33"/>
      <c r="I53" s="38"/>
      <c r="J53" s="38"/>
      <c r="K53" s="50" t="s">
        <v>275</v>
      </c>
      <c r="L53" s="38"/>
      <c r="M53" s="38"/>
      <c r="N53" s="38"/>
      <c r="O53" s="38"/>
      <c r="P53" s="38"/>
      <c r="Q53" s="38"/>
      <c r="R53" s="38"/>
      <c r="S53" s="38"/>
      <c r="T53" s="38"/>
      <c r="U53" s="33">
        <f t="shared" si="0"/>
        <v>1</v>
      </c>
      <c r="V53" s="33">
        <f t="shared" si="1"/>
        <v>1</v>
      </c>
      <c r="W53" s="33">
        <f t="shared" si="2"/>
        <v>0</v>
      </c>
      <c r="X53" s="33">
        <f t="shared" si="3"/>
        <v>0</v>
      </c>
      <c r="Y53" s="33">
        <f ca="1">SUMPRODUCT((I53:INDEX(I53:T53,MONTH(TODAY()))="X")*1)</f>
        <v>0</v>
      </c>
      <c r="Z53" s="39">
        <f t="shared" si="4"/>
        <v>1</v>
      </c>
    </row>
    <row r="54" spans="1:26" x14ac:dyDescent="0.25">
      <c r="A54" s="37" t="str">
        <f>Equipos!C52</f>
        <v>2-112267</v>
      </c>
      <c r="B54" s="33" t="str">
        <f>Equipos!D52</f>
        <v>Desfibrilador</v>
      </c>
      <c r="C54" s="33" t="str">
        <f>Equipos!E52</f>
        <v>UPC Adulto</v>
      </c>
      <c r="D54" s="33" t="str">
        <f>Equipos!G52</f>
        <v>UCI D</v>
      </c>
      <c r="E54" s="33" t="str">
        <f>Equipos!I52</f>
        <v>Nihon Kohden</v>
      </c>
      <c r="F54" s="33" t="str">
        <f>Equipos!J52</f>
        <v>TEC 5531E</v>
      </c>
      <c r="G54" s="37" t="str">
        <f>Equipos!K52</f>
        <v>00889</v>
      </c>
      <c r="H54" s="33"/>
      <c r="I54" s="38"/>
      <c r="J54" s="50" t="s">
        <v>277</v>
      </c>
      <c r="K54" s="38"/>
      <c r="L54" s="50" t="s">
        <v>275</v>
      </c>
      <c r="M54" s="38"/>
      <c r="N54" s="38"/>
      <c r="O54" s="38"/>
      <c r="P54" s="38"/>
      <c r="Q54" s="38"/>
      <c r="R54" s="38"/>
      <c r="S54" s="38"/>
      <c r="T54" s="38"/>
      <c r="U54" s="33">
        <f t="shared" si="0"/>
        <v>2</v>
      </c>
      <c r="V54" s="33">
        <f t="shared" si="1"/>
        <v>1</v>
      </c>
      <c r="W54" s="33">
        <f t="shared" si="2"/>
        <v>0</v>
      </c>
      <c r="X54" s="33">
        <f t="shared" si="3"/>
        <v>1</v>
      </c>
      <c r="Y54" s="33">
        <f ca="1">SUMPRODUCT((I54:INDEX(I54:T54,MONTH(TODAY()))="X")*1)</f>
        <v>0</v>
      </c>
      <c r="Z54" s="39">
        <f t="shared" si="4"/>
        <v>0.5</v>
      </c>
    </row>
    <row r="55" spans="1:26" x14ac:dyDescent="0.25">
      <c r="A55" s="37" t="str">
        <f>Equipos!C53</f>
        <v>2-023059</v>
      </c>
      <c r="B55" s="33" t="str">
        <f>Equipos!D53</f>
        <v>Desfibrilador</v>
      </c>
      <c r="C55" s="33" t="str">
        <f>Equipos!E53</f>
        <v>Pediatría</v>
      </c>
      <c r="D55" s="33" t="str">
        <f>Equipos!G53</f>
        <v>Pediatréa EPA</v>
      </c>
      <c r="E55" s="33" t="str">
        <f>Equipos!I53</f>
        <v>Nihon Kohden</v>
      </c>
      <c r="F55" s="33" t="str">
        <f>Equipos!J53</f>
        <v>TEC 5531E</v>
      </c>
      <c r="G55" s="37" t="str">
        <f>Equipos!K53</f>
        <v>00039</v>
      </c>
      <c r="H55" s="33"/>
      <c r="I55" s="50" t="s">
        <v>275</v>
      </c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3">
        <f t="shared" si="0"/>
        <v>1</v>
      </c>
      <c r="V55" s="33">
        <f t="shared" si="1"/>
        <v>1</v>
      </c>
      <c r="W55" s="33">
        <f t="shared" si="2"/>
        <v>0</v>
      </c>
      <c r="X55" s="33">
        <f t="shared" si="3"/>
        <v>0</v>
      </c>
      <c r="Y55" s="33">
        <f ca="1">SUMPRODUCT((I55:INDEX(I55:T55,MONTH(TODAY()))="X")*1)</f>
        <v>0</v>
      </c>
      <c r="Z55" s="39">
        <f t="shared" si="4"/>
        <v>1</v>
      </c>
    </row>
    <row r="56" spans="1:26" x14ac:dyDescent="0.25">
      <c r="A56" s="37" t="str">
        <f>Equipos!C54</f>
        <v>2-112268</v>
      </c>
      <c r="B56" s="33" t="str">
        <f>Equipos!D54</f>
        <v>Desfibrilador</v>
      </c>
      <c r="C56" s="33" t="str">
        <f>Equipos!E54</f>
        <v>Pabellones Gineco-Obstétricos</v>
      </c>
      <c r="D56" s="33" t="str">
        <f>Equipos!G54</f>
        <v>Pabellón Urgencia Obstétrica</v>
      </c>
      <c r="E56" s="33" t="str">
        <f>Equipos!I54</f>
        <v>Zoll</v>
      </c>
      <c r="F56" s="33" t="str">
        <f>Equipos!J54</f>
        <v xml:space="preserve">M SERIES </v>
      </c>
      <c r="G56" s="37" t="str">
        <f>Equipos!K54</f>
        <v>T03K52786</v>
      </c>
      <c r="H56" s="33"/>
      <c r="I56" s="38"/>
      <c r="J56" s="38"/>
      <c r="K56" s="38"/>
      <c r="L56" s="38"/>
      <c r="M56" s="50" t="s">
        <v>275</v>
      </c>
      <c r="N56" s="38"/>
      <c r="O56" s="38"/>
      <c r="P56" s="38"/>
      <c r="Q56" s="38"/>
      <c r="R56" s="38"/>
      <c r="S56" s="38"/>
      <c r="T56" s="38"/>
      <c r="U56" s="33">
        <f t="shared" si="0"/>
        <v>1</v>
      </c>
      <c r="V56" s="33">
        <f t="shared" si="1"/>
        <v>1</v>
      </c>
      <c r="W56" s="33">
        <f t="shared" si="2"/>
        <v>0</v>
      </c>
      <c r="X56" s="33">
        <f t="shared" si="3"/>
        <v>0</v>
      </c>
      <c r="Y56" s="33">
        <f ca="1">SUMPRODUCT((I56:INDEX(I56:T56,MONTH(TODAY()))="X")*1)</f>
        <v>0</v>
      </c>
      <c r="Z56" s="39">
        <f t="shared" si="4"/>
        <v>1</v>
      </c>
    </row>
    <row r="57" spans="1:26" x14ac:dyDescent="0.25">
      <c r="A57" s="37" t="str">
        <f>Equipos!C55</f>
        <v>2-015926</v>
      </c>
      <c r="B57" s="33" t="str">
        <f>Equipos!D55</f>
        <v>Desfibrilador</v>
      </c>
      <c r="C57" s="33" t="str">
        <f>Equipos!E55</f>
        <v>Pabellones Gineco-Obstétricos</v>
      </c>
      <c r="D57" s="33" t="str">
        <f>Equipos!G55</f>
        <v>Recuperación Partos</v>
      </c>
      <c r="E57" s="33" t="str">
        <f>Equipos!I55</f>
        <v>Medtronic</v>
      </c>
      <c r="F57" s="33" t="str">
        <f>Equipos!J55</f>
        <v>Lifepack 20</v>
      </c>
      <c r="G57" s="37" t="str">
        <f>Equipos!K55</f>
        <v>40676147</v>
      </c>
      <c r="H57" s="33"/>
      <c r="I57" s="38"/>
      <c r="J57" s="38"/>
      <c r="K57" s="38"/>
      <c r="L57" s="38"/>
      <c r="M57" s="50" t="s">
        <v>275</v>
      </c>
      <c r="N57" s="38"/>
      <c r="O57" s="38"/>
      <c r="P57" s="38"/>
      <c r="Q57" s="38"/>
      <c r="R57" s="38"/>
      <c r="S57" s="38"/>
      <c r="T57" s="38"/>
      <c r="U57" s="33">
        <f t="shared" si="0"/>
        <v>1</v>
      </c>
      <c r="V57" s="33">
        <f t="shared" si="1"/>
        <v>1</v>
      </c>
      <c r="W57" s="33">
        <f t="shared" si="2"/>
        <v>0</v>
      </c>
      <c r="X57" s="33">
        <f t="shared" si="3"/>
        <v>0</v>
      </c>
      <c r="Y57" s="33">
        <f ca="1">SUMPRODUCT((I57:INDEX(I57:T57,MONTH(TODAY()))="X")*1)</f>
        <v>0</v>
      </c>
      <c r="Z57" s="39">
        <f t="shared" si="4"/>
        <v>1</v>
      </c>
    </row>
    <row r="58" spans="1:26" x14ac:dyDescent="0.25">
      <c r="A58" s="37" t="str">
        <f>Equipos!C56</f>
        <v>2-021577</v>
      </c>
      <c r="B58" s="33" t="str">
        <f>Equipos!D56</f>
        <v>Desfibrilador</v>
      </c>
      <c r="C58" s="33" t="str">
        <f>Equipos!E56</f>
        <v>Cirugía Adulto</v>
      </c>
      <c r="D58" s="33" t="str">
        <f>Equipos!G56</f>
        <v>Bodega escritorio</v>
      </c>
      <c r="E58" s="33" t="str">
        <f>Equipos!I56</f>
        <v>Medtronic</v>
      </c>
      <c r="F58" s="33" t="str">
        <f>Equipos!J56</f>
        <v>Lifepack 20</v>
      </c>
      <c r="G58" s="37" t="str">
        <f>Equipos!K56</f>
        <v>39322210</v>
      </c>
      <c r="H58" s="33"/>
      <c r="I58" s="38"/>
      <c r="J58" s="38"/>
      <c r="K58" s="38"/>
      <c r="L58" s="38"/>
      <c r="M58" s="50" t="s">
        <v>275</v>
      </c>
      <c r="N58" s="38"/>
      <c r="O58" s="38"/>
      <c r="P58" s="38"/>
      <c r="Q58" s="38"/>
      <c r="R58" s="38"/>
      <c r="S58" s="38"/>
      <c r="T58" s="38"/>
      <c r="U58" s="33">
        <f t="shared" si="0"/>
        <v>1</v>
      </c>
      <c r="V58" s="33">
        <f t="shared" si="1"/>
        <v>1</v>
      </c>
      <c r="W58" s="33">
        <f t="shared" si="2"/>
        <v>0</v>
      </c>
      <c r="X58" s="33">
        <f t="shared" si="3"/>
        <v>0</v>
      </c>
      <c r="Y58" s="33">
        <f ca="1">SUMPRODUCT((I58:INDEX(I58:T58,MONTH(TODAY()))="X")*1)</f>
        <v>0</v>
      </c>
      <c r="Z58" s="39">
        <f t="shared" si="4"/>
        <v>1</v>
      </c>
    </row>
    <row r="59" spans="1:26" x14ac:dyDescent="0.25">
      <c r="A59" s="37" t="str">
        <f>Equipos!C57</f>
        <v>2-017416</v>
      </c>
      <c r="B59" s="33" t="str">
        <f>Equipos!D57</f>
        <v>Desfibrilador</v>
      </c>
      <c r="C59" s="33" t="str">
        <f>Equipos!E57</f>
        <v>Pabellón Quirúrgico</v>
      </c>
      <c r="D59" s="33" t="str">
        <f>Equipos!G57</f>
        <v>CDT-P2-PA05</v>
      </c>
      <c r="E59" s="33" t="str">
        <f>Equipos!I57</f>
        <v>Nihon Kohden</v>
      </c>
      <c r="F59" s="33" t="str">
        <f>Equipos!J57</f>
        <v>TEC 5531E</v>
      </c>
      <c r="G59" s="37" t="str">
        <f>Equipos!K57</f>
        <v>00880</v>
      </c>
      <c r="H59" s="33"/>
      <c r="I59" s="38"/>
      <c r="J59" s="38"/>
      <c r="K59" s="38"/>
      <c r="L59" s="50" t="s">
        <v>275</v>
      </c>
      <c r="M59" s="38"/>
      <c r="N59" s="38"/>
      <c r="O59" s="38"/>
      <c r="P59" s="38"/>
      <c r="Q59" s="38"/>
      <c r="R59" s="38"/>
      <c r="S59" s="38"/>
      <c r="T59" s="38"/>
      <c r="U59" s="33">
        <f t="shared" si="0"/>
        <v>1</v>
      </c>
      <c r="V59" s="33">
        <f t="shared" si="1"/>
        <v>1</v>
      </c>
      <c r="W59" s="33">
        <f t="shared" si="2"/>
        <v>0</v>
      </c>
      <c r="X59" s="33">
        <f t="shared" si="3"/>
        <v>0</v>
      </c>
      <c r="Y59" s="33">
        <f ca="1">SUMPRODUCT((I59:INDEX(I59:T59,MONTH(TODAY()))="X")*1)</f>
        <v>0</v>
      </c>
      <c r="Z59" s="39">
        <f t="shared" si="4"/>
        <v>1</v>
      </c>
    </row>
    <row r="60" spans="1:26" x14ac:dyDescent="0.25">
      <c r="A60" s="37" t="str">
        <f>Equipos!C58</f>
        <v>2-024411</v>
      </c>
      <c r="B60" s="33" t="str">
        <f>Equipos!D58</f>
        <v>Desfibrilador</v>
      </c>
      <c r="C60" s="33" t="str">
        <f>Equipos!E58</f>
        <v>Cirugía Adulto</v>
      </c>
      <c r="D60" s="33" t="str">
        <f>Equipos!G58</f>
        <v>EPB-P3-OF02</v>
      </c>
      <c r="E60" s="33" t="str">
        <f>Equipos!I58</f>
        <v>Nihon Kohden</v>
      </c>
      <c r="F60" s="33" t="str">
        <f>Equipos!J58</f>
        <v>TEC 5531E</v>
      </c>
      <c r="G60" s="37" t="str">
        <f>Equipos!K58</f>
        <v>00885</v>
      </c>
      <c r="H60" s="33"/>
      <c r="I60" s="38"/>
      <c r="J60" s="38"/>
      <c r="K60" s="38"/>
      <c r="L60" s="50" t="s">
        <v>275</v>
      </c>
      <c r="M60" s="38"/>
      <c r="N60" s="38"/>
      <c r="O60" s="38"/>
      <c r="P60" s="38"/>
      <c r="Q60" s="38"/>
      <c r="R60" s="38"/>
      <c r="S60" s="38"/>
      <c r="T60" s="38"/>
      <c r="U60" s="33">
        <f t="shared" si="0"/>
        <v>1</v>
      </c>
      <c r="V60" s="33">
        <f t="shared" si="1"/>
        <v>1</v>
      </c>
      <c r="W60" s="33">
        <f t="shared" si="2"/>
        <v>0</v>
      </c>
      <c r="X60" s="33">
        <f t="shared" si="3"/>
        <v>0</v>
      </c>
      <c r="Y60" s="33">
        <f ca="1">SUMPRODUCT((I60:INDEX(I60:T60,MONTH(TODAY()))="X")*1)</f>
        <v>0</v>
      </c>
      <c r="Z60" s="39">
        <f t="shared" si="4"/>
        <v>1</v>
      </c>
    </row>
    <row r="61" spans="1:26" x14ac:dyDescent="0.25">
      <c r="A61" s="37" t="str">
        <f>Equipos!C59</f>
        <v>2-112269</v>
      </c>
      <c r="B61" s="33" t="str">
        <f>Equipos!D59</f>
        <v>Desfibrilador</v>
      </c>
      <c r="C61" s="33" t="str">
        <f>Equipos!E59</f>
        <v>Pabellón CMA</v>
      </c>
      <c r="D61" s="33">
        <f>Equipos!G59</f>
        <v>0</v>
      </c>
      <c r="E61" s="33" t="str">
        <f>Equipos!I59</f>
        <v>Nihon Kohden</v>
      </c>
      <c r="F61" s="33" t="str">
        <f>Equipos!J59</f>
        <v>TEC 5531E</v>
      </c>
      <c r="G61" s="37" t="str">
        <f>Equipos!K59</f>
        <v>01818</v>
      </c>
      <c r="H61" s="33"/>
      <c r="I61" s="38"/>
      <c r="J61" s="38"/>
      <c r="K61" s="38"/>
      <c r="L61" s="38"/>
      <c r="M61" s="50" t="s">
        <v>275</v>
      </c>
      <c r="N61" s="38"/>
      <c r="O61" s="38"/>
      <c r="P61" s="38"/>
      <c r="Q61" s="38"/>
      <c r="R61" s="38"/>
      <c r="S61" s="38"/>
      <c r="T61" s="38"/>
      <c r="U61" s="33">
        <f t="shared" si="0"/>
        <v>1</v>
      </c>
      <c r="V61" s="33">
        <f t="shared" si="1"/>
        <v>1</v>
      </c>
      <c r="W61" s="33">
        <f t="shared" si="2"/>
        <v>0</v>
      </c>
      <c r="X61" s="33">
        <f t="shared" si="3"/>
        <v>0</v>
      </c>
      <c r="Y61" s="33">
        <f ca="1">SUMPRODUCT((I61:INDEX(I61:T61,MONTH(TODAY()))="X")*1)</f>
        <v>0</v>
      </c>
      <c r="Z61" s="39">
        <f t="shared" si="4"/>
        <v>1</v>
      </c>
    </row>
    <row r="62" spans="1:26" x14ac:dyDescent="0.25">
      <c r="A62" s="37" t="str">
        <f>Equipos!C60</f>
        <v>2-013928</v>
      </c>
      <c r="B62" s="33" t="str">
        <f>Equipos!D60</f>
        <v>Desfibrilador</v>
      </c>
      <c r="C62" s="33" t="str">
        <f>Equipos!E60</f>
        <v>Pabellón CMA</v>
      </c>
      <c r="D62" s="33">
        <f>Equipos!G60</f>
        <v>0</v>
      </c>
      <c r="E62" s="33" t="str">
        <f>Equipos!I60</f>
        <v>Nihon Kohden</v>
      </c>
      <c r="F62" s="33" t="str">
        <f>Equipos!J60</f>
        <v>TEC 5531E</v>
      </c>
      <c r="G62" s="37" t="str">
        <f>Equipos!K60</f>
        <v>00887</v>
      </c>
      <c r="H62" s="33"/>
      <c r="I62" s="38"/>
      <c r="J62" s="38"/>
      <c r="K62" s="38"/>
      <c r="L62" s="38"/>
      <c r="M62" s="50" t="s">
        <v>275</v>
      </c>
      <c r="N62" s="38"/>
      <c r="O62" s="38"/>
      <c r="P62" s="38"/>
      <c r="Q62" s="38"/>
      <c r="R62" s="38"/>
      <c r="S62" s="38"/>
      <c r="T62" s="38"/>
      <c r="U62" s="33">
        <f t="shared" si="0"/>
        <v>1</v>
      </c>
      <c r="V62" s="33">
        <f t="shared" si="1"/>
        <v>1</v>
      </c>
      <c r="W62" s="33">
        <f t="shared" si="2"/>
        <v>0</v>
      </c>
      <c r="X62" s="33">
        <f t="shared" si="3"/>
        <v>0</v>
      </c>
      <c r="Y62" s="33">
        <f ca="1">SUMPRODUCT((I62:INDEX(I62:T62,MONTH(TODAY()))="X")*1)</f>
        <v>0</v>
      </c>
      <c r="Z62" s="39">
        <f t="shared" si="4"/>
        <v>1</v>
      </c>
    </row>
    <row r="63" spans="1:26" x14ac:dyDescent="0.25">
      <c r="A63" s="37" t="str">
        <f>Equipos!C61</f>
        <v>2-017028</v>
      </c>
      <c r="B63" s="33" t="str">
        <f>Equipos!D61</f>
        <v>Desfibrilador</v>
      </c>
      <c r="C63" s="33" t="str">
        <f>Equipos!E61</f>
        <v>Psiquiatría</v>
      </c>
      <c r="D63" s="33" t="str">
        <f>Equipos!G61</f>
        <v>CDT-P1-SA32</v>
      </c>
      <c r="E63" s="33" t="str">
        <f>Equipos!I61</f>
        <v>Nihon Kohden</v>
      </c>
      <c r="F63" s="33" t="str">
        <f>Equipos!J61</f>
        <v>TEC 5531E</v>
      </c>
      <c r="G63" s="37" t="str">
        <f>Equipos!K61</f>
        <v>00876</v>
      </c>
      <c r="H63" s="33"/>
      <c r="I63" s="38"/>
      <c r="J63" s="38"/>
      <c r="K63" s="38"/>
      <c r="L63" s="50" t="s">
        <v>275</v>
      </c>
      <c r="M63" s="38"/>
      <c r="N63" s="38"/>
      <c r="O63" s="38"/>
      <c r="P63" s="38"/>
      <c r="Q63" s="38"/>
      <c r="R63" s="38"/>
      <c r="S63" s="38"/>
      <c r="T63" s="38"/>
      <c r="U63" s="33">
        <f t="shared" si="0"/>
        <v>1</v>
      </c>
      <c r="V63" s="33">
        <f t="shared" si="1"/>
        <v>1</v>
      </c>
      <c r="W63" s="33">
        <f t="shared" si="2"/>
        <v>0</v>
      </c>
      <c r="X63" s="33">
        <f t="shared" si="3"/>
        <v>0</v>
      </c>
      <c r="Y63" s="33">
        <f ca="1">SUMPRODUCT((I63:INDEX(I63:T63,MONTH(TODAY()))="X")*1)</f>
        <v>0</v>
      </c>
      <c r="Z63" s="39">
        <f t="shared" si="4"/>
        <v>1</v>
      </c>
    </row>
    <row r="64" spans="1:26" x14ac:dyDescent="0.25">
      <c r="A64" s="37" t="str">
        <f>Equipos!C62</f>
        <v>2-017177</v>
      </c>
      <c r="B64" s="33" t="str">
        <f>Equipos!D62</f>
        <v>Desfibrilador</v>
      </c>
      <c r="C64" s="33" t="str">
        <f>Equipos!E62</f>
        <v>Psiquiatría</v>
      </c>
      <c r="D64" s="33" t="str">
        <f>Equipos!G62</f>
        <v>CDT-P2-E.E02</v>
      </c>
      <c r="E64" s="33" t="str">
        <f>Equipos!I62</f>
        <v>Nihon Kohden</v>
      </c>
      <c r="F64" s="33" t="str">
        <f>Equipos!J62</f>
        <v>TEC 5521E</v>
      </c>
      <c r="G64" s="37" t="str">
        <f>Equipos!K62</f>
        <v>00795</v>
      </c>
      <c r="H64" s="33"/>
      <c r="I64" s="38"/>
      <c r="J64" s="38"/>
      <c r="K64" s="38"/>
      <c r="L64" s="50" t="s">
        <v>275</v>
      </c>
      <c r="M64" s="38"/>
      <c r="N64" s="38"/>
      <c r="O64" s="38"/>
      <c r="P64" s="38"/>
      <c r="Q64" s="38"/>
      <c r="R64" s="38"/>
      <c r="S64" s="38"/>
      <c r="T64" s="38"/>
      <c r="U64" s="33">
        <f t="shared" si="0"/>
        <v>1</v>
      </c>
      <c r="V64" s="33">
        <f t="shared" si="1"/>
        <v>1</v>
      </c>
      <c r="W64" s="33">
        <f t="shared" si="2"/>
        <v>0</v>
      </c>
      <c r="X64" s="33">
        <f t="shared" si="3"/>
        <v>0</v>
      </c>
      <c r="Y64" s="33">
        <f ca="1">SUMPRODUCT((I64:INDEX(I64:T64,MONTH(TODAY()))="X")*1)</f>
        <v>0</v>
      </c>
      <c r="Z64" s="39">
        <f t="shared" si="4"/>
        <v>1</v>
      </c>
    </row>
    <row r="65" spans="1:26" x14ac:dyDescent="0.25">
      <c r="A65" s="37" t="str">
        <f>Equipos!C63</f>
        <v>2-024493</v>
      </c>
      <c r="B65" s="33" t="str">
        <f>Equipos!D63</f>
        <v>Desfibrilador</v>
      </c>
      <c r="C65" s="33" t="str">
        <f>Equipos!E63</f>
        <v>Imagenología</v>
      </c>
      <c r="D65" s="33" t="str">
        <f>Equipos!G63</f>
        <v>Scanner</v>
      </c>
      <c r="E65" s="33" t="str">
        <f>Equipos!I63</f>
        <v>Nihon Kohden</v>
      </c>
      <c r="F65" s="33" t="str">
        <f>Equipos!J63</f>
        <v>TEC 5521E</v>
      </c>
      <c r="G65" s="37" t="str">
        <f>Equipos!K63</f>
        <v>00790</v>
      </c>
      <c r="H65" s="33"/>
      <c r="I65" s="50" t="s">
        <v>275</v>
      </c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3">
        <f t="shared" si="0"/>
        <v>1</v>
      </c>
      <c r="V65" s="33">
        <f t="shared" si="1"/>
        <v>1</v>
      </c>
      <c r="W65" s="33">
        <f t="shared" si="2"/>
        <v>0</v>
      </c>
      <c r="X65" s="33">
        <f t="shared" si="3"/>
        <v>0</v>
      </c>
      <c r="Y65" s="33">
        <f ca="1">SUMPRODUCT((I65:INDEX(I65:T65,MONTH(TODAY()))="X")*1)</f>
        <v>0</v>
      </c>
      <c r="Z65" s="39">
        <f t="shared" si="4"/>
        <v>1</v>
      </c>
    </row>
    <row r="66" spans="1:26" x14ac:dyDescent="0.25">
      <c r="A66" s="37" t="str">
        <f>Equipos!C64</f>
        <v>2-112287</v>
      </c>
      <c r="B66" s="33" t="str">
        <f>Equipos!D64</f>
        <v>Desfibrilador</v>
      </c>
      <c r="C66" s="33" t="str">
        <f>Equipos!E64</f>
        <v>Imagenología</v>
      </c>
      <c r="D66" s="33" t="str">
        <f>Equipos!G64</f>
        <v>Angiógrafo</v>
      </c>
      <c r="E66" s="33" t="str">
        <f>Equipos!I64</f>
        <v>Nihon Kohden</v>
      </c>
      <c r="F66" s="33" t="str">
        <f>Equipos!J64</f>
        <v>TEC 5521E</v>
      </c>
      <c r="G66" s="37" t="str">
        <f>Equipos!K64</f>
        <v>00083</v>
      </c>
      <c r="H66" s="33"/>
      <c r="I66" s="50" t="s">
        <v>275</v>
      </c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3">
        <f t="shared" si="0"/>
        <v>1</v>
      </c>
      <c r="V66" s="33">
        <f t="shared" si="1"/>
        <v>1</v>
      </c>
      <c r="W66" s="33">
        <f t="shared" si="2"/>
        <v>0</v>
      </c>
      <c r="X66" s="33">
        <f t="shared" si="3"/>
        <v>0</v>
      </c>
      <c r="Y66" s="33">
        <f ca="1">SUMPRODUCT((I66:INDEX(I66:T66,MONTH(TODAY()))="X")*1)</f>
        <v>0</v>
      </c>
      <c r="Z66" s="39">
        <f t="shared" si="4"/>
        <v>1</v>
      </c>
    </row>
    <row r="67" spans="1:26" x14ac:dyDescent="0.25">
      <c r="A67" s="37" t="str">
        <f>Equipos!C65</f>
        <v>2-002720</v>
      </c>
      <c r="B67" s="33" t="str">
        <f>Equipos!D65</f>
        <v>Desfibrilador</v>
      </c>
      <c r="C67" s="33" t="str">
        <f>Equipos!E65</f>
        <v>Traumatología</v>
      </c>
      <c r="D67" s="33" t="str">
        <f>Equipos!G65</f>
        <v>Cirugía Trauma</v>
      </c>
      <c r="E67" s="33" t="str">
        <f>Equipos!I65</f>
        <v>Nihon Kohden</v>
      </c>
      <c r="F67" s="33" t="str">
        <f>Equipos!J65</f>
        <v>TEC 5531E</v>
      </c>
      <c r="G67" s="37" t="str">
        <f>Equipos!K65</f>
        <v>01811</v>
      </c>
      <c r="H67" s="33"/>
      <c r="I67" s="38"/>
      <c r="J67" s="38"/>
      <c r="K67" s="50" t="s">
        <v>275</v>
      </c>
      <c r="L67" s="38"/>
      <c r="M67" s="38"/>
      <c r="N67" s="38"/>
      <c r="O67" s="38"/>
      <c r="P67" s="38"/>
      <c r="Q67" s="38"/>
      <c r="R67" s="38"/>
      <c r="S67" s="38"/>
      <c r="T67" s="38"/>
      <c r="U67" s="33">
        <f t="shared" si="0"/>
        <v>1</v>
      </c>
      <c r="V67" s="33">
        <f t="shared" si="1"/>
        <v>1</v>
      </c>
      <c r="W67" s="33">
        <f t="shared" si="2"/>
        <v>0</v>
      </c>
      <c r="X67" s="33">
        <f t="shared" si="3"/>
        <v>0</v>
      </c>
      <c r="Y67" s="33">
        <f ca="1">SUMPRODUCT((I67:INDEX(I67:T67,MONTH(TODAY()))="X")*1)</f>
        <v>0</v>
      </c>
      <c r="Z67" s="39">
        <f t="shared" si="4"/>
        <v>1</v>
      </c>
    </row>
    <row r="68" spans="1:26" x14ac:dyDescent="0.25">
      <c r="A68" s="37" t="str">
        <f>Equipos!C66</f>
        <v>2-013295</v>
      </c>
      <c r="B68" s="33" t="str">
        <f>Equipos!D66</f>
        <v>Desfibrilador</v>
      </c>
      <c r="C68" s="33" t="str">
        <f>Equipos!E66</f>
        <v>Neurocirugía</v>
      </c>
      <c r="D68" s="33" t="str">
        <f>Equipos!G66</f>
        <v>Sala 298</v>
      </c>
      <c r="E68" s="33" t="str">
        <f>Equipos!I66</f>
        <v>Nihon Kohden</v>
      </c>
      <c r="F68" s="33" t="str">
        <f>Equipos!J66</f>
        <v>TEC 5521E</v>
      </c>
      <c r="G68" s="37" t="str">
        <f>Equipos!K66</f>
        <v>01076</v>
      </c>
      <c r="H68" s="33"/>
      <c r="I68" s="38"/>
      <c r="J68" s="38"/>
      <c r="K68" s="50" t="s">
        <v>275</v>
      </c>
      <c r="L68" s="38"/>
      <c r="M68" s="38"/>
      <c r="N68" s="38"/>
      <c r="O68" s="38"/>
      <c r="P68" s="38"/>
      <c r="Q68" s="38"/>
      <c r="R68" s="38"/>
      <c r="S68" s="38"/>
      <c r="T68" s="38"/>
      <c r="U68" s="33">
        <f t="shared" ref="U68:U131" si="5">V68+W68+X68+COUNTIF(I68:T68,"R")</f>
        <v>1</v>
      </c>
      <c r="V68" s="33">
        <f t="shared" ref="V68:V131" si="6">COUNTIF(I68:T68,"E")</f>
        <v>1</v>
      </c>
      <c r="W68" s="33">
        <f t="shared" ref="W68:W131" si="7">COUNTIF(I68:T68,"X")</f>
        <v>0</v>
      </c>
      <c r="X68" s="33">
        <f t="shared" ref="X68:X131" si="8">COUNTIF(I68:T68,"C2")+COUNTIF(I68:T68,"C3")</f>
        <v>0</v>
      </c>
      <c r="Y68" s="33">
        <f ca="1">SUMPRODUCT((I68:INDEX(I68:T68,MONTH(TODAY()))="X")*1)</f>
        <v>0</v>
      </c>
      <c r="Z68" s="39">
        <f t="shared" ref="Z68:Z131" si="9">IFERROR(V68/U68,"")</f>
        <v>1</v>
      </c>
    </row>
    <row r="69" spans="1:26" x14ac:dyDescent="0.25">
      <c r="A69" s="37" t="str">
        <f>Equipos!C67</f>
        <v>2-003576</v>
      </c>
      <c r="B69" s="33" t="str">
        <f>Equipos!D67</f>
        <v>Desfibrilador</v>
      </c>
      <c r="C69" s="33" t="str">
        <f>Equipos!E67</f>
        <v>Cirugía Adulto</v>
      </c>
      <c r="D69" s="33" t="str">
        <f>Equipos!G67</f>
        <v>EPC</v>
      </c>
      <c r="E69" s="33" t="str">
        <f>Equipos!I67</f>
        <v>Nihon Kohden</v>
      </c>
      <c r="F69" s="33" t="str">
        <f>Equipos!J67</f>
        <v>TEC 5531E</v>
      </c>
      <c r="G69" s="37" t="str">
        <f>Equipos!K67</f>
        <v>01815</v>
      </c>
      <c r="H69" s="33"/>
      <c r="I69" s="38"/>
      <c r="J69" s="38"/>
      <c r="K69" s="38"/>
      <c r="L69" s="38"/>
      <c r="M69" s="50" t="s">
        <v>275</v>
      </c>
      <c r="N69" s="38"/>
      <c r="O69" s="38"/>
      <c r="P69" s="38"/>
      <c r="Q69" s="38"/>
      <c r="R69" s="38"/>
      <c r="S69" s="38"/>
      <c r="T69" s="38"/>
      <c r="U69" s="33">
        <f t="shared" si="5"/>
        <v>1</v>
      </c>
      <c r="V69" s="33">
        <f t="shared" si="6"/>
        <v>1</v>
      </c>
      <c r="W69" s="33">
        <f t="shared" si="7"/>
        <v>0</v>
      </c>
      <c r="X69" s="33">
        <f t="shared" si="8"/>
        <v>0</v>
      </c>
      <c r="Y69" s="33">
        <f ca="1">SUMPRODUCT((I69:INDEX(I69:T69,MONTH(TODAY()))="X")*1)</f>
        <v>0</v>
      </c>
      <c r="Z69" s="39">
        <f t="shared" si="9"/>
        <v>1</v>
      </c>
    </row>
    <row r="70" spans="1:26" x14ac:dyDescent="0.25">
      <c r="A70" s="37" t="str">
        <f>Equipos!C68</f>
        <v>2-021802</v>
      </c>
      <c r="B70" s="33" t="str">
        <f>Equipos!D68</f>
        <v>Desfibrilador</v>
      </c>
      <c r="C70" s="33" t="str">
        <f>Equipos!E68</f>
        <v>UPC 3er Piso</v>
      </c>
      <c r="D70" s="33" t="str">
        <f>Equipos!G68</f>
        <v>Carro de paro</v>
      </c>
      <c r="E70" s="33" t="str">
        <f>Equipos!I68</f>
        <v>Nihon Kohden</v>
      </c>
      <c r="F70" s="33" t="str">
        <f>Equipos!J68</f>
        <v>TEC 5531E</v>
      </c>
      <c r="G70" s="37" t="str">
        <f>Equipos!K68</f>
        <v>01810</v>
      </c>
      <c r="H70" s="33"/>
      <c r="I70" s="38"/>
      <c r="J70" s="38"/>
      <c r="K70" s="38"/>
      <c r="L70" s="38"/>
      <c r="M70" s="50" t="s">
        <v>275</v>
      </c>
      <c r="N70" s="38"/>
      <c r="O70" s="38"/>
      <c r="P70" s="38"/>
      <c r="Q70" s="38"/>
      <c r="R70" s="38"/>
      <c r="S70" s="38"/>
      <c r="T70" s="38"/>
      <c r="U70" s="33">
        <f t="shared" si="5"/>
        <v>1</v>
      </c>
      <c r="V70" s="33">
        <f t="shared" si="6"/>
        <v>1</v>
      </c>
      <c r="W70" s="33">
        <f t="shared" si="7"/>
        <v>0</v>
      </c>
      <c r="X70" s="33">
        <f t="shared" si="8"/>
        <v>0</v>
      </c>
      <c r="Y70" s="33">
        <f ca="1">SUMPRODUCT((I70:INDEX(I70:T70,MONTH(TODAY()))="X")*1)</f>
        <v>0</v>
      </c>
      <c r="Z70" s="39">
        <f t="shared" si="9"/>
        <v>1</v>
      </c>
    </row>
    <row r="71" spans="1:26" x14ac:dyDescent="0.25">
      <c r="A71" s="37" t="str">
        <f>Equipos!C69</f>
        <v>2-004033</v>
      </c>
      <c r="B71" s="33" t="str">
        <f>Equipos!D69</f>
        <v>Desfibrilador</v>
      </c>
      <c r="C71" s="33" t="str">
        <f>Equipos!E69</f>
        <v>Ginecología</v>
      </c>
      <c r="D71" s="33">
        <f>Equipos!G69</f>
        <v>0</v>
      </c>
      <c r="E71" s="33" t="str">
        <f>Equipos!I69</f>
        <v xml:space="preserve">Zoll </v>
      </c>
      <c r="F71" s="33" t="str">
        <f>Equipos!J69</f>
        <v>R SERIES ALS</v>
      </c>
      <c r="G71" s="37" t="str">
        <f>Equipos!K69</f>
        <v>AF10H011861</v>
      </c>
      <c r="H71" s="33"/>
      <c r="I71" s="38"/>
      <c r="J71" s="38"/>
      <c r="K71" s="38"/>
      <c r="L71" s="38"/>
      <c r="M71" s="50" t="s">
        <v>275</v>
      </c>
      <c r="N71" s="38"/>
      <c r="O71" s="38"/>
      <c r="P71" s="38"/>
      <c r="Q71" s="38"/>
      <c r="R71" s="38"/>
      <c r="S71" s="38"/>
      <c r="T71" s="38"/>
      <c r="U71" s="33">
        <f t="shared" si="5"/>
        <v>1</v>
      </c>
      <c r="V71" s="33">
        <f t="shared" si="6"/>
        <v>1</v>
      </c>
      <c r="W71" s="33">
        <f t="shared" si="7"/>
        <v>0</v>
      </c>
      <c r="X71" s="33">
        <f t="shared" si="8"/>
        <v>0</v>
      </c>
      <c r="Y71" s="33">
        <f ca="1">SUMPRODUCT((I71:INDEX(I71:T71,MONTH(TODAY()))="X")*1)</f>
        <v>0</v>
      </c>
      <c r="Z71" s="39">
        <f t="shared" si="9"/>
        <v>1</v>
      </c>
    </row>
    <row r="72" spans="1:26" x14ac:dyDescent="0.25">
      <c r="A72" s="37" t="str">
        <f>Equipos!C70</f>
        <v>2-027959</v>
      </c>
      <c r="B72" s="33" t="str">
        <f>Equipos!D70</f>
        <v>Desfibrilador</v>
      </c>
      <c r="C72" s="33" t="str">
        <f>Equipos!E70</f>
        <v>Neonatología</v>
      </c>
      <c r="D72" s="33">
        <f>Equipos!G70</f>
        <v>0</v>
      </c>
      <c r="E72" s="33" t="str">
        <f>Equipos!I70</f>
        <v xml:space="preserve">Zoll </v>
      </c>
      <c r="F72" s="33" t="str">
        <f>Equipos!J70</f>
        <v>R SERIES ALS</v>
      </c>
      <c r="G72" s="37" t="str">
        <f>Equipos!K70</f>
        <v>AF10G011487</v>
      </c>
      <c r="H72" s="33"/>
      <c r="I72" s="50" t="s">
        <v>275</v>
      </c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3">
        <f t="shared" si="5"/>
        <v>1</v>
      </c>
      <c r="V72" s="33">
        <f t="shared" si="6"/>
        <v>1</v>
      </c>
      <c r="W72" s="33">
        <f t="shared" si="7"/>
        <v>0</v>
      </c>
      <c r="X72" s="33">
        <f t="shared" si="8"/>
        <v>0</v>
      </c>
      <c r="Y72" s="33">
        <f ca="1">SUMPRODUCT((I72:INDEX(I72:T72,MONTH(TODAY()))="X")*1)</f>
        <v>0</v>
      </c>
      <c r="Z72" s="39">
        <f t="shared" si="9"/>
        <v>1</v>
      </c>
    </row>
    <row r="73" spans="1:26" x14ac:dyDescent="0.25">
      <c r="A73" s="37" t="str">
        <f>Equipos!C71</f>
        <v>2-135456</v>
      </c>
      <c r="B73" s="33" t="str">
        <f>Equipos!D71</f>
        <v>Desfibrilador</v>
      </c>
      <c r="C73" s="33" t="str">
        <f>Equipos!E71</f>
        <v>Imagenología</v>
      </c>
      <c r="D73" s="33" t="str">
        <f>Equipos!G71</f>
        <v>Angiógrafo</v>
      </c>
      <c r="E73" s="33" t="str">
        <f>Equipos!I71</f>
        <v>Nihon Kohden</v>
      </c>
      <c r="F73" s="33" t="str">
        <f>Equipos!J71</f>
        <v>TEC-5631</v>
      </c>
      <c r="G73" s="37" t="str">
        <f>Equipos!K71</f>
        <v>07900</v>
      </c>
      <c r="H73" s="33"/>
      <c r="I73" s="50" t="s">
        <v>275</v>
      </c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3">
        <f t="shared" si="5"/>
        <v>1</v>
      </c>
      <c r="V73" s="33">
        <f t="shared" si="6"/>
        <v>1</v>
      </c>
      <c r="W73" s="33">
        <f t="shared" si="7"/>
        <v>0</v>
      </c>
      <c r="X73" s="33">
        <f t="shared" si="8"/>
        <v>0</v>
      </c>
      <c r="Y73" s="33">
        <f ca="1">SUMPRODUCT((I73:INDEX(I73:T73,MONTH(TODAY()))="X")*1)</f>
        <v>0</v>
      </c>
      <c r="Z73" s="39">
        <f t="shared" si="9"/>
        <v>1</v>
      </c>
    </row>
    <row r="74" spans="1:26" x14ac:dyDescent="0.25">
      <c r="A74" s="37" t="str">
        <f>Equipos!C72</f>
        <v>2-022181</v>
      </c>
      <c r="B74" s="33" t="str">
        <f>Equipos!D72</f>
        <v>Desfibrilador</v>
      </c>
      <c r="C74" s="33" t="str">
        <f>Equipos!E72</f>
        <v>Quimioterapia Ambulatoria Adulto</v>
      </c>
      <c r="D74" s="33" t="str">
        <f>Equipos!G72</f>
        <v>EPC-P2</v>
      </c>
      <c r="E74" s="33" t="str">
        <f>Equipos!I72</f>
        <v xml:space="preserve">Zoll </v>
      </c>
      <c r="F74" s="33" t="str">
        <f>Equipos!J72</f>
        <v>R SERIES ALS</v>
      </c>
      <c r="G74" s="37" t="str">
        <f>Equipos!K72</f>
        <v>AF12B020977</v>
      </c>
      <c r="H74" s="33"/>
      <c r="I74" s="38"/>
      <c r="J74" s="38"/>
      <c r="K74" s="50" t="s">
        <v>275</v>
      </c>
      <c r="L74" s="38"/>
      <c r="M74" s="38"/>
      <c r="N74" s="38"/>
      <c r="O74" s="38"/>
      <c r="P74" s="38"/>
      <c r="Q74" s="38"/>
      <c r="R74" s="38"/>
      <c r="S74" s="38"/>
      <c r="T74" s="38"/>
      <c r="U74" s="33">
        <f t="shared" si="5"/>
        <v>1</v>
      </c>
      <c r="V74" s="33">
        <f t="shared" si="6"/>
        <v>1</v>
      </c>
      <c r="W74" s="33">
        <f t="shared" si="7"/>
        <v>0</v>
      </c>
      <c r="X74" s="33">
        <f t="shared" si="8"/>
        <v>0</v>
      </c>
      <c r="Y74" s="33">
        <f ca="1">SUMPRODUCT((I74:INDEX(I74:T74,MONTH(TODAY()))="X")*1)</f>
        <v>0</v>
      </c>
      <c r="Z74" s="39">
        <f t="shared" si="9"/>
        <v>1</v>
      </c>
    </row>
    <row r="75" spans="1:26" x14ac:dyDescent="0.25">
      <c r="A75" s="37" t="str">
        <f>Equipos!C73</f>
        <v>2-112270</v>
      </c>
      <c r="B75" s="33" t="str">
        <f>Equipos!D73</f>
        <v>Desfibrilador</v>
      </c>
      <c r="C75" s="33" t="str">
        <f>Equipos!E73</f>
        <v>Pediatría</v>
      </c>
      <c r="D75" s="33" t="str">
        <f>Equipos!G73</f>
        <v>Carro de paro</v>
      </c>
      <c r="E75" s="33" t="str">
        <f>Equipos!I73</f>
        <v>Nihon Kohden</v>
      </c>
      <c r="F75" s="33" t="str">
        <f>Equipos!J73</f>
        <v>TEC 5531E</v>
      </c>
      <c r="G75" s="37" t="str">
        <f>Equipos!K73</f>
        <v>01814</v>
      </c>
      <c r="H75" s="33"/>
      <c r="I75" s="50" t="s">
        <v>275</v>
      </c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3">
        <f t="shared" si="5"/>
        <v>1</v>
      </c>
      <c r="V75" s="33">
        <f t="shared" si="6"/>
        <v>1</v>
      </c>
      <c r="W75" s="33">
        <f t="shared" si="7"/>
        <v>0</v>
      </c>
      <c r="X75" s="33">
        <f t="shared" si="8"/>
        <v>0</v>
      </c>
      <c r="Y75" s="33">
        <f ca="1">SUMPRODUCT((I75:INDEX(I75:T75,MONTH(TODAY()))="X")*1)</f>
        <v>0</v>
      </c>
      <c r="Z75" s="39">
        <f t="shared" si="9"/>
        <v>1</v>
      </c>
    </row>
    <row r="76" spans="1:26" x14ac:dyDescent="0.25">
      <c r="A76" s="37" t="str">
        <f>Equipos!C74</f>
        <v>2-135846</v>
      </c>
      <c r="B76" s="33" t="str">
        <f>Equipos!D74</f>
        <v>Desfibrilador</v>
      </c>
      <c r="C76" s="33" t="str">
        <f>Equipos!E74</f>
        <v>Traumatología</v>
      </c>
      <c r="D76" s="33">
        <f>Equipos!G74</f>
        <v>0</v>
      </c>
      <c r="E76" s="33" t="str">
        <f>Equipos!I74</f>
        <v>Nihon Kohden</v>
      </c>
      <c r="F76" s="33" t="str">
        <f>Equipos!J74</f>
        <v>TEC-5632E</v>
      </c>
      <c r="G76" s="37" t="str">
        <f>Equipos!K74</f>
        <v>08104</v>
      </c>
      <c r="H76" s="33"/>
      <c r="I76" s="38"/>
      <c r="J76" s="38"/>
      <c r="K76" s="50" t="s">
        <v>275</v>
      </c>
      <c r="L76" s="38"/>
      <c r="M76" s="38"/>
      <c r="N76" s="38"/>
      <c r="O76" s="38"/>
      <c r="P76" s="38"/>
      <c r="Q76" s="38"/>
      <c r="R76" s="38"/>
      <c r="S76" s="38"/>
      <c r="T76" s="38"/>
      <c r="U76" s="33">
        <f t="shared" si="5"/>
        <v>1</v>
      </c>
      <c r="V76" s="33">
        <f t="shared" si="6"/>
        <v>1</v>
      </c>
      <c r="W76" s="33">
        <f t="shared" si="7"/>
        <v>0</v>
      </c>
      <c r="X76" s="33">
        <f t="shared" si="8"/>
        <v>0</v>
      </c>
      <c r="Y76" s="33">
        <f ca="1">SUMPRODUCT((I76:INDEX(I76:T76,MONTH(TODAY()))="X")*1)</f>
        <v>0</v>
      </c>
      <c r="Z76" s="39">
        <f t="shared" si="9"/>
        <v>1</v>
      </c>
    </row>
    <row r="77" spans="1:26" x14ac:dyDescent="0.25">
      <c r="A77" s="37" t="str">
        <f>Equipos!C75</f>
        <v>2-008958</v>
      </c>
      <c r="B77" s="33" t="str">
        <f>Equipos!D75</f>
        <v>Desfibrilador</v>
      </c>
      <c r="C77" s="33" t="str">
        <f>Equipos!E75</f>
        <v>Pediatría</v>
      </c>
      <c r="D77" s="33" t="str">
        <f>Equipos!G75</f>
        <v>Pasillo</v>
      </c>
      <c r="E77" s="33" t="str">
        <f>Equipos!I75</f>
        <v>Nihon Kohden</v>
      </c>
      <c r="F77" s="33" t="str">
        <f>Equipos!J75</f>
        <v>TEC 5521E</v>
      </c>
      <c r="G77" s="37" t="str">
        <f>Equipos!K75</f>
        <v>00082</v>
      </c>
      <c r="H77" s="33"/>
      <c r="I77" s="50" t="s">
        <v>275</v>
      </c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3">
        <f t="shared" si="5"/>
        <v>1</v>
      </c>
      <c r="V77" s="33">
        <f t="shared" si="6"/>
        <v>1</v>
      </c>
      <c r="W77" s="33">
        <f t="shared" si="7"/>
        <v>0</v>
      </c>
      <c r="X77" s="33">
        <f t="shared" si="8"/>
        <v>0</v>
      </c>
      <c r="Y77" s="33">
        <f ca="1">SUMPRODUCT((I77:INDEX(I77:T77,MONTH(TODAY()))="X")*1)</f>
        <v>0</v>
      </c>
      <c r="Z77" s="39">
        <f t="shared" si="9"/>
        <v>1</v>
      </c>
    </row>
    <row r="78" spans="1:26" x14ac:dyDescent="0.25">
      <c r="A78" s="37" t="str">
        <f>Equipos!C76</f>
        <v>2-119676</v>
      </c>
      <c r="B78" s="33" t="str">
        <f>Equipos!D76</f>
        <v>Desfibrilador</v>
      </c>
      <c r="C78" s="33" t="str">
        <f>Equipos!E76</f>
        <v>UPC Adulto</v>
      </c>
      <c r="D78" s="33" t="str">
        <f>Equipos!G76</f>
        <v>P2</v>
      </c>
      <c r="E78" s="33" t="str">
        <f>Equipos!I76</f>
        <v>Zoll</v>
      </c>
      <c r="F78" s="33" t="str">
        <f>Equipos!J76</f>
        <v>M2</v>
      </c>
      <c r="G78" s="37" t="str">
        <f>Equipos!K76</f>
        <v>(21)BA19F000019</v>
      </c>
      <c r="H78" s="33"/>
      <c r="I78" s="38"/>
      <c r="J78" s="50" t="s">
        <v>275</v>
      </c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3">
        <f t="shared" si="5"/>
        <v>1</v>
      </c>
      <c r="V78" s="33">
        <f t="shared" si="6"/>
        <v>1</v>
      </c>
      <c r="W78" s="33">
        <f t="shared" si="7"/>
        <v>0</v>
      </c>
      <c r="X78" s="33">
        <f t="shared" si="8"/>
        <v>0</v>
      </c>
      <c r="Y78" s="33">
        <f ca="1">SUMPRODUCT((I78:INDEX(I78:T78,MONTH(TODAY()))="X")*1)</f>
        <v>0</v>
      </c>
      <c r="Z78" s="39">
        <f t="shared" si="9"/>
        <v>1</v>
      </c>
    </row>
    <row r="79" spans="1:26" x14ac:dyDescent="0.25">
      <c r="A79" s="37" t="str">
        <f>Equipos!C77</f>
        <v>2-004405</v>
      </c>
      <c r="B79" s="33" t="str">
        <f>Equipos!D77</f>
        <v>Desfibrilador</v>
      </c>
      <c r="C79" s="33" t="str">
        <f>Equipos!E77</f>
        <v>Medicina</v>
      </c>
      <c r="D79" s="33" t="str">
        <f>Equipos!G77</f>
        <v>5TO PISO TN</v>
      </c>
      <c r="E79" s="33" t="str">
        <f>Equipos!I77</f>
        <v>Nihon Kohden</v>
      </c>
      <c r="F79" s="33" t="str">
        <f>Equipos!J77</f>
        <v>TEC 5531E</v>
      </c>
      <c r="G79" s="37" t="str">
        <f>Equipos!K77</f>
        <v>01812</v>
      </c>
      <c r="H79" s="33"/>
      <c r="I79" s="38"/>
      <c r="J79" s="50" t="s">
        <v>275</v>
      </c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3">
        <f t="shared" si="5"/>
        <v>1</v>
      </c>
      <c r="V79" s="33">
        <f t="shared" si="6"/>
        <v>1</v>
      </c>
      <c r="W79" s="33">
        <f t="shared" si="7"/>
        <v>0</v>
      </c>
      <c r="X79" s="33">
        <f t="shared" si="8"/>
        <v>0</v>
      </c>
      <c r="Y79" s="33">
        <f ca="1">SUMPRODUCT((I79:INDEX(I79:T79,MONTH(TODAY()))="X")*1)</f>
        <v>0</v>
      </c>
      <c r="Z79" s="39">
        <f t="shared" si="9"/>
        <v>1</v>
      </c>
    </row>
    <row r="80" spans="1:26" x14ac:dyDescent="0.25">
      <c r="A80" s="37" t="str">
        <f>Equipos!C78</f>
        <v>2-008665</v>
      </c>
      <c r="B80" s="33" t="str">
        <f>Equipos!D78</f>
        <v>Desfibrilador</v>
      </c>
      <c r="C80" s="33" t="str">
        <f>Equipos!E78</f>
        <v>Medicina</v>
      </c>
      <c r="D80" s="33" t="str">
        <f>Equipos!G78</f>
        <v>5TO PISO EPA</v>
      </c>
      <c r="E80" s="33" t="str">
        <f>Equipos!I78</f>
        <v>Nihon Kohden</v>
      </c>
      <c r="F80" s="33" t="str">
        <f>Equipos!J78</f>
        <v>TEC 5521E</v>
      </c>
      <c r="G80" s="37" t="str">
        <f>Equipos!K78</f>
        <v>00342</v>
      </c>
      <c r="H80" s="33"/>
      <c r="I80" s="38"/>
      <c r="J80" s="50" t="s">
        <v>275</v>
      </c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3">
        <f t="shared" si="5"/>
        <v>1</v>
      </c>
      <c r="V80" s="33">
        <f t="shared" si="6"/>
        <v>1</v>
      </c>
      <c r="W80" s="33">
        <f t="shared" si="7"/>
        <v>0</v>
      </c>
      <c r="X80" s="33">
        <f t="shared" si="8"/>
        <v>0</v>
      </c>
      <c r="Y80" s="33">
        <f ca="1">SUMPRODUCT((I80:INDEX(I80:T80,MONTH(TODAY()))="X")*1)</f>
        <v>0</v>
      </c>
      <c r="Z80" s="39">
        <f t="shared" si="9"/>
        <v>1</v>
      </c>
    </row>
    <row r="81" spans="1:26" x14ac:dyDescent="0.25">
      <c r="A81" s="37" t="str">
        <f>Equipos!C79</f>
        <v>2-135837</v>
      </c>
      <c r="B81" s="33" t="str">
        <f>Equipos!D79</f>
        <v>Desfibrilador</v>
      </c>
      <c r="C81" s="33" t="str">
        <f>Equipos!E79</f>
        <v>TROI</v>
      </c>
      <c r="D81" s="33">
        <f>Equipos!G79</f>
        <v>0</v>
      </c>
      <c r="E81" s="33" t="str">
        <f>Equipos!I79</f>
        <v>Mindray</v>
      </c>
      <c r="F81" s="33" t="str">
        <f>Equipos!J79</f>
        <v>BeneHeart D30</v>
      </c>
      <c r="G81" s="37" t="str">
        <f>Equipos!K79</f>
        <v>FP5-49011641</v>
      </c>
      <c r="H81" s="33"/>
      <c r="I81" s="38"/>
      <c r="J81" s="38"/>
      <c r="K81" s="38"/>
      <c r="L81" s="50" t="s">
        <v>275</v>
      </c>
      <c r="M81" s="38"/>
      <c r="N81" s="38"/>
      <c r="O81" s="38"/>
      <c r="P81" s="38"/>
      <c r="Q81" s="38"/>
      <c r="R81" s="38"/>
      <c r="S81" s="38"/>
      <c r="T81" s="38"/>
      <c r="U81" s="33">
        <f t="shared" si="5"/>
        <v>1</v>
      </c>
      <c r="V81" s="33">
        <f t="shared" si="6"/>
        <v>1</v>
      </c>
      <c r="W81" s="33">
        <f t="shared" si="7"/>
        <v>0</v>
      </c>
      <c r="X81" s="33">
        <f t="shared" si="8"/>
        <v>0</v>
      </c>
      <c r="Y81" s="33">
        <f ca="1">SUMPRODUCT((I81:INDEX(I81:T81,MONTH(TODAY()))="X")*1)</f>
        <v>0</v>
      </c>
      <c r="Z81" s="39">
        <f t="shared" si="9"/>
        <v>1</v>
      </c>
    </row>
    <row r="82" spans="1:26" x14ac:dyDescent="0.25">
      <c r="A82" s="37" t="str">
        <f>Equipos!C80</f>
        <v>2-021249</v>
      </c>
      <c r="B82" s="33" t="str">
        <f>Equipos!D80</f>
        <v>Desfibrilador</v>
      </c>
      <c r="C82" s="33" t="str">
        <f>Equipos!E80</f>
        <v>Cirugía Infantil</v>
      </c>
      <c r="D82" s="33" t="str">
        <f>Equipos!G80</f>
        <v>Sala procedmiento cirugíaa infantil</v>
      </c>
      <c r="E82" s="33" t="str">
        <f>Equipos!I80</f>
        <v>Nihon Kohden</v>
      </c>
      <c r="F82" s="33" t="str">
        <f>Equipos!J80</f>
        <v>TEC 5531E</v>
      </c>
      <c r="G82" s="37" t="str">
        <f>Equipos!K80</f>
        <v>01813</v>
      </c>
      <c r="H82" s="33"/>
      <c r="I82" s="50" t="s">
        <v>275</v>
      </c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3">
        <f t="shared" si="5"/>
        <v>1</v>
      </c>
      <c r="V82" s="33">
        <f t="shared" si="6"/>
        <v>1</v>
      </c>
      <c r="W82" s="33">
        <f t="shared" si="7"/>
        <v>0</v>
      </c>
      <c r="X82" s="33">
        <f t="shared" si="8"/>
        <v>0</v>
      </c>
      <c r="Y82" s="33">
        <f ca="1">SUMPRODUCT((I82:INDEX(I82:T82,MONTH(TODAY()))="X")*1)</f>
        <v>0</v>
      </c>
      <c r="Z82" s="39">
        <f t="shared" si="9"/>
        <v>1</v>
      </c>
    </row>
    <row r="83" spans="1:26" x14ac:dyDescent="0.25">
      <c r="A83" s="37" t="str">
        <f>Equipos!C81</f>
        <v>2-004271</v>
      </c>
      <c r="B83" s="33" t="str">
        <f>Equipos!D81</f>
        <v>Desfibrilador</v>
      </c>
      <c r="C83" s="33" t="str">
        <f>Equipos!E81</f>
        <v>Medicina Materno Fetal</v>
      </c>
      <c r="D83" s="33" t="str">
        <f>Equipos!G81</f>
        <v>P4-TNB</v>
      </c>
      <c r="E83" s="33" t="str">
        <f>Equipos!I81</f>
        <v>Nihon Kohden</v>
      </c>
      <c r="F83" s="33" t="str">
        <f>Equipos!J81</f>
        <v>TEC 5531E</v>
      </c>
      <c r="G83" s="37" t="str">
        <f>Equipos!K81</f>
        <v>00883</v>
      </c>
      <c r="H83" s="33"/>
      <c r="I83" s="38"/>
      <c r="J83" s="38"/>
      <c r="K83" s="38"/>
      <c r="L83" s="38"/>
      <c r="M83" s="50" t="s">
        <v>275</v>
      </c>
      <c r="N83" s="38"/>
      <c r="O83" s="38"/>
      <c r="P83" s="38"/>
      <c r="Q83" s="38"/>
      <c r="R83" s="38"/>
      <c r="S83" s="38"/>
      <c r="T83" s="38"/>
      <c r="U83" s="33">
        <f t="shared" si="5"/>
        <v>1</v>
      </c>
      <c r="V83" s="33">
        <f t="shared" si="6"/>
        <v>1</v>
      </c>
      <c r="W83" s="33">
        <f t="shared" si="7"/>
        <v>0</v>
      </c>
      <c r="X83" s="33">
        <f t="shared" si="8"/>
        <v>0</v>
      </c>
      <c r="Y83" s="33">
        <f ca="1">SUMPRODUCT((I83:INDEX(I83:T83,MONTH(TODAY()))="X")*1)</f>
        <v>0</v>
      </c>
      <c r="Z83" s="39">
        <f t="shared" si="9"/>
        <v>1</v>
      </c>
    </row>
    <row r="84" spans="1:26" x14ac:dyDescent="0.25">
      <c r="A84" s="37" t="str">
        <f>Equipos!C82</f>
        <v>2-003814</v>
      </c>
      <c r="B84" s="33" t="str">
        <f>Equipos!D82</f>
        <v>Desfibrilador</v>
      </c>
      <c r="C84" s="33" t="str">
        <f>Equipos!E82</f>
        <v>Cirugía Adulto</v>
      </c>
      <c r="D84" s="33" t="str">
        <f>Equipos!G82</f>
        <v>EPA</v>
      </c>
      <c r="E84" s="33" t="str">
        <f>Equipos!I82</f>
        <v>Nihon Kohden</v>
      </c>
      <c r="F84" s="33" t="str">
        <f>Equipos!J82</f>
        <v>TEC 5531E</v>
      </c>
      <c r="G84" s="37" t="str">
        <f>Equipos!K82</f>
        <v>01796</v>
      </c>
      <c r="H84" s="33"/>
      <c r="I84" s="38"/>
      <c r="J84" s="38"/>
      <c r="K84" s="38"/>
      <c r="L84" s="38"/>
      <c r="M84" s="50" t="s">
        <v>275</v>
      </c>
      <c r="N84" s="38"/>
      <c r="O84" s="38"/>
      <c r="P84" s="38"/>
      <c r="Q84" s="38"/>
      <c r="R84" s="38"/>
      <c r="S84" s="38"/>
      <c r="T84" s="38"/>
      <c r="U84" s="33">
        <f t="shared" si="5"/>
        <v>1</v>
      </c>
      <c r="V84" s="33">
        <f t="shared" si="6"/>
        <v>1</v>
      </c>
      <c r="W84" s="33">
        <f t="shared" si="7"/>
        <v>0</v>
      </c>
      <c r="X84" s="33">
        <f t="shared" si="8"/>
        <v>0</v>
      </c>
      <c r="Y84" s="33">
        <f ca="1">SUMPRODUCT((I84:INDEX(I84:T84,MONTH(TODAY()))="X")*1)</f>
        <v>0</v>
      </c>
      <c r="Z84" s="39">
        <f t="shared" si="9"/>
        <v>1</v>
      </c>
    </row>
    <row r="85" spans="1:26" x14ac:dyDescent="0.25">
      <c r="A85" s="37">
        <f>Equipos!C83</f>
        <v>0</v>
      </c>
      <c r="B85" s="33" t="str">
        <f>Equipos!D83</f>
        <v>Desfibrilador</v>
      </c>
      <c r="C85" s="33">
        <f>Equipos!E83</f>
        <v>0</v>
      </c>
      <c r="D85" s="33">
        <f>Equipos!G83</f>
        <v>0</v>
      </c>
      <c r="E85" s="33">
        <f>Equipos!I83</f>
        <v>0</v>
      </c>
      <c r="F85" s="33">
        <f>Equipos!J83</f>
        <v>0</v>
      </c>
      <c r="G85" s="37">
        <f>Equipos!K83</f>
        <v>0</v>
      </c>
      <c r="H85" s="33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3">
        <f t="shared" si="5"/>
        <v>0</v>
      </c>
      <c r="V85" s="33">
        <f t="shared" si="6"/>
        <v>0</v>
      </c>
      <c r="W85" s="33">
        <f t="shared" si="7"/>
        <v>0</v>
      </c>
      <c r="X85" s="33">
        <f t="shared" si="8"/>
        <v>0</v>
      </c>
      <c r="Y85" s="33">
        <f ca="1">SUMPRODUCT((I85:INDEX(I85:T85,MONTH(TODAY()))="X")*1)</f>
        <v>0</v>
      </c>
      <c r="Z85" s="39" t="str">
        <f t="shared" si="9"/>
        <v/>
      </c>
    </row>
    <row r="86" spans="1:26" x14ac:dyDescent="0.25">
      <c r="A86" s="37" t="str">
        <f>Equipos!C84</f>
        <v>2-002799</v>
      </c>
      <c r="B86" s="33" t="str">
        <f>Equipos!D84</f>
        <v>Desfibrilador</v>
      </c>
      <c r="C86" s="33" t="str">
        <f>Equipos!E84</f>
        <v>Quimioterapia Ambulatoria Adulto</v>
      </c>
      <c r="D86" s="33" t="str">
        <f>Equipos!G84</f>
        <v>EPC-P2</v>
      </c>
      <c r="E86" s="33" t="str">
        <f>Equipos!I84</f>
        <v>Nihon Kohden</v>
      </c>
      <c r="F86" s="33" t="str">
        <f>Equipos!J84</f>
        <v>TEC 5531E</v>
      </c>
      <c r="G86" s="37" t="str">
        <f>Equipos!K84</f>
        <v>01819</v>
      </c>
      <c r="H86" s="33"/>
      <c r="I86" s="38"/>
      <c r="J86" s="38"/>
      <c r="K86" s="50" t="s">
        <v>275</v>
      </c>
      <c r="L86" s="38"/>
      <c r="M86" s="38"/>
      <c r="N86" s="38"/>
      <c r="O86" s="38"/>
      <c r="P86" s="38"/>
      <c r="Q86" s="38"/>
      <c r="R86" s="38"/>
      <c r="S86" s="38"/>
      <c r="T86" s="38"/>
      <c r="U86" s="33">
        <f t="shared" si="5"/>
        <v>1</v>
      </c>
      <c r="V86" s="33">
        <f t="shared" si="6"/>
        <v>1</v>
      </c>
      <c r="W86" s="33">
        <f t="shared" si="7"/>
        <v>0</v>
      </c>
      <c r="X86" s="33">
        <f t="shared" si="8"/>
        <v>0</v>
      </c>
      <c r="Y86" s="33">
        <f ca="1">SUMPRODUCT((I86:INDEX(I86:T86,MONTH(TODAY()))="X")*1)</f>
        <v>0</v>
      </c>
      <c r="Z86" s="39">
        <f t="shared" si="9"/>
        <v>1</v>
      </c>
    </row>
    <row r="87" spans="1:26" x14ac:dyDescent="0.25">
      <c r="A87" s="37">
        <f>Equipos!C85</f>
        <v>0</v>
      </c>
      <c r="B87" s="33" t="str">
        <f>Equipos!D85</f>
        <v>Desfibrilador</v>
      </c>
      <c r="C87" s="33">
        <f>Equipos!E85</f>
        <v>0</v>
      </c>
      <c r="D87" s="33">
        <f>Equipos!G85</f>
        <v>0</v>
      </c>
      <c r="E87" s="33">
        <f>Equipos!I85</f>
        <v>0</v>
      </c>
      <c r="F87" s="33">
        <f>Equipos!J85</f>
        <v>0</v>
      </c>
      <c r="G87" s="37">
        <f>Equipos!K85</f>
        <v>0</v>
      </c>
      <c r="H87" s="33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3">
        <f t="shared" si="5"/>
        <v>0</v>
      </c>
      <c r="V87" s="33">
        <f t="shared" si="6"/>
        <v>0</v>
      </c>
      <c r="W87" s="33">
        <f t="shared" si="7"/>
        <v>0</v>
      </c>
      <c r="X87" s="33">
        <f t="shared" si="8"/>
        <v>0</v>
      </c>
      <c r="Y87" s="33">
        <f ca="1">SUMPRODUCT((I87:INDEX(I87:T87,MONTH(TODAY()))="X")*1)</f>
        <v>0</v>
      </c>
      <c r="Z87" s="39" t="str">
        <f t="shared" si="9"/>
        <v/>
      </c>
    </row>
    <row r="88" spans="1:26" x14ac:dyDescent="0.25">
      <c r="A88" s="37" t="str">
        <f>Equipos!C86</f>
        <v>2-022320</v>
      </c>
      <c r="B88" s="33" t="str">
        <f>Equipos!D86</f>
        <v>Desfibrilador</v>
      </c>
      <c r="C88" s="33" t="str">
        <f>Equipos!E86</f>
        <v>Urgencias Gineco-Obstétricas</v>
      </c>
      <c r="D88" s="33" t="str">
        <f>Equipos!G86</f>
        <v>UPC-P1-SA20</v>
      </c>
      <c r="E88" s="33" t="str">
        <f>Equipos!I86</f>
        <v xml:space="preserve">Zoll </v>
      </c>
      <c r="F88" s="33" t="str">
        <f>Equipos!J86</f>
        <v>R SERIES ALS</v>
      </c>
      <c r="G88" s="37" t="str">
        <f>Equipos!K86</f>
        <v>AF12B020983</v>
      </c>
      <c r="H88" s="33"/>
      <c r="I88" s="38"/>
      <c r="J88" s="38"/>
      <c r="K88" s="38"/>
      <c r="L88" s="38"/>
      <c r="M88" s="50" t="s">
        <v>275</v>
      </c>
      <c r="N88" s="38"/>
      <c r="O88" s="38"/>
      <c r="P88" s="38"/>
      <c r="Q88" s="38"/>
      <c r="R88" s="38"/>
      <c r="S88" s="38"/>
      <c r="T88" s="38"/>
      <c r="U88" s="33">
        <f t="shared" si="5"/>
        <v>1</v>
      </c>
      <c r="V88" s="33">
        <f t="shared" si="6"/>
        <v>1</v>
      </c>
      <c r="W88" s="33">
        <f t="shared" si="7"/>
        <v>0</v>
      </c>
      <c r="X88" s="33">
        <f t="shared" si="8"/>
        <v>0</v>
      </c>
      <c r="Y88" s="33">
        <f ca="1">SUMPRODUCT((I88:INDEX(I88:T88,MONTH(TODAY()))="X")*1)</f>
        <v>0</v>
      </c>
      <c r="Z88" s="39">
        <f t="shared" si="9"/>
        <v>1</v>
      </c>
    </row>
    <row r="89" spans="1:26" x14ac:dyDescent="0.25">
      <c r="A89" s="37">
        <f>Equipos!C87</f>
        <v>0</v>
      </c>
      <c r="B89" s="33" t="str">
        <f>Equipos!D87</f>
        <v>Desfibrilador</v>
      </c>
      <c r="C89" s="33">
        <f>Equipos!E87</f>
        <v>0</v>
      </c>
      <c r="D89" s="33">
        <f>Equipos!G87</f>
        <v>0</v>
      </c>
      <c r="E89" s="33">
        <f>Equipos!I87</f>
        <v>0</v>
      </c>
      <c r="F89" s="33">
        <f>Equipos!J87</f>
        <v>0</v>
      </c>
      <c r="G89" s="37">
        <f>Equipos!K87</f>
        <v>0</v>
      </c>
      <c r="H89" s="33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3">
        <f t="shared" si="5"/>
        <v>0</v>
      </c>
      <c r="V89" s="33">
        <f t="shared" si="6"/>
        <v>0</v>
      </c>
      <c r="W89" s="33">
        <f t="shared" si="7"/>
        <v>0</v>
      </c>
      <c r="X89" s="33">
        <f t="shared" si="8"/>
        <v>0</v>
      </c>
      <c r="Y89" s="33">
        <f ca="1">SUMPRODUCT((I89:INDEX(I89:T89,MONTH(TODAY()))="X")*1)</f>
        <v>0</v>
      </c>
      <c r="Z89" s="39" t="str">
        <f t="shared" si="9"/>
        <v/>
      </c>
    </row>
    <row r="90" spans="1:26" x14ac:dyDescent="0.25">
      <c r="A90" s="37" t="str">
        <f>Equipos!C88</f>
        <v>2-122452</v>
      </c>
      <c r="B90" s="33" t="str">
        <f>Equipos!D88</f>
        <v>Desfibrilador</v>
      </c>
      <c r="C90" s="33" t="str">
        <f>Equipos!E88</f>
        <v>Pabellón Quirúrgico</v>
      </c>
      <c r="D90" s="33">
        <f>Equipos!G88</f>
        <v>0</v>
      </c>
      <c r="E90" s="33" t="str">
        <f>Equipos!I88</f>
        <v>Physio Control</v>
      </c>
      <c r="F90" s="33" t="str">
        <f>Equipos!J88</f>
        <v>Lifepak 15</v>
      </c>
      <c r="G90" s="37" t="str">
        <f>Equipos!K88</f>
        <v>49453842</v>
      </c>
      <c r="H90" s="33"/>
      <c r="I90" s="38"/>
      <c r="J90" s="38"/>
      <c r="K90" s="38"/>
      <c r="L90" s="50" t="s">
        <v>275</v>
      </c>
      <c r="M90" s="38"/>
      <c r="N90" s="38"/>
      <c r="O90" s="38"/>
      <c r="P90" s="38"/>
      <c r="Q90" s="38"/>
      <c r="R90" s="38"/>
      <c r="S90" s="38"/>
      <c r="T90" s="38"/>
      <c r="U90" s="33">
        <f t="shared" si="5"/>
        <v>1</v>
      </c>
      <c r="V90" s="33">
        <f t="shared" si="6"/>
        <v>1</v>
      </c>
      <c r="W90" s="33">
        <f t="shared" si="7"/>
        <v>0</v>
      </c>
      <c r="X90" s="33">
        <f t="shared" si="8"/>
        <v>0</v>
      </c>
      <c r="Y90" s="33">
        <f ca="1">SUMPRODUCT((I90:INDEX(I90:T90,MONTH(TODAY()))="X")*1)</f>
        <v>0</v>
      </c>
      <c r="Z90" s="39">
        <f t="shared" si="9"/>
        <v>1</v>
      </c>
    </row>
    <row r="91" spans="1:26" x14ac:dyDescent="0.25">
      <c r="A91" s="37" t="str">
        <f>Equipos!C89</f>
        <v>2-112272</v>
      </c>
      <c r="B91" s="33" t="str">
        <f>Equipos!D89</f>
        <v>Desfibrilador</v>
      </c>
      <c r="C91" s="33" t="str">
        <f>Equipos!E89</f>
        <v>UPC Cardiovascular</v>
      </c>
      <c r="D91" s="33" t="str">
        <f>Equipos!G89</f>
        <v>Angiografo</v>
      </c>
      <c r="E91" s="33" t="str">
        <f>Equipos!I89</f>
        <v>Medtronic</v>
      </c>
      <c r="F91" s="33" t="str">
        <f>Equipos!J89</f>
        <v>Lifepack 20</v>
      </c>
      <c r="G91" s="37" t="str">
        <f>Equipos!K89</f>
        <v>30634707</v>
      </c>
      <c r="H91" s="33"/>
      <c r="I91" s="50" t="s">
        <v>275</v>
      </c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3">
        <f t="shared" si="5"/>
        <v>1</v>
      </c>
      <c r="V91" s="33">
        <f t="shared" si="6"/>
        <v>1</v>
      </c>
      <c r="W91" s="33">
        <f t="shared" si="7"/>
        <v>0</v>
      </c>
      <c r="X91" s="33">
        <f t="shared" si="8"/>
        <v>0</v>
      </c>
      <c r="Y91" s="33">
        <f ca="1">SUMPRODUCT((I91:INDEX(I91:T91,MONTH(TODAY()))="X")*1)</f>
        <v>0</v>
      </c>
      <c r="Z91" s="39">
        <f t="shared" si="9"/>
        <v>1</v>
      </c>
    </row>
    <row r="92" spans="1:26" x14ac:dyDescent="0.25">
      <c r="A92" s="37" t="str">
        <f>Equipos!C90</f>
        <v>121010-020241</v>
      </c>
      <c r="B92" s="33" t="str">
        <f>Equipos!D90</f>
        <v>DEA</v>
      </c>
      <c r="C92" s="33" t="str">
        <f>Equipos!E90</f>
        <v>SAMU</v>
      </c>
      <c r="D92" s="33" t="str">
        <f>Equipos!G90</f>
        <v>Movil 1305</v>
      </c>
      <c r="E92" s="33" t="str">
        <f>Equipos!I90</f>
        <v>Zoll</v>
      </c>
      <c r="F92" s="33" t="str">
        <f>Equipos!J90</f>
        <v>AEDPLUS</v>
      </c>
      <c r="G92" s="37" t="str">
        <f>Equipos!K90</f>
        <v>X21J421750</v>
      </c>
      <c r="H92" s="33"/>
      <c r="I92" s="50" t="s">
        <v>275</v>
      </c>
      <c r="J92" s="50" t="s">
        <v>275</v>
      </c>
      <c r="K92" s="50" t="s">
        <v>275</v>
      </c>
      <c r="L92" s="50" t="s">
        <v>275</v>
      </c>
      <c r="M92" s="50" t="s">
        <v>275</v>
      </c>
      <c r="N92" s="38"/>
      <c r="O92" s="38"/>
      <c r="P92" s="38"/>
      <c r="Q92" s="38"/>
      <c r="R92" s="38"/>
      <c r="S92" s="38"/>
      <c r="T92" s="38"/>
      <c r="U92" s="33">
        <f t="shared" si="5"/>
        <v>5</v>
      </c>
      <c r="V92" s="33">
        <f t="shared" si="6"/>
        <v>5</v>
      </c>
      <c r="W92" s="33">
        <f t="shared" si="7"/>
        <v>0</v>
      </c>
      <c r="X92" s="33">
        <f t="shared" si="8"/>
        <v>0</v>
      </c>
      <c r="Y92" s="33">
        <f ca="1">SUMPRODUCT((I92:INDEX(I92:T92,MONTH(TODAY()))="X")*1)</f>
        <v>0</v>
      </c>
      <c r="Z92" s="39">
        <f t="shared" si="9"/>
        <v>1</v>
      </c>
    </row>
    <row r="93" spans="1:26" x14ac:dyDescent="0.25">
      <c r="A93" s="37" t="str">
        <f>Equipos!C91</f>
        <v>2-117263</v>
      </c>
      <c r="B93" s="33" t="str">
        <f>Equipos!D91</f>
        <v>Desfibrilador</v>
      </c>
      <c r="C93" s="33" t="str">
        <f>Equipos!E91</f>
        <v>SAMU</v>
      </c>
      <c r="D93" s="33" t="str">
        <f>Equipos!G91</f>
        <v>Movil 1301</v>
      </c>
      <c r="E93" s="33" t="str">
        <f>Equipos!I91</f>
        <v>Nihon Kohden</v>
      </c>
      <c r="F93" s="33" t="str">
        <f>Equipos!J91</f>
        <v>TEC-8352K</v>
      </c>
      <c r="G93" s="37" t="str">
        <f>Equipos!K91</f>
        <v>01640</v>
      </c>
      <c r="H93" s="33"/>
      <c r="I93" s="38"/>
      <c r="J93" s="38"/>
      <c r="K93" s="38"/>
      <c r="L93" s="50" t="s">
        <v>275</v>
      </c>
      <c r="M93" s="38"/>
      <c r="N93" s="38"/>
      <c r="O93" s="38"/>
      <c r="P93" s="38"/>
      <c r="Q93" s="38"/>
      <c r="R93" s="38"/>
      <c r="S93" s="38"/>
      <c r="T93" s="38"/>
      <c r="U93" s="33">
        <f t="shared" si="5"/>
        <v>1</v>
      </c>
      <c r="V93" s="33">
        <f t="shared" si="6"/>
        <v>1</v>
      </c>
      <c r="W93" s="33">
        <f t="shared" si="7"/>
        <v>0</v>
      </c>
      <c r="X93" s="33">
        <f t="shared" si="8"/>
        <v>0</v>
      </c>
      <c r="Y93" s="33">
        <f ca="1">SUMPRODUCT((I93:INDEX(I93:T93,MONTH(TODAY()))="X")*1)</f>
        <v>0</v>
      </c>
      <c r="Z93" s="39">
        <f t="shared" si="9"/>
        <v>1</v>
      </c>
    </row>
    <row r="94" spans="1:26" x14ac:dyDescent="0.25">
      <c r="A94" s="37" t="str">
        <f>Equipos!C92</f>
        <v>2-017206</v>
      </c>
      <c r="B94" s="33" t="str">
        <f>Equipos!D92</f>
        <v>Desfibrilador</v>
      </c>
      <c r="C94" s="33" t="str">
        <f>Equipos!E92</f>
        <v>SAMU</v>
      </c>
      <c r="D94" s="33" t="str">
        <f>Equipos!G92</f>
        <v>Movil 1302</v>
      </c>
      <c r="E94" s="33" t="str">
        <f>Equipos!I92</f>
        <v xml:space="preserve">Zoll </v>
      </c>
      <c r="F94" s="33" t="str">
        <f>Equipos!J92</f>
        <v>R SERIES ALS</v>
      </c>
      <c r="G94" s="37" t="str">
        <f>Equipos!K92</f>
        <v>AF12B020986</v>
      </c>
      <c r="H94" s="33"/>
      <c r="I94" s="38"/>
      <c r="J94" s="38"/>
      <c r="K94" s="38"/>
      <c r="L94" s="50" t="s">
        <v>275</v>
      </c>
      <c r="M94" s="38"/>
      <c r="N94" s="38"/>
      <c r="O94" s="38"/>
      <c r="P94" s="38"/>
      <c r="Q94" s="38"/>
      <c r="R94" s="38"/>
      <c r="S94" s="38"/>
      <c r="T94" s="38"/>
      <c r="U94" s="33">
        <f t="shared" si="5"/>
        <v>1</v>
      </c>
      <c r="V94" s="33">
        <f t="shared" si="6"/>
        <v>1</v>
      </c>
      <c r="W94" s="33">
        <f t="shared" si="7"/>
        <v>0</v>
      </c>
      <c r="X94" s="33">
        <f t="shared" si="8"/>
        <v>0</v>
      </c>
      <c r="Y94" s="33">
        <f ca="1">SUMPRODUCT((I94:INDEX(I94:T94,MONTH(TODAY()))="X")*1)</f>
        <v>0</v>
      </c>
      <c r="Z94" s="39">
        <f t="shared" si="9"/>
        <v>1</v>
      </c>
    </row>
    <row r="95" spans="1:26" x14ac:dyDescent="0.25">
      <c r="A95" s="37" t="str">
        <f>Equipos!C93</f>
        <v>2-124605</v>
      </c>
      <c r="B95" s="33" t="str">
        <f>Equipos!D93</f>
        <v>DEA</v>
      </c>
      <c r="C95" s="33" t="str">
        <f>Equipos!E93</f>
        <v>Gestión de Pacientes</v>
      </c>
      <c r="D95" s="33" t="str">
        <f>Equipos!G93</f>
        <v>Movil SHLF-84</v>
      </c>
      <c r="E95" s="33" t="str">
        <f>Equipos!I93</f>
        <v>Mindray</v>
      </c>
      <c r="F95" s="33" t="str">
        <f>Equipos!J93</f>
        <v>BeneHeart C2</v>
      </c>
      <c r="G95" s="37" t="str">
        <f>Equipos!K93</f>
        <v>AE7-24048210</v>
      </c>
      <c r="H95" s="33"/>
      <c r="I95" s="50" t="s">
        <v>275</v>
      </c>
      <c r="J95" s="50" t="s">
        <v>275</v>
      </c>
      <c r="K95" s="50" t="s">
        <v>275</v>
      </c>
      <c r="L95" s="50" t="s">
        <v>275</v>
      </c>
      <c r="M95" s="50" t="s">
        <v>275</v>
      </c>
      <c r="N95" s="38"/>
      <c r="O95" s="38"/>
      <c r="P95" s="38"/>
      <c r="Q95" s="38"/>
      <c r="R95" s="38"/>
      <c r="S95" s="38"/>
      <c r="T95" s="38"/>
      <c r="U95" s="33">
        <f t="shared" si="5"/>
        <v>5</v>
      </c>
      <c r="V95" s="33">
        <f t="shared" si="6"/>
        <v>5</v>
      </c>
      <c r="W95" s="33">
        <f t="shared" si="7"/>
        <v>0</v>
      </c>
      <c r="X95" s="33">
        <f t="shared" si="8"/>
        <v>0</v>
      </c>
      <c r="Y95" s="33">
        <f ca="1">SUMPRODUCT((I95:INDEX(I95:T95,MONTH(TODAY()))="X")*1)</f>
        <v>0</v>
      </c>
      <c r="Z95" s="39">
        <f t="shared" si="9"/>
        <v>1</v>
      </c>
    </row>
    <row r="96" spans="1:26" x14ac:dyDescent="0.25">
      <c r="A96" s="37" t="str">
        <f>Equipos!C94</f>
        <v>2-024418</v>
      </c>
      <c r="B96" s="33" t="str">
        <f>Equipos!D94</f>
        <v>Desfibrilador</v>
      </c>
      <c r="C96" s="33" t="str">
        <f>Equipos!E94</f>
        <v>Pabellón Quirúrgico</v>
      </c>
      <c r="D96" s="33" t="str">
        <f>Equipos!G94</f>
        <v>CDT-P2-PA05</v>
      </c>
      <c r="E96" s="33" t="str">
        <f>Equipos!I94</f>
        <v>Medtronic</v>
      </c>
      <c r="F96" s="33" t="str">
        <f>Equipos!J94</f>
        <v>Lifepack 20</v>
      </c>
      <c r="G96" s="37" t="str">
        <f>Equipos!K94</f>
        <v>40979213</v>
      </c>
      <c r="H96" s="33"/>
      <c r="I96" s="38"/>
      <c r="J96" s="38"/>
      <c r="K96" s="38"/>
      <c r="L96" s="50" t="s">
        <v>275</v>
      </c>
      <c r="M96" s="38"/>
      <c r="N96" s="38"/>
      <c r="O96" s="38"/>
      <c r="P96" s="38"/>
      <c r="Q96" s="38"/>
      <c r="R96" s="38"/>
      <c r="S96" s="38"/>
      <c r="T96" s="38"/>
      <c r="U96" s="33">
        <f t="shared" si="5"/>
        <v>1</v>
      </c>
      <c r="V96" s="33">
        <f t="shared" si="6"/>
        <v>1</v>
      </c>
      <c r="W96" s="33">
        <f t="shared" si="7"/>
        <v>0</v>
      </c>
      <c r="X96" s="33">
        <f t="shared" si="8"/>
        <v>0</v>
      </c>
      <c r="Y96" s="33">
        <f ca="1">SUMPRODUCT((I96:INDEX(I96:T96,MONTH(TODAY()))="X")*1)</f>
        <v>0</v>
      </c>
      <c r="Z96" s="39">
        <f t="shared" si="9"/>
        <v>1</v>
      </c>
    </row>
    <row r="97" spans="1:26" x14ac:dyDescent="0.25">
      <c r="A97" s="37" t="str">
        <f>Equipos!C95</f>
        <v>2-134460</v>
      </c>
      <c r="B97" s="33" t="str">
        <f>Equipos!D95</f>
        <v>DEA</v>
      </c>
      <c r="C97" s="33" t="str">
        <f>Equipos!E95</f>
        <v>CDT</v>
      </c>
      <c r="D97" s="33">
        <f>Equipos!G95</f>
        <v>0</v>
      </c>
      <c r="E97" s="33" t="str">
        <f>Equipos!I95</f>
        <v>Nihon Kohden</v>
      </c>
      <c r="F97" s="33" t="str">
        <f>Equipos!J95</f>
        <v>AED-3100K</v>
      </c>
      <c r="G97" s="37" t="str">
        <f>Equipos!K95</f>
        <v>40422</v>
      </c>
      <c r="H97" s="33"/>
      <c r="I97" s="50" t="s">
        <v>275</v>
      </c>
      <c r="J97" s="50" t="s">
        <v>275</v>
      </c>
      <c r="K97" s="50" t="s">
        <v>275</v>
      </c>
      <c r="L97" s="50" t="s">
        <v>275</v>
      </c>
      <c r="M97" s="50" t="s">
        <v>275</v>
      </c>
      <c r="N97" s="38"/>
      <c r="O97" s="38"/>
      <c r="P97" s="38"/>
      <c r="Q97" s="38"/>
      <c r="R97" s="38"/>
      <c r="S97" s="38"/>
      <c r="T97" s="38"/>
      <c r="U97" s="33">
        <f t="shared" si="5"/>
        <v>5</v>
      </c>
      <c r="V97" s="33">
        <f t="shared" si="6"/>
        <v>5</v>
      </c>
      <c r="W97" s="33">
        <f t="shared" si="7"/>
        <v>0</v>
      </c>
      <c r="X97" s="33">
        <f t="shared" si="8"/>
        <v>0</v>
      </c>
      <c r="Y97" s="33">
        <f ca="1">SUMPRODUCT((I97:INDEX(I97:T97,MONTH(TODAY()))="X")*1)</f>
        <v>0</v>
      </c>
      <c r="Z97" s="39">
        <f t="shared" si="9"/>
        <v>1</v>
      </c>
    </row>
    <row r="98" spans="1:26" x14ac:dyDescent="0.25">
      <c r="A98" s="37" t="str">
        <f>Equipos!C96</f>
        <v>2-112273</v>
      </c>
      <c r="B98" s="33" t="str">
        <f>Equipos!D96</f>
        <v>DEA</v>
      </c>
      <c r="C98" s="33" t="str">
        <f>Equipos!E96</f>
        <v>Prevención de Riesgos</v>
      </c>
      <c r="D98" s="33" t="str">
        <f>Equipos!G96</f>
        <v>CDT 1ER Piso</v>
      </c>
      <c r="E98" s="33" t="str">
        <f>Equipos!I96</f>
        <v>DEFIBTECH</v>
      </c>
      <c r="F98" s="33" t="str">
        <f>Equipos!J96</f>
        <v xml:space="preserve">LIFE LINE </v>
      </c>
      <c r="G98" s="37" t="str">
        <f>Equipos!K96</f>
        <v>122002994</v>
      </c>
      <c r="H98" s="33"/>
      <c r="I98" s="50" t="s">
        <v>275</v>
      </c>
      <c r="J98" s="50" t="s">
        <v>275</v>
      </c>
      <c r="K98" s="50" t="s">
        <v>275</v>
      </c>
      <c r="L98" s="50" t="s">
        <v>275</v>
      </c>
      <c r="M98" s="50" t="s">
        <v>275</v>
      </c>
      <c r="N98" s="38"/>
      <c r="O98" s="38"/>
      <c r="P98" s="38"/>
      <c r="Q98" s="38"/>
      <c r="R98" s="38"/>
      <c r="S98" s="38"/>
      <c r="T98" s="38"/>
      <c r="U98" s="33">
        <f t="shared" si="5"/>
        <v>5</v>
      </c>
      <c r="V98" s="33">
        <f t="shared" si="6"/>
        <v>5</v>
      </c>
      <c r="W98" s="33">
        <f t="shared" si="7"/>
        <v>0</v>
      </c>
      <c r="X98" s="33">
        <f t="shared" si="8"/>
        <v>0</v>
      </c>
      <c r="Y98" s="33">
        <f ca="1">SUMPRODUCT((I98:INDEX(I98:T98,MONTH(TODAY()))="X")*1)</f>
        <v>0</v>
      </c>
      <c r="Z98" s="39">
        <f t="shared" si="9"/>
        <v>1</v>
      </c>
    </row>
    <row r="99" spans="1:26" x14ac:dyDescent="0.25">
      <c r="A99" s="37" t="str">
        <f>Equipos!C97</f>
        <v>2-112274</v>
      </c>
      <c r="B99" s="33" t="str">
        <f>Equipos!D97</f>
        <v>DEA</v>
      </c>
      <c r="C99" s="33" t="str">
        <f>Equipos!E97</f>
        <v>Prevención de Riesgos</v>
      </c>
      <c r="D99" s="33" t="str">
        <f>Equipos!G97</f>
        <v>Hall 1º Piso EP</v>
      </c>
      <c r="E99" s="33" t="str">
        <f>Equipos!I97</f>
        <v>DEFIBTECH</v>
      </c>
      <c r="F99" s="33" t="str">
        <f>Equipos!J97</f>
        <v xml:space="preserve">LIFE LINE </v>
      </c>
      <c r="G99" s="37" t="str">
        <f>Equipos!K97</f>
        <v>122003001</v>
      </c>
      <c r="H99" s="33"/>
      <c r="I99" s="50" t="s">
        <v>275</v>
      </c>
      <c r="J99" s="50" t="s">
        <v>275</v>
      </c>
      <c r="K99" s="50" t="s">
        <v>275</v>
      </c>
      <c r="L99" s="50" t="s">
        <v>275</v>
      </c>
      <c r="M99" s="50" t="s">
        <v>275</v>
      </c>
      <c r="N99" s="38"/>
      <c r="O99" s="38"/>
      <c r="P99" s="38"/>
      <c r="Q99" s="38"/>
      <c r="R99" s="38"/>
      <c r="S99" s="38"/>
      <c r="T99" s="38"/>
      <c r="U99" s="33">
        <f t="shared" si="5"/>
        <v>5</v>
      </c>
      <c r="V99" s="33">
        <f t="shared" si="6"/>
        <v>5</v>
      </c>
      <c r="W99" s="33">
        <f t="shared" si="7"/>
        <v>0</v>
      </c>
      <c r="X99" s="33">
        <f t="shared" si="8"/>
        <v>0</v>
      </c>
      <c r="Y99" s="33">
        <f ca="1">SUMPRODUCT((I99:INDEX(I99:T99,MONTH(TODAY()))="X")*1)</f>
        <v>0</v>
      </c>
      <c r="Z99" s="39">
        <f t="shared" si="9"/>
        <v>1</v>
      </c>
    </row>
    <row r="100" spans="1:26" x14ac:dyDescent="0.25">
      <c r="A100" s="37" t="str">
        <f>Equipos!C98</f>
        <v>2-112275</v>
      </c>
      <c r="B100" s="33" t="str">
        <f>Equipos!D98</f>
        <v>DEA</v>
      </c>
      <c r="C100" s="33" t="str">
        <f>Equipos!E98</f>
        <v>Prevención de Riesgos</v>
      </c>
      <c r="D100" s="33" t="str">
        <f>Equipos!G98</f>
        <v>Urgencia Infantil</v>
      </c>
      <c r="E100" s="33" t="str">
        <f>Equipos!I98</f>
        <v>DEFIBTECH</v>
      </c>
      <c r="F100" s="33" t="str">
        <f>Equipos!J98</f>
        <v xml:space="preserve">LIFE LINE </v>
      </c>
      <c r="G100" s="37" t="str">
        <f>Equipos!K98</f>
        <v>122002995</v>
      </c>
      <c r="H100" s="33"/>
      <c r="I100" s="50" t="s">
        <v>275</v>
      </c>
      <c r="J100" s="50" t="s">
        <v>275</v>
      </c>
      <c r="K100" s="50" t="s">
        <v>275</v>
      </c>
      <c r="L100" s="50" t="s">
        <v>275</v>
      </c>
      <c r="M100" s="50" t="s">
        <v>275</v>
      </c>
      <c r="N100" s="38"/>
      <c r="O100" s="38"/>
      <c r="P100" s="38"/>
      <c r="Q100" s="38"/>
      <c r="R100" s="38"/>
      <c r="S100" s="38"/>
      <c r="T100" s="38"/>
      <c r="U100" s="33">
        <f t="shared" si="5"/>
        <v>5</v>
      </c>
      <c r="V100" s="33">
        <f t="shared" si="6"/>
        <v>5</v>
      </c>
      <c r="W100" s="33">
        <f t="shared" si="7"/>
        <v>0</v>
      </c>
      <c r="X100" s="33">
        <f t="shared" si="8"/>
        <v>0</v>
      </c>
      <c r="Y100" s="33">
        <f ca="1">SUMPRODUCT((I100:INDEX(I100:T100,MONTH(TODAY()))="X")*1)</f>
        <v>0</v>
      </c>
      <c r="Z100" s="39">
        <f t="shared" si="9"/>
        <v>1</v>
      </c>
    </row>
    <row r="101" spans="1:26" x14ac:dyDescent="0.25">
      <c r="A101" s="37" t="str">
        <f>Equipos!C99</f>
        <v>2-112276</v>
      </c>
      <c r="B101" s="33" t="str">
        <f>Equipos!D99</f>
        <v>DEA</v>
      </c>
      <c r="C101" s="33" t="str">
        <f>Equipos!E99</f>
        <v>Prevención de Riesgos (Urgencia Adulto)</v>
      </c>
      <c r="D101" s="33" t="str">
        <f>Equipos!G99</f>
        <v xml:space="preserve">Priorización Adultos </v>
      </c>
      <c r="E101" s="33" t="str">
        <f>Equipos!I99</f>
        <v>DEFIBTECH</v>
      </c>
      <c r="F101" s="33" t="str">
        <f>Equipos!J99</f>
        <v xml:space="preserve">LIFE LINE </v>
      </c>
      <c r="G101" s="37" t="str">
        <f>Equipos!K99</f>
        <v>122003000</v>
      </c>
      <c r="H101" s="33"/>
      <c r="I101" s="50" t="s">
        <v>275</v>
      </c>
      <c r="J101" s="50" t="s">
        <v>275</v>
      </c>
      <c r="K101" s="50" t="s">
        <v>275</v>
      </c>
      <c r="L101" s="50" t="s">
        <v>275</v>
      </c>
      <c r="M101" s="50" t="s">
        <v>275</v>
      </c>
      <c r="N101" s="38"/>
      <c r="O101" s="38"/>
      <c r="P101" s="38"/>
      <c r="Q101" s="38"/>
      <c r="R101" s="38"/>
      <c r="S101" s="38"/>
      <c r="T101" s="38"/>
      <c r="U101" s="33">
        <f t="shared" si="5"/>
        <v>5</v>
      </c>
      <c r="V101" s="33">
        <f t="shared" si="6"/>
        <v>5</v>
      </c>
      <c r="W101" s="33">
        <f t="shared" si="7"/>
        <v>0</v>
      </c>
      <c r="X101" s="33">
        <f t="shared" si="8"/>
        <v>0</v>
      </c>
      <c r="Y101" s="33">
        <f ca="1">SUMPRODUCT((I101:INDEX(I101:T101,MONTH(TODAY()))="X")*1)</f>
        <v>0</v>
      </c>
      <c r="Z101" s="39">
        <f t="shared" si="9"/>
        <v>1</v>
      </c>
    </row>
    <row r="102" spans="1:26" x14ac:dyDescent="0.25">
      <c r="A102" s="37" t="str">
        <f>Equipos!C100</f>
        <v>2-112277</v>
      </c>
      <c r="B102" s="33" t="str">
        <f>Equipos!D100</f>
        <v>DEA</v>
      </c>
      <c r="C102" s="33" t="str">
        <f>Equipos!E100</f>
        <v>Prevención de Riesgos</v>
      </c>
      <c r="D102" s="33" t="str">
        <f>Equipos!G100</f>
        <v>Zócalo CDT</v>
      </c>
      <c r="E102" s="33" t="str">
        <f>Equipos!I100</f>
        <v>DEFIBTECH</v>
      </c>
      <c r="F102" s="33" t="str">
        <f>Equipos!J100</f>
        <v xml:space="preserve">LIFE LINE </v>
      </c>
      <c r="G102" s="37" t="str">
        <f>Equipos!K100</f>
        <v>122002981</v>
      </c>
      <c r="H102" s="33"/>
      <c r="I102" s="50" t="s">
        <v>275</v>
      </c>
      <c r="J102" s="50" t="s">
        <v>275</v>
      </c>
      <c r="K102" s="50" t="s">
        <v>275</v>
      </c>
      <c r="L102" s="50" t="s">
        <v>275</v>
      </c>
      <c r="M102" s="50" t="s">
        <v>275</v>
      </c>
      <c r="N102" s="38"/>
      <c r="O102" s="38"/>
      <c r="P102" s="38"/>
      <c r="Q102" s="38"/>
      <c r="R102" s="38"/>
      <c r="S102" s="38"/>
      <c r="T102" s="38"/>
      <c r="U102" s="33">
        <f t="shared" si="5"/>
        <v>5</v>
      </c>
      <c r="V102" s="33">
        <f t="shared" si="6"/>
        <v>5</v>
      </c>
      <c r="W102" s="33">
        <f t="shared" si="7"/>
        <v>0</v>
      </c>
      <c r="X102" s="33">
        <f t="shared" si="8"/>
        <v>0</v>
      </c>
      <c r="Y102" s="33">
        <f ca="1">SUMPRODUCT((I102:INDEX(I102:T102,MONTH(TODAY()))="X")*1)</f>
        <v>0</v>
      </c>
      <c r="Z102" s="39">
        <f t="shared" si="9"/>
        <v>1</v>
      </c>
    </row>
    <row r="103" spans="1:26" x14ac:dyDescent="0.25">
      <c r="A103" s="37" t="str">
        <f>Equipos!C101</f>
        <v>2-002371</v>
      </c>
      <c r="B103" s="33" t="str">
        <f>Equipos!D101</f>
        <v>DEA</v>
      </c>
      <c r="C103" s="33" t="str">
        <f>Equipos!E101</f>
        <v>Prevención de Riesgos</v>
      </c>
      <c r="D103" s="33" t="str">
        <f>Equipos!G101</f>
        <v>Entrada Principal TN</v>
      </c>
      <c r="E103" s="33" t="str">
        <f>Equipos!I101</f>
        <v>DEFIBTECH</v>
      </c>
      <c r="F103" s="33" t="str">
        <f>Equipos!J101</f>
        <v xml:space="preserve">LIFE LINE </v>
      </c>
      <c r="G103" s="37" t="str">
        <f>Equipos!K101</f>
        <v>122002983</v>
      </c>
      <c r="H103" s="33"/>
      <c r="I103" s="50" t="s">
        <v>275</v>
      </c>
      <c r="J103" s="50" t="s">
        <v>275</v>
      </c>
      <c r="K103" s="50" t="s">
        <v>275</v>
      </c>
      <c r="L103" s="50" t="s">
        <v>275</v>
      </c>
      <c r="M103" s="50" t="s">
        <v>275</v>
      </c>
      <c r="N103" s="38"/>
      <c r="O103" s="38"/>
      <c r="P103" s="38"/>
      <c r="Q103" s="38"/>
      <c r="R103" s="38"/>
      <c r="S103" s="38"/>
      <c r="T103" s="38"/>
      <c r="U103" s="33">
        <f t="shared" si="5"/>
        <v>5</v>
      </c>
      <c r="V103" s="33">
        <f t="shared" si="6"/>
        <v>5</v>
      </c>
      <c r="W103" s="33">
        <f t="shared" si="7"/>
        <v>0</v>
      </c>
      <c r="X103" s="33">
        <f t="shared" si="8"/>
        <v>0</v>
      </c>
      <c r="Y103" s="33">
        <f ca="1">SUMPRODUCT((I103:INDEX(I103:T103,MONTH(TODAY()))="X")*1)</f>
        <v>0</v>
      </c>
      <c r="Z103" s="39">
        <f t="shared" si="9"/>
        <v>1</v>
      </c>
    </row>
    <row r="104" spans="1:26" x14ac:dyDescent="0.25">
      <c r="A104" s="37" t="str">
        <f>Equipos!C102</f>
        <v>2-112278</v>
      </c>
      <c r="B104" s="33" t="str">
        <f>Equipos!D102</f>
        <v>DEA</v>
      </c>
      <c r="C104" s="33" t="str">
        <f>Equipos!E102</f>
        <v>Prevención de Riesgos</v>
      </c>
      <c r="D104" s="33" t="str">
        <f>Equipos!G102</f>
        <v xml:space="preserve">Estacionamiento Zócalo </v>
      </c>
      <c r="E104" s="33" t="str">
        <f>Equipos!I102</f>
        <v>DEFIBTECH</v>
      </c>
      <c r="F104" s="33" t="str">
        <f>Equipos!J102</f>
        <v xml:space="preserve">LIFE LINE </v>
      </c>
      <c r="G104" s="37" t="str">
        <f>Equipos!K102</f>
        <v>122002988</v>
      </c>
      <c r="H104" s="33"/>
      <c r="I104" s="50" t="s">
        <v>275</v>
      </c>
      <c r="J104" s="50" t="s">
        <v>275</v>
      </c>
      <c r="K104" s="50" t="s">
        <v>275</v>
      </c>
      <c r="L104" s="50" t="s">
        <v>275</v>
      </c>
      <c r="M104" s="50" t="s">
        <v>275</v>
      </c>
      <c r="N104" s="38"/>
      <c r="O104" s="38"/>
      <c r="P104" s="38"/>
      <c r="Q104" s="38"/>
      <c r="R104" s="38"/>
      <c r="S104" s="38"/>
      <c r="T104" s="38"/>
      <c r="U104" s="33">
        <f t="shared" si="5"/>
        <v>5</v>
      </c>
      <c r="V104" s="33">
        <f t="shared" si="6"/>
        <v>5</v>
      </c>
      <c r="W104" s="33">
        <f t="shared" si="7"/>
        <v>0</v>
      </c>
      <c r="X104" s="33">
        <f t="shared" si="8"/>
        <v>0</v>
      </c>
      <c r="Y104" s="33">
        <f ca="1">SUMPRODUCT((I104:INDEX(I104:T104,MONTH(TODAY()))="X")*1)</f>
        <v>0</v>
      </c>
      <c r="Z104" s="39">
        <f t="shared" si="9"/>
        <v>1</v>
      </c>
    </row>
    <row r="105" spans="1:26" x14ac:dyDescent="0.25">
      <c r="A105" s="37" t="str">
        <f>Equipos!C103</f>
        <v>2-001551</v>
      </c>
      <c r="B105" s="33" t="str">
        <f>Equipos!D103</f>
        <v>DEA</v>
      </c>
      <c r="C105" s="33" t="str">
        <f>Equipos!E103</f>
        <v>Prevención de Riesgos</v>
      </c>
      <c r="D105" s="33" t="str">
        <f>Equipos!G103</f>
        <v>Hall Imagenología</v>
      </c>
      <c r="E105" s="33" t="str">
        <f>Equipos!I103</f>
        <v>DEFIBTECH</v>
      </c>
      <c r="F105" s="33" t="str">
        <f>Equipos!J103</f>
        <v xml:space="preserve">LIFE LINE </v>
      </c>
      <c r="G105" s="37" t="str">
        <f>Equipos!K103</f>
        <v>122002985</v>
      </c>
      <c r="H105" s="33"/>
      <c r="I105" s="50" t="s">
        <v>275</v>
      </c>
      <c r="J105" s="50" t="s">
        <v>275</v>
      </c>
      <c r="K105" s="50" t="s">
        <v>275</v>
      </c>
      <c r="L105" s="50" t="s">
        <v>275</v>
      </c>
      <c r="M105" s="50" t="s">
        <v>275</v>
      </c>
      <c r="N105" s="38"/>
      <c r="O105" s="38"/>
      <c r="P105" s="38"/>
      <c r="Q105" s="38"/>
      <c r="R105" s="38"/>
      <c r="S105" s="38"/>
      <c r="T105" s="38"/>
      <c r="U105" s="33">
        <f t="shared" si="5"/>
        <v>5</v>
      </c>
      <c r="V105" s="33">
        <f t="shared" si="6"/>
        <v>5</v>
      </c>
      <c r="W105" s="33">
        <f t="shared" si="7"/>
        <v>0</v>
      </c>
      <c r="X105" s="33">
        <f t="shared" si="8"/>
        <v>0</v>
      </c>
      <c r="Y105" s="33">
        <f ca="1">SUMPRODUCT((I105:INDEX(I105:T105,MONTH(TODAY()))="X")*1)</f>
        <v>0</v>
      </c>
      <c r="Z105" s="39">
        <f t="shared" si="9"/>
        <v>1</v>
      </c>
    </row>
    <row r="106" spans="1:26" x14ac:dyDescent="0.25">
      <c r="A106" s="37" t="str">
        <f>Equipos!C104</f>
        <v>2-134461</v>
      </c>
      <c r="B106" s="33" t="str">
        <f>Equipos!D104</f>
        <v>DEA</v>
      </c>
      <c r="C106" s="33" t="str">
        <f>Equipos!E104</f>
        <v>CDT</v>
      </c>
      <c r="D106" s="33">
        <f>Equipos!G104</f>
        <v>0</v>
      </c>
      <c r="E106" s="33" t="str">
        <f>Equipos!I104</f>
        <v>Nihon Kohden</v>
      </c>
      <c r="F106" s="33" t="str">
        <f>Equipos!J104</f>
        <v>AED-3100K</v>
      </c>
      <c r="G106" s="37" t="str">
        <f>Equipos!K104</f>
        <v>40361</v>
      </c>
      <c r="H106" s="33"/>
      <c r="I106" s="50" t="s">
        <v>275</v>
      </c>
      <c r="J106" s="50" t="s">
        <v>275</v>
      </c>
      <c r="K106" s="50" t="s">
        <v>275</v>
      </c>
      <c r="L106" s="50" t="s">
        <v>275</v>
      </c>
      <c r="M106" s="50" t="s">
        <v>275</v>
      </c>
      <c r="N106" s="38"/>
      <c r="O106" s="38"/>
      <c r="P106" s="38"/>
      <c r="Q106" s="38"/>
      <c r="R106" s="38"/>
      <c r="S106" s="38"/>
      <c r="T106" s="38"/>
      <c r="U106" s="33">
        <f t="shared" si="5"/>
        <v>5</v>
      </c>
      <c r="V106" s="33">
        <f t="shared" si="6"/>
        <v>5</v>
      </c>
      <c r="W106" s="33">
        <f t="shared" si="7"/>
        <v>0</v>
      </c>
      <c r="X106" s="33">
        <f t="shared" si="8"/>
        <v>0</v>
      </c>
      <c r="Y106" s="33">
        <f ca="1">SUMPRODUCT((I106:INDEX(I106:T106,MONTH(TODAY()))="X")*1)</f>
        <v>0</v>
      </c>
      <c r="Z106" s="39">
        <f t="shared" si="9"/>
        <v>1</v>
      </c>
    </row>
    <row r="107" spans="1:26" x14ac:dyDescent="0.25">
      <c r="A107" s="37" t="str">
        <f>Equipos!C105</f>
        <v>2-006472</v>
      </c>
      <c r="B107" s="33" t="str">
        <f>Equipos!D105</f>
        <v>Desfibrilador</v>
      </c>
      <c r="C107" s="33" t="str">
        <f>Equipos!E105</f>
        <v>Hemodiálisis (Prestado a SAMU)</v>
      </c>
      <c r="D107" s="33" t="str">
        <f>Equipos!G105</f>
        <v>EPB-P1</v>
      </c>
      <c r="E107" s="33" t="str">
        <f>Equipos!I105</f>
        <v>Mindray</v>
      </c>
      <c r="F107" s="33" t="str">
        <f>Equipos!J105</f>
        <v>BeneHeart D6</v>
      </c>
      <c r="G107" s="37" t="str">
        <f>Equipos!K105</f>
        <v>DG-29006896</v>
      </c>
      <c r="H107" s="33"/>
      <c r="I107" s="38"/>
      <c r="J107" s="38"/>
      <c r="K107" s="38"/>
      <c r="L107" s="50" t="s">
        <v>275</v>
      </c>
      <c r="M107" s="38"/>
      <c r="N107" s="38"/>
      <c r="O107" s="38"/>
      <c r="P107" s="38"/>
      <c r="Q107" s="38"/>
      <c r="R107" s="38"/>
      <c r="S107" s="38"/>
      <c r="T107" s="38"/>
      <c r="U107" s="33">
        <f t="shared" si="5"/>
        <v>1</v>
      </c>
      <c r="V107" s="33">
        <f t="shared" si="6"/>
        <v>1</v>
      </c>
      <c r="W107" s="33">
        <f t="shared" si="7"/>
        <v>0</v>
      </c>
      <c r="X107" s="33">
        <f t="shared" si="8"/>
        <v>0</v>
      </c>
      <c r="Y107" s="33">
        <f ca="1">SUMPRODUCT((I107:INDEX(I107:T107,MONTH(TODAY()))="X")*1)</f>
        <v>0</v>
      </c>
      <c r="Z107" s="39">
        <f t="shared" si="9"/>
        <v>1</v>
      </c>
    </row>
    <row r="108" spans="1:26" x14ac:dyDescent="0.25">
      <c r="A108" s="37" t="str">
        <f>Equipos!C106</f>
        <v>2-112279</v>
      </c>
      <c r="B108" s="33" t="str">
        <f>Equipos!D106</f>
        <v>Desfibrilador</v>
      </c>
      <c r="C108" s="33" t="str">
        <f>Equipos!E106</f>
        <v>Urgencia Infantil</v>
      </c>
      <c r="D108" s="33" t="str">
        <f>Equipos!G106</f>
        <v>SUI reanimador</v>
      </c>
      <c r="E108" s="33" t="str">
        <f>Equipos!I106</f>
        <v>Mindray</v>
      </c>
      <c r="F108" s="33" t="str">
        <f>Equipos!J106</f>
        <v>BeneHeart D6</v>
      </c>
      <c r="G108" s="37" t="str">
        <f>Equipos!K106</f>
        <v>DG-29006907</v>
      </c>
      <c r="H108" s="33"/>
      <c r="I108" s="38"/>
      <c r="J108" s="38"/>
      <c r="K108" s="50" t="s">
        <v>275</v>
      </c>
      <c r="L108" s="38"/>
      <c r="M108" s="38"/>
      <c r="N108" s="38"/>
      <c r="O108" s="38"/>
      <c r="P108" s="38"/>
      <c r="Q108" s="38"/>
      <c r="R108" s="38"/>
      <c r="S108" s="38"/>
      <c r="T108" s="38"/>
      <c r="U108" s="33">
        <f t="shared" si="5"/>
        <v>1</v>
      </c>
      <c r="V108" s="33">
        <f t="shared" si="6"/>
        <v>1</v>
      </c>
      <c r="W108" s="33">
        <f t="shared" si="7"/>
        <v>0</v>
      </c>
      <c r="X108" s="33">
        <f t="shared" si="8"/>
        <v>0</v>
      </c>
      <c r="Y108" s="33">
        <f ca="1">SUMPRODUCT((I108:INDEX(I108:T108,MONTH(TODAY()))="X")*1)</f>
        <v>0</v>
      </c>
      <c r="Z108" s="39">
        <f t="shared" si="9"/>
        <v>1</v>
      </c>
    </row>
    <row r="109" spans="1:26" x14ac:dyDescent="0.25">
      <c r="A109" s="37" t="str">
        <f>Equipos!C107</f>
        <v>2-112280</v>
      </c>
      <c r="B109" s="33" t="str">
        <f>Equipos!D107</f>
        <v>Desfibrilador</v>
      </c>
      <c r="C109" s="33" t="str">
        <f>Equipos!E107</f>
        <v>Cirugía Adulto</v>
      </c>
      <c r="D109" s="33" t="str">
        <f>Equipos!G107</f>
        <v>7mo piso</v>
      </c>
      <c r="E109" s="33" t="str">
        <f>Equipos!I107</f>
        <v xml:space="preserve">Zoll </v>
      </c>
      <c r="F109" s="33" t="str">
        <f>Equipos!J107</f>
        <v>R SERIES ALS</v>
      </c>
      <c r="G109" s="37" t="str">
        <f>Equipos!K107</f>
        <v>(21)AF14J041071</v>
      </c>
      <c r="H109" s="33"/>
      <c r="I109" s="38"/>
      <c r="J109" s="38"/>
      <c r="K109" s="38"/>
      <c r="L109" s="38"/>
      <c r="M109" s="50" t="s">
        <v>275</v>
      </c>
      <c r="N109" s="38"/>
      <c r="O109" s="38"/>
      <c r="P109" s="38"/>
      <c r="Q109" s="38"/>
      <c r="R109" s="38"/>
      <c r="S109" s="38"/>
      <c r="T109" s="38"/>
      <c r="U109" s="33">
        <f t="shared" si="5"/>
        <v>1</v>
      </c>
      <c r="V109" s="33">
        <f t="shared" si="6"/>
        <v>1</v>
      </c>
      <c r="W109" s="33">
        <f t="shared" si="7"/>
        <v>0</v>
      </c>
      <c r="X109" s="33">
        <f t="shared" si="8"/>
        <v>0</v>
      </c>
      <c r="Y109" s="33">
        <f ca="1">SUMPRODUCT((I109:INDEX(I109:T109,MONTH(TODAY()))="X")*1)</f>
        <v>0</v>
      </c>
      <c r="Z109" s="39">
        <f t="shared" si="9"/>
        <v>1</v>
      </c>
    </row>
    <row r="110" spans="1:26" x14ac:dyDescent="0.25">
      <c r="A110" s="37" t="str">
        <f>Equipos!C108</f>
        <v>2-007396</v>
      </c>
      <c r="B110" s="33" t="str">
        <f>Equipos!D108</f>
        <v>Desfibrilador</v>
      </c>
      <c r="C110" s="33" t="str">
        <f>Equipos!E108</f>
        <v>UPC Cardiovascular</v>
      </c>
      <c r="D110" s="33" t="str">
        <f>Equipos!G108</f>
        <v>Pasillo</v>
      </c>
      <c r="E110" s="33" t="str">
        <f>Equipos!I108</f>
        <v xml:space="preserve">Zoll </v>
      </c>
      <c r="F110" s="33" t="str">
        <f>Equipos!J108</f>
        <v>R SERIES ALS</v>
      </c>
      <c r="G110" s="37" t="str">
        <f>Equipos!K108</f>
        <v>(21)AF14J041081</v>
      </c>
      <c r="H110" s="33"/>
      <c r="I110" s="50" t="s">
        <v>275</v>
      </c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3">
        <f t="shared" si="5"/>
        <v>1</v>
      </c>
      <c r="V110" s="33">
        <f t="shared" si="6"/>
        <v>1</v>
      </c>
      <c r="W110" s="33">
        <f t="shared" si="7"/>
        <v>0</v>
      </c>
      <c r="X110" s="33">
        <f t="shared" si="8"/>
        <v>0</v>
      </c>
      <c r="Y110" s="33">
        <f ca="1">SUMPRODUCT((I110:INDEX(I110:T110,MONTH(TODAY()))="X")*1)</f>
        <v>0</v>
      </c>
      <c r="Z110" s="39">
        <f t="shared" si="9"/>
        <v>1</v>
      </c>
    </row>
    <row r="111" spans="1:26" x14ac:dyDescent="0.25">
      <c r="A111" s="37" t="str">
        <f>Equipos!C109</f>
        <v>2-112281</v>
      </c>
      <c r="B111" s="33" t="str">
        <f>Equipos!D109</f>
        <v>Desfibrilador</v>
      </c>
      <c r="C111" s="33" t="str">
        <f>Equipos!E109</f>
        <v>Electrofisiología</v>
      </c>
      <c r="D111" s="33" t="str">
        <f>Equipos!G109</f>
        <v>EPC 5to Piso</v>
      </c>
      <c r="E111" s="33" t="str">
        <f>Equipos!I109</f>
        <v xml:space="preserve">Zoll </v>
      </c>
      <c r="F111" s="33" t="str">
        <f>Equipos!J109</f>
        <v>R SERIES ALS</v>
      </c>
      <c r="G111" s="37" t="str">
        <f>Equipos!K109</f>
        <v>(21)AF14J041073</v>
      </c>
      <c r="H111" s="33"/>
      <c r="I111" s="38"/>
      <c r="J111" s="38"/>
      <c r="K111" s="50" t="s">
        <v>275</v>
      </c>
      <c r="L111" s="38"/>
      <c r="M111" s="38"/>
      <c r="N111" s="38"/>
      <c r="O111" s="38"/>
      <c r="P111" s="38"/>
      <c r="Q111" s="38"/>
      <c r="R111" s="38"/>
      <c r="S111" s="38"/>
      <c r="T111" s="38"/>
      <c r="U111" s="33">
        <f t="shared" si="5"/>
        <v>1</v>
      </c>
      <c r="V111" s="33">
        <f t="shared" si="6"/>
        <v>1</v>
      </c>
      <c r="W111" s="33">
        <f t="shared" si="7"/>
        <v>0</v>
      </c>
      <c r="X111" s="33">
        <f t="shared" si="8"/>
        <v>0</v>
      </c>
      <c r="Y111" s="33">
        <f ca="1">SUMPRODUCT((I111:INDEX(I111:T111,MONTH(TODAY()))="X")*1)</f>
        <v>0</v>
      </c>
      <c r="Z111" s="39">
        <f t="shared" si="9"/>
        <v>1</v>
      </c>
    </row>
    <row r="112" spans="1:26" x14ac:dyDescent="0.25">
      <c r="A112" s="37" t="str">
        <f>Equipos!C110</f>
        <v>2-113491</v>
      </c>
      <c r="B112" s="33" t="str">
        <f>Equipos!D110</f>
        <v>Desfibrilador</v>
      </c>
      <c r="C112" s="33" t="str">
        <f>Equipos!E110</f>
        <v>SAMU</v>
      </c>
      <c r="D112" s="33" t="str">
        <f>Equipos!G110</f>
        <v>Base 13</v>
      </c>
      <c r="E112" s="33" t="str">
        <f>Equipos!I110</f>
        <v>Instramed</v>
      </c>
      <c r="F112" s="33" t="str">
        <f>Equipos!J110</f>
        <v>Cardiomax 8 Series</v>
      </c>
      <c r="G112" s="37" t="str">
        <f>Equipos!K110</f>
        <v>41204CM7004</v>
      </c>
      <c r="H112" s="33"/>
      <c r="I112" s="38"/>
      <c r="J112" s="38"/>
      <c r="K112" s="38"/>
      <c r="L112" s="50" t="s">
        <v>275</v>
      </c>
      <c r="M112" s="38"/>
      <c r="N112" s="38"/>
      <c r="O112" s="38"/>
      <c r="P112" s="38"/>
      <c r="Q112" s="38"/>
      <c r="R112" s="38"/>
      <c r="S112" s="38"/>
      <c r="T112" s="38"/>
      <c r="U112" s="33">
        <f t="shared" si="5"/>
        <v>1</v>
      </c>
      <c r="V112" s="33">
        <f t="shared" si="6"/>
        <v>1</v>
      </c>
      <c r="W112" s="33">
        <f t="shared" si="7"/>
        <v>0</v>
      </c>
      <c r="X112" s="33">
        <f t="shared" si="8"/>
        <v>0</v>
      </c>
      <c r="Y112" s="33">
        <f ca="1">SUMPRODUCT((I112:INDEX(I112:T112,MONTH(TODAY()))="X")*1)</f>
        <v>0</v>
      </c>
      <c r="Z112" s="39">
        <f t="shared" si="9"/>
        <v>1</v>
      </c>
    </row>
    <row r="113" spans="1:26" x14ac:dyDescent="0.25">
      <c r="A113" s="37" t="str">
        <f>Equipos!C111</f>
        <v>2-135212</v>
      </c>
      <c r="B113" s="33" t="str">
        <f>Equipos!D111</f>
        <v>Desfibrilador</v>
      </c>
      <c r="C113" s="33" t="str">
        <f>Equipos!E111</f>
        <v>Urgencia Infantil</v>
      </c>
      <c r="D113" s="33">
        <f>Equipos!G111</f>
        <v>0</v>
      </c>
      <c r="E113" s="33" t="str">
        <f>Equipos!I111</f>
        <v>Nihon Kohden</v>
      </c>
      <c r="F113" s="33" t="str">
        <f>Equipos!J111</f>
        <v>TEC-5631E</v>
      </c>
      <c r="G113" s="37" t="str">
        <f>Equipos!K111</f>
        <v>07905</v>
      </c>
      <c r="H113" s="33"/>
      <c r="I113" s="38"/>
      <c r="J113" s="38"/>
      <c r="K113" s="50" t="s">
        <v>275</v>
      </c>
      <c r="L113" s="38"/>
      <c r="M113" s="38"/>
      <c r="N113" s="38"/>
      <c r="O113" s="38"/>
      <c r="P113" s="38"/>
      <c r="Q113" s="38"/>
      <c r="R113" s="38"/>
      <c r="S113" s="38"/>
      <c r="T113" s="38"/>
      <c r="U113" s="33">
        <f t="shared" si="5"/>
        <v>1</v>
      </c>
      <c r="V113" s="33">
        <f t="shared" si="6"/>
        <v>1</v>
      </c>
      <c r="W113" s="33">
        <f t="shared" si="7"/>
        <v>0</v>
      </c>
      <c r="X113" s="33">
        <f t="shared" si="8"/>
        <v>0</v>
      </c>
      <c r="Y113" s="33">
        <f ca="1">SUMPRODUCT((I113:INDEX(I113:T113,MONTH(TODAY()))="X")*1)</f>
        <v>0</v>
      </c>
      <c r="Z113" s="39">
        <f t="shared" si="9"/>
        <v>1</v>
      </c>
    </row>
    <row r="114" spans="1:26" x14ac:dyDescent="0.25">
      <c r="A114" s="37" t="str">
        <f>Equipos!C112</f>
        <v>2-112290</v>
      </c>
      <c r="B114" s="33" t="str">
        <f>Equipos!D112</f>
        <v>Desfibrilador</v>
      </c>
      <c r="C114" s="33" t="str">
        <f>Equipos!E112</f>
        <v>UPC Adulto</v>
      </c>
      <c r="D114" s="33" t="str">
        <f>Equipos!G112</f>
        <v>UCI D</v>
      </c>
      <c r="E114" s="33" t="str">
        <f>Equipos!I112</f>
        <v>Mindray</v>
      </c>
      <c r="F114" s="33" t="str">
        <f>Equipos!J112</f>
        <v>BeneHeart D6</v>
      </c>
      <c r="G114" s="37" t="str">
        <f>Equipos!K112</f>
        <v>DG4C012442</v>
      </c>
      <c r="H114" s="33"/>
      <c r="I114" s="38"/>
      <c r="J114" s="50" t="s">
        <v>275</v>
      </c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3">
        <f t="shared" si="5"/>
        <v>1</v>
      </c>
      <c r="V114" s="33">
        <f t="shared" si="6"/>
        <v>1</v>
      </c>
      <c r="W114" s="33">
        <f t="shared" si="7"/>
        <v>0</v>
      </c>
      <c r="X114" s="33">
        <f t="shared" si="8"/>
        <v>0</v>
      </c>
      <c r="Y114" s="33">
        <f ca="1">SUMPRODUCT((I114:INDEX(I114:T114,MONTH(TODAY()))="X")*1)</f>
        <v>0</v>
      </c>
      <c r="Z114" s="39">
        <f t="shared" si="9"/>
        <v>1</v>
      </c>
    </row>
    <row r="115" spans="1:26" x14ac:dyDescent="0.25">
      <c r="A115" s="37" t="str">
        <f>Equipos!C113</f>
        <v>2-112282</v>
      </c>
      <c r="B115" s="33" t="str">
        <f>Equipos!D113</f>
        <v>Desfibrilador</v>
      </c>
      <c r="C115" s="33" t="str">
        <f>Equipos!E113</f>
        <v>UPC Adulto</v>
      </c>
      <c r="D115" s="33" t="str">
        <f>Equipos!G113</f>
        <v>TNB--1-BG05</v>
      </c>
      <c r="E115" s="33" t="str">
        <f>Equipos!I113</f>
        <v>Mindray</v>
      </c>
      <c r="F115" s="33" t="str">
        <f>Equipos!J113</f>
        <v>BeneHeart D6</v>
      </c>
      <c r="G115" s="37" t="str">
        <f>Equipos!K113</f>
        <v>DG4C012445</v>
      </c>
      <c r="H115" s="33"/>
      <c r="I115" s="38"/>
      <c r="J115" s="50" t="s">
        <v>275</v>
      </c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3">
        <f t="shared" si="5"/>
        <v>1</v>
      </c>
      <c r="V115" s="33">
        <f t="shared" si="6"/>
        <v>1</v>
      </c>
      <c r="W115" s="33">
        <f t="shared" si="7"/>
        <v>0</v>
      </c>
      <c r="X115" s="33">
        <f t="shared" si="8"/>
        <v>0</v>
      </c>
      <c r="Y115" s="33">
        <f ca="1">SUMPRODUCT((I115:INDEX(I115:T115,MONTH(TODAY()))="X")*1)</f>
        <v>0</v>
      </c>
      <c r="Z115" s="39">
        <f t="shared" si="9"/>
        <v>1</v>
      </c>
    </row>
    <row r="116" spans="1:26" x14ac:dyDescent="0.25">
      <c r="A116" s="37" t="str">
        <f>Equipos!C114</f>
        <v>2-112283</v>
      </c>
      <c r="B116" s="33" t="str">
        <f>Equipos!D114</f>
        <v>Desfibrilador</v>
      </c>
      <c r="C116" s="33" t="str">
        <f>Equipos!E114</f>
        <v>UPC Adulto</v>
      </c>
      <c r="D116" s="33" t="str">
        <f>Equipos!G114</f>
        <v>SECTOR C</v>
      </c>
      <c r="E116" s="33" t="str">
        <f>Equipos!I114</f>
        <v>Mindray</v>
      </c>
      <c r="F116" s="33" t="str">
        <f>Equipos!J114</f>
        <v>BeneHeart D6</v>
      </c>
      <c r="G116" s="37" t="str">
        <f>Equipos!K114</f>
        <v>DG4C012440</v>
      </c>
      <c r="H116" s="33"/>
      <c r="I116" s="38"/>
      <c r="J116" s="50" t="s">
        <v>275</v>
      </c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3">
        <f t="shared" si="5"/>
        <v>1</v>
      </c>
      <c r="V116" s="33">
        <f t="shared" si="6"/>
        <v>1</v>
      </c>
      <c r="W116" s="33">
        <f t="shared" si="7"/>
        <v>0</v>
      </c>
      <c r="X116" s="33">
        <f t="shared" si="8"/>
        <v>0</v>
      </c>
      <c r="Y116" s="33">
        <f ca="1">SUMPRODUCT((I116:INDEX(I116:T116,MONTH(TODAY()))="X")*1)</f>
        <v>0</v>
      </c>
      <c r="Z116" s="39">
        <f t="shared" si="9"/>
        <v>1</v>
      </c>
    </row>
    <row r="117" spans="1:26" x14ac:dyDescent="0.25">
      <c r="A117" s="37" t="str">
        <f>Equipos!C115</f>
        <v>2-023257</v>
      </c>
      <c r="B117" s="33" t="str">
        <f>Equipos!D115</f>
        <v>Desfibrilador</v>
      </c>
      <c r="C117" s="33" t="str">
        <f>Equipos!E115</f>
        <v>UPC Adulto (Prestado a Cirugía Adulto)</v>
      </c>
      <c r="D117" s="33" t="str">
        <f>Equipos!G115</f>
        <v>3 Piso</v>
      </c>
      <c r="E117" s="33" t="str">
        <f>Equipos!I115</f>
        <v>Mindray</v>
      </c>
      <c r="F117" s="33" t="str">
        <f>Equipos!J115</f>
        <v>BeneHeart D6</v>
      </c>
      <c r="G117" s="37" t="str">
        <f>Equipos!K115</f>
        <v>DG4C012439</v>
      </c>
      <c r="H117" s="33"/>
      <c r="I117" s="38"/>
      <c r="J117" s="50" t="s">
        <v>275</v>
      </c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3">
        <f t="shared" si="5"/>
        <v>1</v>
      </c>
      <c r="V117" s="33">
        <f t="shared" si="6"/>
        <v>1</v>
      </c>
      <c r="W117" s="33">
        <f t="shared" si="7"/>
        <v>0</v>
      </c>
      <c r="X117" s="33">
        <f t="shared" si="8"/>
        <v>0</v>
      </c>
      <c r="Y117" s="33">
        <f ca="1">SUMPRODUCT((I117:INDEX(I117:T117,MONTH(TODAY()))="X")*1)</f>
        <v>0</v>
      </c>
      <c r="Z117" s="39">
        <f t="shared" si="9"/>
        <v>1</v>
      </c>
    </row>
    <row r="118" spans="1:26" x14ac:dyDescent="0.25">
      <c r="A118" s="37" t="str">
        <f>Equipos!C116</f>
        <v>2-112284</v>
      </c>
      <c r="B118" s="33" t="str">
        <f>Equipos!D116</f>
        <v>Desfibrilador</v>
      </c>
      <c r="C118" s="33" t="str">
        <f>Equipos!E116</f>
        <v>UPC Adulto</v>
      </c>
      <c r="D118" s="33" t="str">
        <f>Equipos!G116</f>
        <v>BODEGA</v>
      </c>
      <c r="E118" s="33" t="str">
        <f>Equipos!I116</f>
        <v>Mindray</v>
      </c>
      <c r="F118" s="33" t="str">
        <f>Equipos!J116</f>
        <v>BeneHeart D6</v>
      </c>
      <c r="G118" s="37" t="str">
        <f>Equipos!K116</f>
        <v>DG4C012437</v>
      </c>
      <c r="H118" s="33"/>
      <c r="I118" s="38"/>
      <c r="J118" s="50" t="s">
        <v>275</v>
      </c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3">
        <f t="shared" si="5"/>
        <v>1</v>
      </c>
      <c r="V118" s="33">
        <f t="shared" si="6"/>
        <v>1</v>
      </c>
      <c r="W118" s="33">
        <f t="shared" si="7"/>
        <v>0</v>
      </c>
      <c r="X118" s="33">
        <f t="shared" si="8"/>
        <v>0</v>
      </c>
      <c r="Y118" s="33">
        <f ca="1">SUMPRODUCT((I118:INDEX(I118:T118,MONTH(TODAY()))="X")*1)</f>
        <v>0</v>
      </c>
      <c r="Z118" s="39">
        <f t="shared" si="9"/>
        <v>1</v>
      </c>
    </row>
    <row r="119" spans="1:26" x14ac:dyDescent="0.25">
      <c r="A119" s="37" t="str">
        <f>Equipos!C117</f>
        <v>2-112000</v>
      </c>
      <c r="B119" s="33" t="str">
        <f>Equipos!D117</f>
        <v>Desfibrilador</v>
      </c>
      <c r="C119" s="33" t="str">
        <f>Equipos!E117</f>
        <v>SAMU</v>
      </c>
      <c r="D119" s="33">
        <f>Equipos!G117</f>
        <v>0</v>
      </c>
      <c r="E119" s="33" t="str">
        <f>Equipos!I117</f>
        <v>NIHON KOHDEN</v>
      </c>
      <c r="F119" s="33" t="str">
        <f>Equipos!J117</f>
        <v>TEC-8352K</v>
      </c>
      <c r="G119" s="37" t="str">
        <f>Equipos!K117</f>
        <v>00932</v>
      </c>
      <c r="H119" s="33"/>
      <c r="I119" s="38"/>
      <c r="J119" s="38"/>
      <c r="K119" s="38"/>
      <c r="L119" s="50" t="s">
        <v>275</v>
      </c>
      <c r="M119" s="38"/>
      <c r="N119" s="38"/>
      <c r="O119" s="38"/>
      <c r="P119" s="38"/>
      <c r="Q119" s="38"/>
      <c r="R119" s="38"/>
      <c r="S119" s="38"/>
      <c r="T119" s="38"/>
      <c r="U119" s="33">
        <f t="shared" si="5"/>
        <v>1</v>
      </c>
      <c r="V119" s="33">
        <f t="shared" si="6"/>
        <v>1</v>
      </c>
      <c r="W119" s="33">
        <f t="shared" si="7"/>
        <v>0</v>
      </c>
      <c r="X119" s="33">
        <f t="shared" si="8"/>
        <v>0</v>
      </c>
      <c r="Y119" s="33">
        <f ca="1">SUMPRODUCT((I119:INDEX(I119:T119,MONTH(TODAY()))="X")*1)</f>
        <v>0</v>
      </c>
      <c r="Z119" s="39">
        <f t="shared" si="9"/>
        <v>1</v>
      </c>
    </row>
    <row r="120" spans="1:26" x14ac:dyDescent="0.25">
      <c r="A120" s="37" t="str">
        <f>Equipos!C118</f>
        <v>2-112001</v>
      </c>
      <c r="B120" s="33" t="str">
        <f>Equipos!D118</f>
        <v>Desfibrilador</v>
      </c>
      <c r="C120" s="33" t="str">
        <f>Equipos!E118</f>
        <v>Urgencia Adulto</v>
      </c>
      <c r="D120" s="33" t="str">
        <f>Equipos!G118</f>
        <v>Reanimación</v>
      </c>
      <c r="E120" s="33" t="str">
        <f>Equipos!I118</f>
        <v>NIHON KOHDEN</v>
      </c>
      <c r="F120" s="33" t="str">
        <f>Equipos!J118</f>
        <v>TEC-8352K</v>
      </c>
      <c r="G120" s="37" t="str">
        <f>Equipos!K118</f>
        <v>00946</v>
      </c>
      <c r="H120" s="33"/>
      <c r="I120" s="38"/>
      <c r="J120" s="38"/>
      <c r="K120" s="38"/>
      <c r="L120" s="50" t="s">
        <v>275</v>
      </c>
      <c r="M120" s="38"/>
      <c r="N120" s="38"/>
      <c r="O120" s="38"/>
      <c r="P120" s="38"/>
      <c r="Q120" s="38"/>
      <c r="R120" s="38"/>
      <c r="S120" s="38"/>
      <c r="T120" s="38"/>
      <c r="U120" s="33">
        <f t="shared" si="5"/>
        <v>1</v>
      </c>
      <c r="V120" s="33">
        <f t="shared" si="6"/>
        <v>1</v>
      </c>
      <c r="W120" s="33">
        <f t="shared" si="7"/>
        <v>0</v>
      </c>
      <c r="X120" s="33">
        <f t="shared" si="8"/>
        <v>0</v>
      </c>
      <c r="Y120" s="33">
        <f ca="1">SUMPRODUCT((I120:INDEX(I120:T120,MONTH(TODAY()))="X")*1)</f>
        <v>0</v>
      </c>
      <c r="Z120" s="39">
        <f t="shared" si="9"/>
        <v>1</v>
      </c>
    </row>
    <row r="121" spans="1:26" x14ac:dyDescent="0.25">
      <c r="A121" s="37" t="str">
        <f>Equipos!C119</f>
        <v>2-118880</v>
      </c>
      <c r="B121" s="33" t="str">
        <f>Equipos!D119</f>
        <v>Desfibrilador</v>
      </c>
      <c r="C121" s="33" t="str">
        <f>Equipos!E119</f>
        <v xml:space="preserve">UPC Pediátrica </v>
      </c>
      <c r="D121" s="33">
        <f>Equipos!G119</f>
        <v>0</v>
      </c>
      <c r="E121" s="33" t="str">
        <f>Equipos!I119</f>
        <v>Zoll</v>
      </c>
      <c r="F121" s="33" t="str">
        <f>Equipos!J119</f>
        <v>R SERIES ALS</v>
      </c>
      <c r="G121" s="37" t="str">
        <f>Equipos!K119</f>
        <v>(21)AF19F099451</v>
      </c>
      <c r="H121" s="33"/>
      <c r="I121" s="50" t="s">
        <v>275</v>
      </c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3">
        <f t="shared" si="5"/>
        <v>1</v>
      </c>
      <c r="V121" s="33">
        <f t="shared" si="6"/>
        <v>1</v>
      </c>
      <c r="W121" s="33">
        <f t="shared" si="7"/>
        <v>0</v>
      </c>
      <c r="X121" s="33">
        <f t="shared" si="8"/>
        <v>0</v>
      </c>
      <c r="Y121" s="33">
        <f ca="1">SUMPRODUCT((I121:INDEX(I121:T121,MONTH(TODAY()))="X")*1)</f>
        <v>0</v>
      </c>
      <c r="Z121" s="39">
        <f t="shared" si="9"/>
        <v>1</v>
      </c>
    </row>
    <row r="122" spans="1:26" x14ac:dyDescent="0.25">
      <c r="A122" s="37" t="str">
        <f>Equipos!C120</f>
        <v>2-118883</v>
      </c>
      <c r="B122" s="33" t="str">
        <f>Equipos!D120</f>
        <v>Desfibrilador</v>
      </c>
      <c r="C122" s="33" t="str">
        <f>Equipos!E120</f>
        <v>UPC Pediátrica</v>
      </c>
      <c r="D122" s="33">
        <f>Equipos!G120</f>
        <v>0</v>
      </c>
      <c r="E122" s="33" t="str">
        <f>Equipos!I120</f>
        <v>Zoll</v>
      </c>
      <c r="F122" s="33" t="str">
        <f>Equipos!J120</f>
        <v>R SERIES ALS</v>
      </c>
      <c r="G122" s="37" t="str">
        <f>Equipos!K120</f>
        <v>(21)AF19F099428</v>
      </c>
      <c r="H122" s="33"/>
      <c r="I122" s="50" t="s">
        <v>275</v>
      </c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3">
        <f t="shared" si="5"/>
        <v>1</v>
      </c>
      <c r="V122" s="33">
        <f t="shared" si="6"/>
        <v>1</v>
      </c>
      <c r="W122" s="33">
        <f t="shared" si="7"/>
        <v>0</v>
      </c>
      <c r="X122" s="33">
        <f t="shared" si="8"/>
        <v>0</v>
      </c>
      <c r="Y122" s="33">
        <f ca="1">SUMPRODUCT((I122:INDEX(I122:T122,MONTH(TODAY()))="X")*1)</f>
        <v>0</v>
      </c>
      <c r="Z122" s="39">
        <f t="shared" si="9"/>
        <v>1</v>
      </c>
    </row>
    <row r="123" spans="1:26" x14ac:dyDescent="0.25">
      <c r="A123" s="37" t="str">
        <f>Equipos!C121</f>
        <v>2-119182</v>
      </c>
      <c r="B123" s="33" t="str">
        <f>Equipos!D121</f>
        <v>Desfibrilador</v>
      </c>
      <c r="C123" s="33" t="str">
        <f>Equipos!E121</f>
        <v>Pabellón (Recuperación)</v>
      </c>
      <c r="D123" s="33" t="str">
        <f>Equipos!G121</f>
        <v>Carro de paro</v>
      </c>
      <c r="E123" s="33" t="str">
        <f>Equipos!I121</f>
        <v>Zoll</v>
      </c>
      <c r="F123" s="33" t="str">
        <f>Equipos!J121</f>
        <v>R SERIES ALS</v>
      </c>
      <c r="G123" s="37" t="str">
        <f>Equipos!K121</f>
        <v>(21)AF19K107390</v>
      </c>
      <c r="H123" s="33"/>
      <c r="I123" s="38"/>
      <c r="J123" s="38"/>
      <c r="K123" s="38"/>
      <c r="L123" s="50" t="s">
        <v>275</v>
      </c>
      <c r="M123" s="38"/>
      <c r="N123" s="38"/>
      <c r="O123" s="38"/>
      <c r="P123" s="38"/>
      <c r="Q123" s="38"/>
      <c r="R123" s="38"/>
      <c r="S123" s="38"/>
      <c r="T123" s="38"/>
      <c r="U123" s="33">
        <f t="shared" si="5"/>
        <v>1</v>
      </c>
      <c r="V123" s="33">
        <f t="shared" si="6"/>
        <v>1</v>
      </c>
      <c r="W123" s="33">
        <f t="shared" si="7"/>
        <v>0</v>
      </c>
      <c r="X123" s="33">
        <f t="shared" si="8"/>
        <v>0</v>
      </c>
      <c r="Y123" s="33">
        <f ca="1">SUMPRODUCT((I123:INDEX(I123:T123,MONTH(TODAY()))="X")*1)</f>
        <v>0</v>
      </c>
      <c r="Z123" s="39">
        <f t="shared" si="9"/>
        <v>1</v>
      </c>
    </row>
    <row r="124" spans="1:26" x14ac:dyDescent="0.25">
      <c r="A124" s="37" t="str">
        <f>Equipos!C122</f>
        <v>2-119180</v>
      </c>
      <c r="B124" s="33" t="str">
        <f>Equipos!D122</f>
        <v>Desfibrilador</v>
      </c>
      <c r="C124" s="33" t="str">
        <f>Equipos!E122</f>
        <v>Pabellón CMA</v>
      </c>
      <c r="D124" s="33">
        <f>Equipos!G122</f>
        <v>0</v>
      </c>
      <c r="E124" s="33" t="str">
        <f>Equipos!I122</f>
        <v>Zoll</v>
      </c>
      <c r="F124" s="33" t="str">
        <f>Equipos!J122</f>
        <v>R SERIES ALS</v>
      </c>
      <c r="G124" s="37" t="str">
        <f>Equipos!K122</f>
        <v>(21)AF19K107391</v>
      </c>
      <c r="H124" s="33"/>
      <c r="I124" s="38"/>
      <c r="J124" s="38"/>
      <c r="K124" s="38"/>
      <c r="L124" s="38"/>
      <c r="M124" s="50" t="s">
        <v>275</v>
      </c>
      <c r="N124" s="38"/>
      <c r="O124" s="38"/>
      <c r="P124" s="38"/>
      <c r="Q124" s="38"/>
      <c r="R124" s="38"/>
      <c r="S124" s="38"/>
      <c r="T124" s="38"/>
      <c r="U124" s="33">
        <f t="shared" si="5"/>
        <v>1</v>
      </c>
      <c r="V124" s="33">
        <f t="shared" si="6"/>
        <v>1</v>
      </c>
      <c r="W124" s="33">
        <f t="shared" si="7"/>
        <v>0</v>
      </c>
      <c r="X124" s="33">
        <f t="shared" si="8"/>
        <v>0</v>
      </c>
      <c r="Y124" s="33">
        <f ca="1">SUMPRODUCT((I124:INDEX(I124:T124,MONTH(TODAY()))="X")*1)</f>
        <v>0</v>
      </c>
      <c r="Z124" s="39">
        <f t="shared" si="9"/>
        <v>1</v>
      </c>
    </row>
    <row r="125" spans="1:26" x14ac:dyDescent="0.25">
      <c r="A125" s="37" t="str">
        <f>Equipos!C123</f>
        <v>2-119179</v>
      </c>
      <c r="B125" s="33" t="str">
        <f>Equipos!D123</f>
        <v>Desfibrilador</v>
      </c>
      <c r="C125" s="33" t="str">
        <f>Equipos!E123</f>
        <v>Pabellón Quirúrgico</v>
      </c>
      <c r="D125" s="33">
        <f>Equipos!G123</f>
        <v>0</v>
      </c>
      <c r="E125" s="33" t="str">
        <f>Equipos!I123</f>
        <v>Zoll</v>
      </c>
      <c r="F125" s="33" t="str">
        <f>Equipos!J123</f>
        <v>R SERIES ALS</v>
      </c>
      <c r="G125" s="37" t="str">
        <f>Equipos!K123</f>
        <v>(21)AF19K107393</v>
      </c>
      <c r="H125" s="33"/>
      <c r="I125" s="38"/>
      <c r="J125" s="38"/>
      <c r="K125" s="38"/>
      <c r="L125" s="50" t="s">
        <v>275</v>
      </c>
      <c r="M125" s="38"/>
      <c r="N125" s="38"/>
      <c r="O125" s="38"/>
      <c r="P125" s="38"/>
      <c r="Q125" s="38"/>
      <c r="R125" s="38"/>
      <c r="S125" s="38"/>
      <c r="T125" s="38"/>
      <c r="U125" s="33">
        <f t="shared" si="5"/>
        <v>1</v>
      </c>
      <c r="V125" s="33">
        <f t="shared" si="6"/>
        <v>1</v>
      </c>
      <c r="W125" s="33">
        <f t="shared" si="7"/>
        <v>0</v>
      </c>
      <c r="X125" s="33">
        <f t="shared" si="8"/>
        <v>0</v>
      </c>
      <c r="Y125" s="33">
        <f ca="1">SUMPRODUCT((I125:INDEX(I125:T125,MONTH(TODAY()))="X")*1)</f>
        <v>0</v>
      </c>
      <c r="Z125" s="39">
        <f t="shared" si="9"/>
        <v>1</v>
      </c>
    </row>
    <row r="126" spans="1:26" x14ac:dyDescent="0.25">
      <c r="A126" s="37" t="str">
        <f>Equipos!C124</f>
        <v>2-119181</v>
      </c>
      <c r="B126" s="33" t="str">
        <f>Equipos!D124</f>
        <v>Desfibrilador</v>
      </c>
      <c r="C126" s="33" t="str">
        <f>Equipos!E124</f>
        <v>Pabellón Quirúrgico</v>
      </c>
      <c r="D126" s="33">
        <f>Equipos!G124</f>
        <v>0</v>
      </c>
      <c r="E126" s="33" t="str">
        <f>Equipos!I124</f>
        <v>Zoll</v>
      </c>
      <c r="F126" s="33" t="str">
        <f>Equipos!J124</f>
        <v>R SERIES ALS</v>
      </c>
      <c r="G126" s="37" t="str">
        <f>Equipos!K124</f>
        <v>(21)AF19K107388</v>
      </c>
      <c r="H126" s="33"/>
      <c r="I126" s="38"/>
      <c r="J126" s="38"/>
      <c r="K126" s="38"/>
      <c r="L126" s="50" t="s">
        <v>275</v>
      </c>
      <c r="M126" s="38"/>
      <c r="N126" s="38"/>
      <c r="O126" s="38"/>
      <c r="P126" s="38"/>
      <c r="Q126" s="38"/>
      <c r="R126" s="38"/>
      <c r="S126" s="38"/>
      <c r="T126" s="38"/>
      <c r="U126" s="33">
        <f t="shared" si="5"/>
        <v>1</v>
      </c>
      <c r="V126" s="33">
        <f t="shared" si="6"/>
        <v>1</v>
      </c>
      <c r="W126" s="33">
        <f t="shared" si="7"/>
        <v>0</v>
      </c>
      <c r="X126" s="33">
        <f t="shared" si="8"/>
        <v>0</v>
      </c>
      <c r="Y126" s="33">
        <f ca="1">SUMPRODUCT((I126:INDEX(I126:T126,MONTH(TODAY()))="X")*1)</f>
        <v>0</v>
      </c>
      <c r="Z126" s="39">
        <f t="shared" si="9"/>
        <v>1</v>
      </c>
    </row>
    <row r="127" spans="1:26" x14ac:dyDescent="0.25">
      <c r="A127" s="37" t="str">
        <f>Equipos!C125</f>
        <v>2-118891</v>
      </c>
      <c r="B127" s="33" t="str">
        <f>Equipos!D125</f>
        <v>Desfibrilador</v>
      </c>
      <c r="C127" s="33" t="str">
        <f>Equipos!E125</f>
        <v>UPC Cardiovascular</v>
      </c>
      <c r="D127" s="33" t="str">
        <f>Equipos!G125</f>
        <v>Pasillo</v>
      </c>
      <c r="E127" s="33" t="str">
        <f>Equipos!I125</f>
        <v>Zoll</v>
      </c>
      <c r="F127" s="33" t="str">
        <f>Equipos!J125</f>
        <v>R SERIES ALS</v>
      </c>
      <c r="G127" s="37" t="str">
        <f>Equipos!K125</f>
        <v>(21)AF19F099447</v>
      </c>
      <c r="H127" s="33"/>
      <c r="I127" s="50" t="s">
        <v>278</v>
      </c>
      <c r="J127" s="38"/>
      <c r="K127" s="50" t="s">
        <v>275</v>
      </c>
      <c r="L127" s="38"/>
      <c r="M127" s="38"/>
      <c r="N127" s="38"/>
      <c r="O127" s="38"/>
      <c r="P127" s="38"/>
      <c r="Q127" s="38"/>
      <c r="R127" s="38"/>
      <c r="S127" s="38"/>
      <c r="T127" s="38"/>
      <c r="U127" s="33">
        <f t="shared" si="5"/>
        <v>2</v>
      </c>
      <c r="V127" s="33">
        <f t="shared" si="6"/>
        <v>1</v>
      </c>
      <c r="W127" s="33">
        <f t="shared" si="7"/>
        <v>0</v>
      </c>
      <c r="X127" s="33">
        <f t="shared" si="8"/>
        <v>1</v>
      </c>
      <c r="Y127" s="33">
        <f ca="1">SUMPRODUCT((I127:INDEX(I127:T127,MONTH(TODAY()))="X")*1)</f>
        <v>0</v>
      </c>
      <c r="Z127" s="39">
        <f t="shared" si="9"/>
        <v>0.5</v>
      </c>
    </row>
    <row r="128" spans="1:26" x14ac:dyDescent="0.25">
      <c r="A128" s="37" t="str">
        <f>Equipos!C126</f>
        <v>2-120767</v>
      </c>
      <c r="B128" s="33" t="str">
        <f>Equipos!D126</f>
        <v>Desfibrilador</v>
      </c>
      <c r="C128" s="33" t="str">
        <f>Equipos!E126</f>
        <v>Cardiología</v>
      </c>
      <c r="D128" s="33" t="str">
        <f>Equipos!G126</f>
        <v>Box 15C</v>
      </c>
      <c r="E128" s="33" t="str">
        <f>Equipos!I126</f>
        <v>Nihon Kohden</v>
      </c>
      <c r="F128" s="33" t="str">
        <f>Equipos!J126</f>
        <v>TEC 5531E</v>
      </c>
      <c r="G128" s="37" t="str">
        <f>Equipos!K126</f>
        <v>02609</v>
      </c>
      <c r="H128" s="33"/>
      <c r="I128" s="38"/>
      <c r="J128" s="38"/>
      <c r="K128" s="38"/>
      <c r="L128" s="38"/>
      <c r="M128" s="50" t="s">
        <v>275</v>
      </c>
      <c r="N128" s="38"/>
      <c r="O128" s="38"/>
      <c r="P128" s="38"/>
      <c r="Q128" s="38"/>
      <c r="R128" s="38"/>
      <c r="S128" s="38"/>
      <c r="T128" s="38"/>
      <c r="U128" s="33">
        <f t="shared" si="5"/>
        <v>1</v>
      </c>
      <c r="V128" s="33">
        <f t="shared" si="6"/>
        <v>1</v>
      </c>
      <c r="W128" s="33">
        <f t="shared" si="7"/>
        <v>0</v>
      </c>
      <c r="X128" s="33">
        <f t="shared" si="8"/>
        <v>0</v>
      </c>
      <c r="Y128" s="33">
        <f ca="1">SUMPRODUCT((I128:INDEX(I128:T128,MONTH(TODAY()))="X")*1)</f>
        <v>0</v>
      </c>
      <c r="Z128" s="39">
        <f t="shared" si="9"/>
        <v>1</v>
      </c>
    </row>
    <row r="129" spans="1:26" x14ac:dyDescent="0.25">
      <c r="A129" s="37" t="str">
        <f>Equipos!C127</f>
        <v>2-120768</v>
      </c>
      <c r="B129" s="33" t="str">
        <f>Equipos!D127</f>
        <v>Desfibrilador</v>
      </c>
      <c r="C129" s="33" t="str">
        <f>Equipos!E127</f>
        <v>UPC 3er Piso</v>
      </c>
      <c r="D129" s="33" t="str">
        <f>Equipos!G127</f>
        <v>Carro de paro</v>
      </c>
      <c r="E129" s="33" t="str">
        <f>Equipos!I127</f>
        <v>Nihon Kohden</v>
      </c>
      <c r="F129" s="33" t="str">
        <f>Equipos!J127</f>
        <v>TEC 5531E</v>
      </c>
      <c r="G129" s="37" t="str">
        <f>Equipos!K127</f>
        <v>03249</v>
      </c>
      <c r="H129" s="33"/>
      <c r="I129" s="38"/>
      <c r="J129" s="38"/>
      <c r="K129" s="38"/>
      <c r="L129" s="38"/>
      <c r="M129" s="50" t="s">
        <v>275</v>
      </c>
      <c r="N129" s="38"/>
      <c r="O129" s="38"/>
      <c r="P129" s="38"/>
      <c r="Q129" s="38"/>
      <c r="R129" s="38"/>
      <c r="S129" s="38"/>
      <c r="T129" s="38"/>
      <c r="U129" s="33">
        <f t="shared" si="5"/>
        <v>1</v>
      </c>
      <c r="V129" s="33">
        <f t="shared" si="6"/>
        <v>1</v>
      </c>
      <c r="W129" s="33">
        <f t="shared" si="7"/>
        <v>0</v>
      </c>
      <c r="X129" s="33">
        <f t="shared" si="8"/>
        <v>0</v>
      </c>
      <c r="Y129" s="33">
        <f ca="1">SUMPRODUCT((I129:INDEX(I129:T129,MONTH(TODAY()))="X")*1)</f>
        <v>0</v>
      </c>
      <c r="Z129" s="39">
        <f t="shared" si="9"/>
        <v>1</v>
      </c>
    </row>
    <row r="130" spans="1:26" x14ac:dyDescent="0.25">
      <c r="A130" s="37" t="str">
        <f>Equipos!C128</f>
        <v>2-120997</v>
      </c>
      <c r="B130" s="33" t="str">
        <f>Equipos!D128</f>
        <v>Desfibrilador</v>
      </c>
      <c r="C130" s="33" t="str">
        <f>Equipos!E128</f>
        <v>Urgencia Adulto</v>
      </c>
      <c r="D130" s="33" t="str">
        <f>Equipos!G128</f>
        <v>Sala de equipos SUA</v>
      </c>
      <c r="E130" s="33" t="str">
        <f>Equipos!I128</f>
        <v>Nihon Kohden</v>
      </c>
      <c r="F130" s="33" t="str">
        <f>Equipos!J128</f>
        <v>EMS-1052E</v>
      </c>
      <c r="G130" s="37" t="str">
        <f>Equipos!K128</f>
        <v>298</v>
      </c>
      <c r="H130" s="33"/>
      <c r="I130" s="38"/>
      <c r="J130" s="38"/>
      <c r="K130" s="50" t="s">
        <v>277</v>
      </c>
      <c r="L130" s="38"/>
      <c r="M130" s="50" t="s">
        <v>275</v>
      </c>
      <c r="N130" s="38"/>
      <c r="O130" s="38"/>
      <c r="P130" s="38"/>
      <c r="Q130" s="38"/>
      <c r="R130" s="38"/>
      <c r="S130" s="38"/>
      <c r="T130" s="38"/>
      <c r="U130" s="33">
        <f t="shared" si="5"/>
        <v>2</v>
      </c>
      <c r="V130" s="33">
        <f t="shared" si="6"/>
        <v>1</v>
      </c>
      <c r="W130" s="33">
        <f t="shared" si="7"/>
        <v>0</v>
      </c>
      <c r="X130" s="33">
        <f t="shared" si="8"/>
        <v>1</v>
      </c>
      <c r="Y130" s="33">
        <f ca="1">SUMPRODUCT((I130:INDEX(I130:T130,MONTH(TODAY()))="X")*1)</f>
        <v>0</v>
      </c>
      <c r="Z130" s="39">
        <f t="shared" si="9"/>
        <v>0.5</v>
      </c>
    </row>
    <row r="131" spans="1:26" x14ac:dyDescent="0.25">
      <c r="A131" s="37" t="str">
        <f>Equipos!C129</f>
        <v>121010-019639</v>
      </c>
      <c r="B131" s="33" t="str">
        <f>Equipos!D129</f>
        <v>Desfibrilador</v>
      </c>
      <c r="C131" s="33" t="str">
        <f>Equipos!E129</f>
        <v>SAMU</v>
      </c>
      <c r="D131" s="33" t="str">
        <f>Equipos!G129</f>
        <v>Base 13</v>
      </c>
      <c r="E131" s="33" t="str">
        <f>Equipos!I129</f>
        <v>Zoll</v>
      </c>
      <c r="F131" s="33" t="str">
        <f>Equipos!J129</f>
        <v>M2</v>
      </c>
      <c r="G131" s="37" t="str">
        <f>Equipos!K129</f>
        <v>BA19F000013</v>
      </c>
      <c r="H131" s="33"/>
      <c r="I131" s="38"/>
      <c r="J131" s="50" t="s">
        <v>275</v>
      </c>
      <c r="K131" s="38"/>
      <c r="L131" s="50" t="s">
        <v>275</v>
      </c>
      <c r="M131" s="38"/>
      <c r="N131" s="38"/>
      <c r="O131" s="38"/>
      <c r="P131" s="38"/>
      <c r="Q131" s="38"/>
      <c r="R131" s="38"/>
      <c r="S131" s="38"/>
      <c r="T131" s="38"/>
      <c r="U131" s="33">
        <f t="shared" si="5"/>
        <v>2</v>
      </c>
      <c r="V131" s="33">
        <f t="shared" si="6"/>
        <v>2</v>
      </c>
      <c r="W131" s="33">
        <f t="shared" si="7"/>
        <v>0</v>
      </c>
      <c r="X131" s="33">
        <f t="shared" si="8"/>
        <v>0</v>
      </c>
      <c r="Y131" s="33">
        <f ca="1">SUMPRODUCT((I131:INDEX(I131:T131,MONTH(TODAY()))="X")*1)</f>
        <v>0</v>
      </c>
      <c r="Z131" s="39">
        <f t="shared" si="9"/>
        <v>1</v>
      </c>
    </row>
    <row r="132" spans="1:26" x14ac:dyDescent="0.25">
      <c r="A132" s="37" t="str">
        <f>Equipos!C130</f>
        <v>2-121024</v>
      </c>
      <c r="B132" s="33" t="str">
        <f>Equipos!D130</f>
        <v>Desfibrilador</v>
      </c>
      <c r="C132" s="33" t="str">
        <f>Equipos!E130</f>
        <v>SAMU (Prestado a Hemodiálisis)</v>
      </c>
      <c r="D132" s="33" t="str">
        <f>Equipos!G130</f>
        <v>Base 13</v>
      </c>
      <c r="E132" s="33" t="str">
        <f>Equipos!I130</f>
        <v>Nihon Kohden</v>
      </c>
      <c r="F132" s="33" t="str">
        <f>Equipos!J130</f>
        <v>TEC-5631</v>
      </c>
      <c r="G132" s="37" t="str">
        <f>Equipos!K130</f>
        <v>03533</v>
      </c>
      <c r="H132" s="33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3">
        <f t="shared" ref="U132:U195" si="10">V132+W132+X132+COUNTIF(I132:T132,"R")</f>
        <v>0</v>
      </c>
      <c r="V132" s="33">
        <f t="shared" ref="V132:V195" si="11">COUNTIF(I132:T132,"E")</f>
        <v>0</v>
      </c>
      <c r="W132" s="33">
        <f t="shared" ref="W132:W195" si="12">COUNTIF(I132:T132,"X")</f>
        <v>0</v>
      </c>
      <c r="X132" s="33">
        <f t="shared" ref="X132:X195" si="13">COUNTIF(I132:T132,"C2")+COUNTIF(I132:T132,"C3")</f>
        <v>0</v>
      </c>
      <c r="Y132" s="33">
        <f ca="1">SUMPRODUCT((I132:INDEX(I132:T132,MONTH(TODAY()))="X")*1)</f>
        <v>0</v>
      </c>
      <c r="Z132" s="39" t="str">
        <f t="shared" ref="Z132:Z195" si="14">IFERROR(V132/U132,"")</f>
        <v/>
      </c>
    </row>
    <row r="133" spans="1:26" x14ac:dyDescent="0.25">
      <c r="A133" s="37" t="str">
        <f>Equipos!C131</f>
        <v>121010-019243</v>
      </c>
      <c r="B133" s="33" t="str">
        <f>Equipos!D131</f>
        <v>DEA</v>
      </c>
      <c r="C133" s="33" t="str">
        <f>Equipos!E131</f>
        <v>SAMU</v>
      </c>
      <c r="D133" s="33" t="str">
        <f>Equipos!G131</f>
        <v>SAMU</v>
      </c>
      <c r="E133" s="33" t="str">
        <f>Equipos!I131</f>
        <v>Nihon Kohden</v>
      </c>
      <c r="F133" s="33" t="str">
        <f>Equipos!J131</f>
        <v>AED-3100K</v>
      </c>
      <c r="G133" s="37" t="str">
        <f>Equipos!K131</f>
        <v>13036</v>
      </c>
      <c r="H133" s="33"/>
      <c r="I133" s="50" t="s">
        <v>275</v>
      </c>
      <c r="J133" s="50" t="s">
        <v>275</v>
      </c>
      <c r="K133" s="50" t="s">
        <v>275</v>
      </c>
      <c r="L133" s="50" t="s">
        <v>275</v>
      </c>
      <c r="M133" s="50" t="s">
        <v>275</v>
      </c>
      <c r="N133" s="38"/>
      <c r="O133" s="38"/>
      <c r="P133" s="38"/>
      <c r="Q133" s="38"/>
      <c r="R133" s="38"/>
      <c r="S133" s="38"/>
      <c r="T133" s="38"/>
      <c r="U133" s="33">
        <f t="shared" si="10"/>
        <v>5</v>
      </c>
      <c r="V133" s="33">
        <f t="shared" si="11"/>
        <v>5</v>
      </c>
      <c r="W133" s="33">
        <f t="shared" si="12"/>
        <v>0</v>
      </c>
      <c r="X133" s="33">
        <f t="shared" si="13"/>
        <v>0</v>
      </c>
      <c r="Y133" s="33">
        <f ca="1">SUMPRODUCT((I133:INDEX(I133:T133,MONTH(TODAY()))="X")*1)</f>
        <v>0</v>
      </c>
      <c r="Z133" s="39">
        <f t="shared" si="14"/>
        <v>1</v>
      </c>
    </row>
    <row r="134" spans="1:26" x14ac:dyDescent="0.25">
      <c r="A134" s="37" t="str">
        <f>Equipos!C132</f>
        <v>2-121573</v>
      </c>
      <c r="B134" s="33" t="str">
        <f>Equipos!D132</f>
        <v>Desfibrilador</v>
      </c>
      <c r="C134" s="33" t="str">
        <f>Equipos!E132</f>
        <v>Medicina</v>
      </c>
      <c r="D134" s="33" t="str">
        <f>Equipos!G132</f>
        <v>5TO PISO TNB</v>
      </c>
      <c r="E134" s="33" t="str">
        <f>Equipos!I132</f>
        <v>Nihon Kohden</v>
      </c>
      <c r="F134" s="33" t="str">
        <f>Equipos!J132</f>
        <v>TEC-5631</v>
      </c>
      <c r="G134" s="37" t="str">
        <f>Equipos!K132</f>
        <v>03938</v>
      </c>
      <c r="H134" s="33"/>
      <c r="I134" s="38"/>
      <c r="J134" s="50" t="s">
        <v>275</v>
      </c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3">
        <f t="shared" si="10"/>
        <v>1</v>
      </c>
      <c r="V134" s="33">
        <f t="shared" si="11"/>
        <v>1</v>
      </c>
      <c r="W134" s="33">
        <f t="shared" si="12"/>
        <v>0</v>
      </c>
      <c r="X134" s="33">
        <f t="shared" si="13"/>
        <v>0</v>
      </c>
      <c r="Y134" s="33">
        <f ca="1">SUMPRODUCT((I134:INDEX(I134:T134,MONTH(TODAY()))="X")*1)</f>
        <v>0</v>
      </c>
      <c r="Z134" s="39">
        <f t="shared" si="14"/>
        <v>1</v>
      </c>
    </row>
    <row r="135" spans="1:26" x14ac:dyDescent="0.25">
      <c r="A135" s="37" t="str">
        <f>Equipos!C133</f>
        <v>2-121574</v>
      </c>
      <c r="B135" s="33" t="str">
        <f>Equipos!D133</f>
        <v>Desfibrilador</v>
      </c>
      <c r="C135" s="33" t="str">
        <f>Equipos!E133</f>
        <v>Medicina</v>
      </c>
      <c r="D135" s="33" t="str">
        <f>Equipos!G133</f>
        <v>5TO PISO TNA</v>
      </c>
      <c r="E135" s="33" t="str">
        <f>Equipos!I133</f>
        <v>Nihon Kohden</v>
      </c>
      <c r="F135" s="33" t="str">
        <f>Equipos!J133</f>
        <v>TEC-5631</v>
      </c>
      <c r="G135" s="37" t="str">
        <f>Equipos!K133</f>
        <v>03939</v>
      </c>
      <c r="H135" s="33"/>
      <c r="I135" s="38"/>
      <c r="J135" s="50" t="s">
        <v>275</v>
      </c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3">
        <f t="shared" si="10"/>
        <v>1</v>
      </c>
      <c r="V135" s="33">
        <f t="shared" si="11"/>
        <v>1</v>
      </c>
      <c r="W135" s="33">
        <f t="shared" si="12"/>
        <v>0</v>
      </c>
      <c r="X135" s="33">
        <f t="shared" si="13"/>
        <v>0</v>
      </c>
      <c r="Y135" s="33">
        <f ca="1">SUMPRODUCT((I135:INDEX(I135:T135,MONTH(TODAY()))="X")*1)</f>
        <v>0</v>
      </c>
      <c r="Z135" s="39">
        <f t="shared" si="14"/>
        <v>1</v>
      </c>
    </row>
    <row r="136" spans="1:26" x14ac:dyDescent="0.25">
      <c r="A136" s="37" t="str">
        <f>Equipos!C134</f>
        <v>2-121624</v>
      </c>
      <c r="B136" s="33" t="str">
        <f>Equipos!D134</f>
        <v>DEA</v>
      </c>
      <c r="C136" s="33" t="str">
        <f>Equipos!E134</f>
        <v>Gestión de Pacientes</v>
      </c>
      <c r="D136" s="33" t="str">
        <f>Equipos!G134</f>
        <v>Movil RBFR-32</v>
      </c>
      <c r="E136" s="33" t="str">
        <f>Equipos!I134</f>
        <v>Zoll</v>
      </c>
      <c r="F136" s="33" t="str">
        <f>Equipos!J134</f>
        <v>AEDPLUS</v>
      </c>
      <c r="G136" s="37" t="str">
        <f>Equipos!K134</f>
        <v>X21A332744</v>
      </c>
      <c r="H136" s="33"/>
      <c r="I136" s="50" t="s">
        <v>275</v>
      </c>
      <c r="J136" s="50" t="s">
        <v>275</v>
      </c>
      <c r="K136" s="50" t="s">
        <v>275</v>
      </c>
      <c r="L136" s="50" t="s">
        <v>275</v>
      </c>
      <c r="M136" s="50" t="s">
        <v>275</v>
      </c>
      <c r="N136" s="38"/>
      <c r="O136" s="38"/>
      <c r="P136" s="38"/>
      <c r="Q136" s="38"/>
      <c r="R136" s="38"/>
      <c r="S136" s="38"/>
      <c r="T136" s="38"/>
      <c r="U136" s="33">
        <f t="shared" si="10"/>
        <v>5</v>
      </c>
      <c r="V136" s="33">
        <f t="shared" si="11"/>
        <v>5</v>
      </c>
      <c r="W136" s="33">
        <f t="shared" si="12"/>
        <v>0</v>
      </c>
      <c r="X136" s="33">
        <f t="shared" si="13"/>
        <v>0</v>
      </c>
      <c r="Y136" s="33">
        <f ca="1">SUMPRODUCT((I136:INDEX(I136:T136,MONTH(TODAY()))="X")*1)</f>
        <v>0</v>
      </c>
      <c r="Z136" s="39">
        <f t="shared" si="14"/>
        <v>1</v>
      </c>
    </row>
    <row r="137" spans="1:26" x14ac:dyDescent="0.25">
      <c r="A137" s="37" t="str">
        <f>Equipos!C135</f>
        <v>2-121695</v>
      </c>
      <c r="B137" s="33" t="str">
        <f>Equipos!D135</f>
        <v>Desfibrilador</v>
      </c>
      <c r="C137" s="33" t="str">
        <f>Equipos!E135</f>
        <v>Hemato Oncología Adulto</v>
      </c>
      <c r="D137" s="33" t="str">
        <f>Equipos!G135</f>
        <v>5to piso EPB</v>
      </c>
      <c r="E137" s="33" t="str">
        <f>Equipos!I135</f>
        <v>Nihon Kohden</v>
      </c>
      <c r="F137" s="33" t="str">
        <f>Equipos!J135</f>
        <v>TEC-5631</v>
      </c>
      <c r="G137" s="37" t="str">
        <f>Equipos!K135</f>
        <v>03945</v>
      </c>
      <c r="H137" s="33"/>
      <c r="I137" s="38"/>
      <c r="J137" s="38"/>
      <c r="K137" s="50" t="s">
        <v>275</v>
      </c>
      <c r="L137" s="38"/>
      <c r="M137" s="38"/>
      <c r="N137" s="38"/>
      <c r="O137" s="38"/>
      <c r="P137" s="38"/>
      <c r="Q137" s="38"/>
      <c r="R137" s="38"/>
      <c r="S137" s="38"/>
      <c r="T137" s="38"/>
      <c r="U137" s="33">
        <f t="shared" si="10"/>
        <v>1</v>
      </c>
      <c r="V137" s="33">
        <f t="shared" si="11"/>
        <v>1</v>
      </c>
      <c r="W137" s="33">
        <f t="shared" si="12"/>
        <v>0</v>
      </c>
      <c r="X137" s="33">
        <f t="shared" si="13"/>
        <v>0</v>
      </c>
      <c r="Y137" s="33">
        <f ca="1">SUMPRODUCT((I137:INDEX(I137:T137,MONTH(TODAY()))="X")*1)</f>
        <v>0</v>
      </c>
      <c r="Z137" s="39">
        <f t="shared" si="14"/>
        <v>1</v>
      </c>
    </row>
    <row r="138" spans="1:26" x14ac:dyDescent="0.25">
      <c r="A138" s="37" t="str">
        <f>Equipos!C136</f>
        <v>2-117144</v>
      </c>
      <c r="B138" s="33" t="str">
        <f>Equipos!D136</f>
        <v>Máquina de Anestesia</v>
      </c>
      <c r="C138" s="33" t="str">
        <f>Equipos!E136</f>
        <v>Pabellones Gineco-Obstétricos</v>
      </c>
      <c r="D138" s="33" t="str">
        <f>Equipos!G136</f>
        <v>Pabellón 2</v>
      </c>
      <c r="E138" s="33" t="str">
        <f>Equipos!I136</f>
        <v xml:space="preserve">Drager </v>
      </c>
      <c r="F138" s="33" t="str">
        <f>Equipos!J136</f>
        <v>Primus IE</v>
      </c>
      <c r="G138" s="37" t="str">
        <f>Equipos!K136</f>
        <v>ASLJ-0308</v>
      </c>
      <c r="H138" s="33"/>
      <c r="I138" s="38"/>
      <c r="J138" s="38"/>
      <c r="K138" s="50" t="s">
        <v>276</v>
      </c>
      <c r="L138" s="38"/>
      <c r="M138" s="38"/>
      <c r="N138" s="38"/>
      <c r="O138" s="38"/>
      <c r="P138" s="38"/>
      <c r="Q138" s="38"/>
      <c r="R138" s="38"/>
      <c r="S138" s="38"/>
      <c r="T138" s="38"/>
      <c r="U138" s="33">
        <f t="shared" si="10"/>
        <v>1</v>
      </c>
      <c r="V138" s="33">
        <f t="shared" si="11"/>
        <v>0</v>
      </c>
      <c r="W138" s="33">
        <f t="shared" si="12"/>
        <v>0</v>
      </c>
      <c r="X138" s="33">
        <f t="shared" si="13"/>
        <v>0</v>
      </c>
      <c r="Y138" s="33">
        <f ca="1">SUMPRODUCT((I138:INDEX(I138:T138,MONTH(TODAY()))="X")*1)</f>
        <v>0</v>
      </c>
      <c r="Z138" s="39">
        <f t="shared" si="14"/>
        <v>0</v>
      </c>
    </row>
    <row r="139" spans="1:26" x14ac:dyDescent="0.25">
      <c r="A139" s="37" t="str">
        <f>Equipos!C137</f>
        <v>2-133529</v>
      </c>
      <c r="B139" s="33" t="str">
        <f>Equipos!D137</f>
        <v>Máquina de Anestesia</v>
      </c>
      <c r="C139" s="33" t="str">
        <f>Equipos!E137</f>
        <v>Pabellones Gineco-Obstétricos</v>
      </c>
      <c r="D139" s="33">
        <f>Equipos!G137</f>
        <v>0</v>
      </c>
      <c r="E139" s="33" t="str">
        <f>Equipos!I137</f>
        <v xml:space="preserve">Drager </v>
      </c>
      <c r="F139" s="33" t="str">
        <f>Equipos!J137</f>
        <v>Perseus A500</v>
      </c>
      <c r="G139" s="37" t="str">
        <f>Equipos!K137</f>
        <v>ASRJ-0185</v>
      </c>
      <c r="H139" s="33"/>
      <c r="I139" s="38"/>
      <c r="J139" s="38"/>
      <c r="K139" s="50" t="s">
        <v>276</v>
      </c>
      <c r="L139" s="38"/>
      <c r="M139" s="38"/>
      <c r="N139" s="38"/>
      <c r="O139" s="38"/>
      <c r="P139" s="38"/>
      <c r="Q139" s="38"/>
      <c r="R139" s="38"/>
      <c r="S139" s="38"/>
      <c r="T139" s="38"/>
      <c r="U139" s="33">
        <f t="shared" si="10"/>
        <v>1</v>
      </c>
      <c r="V139" s="33">
        <f t="shared" si="11"/>
        <v>0</v>
      </c>
      <c r="W139" s="33">
        <f t="shared" si="12"/>
        <v>0</v>
      </c>
      <c r="X139" s="33">
        <f t="shared" si="13"/>
        <v>0</v>
      </c>
      <c r="Y139" s="33">
        <f ca="1">SUMPRODUCT((I139:INDEX(I139:T139,MONTH(TODAY()))="X")*1)</f>
        <v>0</v>
      </c>
      <c r="Z139" s="39">
        <f t="shared" si="14"/>
        <v>0</v>
      </c>
    </row>
    <row r="140" spans="1:26" x14ac:dyDescent="0.25">
      <c r="A140" s="37" t="str">
        <f>Equipos!C138</f>
        <v>2-135400</v>
      </c>
      <c r="B140" s="33" t="str">
        <f>Equipos!D138</f>
        <v>Máquina de Anestesia</v>
      </c>
      <c r="C140" s="33" t="str">
        <f>Equipos!E138</f>
        <v>TROI</v>
      </c>
      <c r="D140" s="33">
        <f>Equipos!G138</f>
        <v>0</v>
      </c>
      <c r="E140" s="33" t="str">
        <f>Equipos!I138</f>
        <v>Drager</v>
      </c>
      <c r="F140" s="33" t="str">
        <f>Equipos!J138</f>
        <v>Atlan A350</v>
      </c>
      <c r="G140" s="37" t="str">
        <f>Equipos!K138</f>
        <v>ASUD-0008</v>
      </c>
      <c r="H140" s="33"/>
      <c r="I140" s="38"/>
      <c r="J140" s="38"/>
      <c r="K140" s="38"/>
      <c r="L140" s="50" t="s">
        <v>275</v>
      </c>
      <c r="M140" s="38"/>
      <c r="N140" s="38"/>
      <c r="O140" s="38"/>
      <c r="P140" s="38"/>
      <c r="Q140" s="38"/>
      <c r="R140" s="38"/>
      <c r="S140" s="38"/>
      <c r="T140" s="38"/>
      <c r="U140" s="33">
        <f t="shared" si="10"/>
        <v>1</v>
      </c>
      <c r="V140" s="33">
        <f t="shared" si="11"/>
        <v>1</v>
      </c>
      <c r="W140" s="33">
        <f t="shared" si="12"/>
        <v>0</v>
      </c>
      <c r="X140" s="33">
        <f t="shared" si="13"/>
        <v>0</v>
      </c>
      <c r="Y140" s="33">
        <f ca="1">SUMPRODUCT((I140:INDEX(I140:T140,MONTH(TODAY()))="X")*1)</f>
        <v>0</v>
      </c>
      <c r="Z140" s="39">
        <f t="shared" si="14"/>
        <v>1</v>
      </c>
    </row>
    <row r="141" spans="1:26" x14ac:dyDescent="0.25">
      <c r="A141" s="37" t="str">
        <f>Equipos!C139</f>
        <v>2-112255</v>
      </c>
      <c r="B141" s="33" t="str">
        <f>Equipos!D139</f>
        <v>Máquina de Anestesia</v>
      </c>
      <c r="C141" s="33" t="str">
        <f>Equipos!E139</f>
        <v>Pabellón Quirúrgico (Prestado a Electrofisiología)</v>
      </c>
      <c r="D141" s="33" t="str">
        <f>Equipos!G139</f>
        <v>Angiógrafo 5to piso</v>
      </c>
      <c r="E141" s="33" t="str">
        <f>Equipos!I139</f>
        <v xml:space="preserve">Drager </v>
      </c>
      <c r="F141" s="33" t="str">
        <f>Equipos!J139</f>
        <v>Fabius GS</v>
      </c>
      <c r="G141" s="37" t="str">
        <f>Equipos!K139</f>
        <v>ARXN-0048</v>
      </c>
      <c r="H141" s="33"/>
      <c r="I141" s="38"/>
      <c r="J141" s="38"/>
      <c r="K141" s="50" t="s">
        <v>277</v>
      </c>
      <c r="L141" s="38"/>
      <c r="M141" s="38"/>
      <c r="N141" s="38"/>
      <c r="O141" s="38"/>
      <c r="P141" s="38"/>
      <c r="Q141" s="38"/>
      <c r="R141" s="38"/>
      <c r="S141" s="38"/>
      <c r="T141" s="38"/>
      <c r="U141" s="33">
        <f t="shared" si="10"/>
        <v>1</v>
      </c>
      <c r="V141" s="33">
        <f t="shared" si="11"/>
        <v>0</v>
      </c>
      <c r="W141" s="33">
        <f t="shared" si="12"/>
        <v>0</v>
      </c>
      <c r="X141" s="33">
        <f t="shared" si="13"/>
        <v>1</v>
      </c>
      <c r="Y141" s="33">
        <f ca="1">SUMPRODUCT((I141:INDEX(I141:T141,MONTH(TODAY()))="X")*1)</f>
        <v>0</v>
      </c>
      <c r="Z141" s="39">
        <f t="shared" si="14"/>
        <v>0</v>
      </c>
    </row>
    <row r="142" spans="1:26" x14ac:dyDescent="0.25">
      <c r="A142" s="37" t="str">
        <f>Equipos!C140</f>
        <v>2-024432</v>
      </c>
      <c r="B142" s="33" t="str">
        <f>Equipos!D140</f>
        <v>Máquina de Anestesia</v>
      </c>
      <c r="C142" s="33" t="str">
        <f>Equipos!E140</f>
        <v>Pabellón Quirúrgico (Prestado a Imagenología)</v>
      </c>
      <c r="D142" s="33" t="str">
        <f>Equipos!G140</f>
        <v>Scanner</v>
      </c>
      <c r="E142" s="33" t="str">
        <f>Equipos!I140</f>
        <v xml:space="preserve">Drager </v>
      </c>
      <c r="F142" s="33" t="str">
        <f>Equipos!J140</f>
        <v xml:space="preserve">Primus </v>
      </c>
      <c r="G142" s="37" t="str">
        <f>Equipos!K140</f>
        <v>ARYA-0173</v>
      </c>
      <c r="H142" s="33"/>
      <c r="I142" s="38"/>
      <c r="J142" s="38"/>
      <c r="K142" s="50" t="s">
        <v>276</v>
      </c>
      <c r="L142" s="50" t="s">
        <v>275</v>
      </c>
      <c r="M142" s="38"/>
      <c r="N142" s="38"/>
      <c r="O142" s="38"/>
      <c r="P142" s="38"/>
      <c r="Q142" s="38"/>
      <c r="R142" s="38"/>
      <c r="S142" s="38"/>
      <c r="T142" s="38"/>
      <c r="U142" s="33">
        <f t="shared" si="10"/>
        <v>2</v>
      </c>
      <c r="V142" s="33">
        <f t="shared" si="11"/>
        <v>1</v>
      </c>
      <c r="W142" s="33">
        <f t="shared" si="12"/>
        <v>0</v>
      </c>
      <c r="X142" s="33">
        <f t="shared" si="13"/>
        <v>0</v>
      </c>
      <c r="Y142" s="33">
        <f ca="1">SUMPRODUCT((I142:INDEX(I142:T142,MONTH(TODAY()))="X")*1)</f>
        <v>0</v>
      </c>
      <c r="Z142" s="39">
        <f t="shared" si="14"/>
        <v>0.5</v>
      </c>
    </row>
    <row r="143" spans="1:26" x14ac:dyDescent="0.25">
      <c r="A143" s="37">
        <f>Equipos!C141</f>
        <v>0</v>
      </c>
      <c r="B143" s="33" t="str">
        <f>Equipos!D141</f>
        <v>Máquina de Anestesia</v>
      </c>
      <c r="C143" s="33">
        <f>Equipos!E141</f>
        <v>0</v>
      </c>
      <c r="D143" s="33">
        <f>Equipos!G141</f>
        <v>0</v>
      </c>
      <c r="E143" s="33">
        <f>Equipos!I141</f>
        <v>0</v>
      </c>
      <c r="F143" s="33">
        <f>Equipos!J141</f>
        <v>0</v>
      </c>
      <c r="G143" s="37">
        <f>Equipos!K141</f>
        <v>0</v>
      </c>
      <c r="H143" s="33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3">
        <f t="shared" si="10"/>
        <v>0</v>
      </c>
      <c r="V143" s="33">
        <f t="shared" si="11"/>
        <v>0</v>
      </c>
      <c r="W143" s="33">
        <f t="shared" si="12"/>
        <v>0</v>
      </c>
      <c r="X143" s="33">
        <f t="shared" si="13"/>
        <v>0</v>
      </c>
      <c r="Y143" s="33">
        <f ca="1">SUMPRODUCT((I143:INDEX(I143:T143,MONTH(TODAY()))="X")*1)</f>
        <v>0</v>
      </c>
      <c r="Z143" s="39" t="str">
        <f t="shared" si="14"/>
        <v/>
      </c>
    </row>
    <row r="144" spans="1:26" x14ac:dyDescent="0.25">
      <c r="A144" s="37" t="str">
        <f>Equipos!C142</f>
        <v>2-024393</v>
      </c>
      <c r="B144" s="33" t="str">
        <f>Equipos!D142</f>
        <v>Máquina de Anestesia</v>
      </c>
      <c r="C144" s="33" t="str">
        <f>Equipos!E142</f>
        <v>Pabellón Quirúrgico</v>
      </c>
      <c r="D144" s="33" t="str">
        <f>Equipos!G142</f>
        <v>Pasillo</v>
      </c>
      <c r="E144" s="33" t="str">
        <f>Equipos!I142</f>
        <v xml:space="preserve">Drager </v>
      </c>
      <c r="F144" s="33" t="str">
        <f>Equipos!J142</f>
        <v>Primus</v>
      </c>
      <c r="G144" s="37" t="str">
        <f>Equipos!K142</f>
        <v>ARXK-0016</v>
      </c>
      <c r="H144" s="33"/>
      <c r="I144" s="38"/>
      <c r="J144" s="38"/>
      <c r="K144" s="50" t="s">
        <v>276</v>
      </c>
      <c r="L144" s="50" t="s">
        <v>275</v>
      </c>
      <c r="M144" s="38"/>
      <c r="N144" s="38"/>
      <c r="O144" s="38"/>
      <c r="P144" s="38"/>
      <c r="Q144" s="38"/>
      <c r="R144" s="38"/>
      <c r="S144" s="38"/>
      <c r="T144" s="38"/>
      <c r="U144" s="33">
        <f t="shared" si="10"/>
        <v>2</v>
      </c>
      <c r="V144" s="33">
        <f t="shared" si="11"/>
        <v>1</v>
      </c>
      <c r="W144" s="33">
        <f t="shared" si="12"/>
        <v>0</v>
      </c>
      <c r="X144" s="33">
        <f t="shared" si="13"/>
        <v>0</v>
      </c>
      <c r="Y144" s="33">
        <f ca="1">SUMPRODUCT((I144:INDEX(I144:T144,MONTH(TODAY()))="X")*1)</f>
        <v>0</v>
      </c>
      <c r="Z144" s="39">
        <f t="shared" si="14"/>
        <v>0.5</v>
      </c>
    </row>
    <row r="145" spans="1:26" x14ac:dyDescent="0.25">
      <c r="A145" s="37" t="str">
        <f>Equipos!C143</f>
        <v>2-117817</v>
      </c>
      <c r="B145" s="33" t="str">
        <f>Equipos!D143</f>
        <v>Máquina de Anestesia</v>
      </c>
      <c r="C145" s="33" t="str">
        <f>Equipos!E143</f>
        <v>Pabellón Quirúrgico (Prestado a Pabellón CMA)</v>
      </c>
      <c r="D145" s="33" t="str">
        <f>Equipos!G143</f>
        <v>2do piso</v>
      </c>
      <c r="E145" s="33" t="str">
        <f>Equipos!I143</f>
        <v>Drager</v>
      </c>
      <c r="F145" s="33" t="str">
        <f>Equipos!J143</f>
        <v>Primus IE</v>
      </c>
      <c r="G145" s="37" t="str">
        <f>Equipos!K143</f>
        <v>ASMB-0232</v>
      </c>
      <c r="H145" s="33"/>
      <c r="I145" s="38"/>
      <c r="J145" s="38"/>
      <c r="K145" s="50" t="s">
        <v>276</v>
      </c>
      <c r="L145" s="50" t="s">
        <v>275</v>
      </c>
      <c r="M145" s="38"/>
      <c r="N145" s="38"/>
      <c r="O145" s="38"/>
      <c r="P145" s="38"/>
      <c r="Q145" s="38"/>
      <c r="R145" s="38"/>
      <c r="S145" s="38"/>
      <c r="T145" s="38"/>
      <c r="U145" s="33">
        <f t="shared" si="10"/>
        <v>2</v>
      </c>
      <c r="V145" s="33">
        <f t="shared" si="11"/>
        <v>1</v>
      </c>
      <c r="W145" s="33">
        <f t="shared" si="12"/>
        <v>0</v>
      </c>
      <c r="X145" s="33">
        <f t="shared" si="13"/>
        <v>0</v>
      </c>
      <c r="Y145" s="33">
        <f ca="1">SUMPRODUCT((I145:INDEX(I145:T145,MONTH(TODAY()))="X")*1)</f>
        <v>0</v>
      </c>
      <c r="Z145" s="39">
        <f t="shared" si="14"/>
        <v>0.5</v>
      </c>
    </row>
    <row r="146" spans="1:26" x14ac:dyDescent="0.25">
      <c r="A146" s="37" t="str">
        <f>Equipos!C144</f>
        <v>2-024458</v>
      </c>
      <c r="B146" s="33" t="str">
        <f>Equipos!D144</f>
        <v>Máquina de Anestesia</v>
      </c>
      <c r="C146" s="33" t="str">
        <f>Equipos!E144</f>
        <v>Pabellón Quirúrgico (Prestado a Imagenología)</v>
      </c>
      <c r="D146" s="33" t="str">
        <f>Equipos!G144</f>
        <v>Angiógrafo 1er piso</v>
      </c>
      <c r="E146" s="33" t="str">
        <f>Equipos!I144</f>
        <v xml:space="preserve">Drager </v>
      </c>
      <c r="F146" s="33" t="str">
        <f>Equipos!J144</f>
        <v xml:space="preserve">Primus </v>
      </c>
      <c r="G146" s="37" t="str">
        <f>Equipos!K144</f>
        <v>ASCB-0130</v>
      </c>
      <c r="H146" s="33"/>
      <c r="I146" s="38"/>
      <c r="J146" s="38"/>
      <c r="K146" s="50" t="s">
        <v>277</v>
      </c>
      <c r="L146" s="38"/>
      <c r="M146" s="38"/>
      <c r="N146" s="38"/>
      <c r="O146" s="38"/>
      <c r="P146" s="38"/>
      <c r="Q146" s="38"/>
      <c r="R146" s="38"/>
      <c r="S146" s="38"/>
      <c r="T146" s="38"/>
      <c r="U146" s="33">
        <f t="shared" si="10"/>
        <v>1</v>
      </c>
      <c r="V146" s="33">
        <f t="shared" si="11"/>
        <v>0</v>
      </c>
      <c r="W146" s="33">
        <f t="shared" si="12"/>
        <v>0</v>
      </c>
      <c r="X146" s="33">
        <f t="shared" si="13"/>
        <v>1</v>
      </c>
      <c r="Y146" s="33">
        <f ca="1">SUMPRODUCT((I146:INDEX(I146:T146,MONTH(TODAY()))="X")*1)</f>
        <v>0</v>
      </c>
      <c r="Z146" s="39">
        <f t="shared" si="14"/>
        <v>0</v>
      </c>
    </row>
    <row r="147" spans="1:26" x14ac:dyDescent="0.25">
      <c r="A147" s="37" t="str">
        <f>Equipos!C145</f>
        <v>2-024296</v>
      </c>
      <c r="B147" s="33" t="str">
        <f>Equipos!D145</f>
        <v>Máquina de Anestesia</v>
      </c>
      <c r="C147" s="33" t="str">
        <f>Equipos!E145</f>
        <v>Pabellón Quirúrgico</v>
      </c>
      <c r="D147" s="33" t="str">
        <f>Equipos!G145</f>
        <v>Pabellón 3</v>
      </c>
      <c r="E147" s="33" t="str">
        <f>Equipos!I145</f>
        <v xml:space="preserve">Drager </v>
      </c>
      <c r="F147" s="33" t="str">
        <f>Equipos!J145</f>
        <v>Primus</v>
      </c>
      <c r="G147" s="37" t="str">
        <f>Equipos!K145</f>
        <v>ASCB-0129</v>
      </c>
      <c r="H147" s="33"/>
      <c r="I147" s="38"/>
      <c r="J147" s="38"/>
      <c r="K147" s="50" t="s">
        <v>275</v>
      </c>
      <c r="L147" s="38"/>
      <c r="M147" s="38"/>
      <c r="N147" s="38"/>
      <c r="O147" s="38"/>
      <c r="P147" s="38"/>
      <c r="Q147" s="38"/>
      <c r="R147" s="38"/>
      <c r="S147" s="38"/>
      <c r="T147" s="38"/>
      <c r="U147" s="33">
        <f t="shared" si="10"/>
        <v>1</v>
      </c>
      <c r="V147" s="33">
        <f t="shared" si="11"/>
        <v>1</v>
      </c>
      <c r="W147" s="33">
        <f t="shared" si="12"/>
        <v>0</v>
      </c>
      <c r="X147" s="33">
        <f t="shared" si="13"/>
        <v>0</v>
      </c>
      <c r="Y147" s="33">
        <f ca="1">SUMPRODUCT((I147:INDEX(I147:T147,MONTH(TODAY()))="X")*1)</f>
        <v>0</v>
      </c>
      <c r="Z147" s="39">
        <f t="shared" si="14"/>
        <v>1</v>
      </c>
    </row>
    <row r="148" spans="1:26" x14ac:dyDescent="0.25">
      <c r="A148" s="37">
        <f>Equipos!C146</f>
        <v>0</v>
      </c>
      <c r="B148" s="33" t="str">
        <f>Equipos!D146</f>
        <v>Máquina de Anestesia</v>
      </c>
      <c r="C148" s="33">
        <f>Equipos!E146</f>
        <v>0</v>
      </c>
      <c r="D148" s="33">
        <f>Equipos!G146</f>
        <v>0</v>
      </c>
      <c r="E148" s="33">
        <f>Equipos!I146</f>
        <v>0</v>
      </c>
      <c r="F148" s="33">
        <f>Equipos!J146</f>
        <v>0</v>
      </c>
      <c r="G148" s="37">
        <f>Equipos!K146</f>
        <v>0</v>
      </c>
      <c r="H148" s="33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3">
        <f t="shared" si="10"/>
        <v>0</v>
      </c>
      <c r="V148" s="33">
        <f t="shared" si="11"/>
        <v>0</v>
      </c>
      <c r="W148" s="33">
        <f t="shared" si="12"/>
        <v>0</v>
      </c>
      <c r="X148" s="33">
        <f t="shared" si="13"/>
        <v>0</v>
      </c>
      <c r="Y148" s="33">
        <f ca="1">SUMPRODUCT((I148:INDEX(I148:T148,MONTH(TODAY()))="X")*1)</f>
        <v>0</v>
      </c>
      <c r="Z148" s="39" t="str">
        <f t="shared" si="14"/>
        <v/>
      </c>
    </row>
    <row r="149" spans="1:26" x14ac:dyDescent="0.25">
      <c r="A149" s="37" t="str">
        <f>Equipos!C147</f>
        <v>2-117816</v>
      </c>
      <c r="B149" s="33" t="str">
        <f>Equipos!D147</f>
        <v>Máquina de Anestesia</v>
      </c>
      <c r="C149" s="33" t="str">
        <f>Equipos!E147</f>
        <v>Pabellón Quirúrgico</v>
      </c>
      <c r="D149" s="33" t="str">
        <f>Equipos!G147</f>
        <v>BODEGA</v>
      </c>
      <c r="E149" s="33" t="str">
        <f>Equipos!I147</f>
        <v>Drager</v>
      </c>
      <c r="F149" s="33" t="str">
        <f>Equipos!J147</f>
        <v>Primus IE</v>
      </c>
      <c r="G149" s="37" t="str">
        <f>Equipos!K147</f>
        <v>ASMB-0231</v>
      </c>
      <c r="H149" s="33"/>
      <c r="I149" s="38"/>
      <c r="J149" s="38"/>
      <c r="K149" s="50" t="s">
        <v>277</v>
      </c>
      <c r="L149" s="38"/>
      <c r="M149" s="38"/>
      <c r="N149" s="38"/>
      <c r="O149" s="38"/>
      <c r="P149" s="38"/>
      <c r="Q149" s="38"/>
      <c r="R149" s="38"/>
      <c r="S149" s="38"/>
      <c r="T149" s="38"/>
      <c r="U149" s="33">
        <f t="shared" si="10"/>
        <v>1</v>
      </c>
      <c r="V149" s="33">
        <f t="shared" si="11"/>
        <v>0</v>
      </c>
      <c r="W149" s="33">
        <f t="shared" si="12"/>
        <v>0</v>
      </c>
      <c r="X149" s="33">
        <f t="shared" si="13"/>
        <v>1</v>
      </c>
      <c r="Y149" s="33">
        <f ca="1">SUMPRODUCT((I149:INDEX(I149:T149,MONTH(TODAY()))="X")*1)</f>
        <v>0</v>
      </c>
      <c r="Z149" s="39">
        <f t="shared" si="14"/>
        <v>0</v>
      </c>
    </row>
    <row r="150" spans="1:26" x14ac:dyDescent="0.25">
      <c r="A150" s="37" t="str">
        <f>Equipos!C148</f>
        <v>2-117815</v>
      </c>
      <c r="B150" s="33" t="str">
        <f>Equipos!D148</f>
        <v>Máquina de Anestesia</v>
      </c>
      <c r="C150" s="33" t="str">
        <f>Equipos!E148</f>
        <v>Pabellón Quirúrgico</v>
      </c>
      <c r="D150" s="33" t="str">
        <f>Equipos!G148</f>
        <v>Pabellón 7 Urgencia</v>
      </c>
      <c r="E150" s="33" t="str">
        <f>Equipos!I148</f>
        <v>Drager</v>
      </c>
      <c r="F150" s="33" t="str">
        <f>Equipos!J148</f>
        <v>Primus IE</v>
      </c>
      <c r="G150" s="37" t="str">
        <f>Equipos!K148</f>
        <v>ASMB-0230</v>
      </c>
      <c r="H150" s="33"/>
      <c r="I150" s="38"/>
      <c r="J150" s="38"/>
      <c r="K150" s="50" t="s">
        <v>276</v>
      </c>
      <c r="L150" s="50" t="s">
        <v>275</v>
      </c>
      <c r="M150" s="38"/>
      <c r="N150" s="38"/>
      <c r="O150" s="38"/>
      <c r="P150" s="38"/>
      <c r="Q150" s="38"/>
      <c r="R150" s="38"/>
      <c r="S150" s="38"/>
      <c r="T150" s="38"/>
      <c r="U150" s="33">
        <f t="shared" si="10"/>
        <v>2</v>
      </c>
      <c r="V150" s="33">
        <f t="shared" si="11"/>
        <v>1</v>
      </c>
      <c r="W150" s="33">
        <f t="shared" si="12"/>
        <v>0</v>
      </c>
      <c r="X150" s="33">
        <f t="shared" si="13"/>
        <v>0</v>
      </c>
      <c r="Y150" s="33">
        <f ca="1">SUMPRODUCT((I150:INDEX(I150:T150,MONTH(TODAY()))="X")*1)</f>
        <v>0</v>
      </c>
      <c r="Z150" s="39">
        <f t="shared" si="14"/>
        <v>0.5</v>
      </c>
    </row>
    <row r="151" spans="1:26" x14ac:dyDescent="0.25">
      <c r="A151" s="37" t="str">
        <f>Equipos!C149</f>
        <v>2-017350</v>
      </c>
      <c r="B151" s="33" t="str">
        <f>Equipos!D149</f>
        <v>Máquina de Anestesia</v>
      </c>
      <c r="C151" s="33" t="str">
        <f>Equipos!E149</f>
        <v>Pabellón Quirúrgico</v>
      </c>
      <c r="D151" s="33" t="str">
        <f>Equipos!G149</f>
        <v>Equipamiento clinico</v>
      </c>
      <c r="E151" s="33" t="str">
        <f>Equipos!I149</f>
        <v>Drager</v>
      </c>
      <c r="F151" s="33" t="str">
        <f>Equipos!J149</f>
        <v xml:space="preserve">Primus </v>
      </c>
      <c r="G151" s="37" t="str">
        <f>Equipos!K149</f>
        <v>ARYA-0174</v>
      </c>
      <c r="H151" s="33"/>
      <c r="I151" s="38"/>
      <c r="J151" s="38"/>
      <c r="K151" s="50" t="s">
        <v>276</v>
      </c>
      <c r="L151" s="50" t="s">
        <v>275</v>
      </c>
      <c r="M151" s="38"/>
      <c r="N151" s="38"/>
      <c r="O151" s="38"/>
      <c r="P151" s="38"/>
      <c r="Q151" s="38"/>
      <c r="R151" s="38"/>
      <c r="S151" s="38"/>
      <c r="T151" s="38"/>
      <c r="U151" s="33">
        <f t="shared" si="10"/>
        <v>2</v>
      </c>
      <c r="V151" s="33">
        <f t="shared" si="11"/>
        <v>1</v>
      </c>
      <c r="W151" s="33">
        <f t="shared" si="12"/>
        <v>0</v>
      </c>
      <c r="X151" s="33">
        <f t="shared" si="13"/>
        <v>0</v>
      </c>
      <c r="Y151" s="33">
        <f ca="1">SUMPRODUCT((I151:INDEX(I151:T151,MONTH(TODAY()))="X")*1)</f>
        <v>0</v>
      </c>
      <c r="Z151" s="39">
        <f t="shared" si="14"/>
        <v>0.5</v>
      </c>
    </row>
    <row r="152" spans="1:26" x14ac:dyDescent="0.25">
      <c r="A152" s="37">
        <f>Equipos!C150</f>
        <v>0</v>
      </c>
      <c r="B152" s="33" t="str">
        <f>Equipos!D150</f>
        <v>Máquina de Anestesia</v>
      </c>
      <c r="C152" s="33">
        <f>Equipos!E150</f>
        <v>0</v>
      </c>
      <c r="D152" s="33">
        <f>Equipos!G150</f>
        <v>0</v>
      </c>
      <c r="E152" s="33">
        <f>Equipos!I150</f>
        <v>0</v>
      </c>
      <c r="F152" s="33">
        <f>Equipos!J150</f>
        <v>0</v>
      </c>
      <c r="G152" s="37">
        <f>Equipos!K150</f>
        <v>0</v>
      </c>
      <c r="H152" s="33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3">
        <f t="shared" si="10"/>
        <v>0</v>
      </c>
      <c r="V152" s="33">
        <f t="shared" si="11"/>
        <v>0</v>
      </c>
      <c r="W152" s="33">
        <f t="shared" si="12"/>
        <v>0</v>
      </c>
      <c r="X152" s="33">
        <f t="shared" si="13"/>
        <v>0</v>
      </c>
      <c r="Y152" s="33">
        <f ca="1">SUMPRODUCT((I152:INDEX(I152:T152,MONTH(TODAY()))="X")*1)</f>
        <v>0</v>
      </c>
      <c r="Z152" s="39" t="str">
        <f t="shared" si="14"/>
        <v/>
      </c>
    </row>
    <row r="153" spans="1:26" x14ac:dyDescent="0.25">
      <c r="A153" s="37" t="str">
        <f>Equipos!C151</f>
        <v>2-017325</v>
      </c>
      <c r="B153" s="33" t="str">
        <f>Equipos!D151</f>
        <v>Máquina de Anestesia</v>
      </c>
      <c r="C153" s="33" t="str">
        <f>Equipos!E151</f>
        <v>Pabellón Quirúrgico</v>
      </c>
      <c r="D153" s="33" t="str">
        <f>Equipos!G151</f>
        <v>Pabellón 8</v>
      </c>
      <c r="E153" s="33" t="str">
        <f>Equipos!I151</f>
        <v xml:space="preserve">Drager </v>
      </c>
      <c r="F153" s="33" t="str">
        <f>Equipos!J151</f>
        <v xml:space="preserve">Primus </v>
      </c>
      <c r="G153" s="37" t="str">
        <f>Equipos!K151</f>
        <v>ASDK-0158</v>
      </c>
      <c r="H153" s="33"/>
      <c r="I153" s="38"/>
      <c r="J153" s="38"/>
      <c r="K153" s="50" t="s">
        <v>276</v>
      </c>
      <c r="L153" s="50" t="s">
        <v>275</v>
      </c>
      <c r="M153" s="38"/>
      <c r="N153" s="38"/>
      <c r="O153" s="38"/>
      <c r="P153" s="38"/>
      <c r="Q153" s="38"/>
      <c r="R153" s="38"/>
      <c r="S153" s="38"/>
      <c r="T153" s="38"/>
      <c r="U153" s="33">
        <f t="shared" si="10"/>
        <v>2</v>
      </c>
      <c r="V153" s="33">
        <f t="shared" si="11"/>
        <v>1</v>
      </c>
      <c r="W153" s="33">
        <f t="shared" si="12"/>
        <v>0</v>
      </c>
      <c r="X153" s="33">
        <f t="shared" si="13"/>
        <v>0</v>
      </c>
      <c r="Y153" s="33">
        <f ca="1">SUMPRODUCT((I153:INDEX(I153:T153,MONTH(TODAY()))="X")*1)</f>
        <v>0</v>
      </c>
      <c r="Z153" s="39">
        <f t="shared" si="14"/>
        <v>0.5</v>
      </c>
    </row>
    <row r="154" spans="1:26" x14ac:dyDescent="0.25">
      <c r="A154" s="37">
        <f>Equipos!C152</f>
        <v>0</v>
      </c>
      <c r="B154" s="33" t="str">
        <f>Equipos!D152</f>
        <v>Máquina de Anestesia</v>
      </c>
      <c r="C154" s="33">
        <f>Equipos!E152</f>
        <v>0</v>
      </c>
      <c r="D154" s="33">
        <f>Equipos!G152</f>
        <v>0</v>
      </c>
      <c r="E154" s="33">
        <f>Equipos!I152</f>
        <v>0</v>
      </c>
      <c r="F154" s="33">
        <f>Equipos!J152</f>
        <v>0</v>
      </c>
      <c r="G154" s="37">
        <f>Equipos!K152</f>
        <v>0</v>
      </c>
      <c r="H154" s="33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3">
        <f t="shared" si="10"/>
        <v>0</v>
      </c>
      <c r="V154" s="33">
        <f t="shared" si="11"/>
        <v>0</v>
      </c>
      <c r="W154" s="33">
        <f t="shared" si="12"/>
        <v>0</v>
      </c>
      <c r="X154" s="33">
        <f t="shared" si="13"/>
        <v>0</v>
      </c>
      <c r="Y154" s="33">
        <f ca="1">SUMPRODUCT((I154:INDEX(I154:T154,MONTH(TODAY()))="X")*1)</f>
        <v>0</v>
      </c>
      <c r="Z154" s="39" t="str">
        <f t="shared" si="14"/>
        <v/>
      </c>
    </row>
    <row r="155" spans="1:26" x14ac:dyDescent="0.25">
      <c r="A155" s="37" t="str">
        <f>Equipos!C153</f>
        <v>2-112256</v>
      </c>
      <c r="B155" s="33" t="str">
        <f>Equipos!D153</f>
        <v>Máquina de Anestesia</v>
      </c>
      <c r="C155" s="33" t="str">
        <f>Equipos!E153</f>
        <v>Pabellón Quirúrgico</v>
      </c>
      <c r="D155" s="33" t="str">
        <f>Equipos!G153</f>
        <v>BODEGA</v>
      </c>
      <c r="E155" s="33" t="str">
        <f>Equipos!I153</f>
        <v>Drager</v>
      </c>
      <c r="F155" s="33" t="str">
        <f>Equipos!J153</f>
        <v>Fabius GS</v>
      </c>
      <c r="G155" s="37" t="str">
        <f>Equipos!K153</f>
        <v>ARYL-0080</v>
      </c>
      <c r="H155" s="33"/>
      <c r="I155" s="38"/>
      <c r="J155" s="38"/>
      <c r="K155" s="50" t="s">
        <v>276</v>
      </c>
      <c r="L155" s="50" t="s">
        <v>275</v>
      </c>
      <c r="M155" s="38"/>
      <c r="N155" s="38"/>
      <c r="O155" s="38"/>
      <c r="P155" s="38"/>
      <c r="Q155" s="38"/>
      <c r="R155" s="38"/>
      <c r="S155" s="38"/>
      <c r="T155" s="38"/>
      <c r="U155" s="33">
        <f t="shared" si="10"/>
        <v>2</v>
      </c>
      <c r="V155" s="33">
        <f t="shared" si="11"/>
        <v>1</v>
      </c>
      <c r="W155" s="33">
        <f t="shared" si="12"/>
        <v>0</v>
      </c>
      <c r="X155" s="33">
        <f t="shared" si="13"/>
        <v>0</v>
      </c>
      <c r="Y155" s="33">
        <f ca="1">SUMPRODUCT((I155:INDEX(I155:T155,MONTH(TODAY()))="X")*1)</f>
        <v>0</v>
      </c>
      <c r="Z155" s="39">
        <f t="shared" si="14"/>
        <v>0.5</v>
      </c>
    </row>
    <row r="156" spans="1:26" x14ac:dyDescent="0.25">
      <c r="A156" s="37" t="str">
        <f>Equipos!C154</f>
        <v>2-024253</v>
      </c>
      <c r="B156" s="33" t="str">
        <f>Equipos!D154</f>
        <v>Máquina de Anestesia</v>
      </c>
      <c r="C156" s="33" t="str">
        <f>Equipos!E154</f>
        <v>Imagenología</v>
      </c>
      <c r="D156" s="33" t="str">
        <f>Equipos!G154</f>
        <v>Resonador</v>
      </c>
      <c r="E156" s="33" t="str">
        <f>Equipos!I154</f>
        <v xml:space="preserve">Datex Ohmeda </v>
      </c>
      <c r="F156" s="33" t="str">
        <f>Equipos!J154</f>
        <v>Aestiva/5 MRI</v>
      </c>
      <c r="G156" s="37" t="str">
        <f>Equipos!K154</f>
        <v>AMTK00245</v>
      </c>
      <c r="H156" s="33"/>
      <c r="I156" s="38"/>
      <c r="J156" s="38"/>
      <c r="K156" s="50" t="s">
        <v>276</v>
      </c>
      <c r="L156" s="50" t="s">
        <v>275</v>
      </c>
      <c r="M156" s="38"/>
      <c r="N156" s="38"/>
      <c r="O156" s="38"/>
      <c r="P156" s="38"/>
      <c r="Q156" s="38"/>
      <c r="R156" s="38"/>
      <c r="S156" s="38"/>
      <c r="T156" s="38"/>
      <c r="U156" s="33">
        <f t="shared" si="10"/>
        <v>2</v>
      </c>
      <c r="V156" s="33">
        <f t="shared" si="11"/>
        <v>1</v>
      </c>
      <c r="W156" s="33">
        <f t="shared" si="12"/>
        <v>0</v>
      </c>
      <c r="X156" s="33">
        <f t="shared" si="13"/>
        <v>0</v>
      </c>
      <c r="Y156" s="33">
        <f ca="1">SUMPRODUCT((I156:INDEX(I156:T156,MONTH(TODAY()))="X")*1)</f>
        <v>0</v>
      </c>
      <c r="Z156" s="39">
        <f t="shared" si="14"/>
        <v>0.5</v>
      </c>
    </row>
    <row r="157" spans="1:26" x14ac:dyDescent="0.25">
      <c r="A157" s="37">
        <f>Equipos!C155</f>
        <v>0</v>
      </c>
      <c r="B157" s="33" t="str">
        <f>Equipos!D155</f>
        <v>Máquina de Anestesia</v>
      </c>
      <c r="C157" s="33">
        <f>Equipos!E155</f>
        <v>0</v>
      </c>
      <c r="D157" s="33">
        <f>Equipos!G155</f>
        <v>0</v>
      </c>
      <c r="E157" s="33">
        <f>Equipos!I155</f>
        <v>0</v>
      </c>
      <c r="F157" s="33">
        <f>Equipos!J155</f>
        <v>0</v>
      </c>
      <c r="G157" s="37">
        <f>Equipos!K155</f>
        <v>0</v>
      </c>
      <c r="H157" s="33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3">
        <f t="shared" si="10"/>
        <v>0</v>
      </c>
      <c r="V157" s="33">
        <f t="shared" si="11"/>
        <v>0</v>
      </c>
      <c r="W157" s="33">
        <f t="shared" si="12"/>
        <v>0</v>
      </c>
      <c r="X157" s="33">
        <f t="shared" si="13"/>
        <v>0</v>
      </c>
      <c r="Y157" s="33">
        <f ca="1">SUMPRODUCT((I157:INDEX(I157:T157,MONTH(TODAY()))="X")*1)</f>
        <v>0</v>
      </c>
      <c r="Z157" s="39" t="str">
        <f t="shared" si="14"/>
        <v/>
      </c>
    </row>
    <row r="158" spans="1:26" x14ac:dyDescent="0.25">
      <c r="A158" s="37" t="str">
        <f>Equipos!C156</f>
        <v>2-016193</v>
      </c>
      <c r="B158" s="33" t="str">
        <f>Equipos!D156</f>
        <v>Máquina de Anestesia</v>
      </c>
      <c r="C158" s="33" t="str">
        <f>Equipos!E156</f>
        <v>Pabellón (Prestado a Hemodinamia)</v>
      </c>
      <c r="D158" s="33" t="str">
        <f>Equipos!G156</f>
        <v>Pabellón Hemodinamia</v>
      </c>
      <c r="E158" s="33" t="str">
        <f>Equipos!I156</f>
        <v>Drager</v>
      </c>
      <c r="F158" s="33" t="str">
        <f>Equipos!J156</f>
        <v>Primus</v>
      </c>
      <c r="G158" s="37" t="str">
        <f>Equipos!K156</f>
        <v>ARXK-0015</v>
      </c>
      <c r="H158" s="33"/>
      <c r="I158" s="38"/>
      <c r="J158" s="38"/>
      <c r="K158" s="50" t="s">
        <v>276</v>
      </c>
      <c r="L158" s="50" t="s">
        <v>275</v>
      </c>
      <c r="M158" s="38"/>
      <c r="N158" s="38"/>
      <c r="O158" s="38"/>
      <c r="P158" s="38"/>
      <c r="Q158" s="38"/>
      <c r="R158" s="38"/>
      <c r="S158" s="38"/>
      <c r="T158" s="38"/>
      <c r="U158" s="33">
        <f t="shared" si="10"/>
        <v>2</v>
      </c>
      <c r="V158" s="33">
        <f t="shared" si="11"/>
        <v>1</v>
      </c>
      <c r="W158" s="33">
        <f t="shared" si="12"/>
        <v>0</v>
      </c>
      <c r="X158" s="33">
        <f t="shared" si="13"/>
        <v>0</v>
      </c>
      <c r="Y158" s="33">
        <f ca="1">SUMPRODUCT((I158:INDEX(I158:T158,MONTH(TODAY()))="X")*1)</f>
        <v>0</v>
      </c>
      <c r="Z158" s="39">
        <f t="shared" si="14"/>
        <v>0.5</v>
      </c>
    </row>
    <row r="159" spans="1:26" x14ac:dyDescent="0.25">
      <c r="A159" s="37" t="str">
        <f>Equipos!C157</f>
        <v>2-022660</v>
      </c>
      <c r="B159" s="33" t="str">
        <f>Equipos!D157</f>
        <v>Máquina de Anestesia</v>
      </c>
      <c r="C159" s="33" t="str">
        <f>Equipos!E157</f>
        <v>Pabellones Gineco-Obstétricos</v>
      </c>
      <c r="D159" s="33" t="str">
        <f>Equipos!G157</f>
        <v>Pabellón 1</v>
      </c>
      <c r="E159" s="33" t="str">
        <f>Equipos!I157</f>
        <v>Drager</v>
      </c>
      <c r="F159" s="33" t="str">
        <f>Equipos!J157</f>
        <v>Primus IE</v>
      </c>
      <c r="G159" s="37" t="str">
        <f>Equipos!K157</f>
        <v>ASHB-0263</v>
      </c>
      <c r="H159" s="33"/>
      <c r="I159" s="38"/>
      <c r="J159" s="38"/>
      <c r="K159" s="50" t="s">
        <v>275</v>
      </c>
      <c r="L159" s="38"/>
      <c r="M159" s="38"/>
      <c r="N159" s="38"/>
      <c r="O159" s="38"/>
      <c r="P159" s="38"/>
      <c r="Q159" s="38"/>
      <c r="R159" s="38"/>
      <c r="S159" s="38"/>
      <c r="T159" s="38"/>
      <c r="U159" s="33">
        <f t="shared" si="10"/>
        <v>1</v>
      </c>
      <c r="V159" s="33">
        <f t="shared" si="11"/>
        <v>1</v>
      </c>
      <c r="W159" s="33">
        <f t="shared" si="12"/>
        <v>0</v>
      </c>
      <c r="X159" s="33">
        <f t="shared" si="13"/>
        <v>0</v>
      </c>
      <c r="Y159" s="33">
        <f ca="1">SUMPRODUCT((I159:INDEX(I159:T159,MONTH(TODAY()))="X")*1)</f>
        <v>0</v>
      </c>
      <c r="Z159" s="39">
        <f t="shared" si="14"/>
        <v>1</v>
      </c>
    </row>
    <row r="160" spans="1:26" x14ac:dyDescent="0.25">
      <c r="A160" s="37" t="str">
        <f>Equipos!C158</f>
        <v>2-024370</v>
      </c>
      <c r="B160" s="33" t="str">
        <f>Equipos!D158</f>
        <v>Máquina de Anestesia</v>
      </c>
      <c r="C160" s="33" t="str">
        <f>Equipos!E158</f>
        <v>Pabellón Quirúrgico</v>
      </c>
      <c r="D160" s="33" t="str">
        <f>Equipos!G158</f>
        <v>Pabellón 1</v>
      </c>
      <c r="E160" s="33" t="str">
        <f>Equipos!I158</f>
        <v xml:space="preserve">Drager </v>
      </c>
      <c r="F160" s="33" t="str">
        <f>Equipos!J158</f>
        <v>Primus IE</v>
      </c>
      <c r="G160" s="37" t="str">
        <f>Equipos!K158</f>
        <v>ASHB-0262</v>
      </c>
      <c r="H160" s="33"/>
      <c r="I160" s="38"/>
      <c r="J160" s="38"/>
      <c r="K160" s="50" t="s">
        <v>277</v>
      </c>
      <c r="L160" s="50" t="s">
        <v>275</v>
      </c>
      <c r="M160" s="38"/>
      <c r="N160" s="38"/>
      <c r="O160" s="38"/>
      <c r="P160" s="38"/>
      <c r="Q160" s="38"/>
      <c r="R160" s="38"/>
      <c r="S160" s="38"/>
      <c r="T160" s="38"/>
      <c r="U160" s="33">
        <f t="shared" si="10"/>
        <v>2</v>
      </c>
      <c r="V160" s="33">
        <f t="shared" si="11"/>
        <v>1</v>
      </c>
      <c r="W160" s="33">
        <f t="shared" si="12"/>
        <v>0</v>
      </c>
      <c r="X160" s="33">
        <f t="shared" si="13"/>
        <v>1</v>
      </c>
      <c r="Y160" s="33">
        <f ca="1">SUMPRODUCT((I160:INDEX(I160:T160,MONTH(TODAY()))="X")*1)</f>
        <v>0</v>
      </c>
      <c r="Z160" s="39">
        <f t="shared" si="14"/>
        <v>0.5</v>
      </c>
    </row>
    <row r="161" spans="1:26" x14ac:dyDescent="0.25">
      <c r="A161" s="37" t="str">
        <f>Equipos!C159</f>
        <v>2-024352</v>
      </c>
      <c r="B161" s="33" t="str">
        <f>Equipos!D159</f>
        <v>Máquina de Anestesia</v>
      </c>
      <c r="C161" s="33" t="str">
        <f>Equipos!E159</f>
        <v>Pabellón Quirúrgico</v>
      </c>
      <c r="D161" s="33" t="str">
        <f>Equipos!G159</f>
        <v>Pabellón 1</v>
      </c>
      <c r="E161" s="33" t="str">
        <f>Equipos!I159</f>
        <v xml:space="preserve">Drager </v>
      </c>
      <c r="F161" s="33" t="str">
        <f>Equipos!J159</f>
        <v>Primus IE</v>
      </c>
      <c r="G161" s="37" t="str">
        <f>Equipos!K159</f>
        <v>ASHB-0261</v>
      </c>
      <c r="H161" s="33"/>
      <c r="I161" s="38"/>
      <c r="J161" s="38"/>
      <c r="K161" s="50" t="s">
        <v>276</v>
      </c>
      <c r="L161" s="50" t="s">
        <v>275</v>
      </c>
      <c r="M161" s="38"/>
      <c r="N161" s="38"/>
      <c r="O161" s="38"/>
      <c r="P161" s="38"/>
      <c r="Q161" s="38"/>
      <c r="R161" s="38"/>
      <c r="S161" s="38"/>
      <c r="T161" s="38"/>
      <c r="U161" s="33">
        <f t="shared" si="10"/>
        <v>2</v>
      </c>
      <c r="V161" s="33">
        <f t="shared" si="11"/>
        <v>1</v>
      </c>
      <c r="W161" s="33">
        <f t="shared" si="12"/>
        <v>0</v>
      </c>
      <c r="X161" s="33">
        <f t="shared" si="13"/>
        <v>0</v>
      </c>
      <c r="Y161" s="33">
        <f ca="1">SUMPRODUCT((I161:INDEX(I161:T161,MONTH(TODAY()))="X")*1)</f>
        <v>0</v>
      </c>
      <c r="Z161" s="39">
        <f t="shared" si="14"/>
        <v>0.5</v>
      </c>
    </row>
    <row r="162" spans="1:26" x14ac:dyDescent="0.25">
      <c r="A162" s="37" t="str">
        <f>Equipos!C160</f>
        <v>2-118716</v>
      </c>
      <c r="B162" s="33" t="str">
        <f>Equipos!D160</f>
        <v>Máquina de Anestesia</v>
      </c>
      <c r="C162" s="33" t="str">
        <f>Equipos!E160</f>
        <v>Pabellón Quirúrgico</v>
      </c>
      <c r="D162" s="33" t="str">
        <f>Equipos!G160</f>
        <v>Bodega Pabellón Central</v>
      </c>
      <c r="E162" s="33" t="str">
        <f>Equipos!I160</f>
        <v>Drager</v>
      </c>
      <c r="F162" s="33" t="str">
        <f>Equipos!J160</f>
        <v>Primus IE</v>
      </c>
      <c r="G162" s="37" t="str">
        <f>Equipos!K160</f>
        <v>ASMB-0233</v>
      </c>
      <c r="H162" s="33"/>
      <c r="I162" s="38"/>
      <c r="J162" s="38"/>
      <c r="K162" s="50" t="s">
        <v>276</v>
      </c>
      <c r="L162" s="50" t="s">
        <v>275</v>
      </c>
      <c r="M162" s="38"/>
      <c r="N162" s="38"/>
      <c r="O162" s="38"/>
      <c r="P162" s="38"/>
      <c r="Q162" s="38"/>
      <c r="R162" s="38"/>
      <c r="S162" s="38"/>
      <c r="T162" s="38"/>
      <c r="U162" s="33">
        <f t="shared" si="10"/>
        <v>2</v>
      </c>
      <c r="V162" s="33">
        <f t="shared" si="11"/>
        <v>1</v>
      </c>
      <c r="W162" s="33">
        <f t="shared" si="12"/>
        <v>0</v>
      </c>
      <c r="X162" s="33">
        <f t="shared" si="13"/>
        <v>0</v>
      </c>
      <c r="Y162" s="33">
        <f ca="1">SUMPRODUCT((I162:INDEX(I162:T162,MONTH(TODAY()))="X")*1)</f>
        <v>0</v>
      </c>
      <c r="Z162" s="39">
        <f t="shared" si="14"/>
        <v>0.5</v>
      </c>
    </row>
    <row r="163" spans="1:26" x14ac:dyDescent="0.25">
      <c r="A163" s="37" t="str">
        <f>Equipos!C161</f>
        <v>2-118800</v>
      </c>
      <c r="B163" s="33" t="str">
        <f>Equipos!D161</f>
        <v>Máquina de Anestesia</v>
      </c>
      <c r="C163" s="33" t="str">
        <f>Equipos!E161</f>
        <v>Pabellón Quirúrgico (Prestado a Pabellón CMA)</v>
      </c>
      <c r="D163" s="33" t="str">
        <f>Equipos!G161</f>
        <v>PabellónCMA 2</v>
      </c>
      <c r="E163" s="33" t="str">
        <f>Equipos!I161</f>
        <v>Drager</v>
      </c>
      <c r="F163" s="33" t="str">
        <f>Equipos!J161</f>
        <v>Primus</v>
      </c>
      <c r="G163" s="37" t="str">
        <f>Equipos!K161</f>
        <v>ASMB-0234</v>
      </c>
      <c r="H163" s="33"/>
      <c r="I163" s="38"/>
      <c r="J163" s="38"/>
      <c r="K163" s="50" t="s">
        <v>276</v>
      </c>
      <c r="L163" s="50" t="s">
        <v>275</v>
      </c>
      <c r="M163" s="38"/>
      <c r="N163" s="38"/>
      <c r="O163" s="38"/>
      <c r="P163" s="38"/>
      <c r="Q163" s="38"/>
      <c r="R163" s="38"/>
      <c r="S163" s="38"/>
      <c r="T163" s="38"/>
      <c r="U163" s="33">
        <f t="shared" si="10"/>
        <v>2</v>
      </c>
      <c r="V163" s="33">
        <f t="shared" si="11"/>
        <v>1</v>
      </c>
      <c r="W163" s="33">
        <f t="shared" si="12"/>
        <v>0</v>
      </c>
      <c r="X163" s="33">
        <f t="shared" si="13"/>
        <v>0</v>
      </c>
      <c r="Y163" s="33">
        <f ca="1">SUMPRODUCT((I163:INDEX(I163:T163,MONTH(TODAY()))="X")*1)</f>
        <v>0</v>
      </c>
      <c r="Z163" s="39">
        <f t="shared" si="14"/>
        <v>0.5</v>
      </c>
    </row>
    <row r="164" spans="1:26" x14ac:dyDescent="0.25">
      <c r="A164" s="37" t="str">
        <f>Equipos!C162</f>
        <v>2-118822</v>
      </c>
      <c r="B164" s="33" t="str">
        <f>Equipos!D162</f>
        <v>Máquina de Anestesia</v>
      </c>
      <c r="C164" s="33" t="str">
        <f>Equipos!E162</f>
        <v>Pabellón Quirúrgico</v>
      </c>
      <c r="D164" s="33" t="str">
        <f>Equipos!G162</f>
        <v>Pabellón 2</v>
      </c>
      <c r="E164" s="33" t="str">
        <f>Equipos!I162</f>
        <v>Drager</v>
      </c>
      <c r="F164" s="33" t="str">
        <f>Equipos!J162</f>
        <v>Perseus A500</v>
      </c>
      <c r="G164" s="37" t="str">
        <f>Equipos!K162</f>
        <v>ASMK-0087</v>
      </c>
      <c r="H164" s="33"/>
      <c r="I164" s="38"/>
      <c r="J164" s="38"/>
      <c r="K164" s="50" t="s">
        <v>276</v>
      </c>
      <c r="L164" s="50" t="s">
        <v>275</v>
      </c>
      <c r="M164" s="38"/>
      <c r="N164" s="38"/>
      <c r="O164" s="38"/>
      <c r="P164" s="38"/>
      <c r="Q164" s="38"/>
      <c r="R164" s="38"/>
      <c r="S164" s="38"/>
      <c r="T164" s="38"/>
      <c r="U164" s="33">
        <f t="shared" si="10"/>
        <v>2</v>
      </c>
      <c r="V164" s="33">
        <f t="shared" si="11"/>
        <v>1</v>
      </c>
      <c r="W164" s="33">
        <f t="shared" si="12"/>
        <v>0</v>
      </c>
      <c r="X164" s="33">
        <f t="shared" si="13"/>
        <v>0</v>
      </c>
      <c r="Y164" s="33">
        <f ca="1">SUMPRODUCT((I164:INDEX(I164:T164,MONTH(TODAY()))="X")*1)</f>
        <v>0</v>
      </c>
      <c r="Z164" s="39">
        <f t="shared" si="14"/>
        <v>0.5</v>
      </c>
    </row>
    <row r="165" spans="1:26" x14ac:dyDescent="0.25">
      <c r="A165" s="37" t="str">
        <f>Equipos!C163</f>
        <v>2-118850</v>
      </c>
      <c r="B165" s="33" t="str">
        <f>Equipos!D163</f>
        <v>Máquina de Anestesia</v>
      </c>
      <c r="C165" s="33" t="str">
        <f>Equipos!E163</f>
        <v>Pabellón Quirúrgico</v>
      </c>
      <c r="D165" s="33" t="str">
        <f>Equipos!G163</f>
        <v>Pabellón</v>
      </c>
      <c r="E165" s="33" t="str">
        <f>Equipos!I163</f>
        <v>Drager</v>
      </c>
      <c r="F165" s="33" t="str">
        <f>Equipos!J163</f>
        <v>Perseus A500</v>
      </c>
      <c r="G165" s="37" t="str">
        <f>Equipos!K163</f>
        <v>ASMK-0086</v>
      </c>
      <c r="H165" s="33"/>
      <c r="I165" s="38"/>
      <c r="J165" s="38"/>
      <c r="K165" s="50" t="s">
        <v>276</v>
      </c>
      <c r="L165" s="50" t="s">
        <v>275</v>
      </c>
      <c r="M165" s="38"/>
      <c r="N165" s="38"/>
      <c r="O165" s="38"/>
      <c r="P165" s="38"/>
      <c r="Q165" s="38"/>
      <c r="R165" s="38"/>
      <c r="S165" s="38"/>
      <c r="T165" s="38"/>
      <c r="U165" s="33">
        <f t="shared" si="10"/>
        <v>2</v>
      </c>
      <c r="V165" s="33">
        <f t="shared" si="11"/>
        <v>1</v>
      </c>
      <c r="W165" s="33">
        <f t="shared" si="12"/>
        <v>0</v>
      </c>
      <c r="X165" s="33">
        <f t="shared" si="13"/>
        <v>0</v>
      </c>
      <c r="Y165" s="33">
        <f ca="1">SUMPRODUCT((I165:INDEX(I165:T165,MONTH(TODAY()))="X")*1)</f>
        <v>0</v>
      </c>
      <c r="Z165" s="39">
        <f t="shared" si="14"/>
        <v>0.5</v>
      </c>
    </row>
    <row r="166" spans="1:26" x14ac:dyDescent="0.25">
      <c r="A166" s="37" t="str">
        <f>Equipos!C164</f>
        <v>2-118851</v>
      </c>
      <c r="B166" s="33" t="str">
        <f>Equipos!D164</f>
        <v>Máquina de Anestesia</v>
      </c>
      <c r="C166" s="33" t="str">
        <f>Equipos!E164</f>
        <v>Pabellón Quirúrgico</v>
      </c>
      <c r="D166" s="33" t="str">
        <f>Equipos!G164</f>
        <v>Pabellón 10</v>
      </c>
      <c r="E166" s="33" t="str">
        <f>Equipos!I164</f>
        <v>Drager</v>
      </c>
      <c r="F166" s="33" t="str">
        <f>Equipos!J164</f>
        <v>Perseus A500</v>
      </c>
      <c r="G166" s="37" t="str">
        <f>Equipos!K164</f>
        <v>ASMK-0085</v>
      </c>
      <c r="H166" s="33"/>
      <c r="I166" s="38"/>
      <c r="J166" s="38"/>
      <c r="K166" s="50" t="s">
        <v>276</v>
      </c>
      <c r="L166" s="38"/>
      <c r="M166" s="38"/>
      <c r="N166" s="38"/>
      <c r="O166" s="38"/>
      <c r="P166" s="38"/>
      <c r="Q166" s="38"/>
      <c r="R166" s="38"/>
      <c r="S166" s="38"/>
      <c r="T166" s="38"/>
      <c r="U166" s="33">
        <f t="shared" si="10"/>
        <v>1</v>
      </c>
      <c r="V166" s="33">
        <f t="shared" si="11"/>
        <v>0</v>
      </c>
      <c r="W166" s="33">
        <f t="shared" si="12"/>
        <v>0</v>
      </c>
      <c r="X166" s="33">
        <f t="shared" si="13"/>
        <v>0</v>
      </c>
      <c r="Y166" s="33">
        <f ca="1">SUMPRODUCT((I166:INDEX(I166:T166,MONTH(TODAY()))="X")*1)</f>
        <v>0</v>
      </c>
      <c r="Z166" s="39">
        <f t="shared" si="14"/>
        <v>0</v>
      </c>
    </row>
    <row r="167" spans="1:26" x14ac:dyDescent="0.25">
      <c r="A167" s="37" t="str">
        <f>Equipos!C165</f>
        <v>2-118840</v>
      </c>
      <c r="B167" s="33" t="str">
        <f>Equipos!D165</f>
        <v>Máquina de Anestesia</v>
      </c>
      <c r="C167" s="33" t="str">
        <f>Equipos!E165</f>
        <v>Pabellón Quirúrgico</v>
      </c>
      <c r="D167" s="33" t="str">
        <f>Equipos!G165</f>
        <v>Pabellón 5</v>
      </c>
      <c r="E167" s="33" t="str">
        <f>Equipos!I165</f>
        <v>Drager</v>
      </c>
      <c r="F167" s="33" t="str">
        <f>Equipos!J165</f>
        <v>Primus</v>
      </c>
      <c r="G167" s="37" t="str">
        <f>Equipos!K165</f>
        <v>ASMK-0178</v>
      </c>
      <c r="H167" s="33"/>
      <c r="I167" s="38"/>
      <c r="J167" s="38"/>
      <c r="K167" s="50" t="s">
        <v>276</v>
      </c>
      <c r="L167" s="50" t="s">
        <v>275</v>
      </c>
      <c r="M167" s="38"/>
      <c r="N167" s="38"/>
      <c r="O167" s="38"/>
      <c r="P167" s="38"/>
      <c r="Q167" s="38"/>
      <c r="R167" s="38"/>
      <c r="S167" s="38"/>
      <c r="T167" s="38"/>
      <c r="U167" s="33">
        <f t="shared" si="10"/>
        <v>2</v>
      </c>
      <c r="V167" s="33">
        <f t="shared" si="11"/>
        <v>1</v>
      </c>
      <c r="W167" s="33">
        <f t="shared" si="12"/>
        <v>0</v>
      </c>
      <c r="X167" s="33">
        <f t="shared" si="13"/>
        <v>0</v>
      </c>
      <c r="Y167" s="33">
        <f ca="1">SUMPRODUCT((I167:INDEX(I167:T167,MONTH(TODAY()))="X")*1)</f>
        <v>0</v>
      </c>
      <c r="Z167" s="39">
        <f t="shared" si="14"/>
        <v>0.5</v>
      </c>
    </row>
    <row r="168" spans="1:26" x14ac:dyDescent="0.25">
      <c r="A168" s="37" t="str">
        <f>Equipos!C166</f>
        <v>2-118843</v>
      </c>
      <c r="B168" s="33" t="str">
        <f>Equipos!D166</f>
        <v>Máquina de Anestesia</v>
      </c>
      <c r="C168" s="33" t="str">
        <f>Equipos!E166</f>
        <v>Pabellón Quirúrgico</v>
      </c>
      <c r="D168" s="33" t="str">
        <f>Equipos!G166</f>
        <v xml:space="preserve">Pabellón 3 </v>
      </c>
      <c r="E168" s="33" t="str">
        <f>Equipos!I166</f>
        <v>Drager</v>
      </c>
      <c r="F168" s="33" t="str">
        <f>Equipos!J166</f>
        <v>Primus</v>
      </c>
      <c r="G168" s="37" t="str">
        <f>Equipos!K166</f>
        <v>ASMK-0179</v>
      </c>
      <c r="H168" s="33"/>
      <c r="I168" s="38"/>
      <c r="J168" s="38"/>
      <c r="K168" s="50" t="s">
        <v>276</v>
      </c>
      <c r="L168" s="50" t="s">
        <v>275</v>
      </c>
      <c r="M168" s="38"/>
      <c r="N168" s="38"/>
      <c r="O168" s="38"/>
      <c r="P168" s="38"/>
      <c r="Q168" s="38"/>
      <c r="R168" s="38"/>
      <c r="S168" s="38"/>
      <c r="T168" s="38"/>
      <c r="U168" s="33">
        <f t="shared" si="10"/>
        <v>2</v>
      </c>
      <c r="V168" s="33">
        <f t="shared" si="11"/>
        <v>1</v>
      </c>
      <c r="W168" s="33">
        <f t="shared" si="12"/>
        <v>0</v>
      </c>
      <c r="X168" s="33">
        <f t="shared" si="13"/>
        <v>0</v>
      </c>
      <c r="Y168" s="33">
        <f ca="1">SUMPRODUCT((I168:INDEX(I168:T168,MONTH(TODAY()))="X")*1)</f>
        <v>0</v>
      </c>
      <c r="Z168" s="39">
        <f t="shared" si="14"/>
        <v>0.5</v>
      </c>
    </row>
    <row r="169" spans="1:26" x14ac:dyDescent="0.25">
      <c r="A169" s="37" t="str">
        <f>Equipos!C167</f>
        <v>2-118847</v>
      </c>
      <c r="B169" s="33" t="str">
        <f>Equipos!D167</f>
        <v>Máquina de Anestesia</v>
      </c>
      <c r="C169" s="33" t="str">
        <f>Equipos!E167</f>
        <v>Pabellón Quirúrgico (Prestado a Imagenología)</v>
      </c>
      <c r="D169" s="33" t="str">
        <f>Equipos!G167</f>
        <v>Resonador</v>
      </c>
      <c r="E169" s="33" t="str">
        <f>Equipos!I167</f>
        <v>Drager</v>
      </c>
      <c r="F169" s="33" t="str">
        <f>Equipos!J167</f>
        <v>Fabius MRI</v>
      </c>
      <c r="G169" s="37" t="str">
        <f>Equipos!K167</f>
        <v>ASML-0015</v>
      </c>
      <c r="H169" s="33"/>
      <c r="I169" s="38"/>
      <c r="J169" s="38"/>
      <c r="K169" s="50" t="s">
        <v>276</v>
      </c>
      <c r="L169" s="50" t="s">
        <v>275</v>
      </c>
      <c r="M169" s="38"/>
      <c r="N169" s="38"/>
      <c r="O169" s="38"/>
      <c r="P169" s="38"/>
      <c r="Q169" s="38"/>
      <c r="R169" s="38"/>
      <c r="S169" s="38"/>
      <c r="T169" s="38"/>
      <c r="U169" s="33">
        <f t="shared" si="10"/>
        <v>2</v>
      </c>
      <c r="V169" s="33">
        <f t="shared" si="11"/>
        <v>1</v>
      </c>
      <c r="W169" s="33">
        <f t="shared" si="12"/>
        <v>0</v>
      </c>
      <c r="X169" s="33">
        <f t="shared" si="13"/>
        <v>0</v>
      </c>
      <c r="Y169" s="33">
        <f ca="1">SUMPRODUCT((I169:INDEX(I169:T169,MONTH(TODAY()))="X")*1)</f>
        <v>0</v>
      </c>
      <c r="Z169" s="39">
        <f t="shared" si="14"/>
        <v>0.5</v>
      </c>
    </row>
    <row r="170" spans="1:26" x14ac:dyDescent="0.25">
      <c r="A170" s="37" t="str">
        <f>Equipos!C168</f>
        <v>2-003535</v>
      </c>
      <c r="B170" s="33" t="str">
        <f>Equipos!D168</f>
        <v xml:space="preserve">Ventilador Mecánico </v>
      </c>
      <c r="C170" s="33" t="str">
        <f>Equipos!E168</f>
        <v>UPC Adulto</v>
      </c>
      <c r="D170" s="33" t="str">
        <f>Equipos!G168</f>
        <v>UPC-P2-SA07</v>
      </c>
      <c r="E170" s="33" t="str">
        <f>Equipos!I168</f>
        <v>Puritan Bennett</v>
      </c>
      <c r="F170" s="33" t="str">
        <f>Equipos!J168</f>
        <v>840/Sin Comp.</v>
      </c>
      <c r="G170" s="37" t="str">
        <f>Equipos!K168</f>
        <v>3510094199</v>
      </c>
      <c r="H170" s="33"/>
      <c r="I170" s="38"/>
      <c r="J170" s="38"/>
      <c r="K170" s="50" t="s">
        <v>276</v>
      </c>
      <c r="L170" s="50" t="s">
        <v>275</v>
      </c>
      <c r="M170" s="38"/>
      <c r="N170" s="38"/>
      <c r="O170" s="38"/>
      <c r="P170" s="38"/>
      <c r="Q170" s="38"/>
      <c r="R170" s="38"/>
      <c r="S170" s="38"/>
      <c r="T170" s="38"/>
      <c r="U170" s="33">
        <f t="shared" si="10"/>
        <v>2</v>
      </c>
      <c r="V170" s="33">
        <f t="shared" si="11"/>
        <v>1</v>
      </c>
      <c r="W170" s="33">
        <f t="shared" si="12"/>
        <v>0</v>
      </c>
      <c r="X170" s="33">
        <f t="shared" si="13"/>
        <v>0</v>
      </c>
      <c r="Y170" s="33">
        <f ca="1">SUMPRODUCT((I170:INDEX(I170:T170,MONTH(TODAY()))="X")*1)</f>
        <v>0</v>
      </c>
      <c r="Z170" s="39">
        <f t="shared" si="14"/>
        <v>0.5</v>
      </c>
    </row>
    <row r="171" spans="1:26" x14ac:dyDescent="0.25">
      <c r="A171" s="37" t="str">
        <f>Equipos!C169</f>
        <v>2-121199</v>
      </c>
      <c r="B171" s="33" t="str">
        <f>Equipos!D169</f>
        <v xml:space="preserve">Ventilador Mecánico </v>
      </c>
      <c r="C171" s="33" t="str">
        <f>Equipos!E169</f>
        <v>UPC Adulto</v>
      </c>
      <c r="D171" s="33">
        <f>Equipos!G169</f>
        <v>0</v>
      </c>
      <c r="E171" s="33" t="str">
        <f>Equipos!I169</f>
        <v>MEK ICS</v>
      </c>
      <c r="F171" s="33" t="str">
        <f>Equipos!J169</f>
        <v>MTV1000</v>
      </c>
      <c r="G171" s="37" t="str">
        <f>Equipos!K169</f>
        <v>MTV1KUA1C0139</v>
      </c>
      <c r="H171" s="33"/>
      <c r="I171" s="38"/>
      <c r="J171" s="38"/>
      <c r="K171" s="38"/>
      <c r="L171" s="50" t="s">
        <v>275</v>
      </c>
      <c r="M171" s="38"/>
      <c r="N171" s="38"/>
      <c r="O171" s="38"/>
      <c r="P171" s="38"/>
      <c r="Q171" s="38"/>
      <c r="R171" s="38"/>
      <c r="S171" s="38"/>
      <c r="T171" s="38"/>
      <c r="U171" s="33">
        <f t="shared" si="10"/>
        <v>1</v>
      </c>
      <c r="V171" s="33">
        <f t="shared" si="11"/>
        <v>1</v>
      </c>
      <c r="W171" s="33">
        <f t="shared" si="12"/>
        <v>0</v>
      </c>
      <c r="X171" s="33">
        <f t="shared" si="13"/>
        <v>0</v>
      </c>
      <c r="Y171" s="33">
        <f ca="1">SUMPRODUCT((I171:INDEX(I171:T171,MONTH(TODAY()))="X")*1)</f>
        <v>0</v>
      </c>
      <c r="Z171" s="39">
        <f t="shared" si="14"/>
        <v>1</v>
      </c>
    </row>
    <row r="172" spans="1:26" x14ac:dyDescent="0.25">
      <c r="A172" s="37" t="str">
        <f>Equipos!C170</f>
        <v>200717-011500</v>
      </c>
      <c r="B172" s="33" t="str">
        <f>Equipos!D170</f>
        <v xml:space="preserve">Ventilador Mecánico </v>
      </c>
      <c r="C172" s="33" t="str">
        <f>Equipos!E170</f>
        <v>UPC Adulto</v>
      </c>
      <c r="D172" s="33">
        <f>Equipos!G170</f>
        <v>0</v>
      </c>
      <c r="E172" s="33" t="str">
        <f>Equipos!I170</f>
        <v>Drager</v>
      </c>
      <c r="F172" s="33" t="str">
        <f>Equipos!J170</f>
        <v>Savina 300 Classic</v>
      </c>
      <c r="G172" s="37" t="str">
        <f>Equipos!K170</f>
        <v>ASSM-0041</v>
      </c>
      <c r="H172" s="33"/>
      <c r="I172" s="38"/>
      <c r="J172" s="50" t="s">
        <v>275</v>
      </c>
      <c r="K172" s="38"/>
      <c r="L172" s="50" t="s">
        <v>275</v>
      </c>
      <c r="M172" s="38"/>
      <c r="N172" s="38"/>
      <c r="O172" s="38"/>
      <c r="P172" s="38"/>
      <c r="Q172" s="38"/>
      <c r="R172" s="38"/>
      <c r="S172" s="38"/>
      <c r="T172" s="38"/>
      <c r="U172" s="33">
        <f t="shared" si="10"/>
        <v>2</v>
      </c>
      <c r="V172" s="33">
        <f t="shared" si="11"/>
        <v>2</v>
      </c>
      <c r="W172" s="33">
        <f t="shared" si="12"/>
        <v>0</v>
      </c>
      <c r="X172" s="33">
        <f t="shared" si="13"/>
        <v>0</v>
      </c>
      <c r="Y172" s="33">
        <f ca="1">SUMPRODUCT((I172:INDEX(I172:T172,MONTH(TODAY()))="X")*1)</f>
        <v>0</v>
      </c>
      <c r="Z172" s="39">
        <f t="shared" si="14"/>
        <v>1</v>
      </c>
    </row>
    <row r="173" spans="1:26" x14ac:dyDescent="0.25">
      <c r="A173" s="37" t="str">
        <f>Equipos!C171</f>
        <v>2-013579</v>
      </c>
      <c r="B173" s="33" t="str">
        <f>Equipos!D171</f>
        <v xml:space="preserve">Ventilador Mecánico </v>
      </c>
      <c r="C173" s="33" t="str">
        <f>Equipos!E171</f>
        <v>UPC Adulto</v>
      </c>
      <c r="D173" s="33" t="str">
        <f>Equipos!G171</f>
        <v>UPC-P2-SA19</v>
      </c>
      <c r="E173" s="33" t="str">
        <f>Equipos!I171</f>
        <v>Puritan Bennett</v>
      </c>
      <c r="F173" s="33" t="str">
        <f>Equipos!J171</f>
        <v>840</v>
      </c>
      <c r="G173" s="37" t="str">
        <f>Equipos!K171</f>
        <v>3510094181</v>
      </c>
      <c r="H173" s="33"/>
      <c r="I173" s="38"/>
      <c r="J173" s="38"/>
      <c r="K173" s="50" t="s">
        <v>276</v>
      </c>
      <c r="L173" s="50" t="s">
        <v>275</v>
      </c>
      <c r="M173" s="38"/>
      <c r="N173" s="38"/>
      <c r="O173" s="38"/>
      <c r="P173" s="38"/>
      <c r="Q173" s="38"/>
      <c r="R173" s="38"/>
      <c r="S173" s="38"/>
      <c r="T173" s="38"/>
      <c r="U173" s="33">
        <f t="shared" si="10"/>
        <v>2</v>
      </c>
      <c r="V173" s="33">
        <f t="shared" si="11"/>
        <v>1</v>
      </c>
      <c r="W173" s="33">
        <f t="shared" si="12"/>
        <v>0</v>
      </c>
      <c r="X173" s="33">
        <f t="shared" si="13"/>
        <v>0</v>
      </c>
      <c r="Y173" s="33">
        <f ca="1">SUMPRODUCT((I173:INDEX(I173:T173,MONTH(TODAY()))="X")*1)</f>
        <v>0</v>
      </c>
      <c r="Z173" s="39">
        <f t="shared" si="14"/>
        <v>0.5</v>
      </c>
    </row>
    <row r="174" spans="1:26" x14ac:dyDescent="0.25">
      <c r="A174" s="37" t="str">
        <f>Equipos!C172</f>
        <v>2-112306</v>
      </c>
      <c r="B174" s="33" t="str">
        <f>Equipos!D172</f>
        <v xml:space="preserve">Ventilador Mecánico </v>
      </c>
      <c r="C174" s="33" t="str">
        <f>Equipos!E172</f>
        <v>UPC Adulto</v>
      </c>
      <c r="D174" s="33" t="str">
        <f>Equipos!G172</f>
        <v>UPC-P2-SA19</v>
      </c>
      <c r="E174" s="33" t="str">
        <f>Equipos!I172</f>
        <v>Puritan Bennett</v>
      </c>
      <c r="F174" s="33" t="str">
        <f>Equipos!J172</f>
        <v>840/Sin Comp.</v>
      </c>
      <c r="G174" s="37" t="str">
        <f>Equipos!K172</f>
        <v>3510094192</v>
      </c>
      <c r="H174" s="33"/>
      <c r="I174" s="38"/>
      <c r="J174" s="38"/>
      <c r="K174" s="50" t="s">
        <v>276</v>
      </c>
      <c r="L174" s="50" t="s">
        <v>275</v>
      </c>
      <c r="M174" s="38"/>
      <c r="N174" s="38"/>
      <c r="O174" s="38"/>
      <c r="P174" s="38"/>
      <c r="Q174" s="38"/>
      <c r="R174" s="38"/>
      <c r="S174" s="38"/>
      <c r="T174" s="38"/>
      <c r="U174" s="33">
        <f t="shared" si="10"/>
        <v>2</v>
      </c>
      <c r="V174" s="33">
        <f t="shared" si="11"/>
        <v>1</v>
      </c>
      <c r="W174" s="33">
        <f t="shared" si="12"/>
        <v>0</v>
      </c>
      <c r="X174" s="33">
        <f t="shared" si="13"/>
        <v>0</v>
      </c>
      <c r="Y174" s="33">
        <f ca="1">SUMPRODUCT((I174:INDEX(I174:T174,MONTH(TODAY()))="X")*1)</f>
        <v>0</v>
      </c>
      <c r="Z174" s="39">
        <f t="shared" si="14"/>
        <v>0.5</v>
      </c>
    </row>
    <row r="175" spans="1:26" x14ac:dyDescent="0.25">
      <c r="A175" s="37" t="str">
        <f>Equipos!C173</f>
        <v>2-121782</v>
      </c>
      <c r="B175" s="33" t="str">
        <f>Equipos!D173</f>
        <v xml:space="preserve">Ventilador Mecánico </v>
      </c>
      <c r="C175" s="33" t="str">
        <f>Equipos!E173</f>
        <v>UPC Cardiovascular</v>
      </c>
      <c r="D175" s="33">
        <f>Equipos!G173</f>
        <v>0</v>
      </c>
      <c r="E175" s="33" t="str">
        <f>Equipos!I173</f>
        <v>Puritan Bennett</v>
      </c>
      <c r="F175" s="33" t="str">
        <f>Equipos!J173</f>
        <v>980/cc</v>
      </c>
      <c r="G175" s="37" t="str">
        <f>Equipos!K173</f>
        <v>35B2101536</v>
      </c>
      <c r="H175" s="33"/>
      <c r="I175" s="38"/>
      <c r="J175" s="38"/>
      <c r="K175" s="50" t="s">
        <v>276</v>
      </c>
      <c r="L175" s="50" t="s">
        <v>275</v>
      </c>
      <c r="M175" s="38"/>
      <c r="N175" s="38"/>
      <c r="O175" s="38"/>
      <c r="P175" s="38"/>
      <c r="Q175" s="38"/>
      <c r="R175" s="38"/>
      <c r="S175" s="38"/>
      <c r="T175" s="38"/>
      <c r="U175" s="33">
        <f t="shared" si="10"/>
        <v>2</v>
      </c>
      <c r="V175" s="33">
        <f t="shared" si="11"/>
        <v>1</v>
      </c>
      <c r="W175" s="33">
        <f t="shared" si="12"/>
        <v>0</v>
      </c>
      <c r="X175" s="33">
        <f t="shared" si="13"/>
        <v>0</v>
      </c>
      <c r="Y175" s="33">
        <f ca="1">SUMPRODUCT((I175:INDEX(I175:T175,MONTH(TODAY()))="X")*1)</f>
        <v>0</v>
      </c>
      <c r="Z175" s="39">
        <f t="shared" si="14"/>
        <v>0.5</v>
      </c>
    </row>
    <row r="176" spans="1:26" x14ac:dyDescent="0.25">
      <c r="A176" s="37" t="str">
        <f>Equipos!C174</f>
        <v>2-121200</v>
      </c>
      <c r="B176" s="33" t="str">
        <f>Equipos!D174</f>
        <v xml:space="preserve">Ventilador Mecánico </v>
      </c>
      <c r="C176" s="33" t="str">
        <f>Equipos!E174</f>
        <v>UPC Cardiovascular</v>
      </c>
      <c r="D176" s="33">
        <f>Equipos!G174</f>
        <v>0</v>
      </c>
      <c r="E176" s="33" t="str">
        <f>Equipos!I174</f>
        <v>MEK ICS</v>
      </c>
      <c r="F176" s="33" t="str">
        <f>Equipos!J174</f>
        <v>MTV1000</v>
      </c>
      <c r="G176" s="37" t="str">
        <f>Equipos!K174</f>
        <v>MTV1KUA1B0123</v>
      </c>
      <c r="H176" s="33"/>
      <c r="I176" s="38"/>
      <c r="J176" s="38"/>
      <c r="K176" s="38"/>
      <c r="L176" s="50" t="s">
        <v>275</v>
      </c>
      <c r="M176" s="38"/>
      <c r="N176" s="38"/>
      <c r="O176" s="38"/>
      <c r="P176" s="38"/>
      <c r="Q176" s="38"/>
      <c r="R176" s="38"/>
      <c r="S176" s="38"/>
      <c r="T176" s="38"/>
      <c r="U176" s="33">
        <f t="shared" si="10"/>
        <v>1</v>
      </c>
      <c r="V176" s="33">
        <f t="shared" si="11"/>
        <v>1</v>
      </c>
      <c r="W176" s="33">
        <f t="shared" si="12"/>
        <v>0</v>
      </c>
      <c r="X176" s="33">
        <f t="shared" si="13"/>
        <v>0</v>
      </c>
      <c r="Y176" s="33">
        <f ca="1">SUMPRODUCT((I176:INDEX(I176:T176,MONTH(TODAY()))="X")*1)</f>
        <v>0</v>
      </c>
      <c r="Z176" s="39">
        <f t="shared" si="14"/>
        <v>1</v>
      </c>
    </row>
    <row r="177" spans="1:26" x14ac:dyDescent="0.25">
      <c r="A177" s="37" t="str">
        <f>Equipos!C175</f>
        <v>2-121783</v>
      </c>
      <c r="B177" s="33" t="str">
        <f>Equipos!D175</f>
        <v xml:space="preserve">Ventilador Mecánico </v>
      </c>
      <c r="C177" s="33" t="str">
        <f>Equipos!E175</f>
        <v>UPC Cardiovascular</v>
      </c>
      <c r="D177" s="33">
        <f>Equipos!G175</f>
        <v>0</v>
      </c>
      <c r="E177" s="33" t="str">
        <f>Equipos!I175</f>
        <v>Puritan Bennett</v>
      </c>
      <c r="F177" s="33" t="str">
        <f>Equipos!J175</f>
        <v>980/cc</v>
      </c>
      <c r="G177" s="37" t="str">
        <f>Equipos!K175</f>
        <v>35B2101595</v>
      </c>
      <c r="H177" s="33"/>
      <c r="I177" s="38"/>
      <c r="J177" s="38"/>
      <c r="K177" s="50" t="s">
        <v>276</v>
      </c>
      <c r="L177" s="50" t="s">
        <v>275</v>
      </c>
      <c r="M177" s="38"/>
      <c r="N177" s="38"/>
      <c r="O177" s="38"/>
      <c r="P177" s="38"/>
      <c r="Q177" s="38"/>
      <c r="R177" s="38"/>
      <c r="S177" s="38"/>
      <c r="T177" s="38"/>
      <c r="U177" s="33">
        <f t="shared" si="10"/>
        <v>2</v>
      </c>
      <c r="V177" s="33">
        <f t="shared" si="11"/>
        <v>1</v>
      </c>
      <c r="W177" s="33">
        <f t="shared" si="12"/>
        <v>0</v>
      </c>
      <c r="X177" s="33">
        <f t="shared" si="13"/>
        <v>0</v>
      </c>
      <c r="Y177" s="33">
        <f ca="1">SUMPRODUCT((I177:INDEX(I177:T177,MONTH(TODAY()))="X")*1)</f>
        <v>0</v>
      </c>
      <c r="Z177" s="39">
        <f t="shared" si="14"/>
        <v>0.5</v>
      </c>
    </row>
    <row r="178" spans="1:26" x14ac:dyDescent="0.25">
      <c r="A178" s="37" t="str">
        <f>Equipos!C176</f>
        <v>121010-005326</v>
      </c>
      <c r="B178" s="33" t="str">
        <f>Equipos!D176</f>
        <v xml:space="preserve">Ventilador Mecánico </v>
      </c>
      <c r="C178" s="33" t="str">
        <f>Equipos!E176</f>
        <v>UPC Adulto</v>
      </c>
      <c r="D178" s="33">
        <f>Equipos!G176</f>
        <v>0</v>
      </c>
      <c r="E178" s="33" t="str">
        <f>Equipos!I176</f>
        <v>Flight Medical</v>
      </c>
      <c r="F178" s="33" t="str">
        <f>Equipos!J176</f>
        <v>Flight 60</v>
      </c>
      <c r="G178" s="37" t="str">
        <f>Equipos!K176</f>
        <v>16124260</v>
      </c>
      <c r="H178" s="33"/>
      <c r="I178" s="50" t="s">
        <v>275</v>
      </c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3">
        <f t="shared" si="10"/>
        <v>1</v>
      </c>
      <c r="V178" s="33">
        <f t="shared" si="11"/>
        <v>1</v>
      </c>
      <c r="W178" s="33">
        <f t="shared" si="12"/>
        <v>0</v>
      </c>
      <c r="X178" s="33">
        <f t="shared" si="13"/>
        <v>0</v>
      </c>
      <c r="Y178" s="33">
        <f ca="1">SUMPRODUCT((I178:INDEX(I178:T178,MONTH(TODAY()))="X")*1)</f>
        <v>0</v>
      </c>
      <c r="Z178" s="39">
        <f t="shared" si="14"/>
        <v>1</v>
      </c>
    </row>
    <row r="179" spans="1:26" x14ac:dyDescent="0.25">
      <c r="A179" s="37" t="str">
        <f>Equipos!C177</f>
        <v>2-121784</v>
      </c>
      <c r="B179" s="33" t="str">
        <f>Equipos!D177</f>
        <v xml:space="preserve">Ventilador Mecánico </v>
      </c>
      <c r="C179" s="33" t="str">
        <f>Equipos!E177</f>
        <v>UPC Cardiovascular</v>
      </c>
      <c r="D179" s="33">
        <f>Equipos!G177</f>
        <v>0</v>
      </c>
      <c r="E179" s="33" t="str">
        <f>Equipos!I177</f>
        <v>Puritan Bennett</v>
      </c>
      <c r="F179" s="33" t="str">
        <f>Equipos!J177</f>
        <v>980/cc</v>
      </c>
      <c r="G179" s="37" t="str">
        <f>Equipos!K177</f>
        <v>35B2101546</v>
      </c>
      <c r="H179" s="33"/>
      <c r="I179" s="38"/>
      <c r="J179" s="38"/>
      <c r="K179" s="50" t="s">
        <v>276</v>
      </c>
      <c r="L179" s="50" t="s">
        <v>275</v>
      </c>
      <c r="M179" s="38"/>
      <c r="N179" s="38"/>
      <c r="O179" s="38"/>
      <c r="P179" s="38"/>
      <c r="Q179" s="38"/>
      <c r="R179" s="38"/>
      <c r="S179" s="38"/>
      <c r="T179" s="38"/>
      <c r="U179" s="33">
        <f t="shared" si="10"/>
        <v>2</v>
      </c>
      <c r="V179" s="33">
        <f t="shared" si="11"/>
        <v>1</v>
      </c>
      <c r="W179" s="33">
        <f t="shared" si="12"/>
        <v>0</v>
      </c>
      <c r="X179" s="33">
        <f t="shared" si="13"/>
        <v>0</v>
      </c>
      <c r="Y179" s="33">
        <f ca="1">SUMPRODUCT((I179:INDEX(I179:T179,MONTH(TODAY()))="X")*1)</f>
        <v>0</v>
      </c>
      <c r="Z179" s="39">
        <f t="shared" si="14"/>
        <v>0.5</v>
      </c>
    </row>
    <row r="180" spans="1:26" x14ac:dyDescent="0.25">
      <c r="A180" s="37" t="str">
        <f>Equipos!C178</f>
        <v>972-006742</v>
      </c>
      <c r="B180" s="33" t="str">
        <f>Equipos!D178</f>
        <v xml:space="preserve">Ventilador Mecánico </v>
      </c>
      <c r="C180" s="33" t="str">
        <f>Equipos!E178</f>
        <v>UPC Cardiovascular</v>
      </c>
      <c r="D180" s="33">
        <f>Equipos!G178</f>
        <v>0</v>
      </c>
      <c r="E180" s="33" t="str">
        <f>Equipos!I178</f>
        <v>Puritan Bennett</v>
      </c>
      <c r="F180" s="33" t="str">
        <f>Equipos!J178</f>
        <v>980</v>
      </c>
      <c r="G180" s="37" t="str">
        <f>Equipos!K178</f>
        <v>35B2004446</v>
      </c>
      <c r="H180" s="33"/>
      <c r="I180" s="50" t="s">
        <v>275</v>
      </c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3">
        <f t="shared" si="10"/>
        <v>1</v>
      </c>
      <c r="V180" s="33">
        <f t="shared" si="11"/>
        <v>1</v>
      </c>
      <c r="W180" s="33">
        <f t="shared" si="12"/>
        <v>0</v>
      </c>
      <c r="X180" s="33">
        <f t="shared" si="13"/>
        <v>0</v>
      </c>
      <c r="Y180" s="33">
        <f ca="1">SUMPRODUCT((I180:INDEX(I180:T180,MONTH(TODAY()))="X")*1)</f>
        <v>0</v>
      </c>
      <c r="Z180" s="39">
        <f t="shared" si="14"/>
        <v>1</v>
      </c>
    </row>
    <row r="181" spans="1:26" x14ac:dyDescent="0.25">
      <c r="A181" s="37">
        <f>Equipos!C179</f>
        <v>0</v>
      </c>
      <c r="B181" s="33" t="str">
        <f>Equipos!D179</f>
        <v xml:space="preserve">Ventilador Mecánico </v>
      </c>
      <c r="C181" s="33">
        <f>Equipos!E179</f>
        <v>0</v>
      </c>
      <c r="D181" s="33">
        <f>Equipos!G179</f>
        <v>0</v>
      </c>
      <c r="E181" s="33">
        <f>Equipos!I179</f>
        <v>0</v>
      </c>
      <c r="F181" s="33">
        <f>Equipos!J179</f>
        <v>0</v>
      </c>
      <c r="G181" s="37">
        <f>Equipos!K179</f>
        <v>0</v>
      </c>
      <c r="H181" s="33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3">
        <f t="shared" si="10"/>
        <v>0</v>
      </c>
      <c r="V181" s="33">
        <f t="shared" si="11"/>
        <v>0</v>
      </c>
      <c r="W181" s="33">
        <f t="shared" si="12"/>
        <v>0</v>
      </c>
      <c r="X181" s="33">
        <f t="shared" si="13"/>
        <v>0</v>
      </c>
      <c r="Y181" s="33">
        <f ca="1">SUMPRODUCT((I181:INDEX(I181:T181,MONTH(TODAY()))="X")*1)</f>
        <v>0</v>
      </c>
      <c r="Z181" s="39" t="str">
        <f t="shared" si="14"/>
        <v/>
      </c>
    </row>
    <row r="182" spans="1:26" x14ac:dyDescent="0.25">
      <c r="A182" s="37">
        <f>Equipos!C180</f>
        <v>0</v>
      </c>
      <c r="B182" s="33" t="str">
        <f>Equipos!D180</f>
        <v xml:space="preserve">Ventilador Mecánico </v>
      </c>
      <c r="C182" s="33">
        <f>Equipos!E180</f>
        <v>0</v>
      </c>
      <c r="D182" s="33">
        <f>Equipos!G180</f>
        <v>0</v>
      </c>
      <c r="E182" s="33">
        <f>Equipos!I180</f>
        <v>0</v>
      </c>
      <c r="F182" s="33">
        <f>Equipos!J180</f>
        <v>0</v>
      </c>
      <c r="G182" s="37">
        <f>Equipos!K180</f>
        <v>0</v>
      </c>
      <c r="H182" s="33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3">
        <f t="shared" si="10"/>
        <v>0</v>
      </c>
      <c r="V182" s="33">
        <f t="shared" si="11"/>
        <v>0</v>
      </c>
      <c r="W182" s="33">
        <f t="shared" si="12"/>
        <v>0</v>
      </c>
      <c r="X182" s="33">
        <f t="shared" si="13"/>
        <v>0</v>
      </c>
      <c r="Y182" s="33">
        <f ca="1">SUMPRODUCT((I182:INDEX(I182:T182,MONTH(TODAY()))="X")*1)</f>
        <v>0</v>
      </c>
      <c r="Z182" s="39" t="str">
        <f t="shared" si="14"/>
        <v/>
      </c>
    </row>
    <row r="183" spans="1:26" x14ac:dyDescent="0.25">
      <c r="A183" s="37">
        <f>Equipos!C181</f>
        <v>0</v>
      </c>
      <c r="B183" s="33" t="str">
        <f>Equipos!D181</f>
        <v xml:space="preserve">Ventilador Mecánico </v>
      </c>
      <c r="C183" s="33">
        <f>Equipos!E181</f>
        <v>0</v>
      </c>
      <c r="D183" s="33">
        <f>Equipos!G181</f>
        <v>0</v>
      </c>
      <c r="E183" s="33">
        <f>Equipos!I181</f>
        <v>0</v>
      </c>
      <c r="F183" s="33">
        <f>Equipos!J181</f>
        <v>0</v>
      </c>
      <c r="G183" s="37">
        <f>Equipos!K181</f>
        <v>0</v>
      </c>
      <c r="H183" s="33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3">
        <f t="shared" si="10"/>
        <v>0</v>
      </c>
      <c r="V183" s="33">
        <f t="shared" si="11"/>
        <v>0</v>
      </c>
      <c r="W183" s="33">
        <f t="shared" si="12"/>
        <v>0</v>
      </c>
      <c r="X183" s="33">
        <f t="shared" si="13"/>
        <v>0</v>
      </c>
      <c r="Y183" s="33">
        <f ca="1">SUMPRODUCT((I183:INDEX(I183:T183,MONTH(TODAY()))="X")*1)</f>
        <v>0</v>
      </c>
      <c r="Z183" s="39" t="str">
        <f t="shared" si="14"/>
        <v/>
      </c>
    </row>
    <row r="184" spans="1:26" x14ac:dyDescent="0.25">
      <c r="A184" s="37">
        <f>Equipos!C182</f>
        <v>0</v>
      </c>
      <c r="B184" s="33" t="str">
        <f>Equipos!D182</f>
        <v xml:space="preserve">Ventilador Mecánico </v>
      </c>
      <c r="C184" s="33">
        <f>Equipos!E182</f>
        <v>0</v>
      </c>
      <c r="D184" s="33">
        <f>Equipos!G182</f>
        <v>0</v>
      </c>
      <c r="E184" s="33">
        <f>Equipos!I182</f>
        <v>0</v>
      </c>
      <c r="F184" s="33">
        <f>Equipos!J182</f>
        <v>0</v>
      </c>
      <c r="G184" s="37">
        <f>Equipos!K182</f>
        <v>0</v>
      </c>
      <c r="H184" s="33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3">
        <f t="shared" si="10"/>
        <v>0</v>
      </c>
      <c r="V184" s="33">
        <f t="shared" si="11"/>
        <v>0</v>
      </c>
      <c r="W184" s="33">
        <f t="shared" si="12"/>
        <v>0</v>
      </c>
      <c r="X184" s="33">
        <f t="shared" si="13"/>
        <v>0</v>
      </c>
      <c r="Y184" s="33">
        <f ca="1">SUMPRODUCT((I184:INDEX(I184:T184,MONTH(TODAY()))="X")*1)</f>
        <v>0</v>
      </c>
      <c r="Z184" s="39" t="str">
        <f t="shared" si="14"/>
        <v/>
      </c>
    </row>
    <row r="185" spans="1:26" x14ac:dyDescent="0.25">
      <c r="A185" s="37" t="str">
        <f>Equipos!C183</f>
        <v>2-003526</v>
      </c>
      <c r="B185" s="33" t="str">
        <f>Equipos!D183</f>
        <v xml:space="preserve">Ventilador Mecánico </v>
      </c>
      <c r="C185" s="33" t="str">
        <f>Equipos!E183</f>
        <v>UPC Adulto</v>
      </c>
      <c r="D185" s="33" t="str">
        <f>Equipos!G183</f>
        <v>UPC-P2-SA08</v>
      </c>
      <c r="E185" s="33" t="str">
        <f>Equipos!I183</f>
        <v xml:space="preserve">Drager </v>
      </c>
      <c r="F185" s="33" t="str">
        <f>Equipos!J183</f>
        <v>Oxylog 3000</v>
      </c>
      <c r="G185" s="37" t="str">
        <f>Equipos!K183</f>
        <v>ASCL-0116</v>
      </c>
      <c r="H185" s="33"/>
      <c r="I185" s="38"/>
      <c r="J185" s="38"/>
      <c r="K185" s="38"/>
      <c r="L185" s="50" t="s">
        <v>276</v>
      </c>
      <c r="M185" s="50" t="s">
        <v>275</v>
      </c>
      <c r="N185" s="38"/>
      <c r="O185" s="38"/>
      <c r="P185" s="38"/>
      <c r="Q185" s="38"/>
      <c r="R185" s="38"/>
      <c r="S185" s="38"/>
      <c r="T185" s="38"/>
      <c r="U185" s="33">
        <f t="shared" si="10"/>
        <v>2</v>
      </c>
      <c r="V185" s="33">
        <f t="shared" si="11"/>
        <v>1</v>
      </c>
      <c r="W185" s="33">
        <f t="shared" si="12"/>
        <v>0</v>
      </c>
      <c r="X185" s="33">
        <f t="shared" si="13"/>
        <v>0</v>
      </c>
      <c r="Y185" s="33">
        <f ca="1">SUMPRODUCT((I185:INDEX(I185:T185,MONTH(TODAY()))="X")*1)</f>
        <v>0</v>
      </c>
      <c r="Z185" s="39">
        <f t="shared" si="14"/>
        <v>0.5</v>
      </c>
    </row>
    <row r="186" spans="1:26" x14ac:dyDescent="0.25">
      <c r="A186" s="37" t="str">
        <f>Equipos!C184</f>
        <v>2-116302</v>
      </c>
      <c r="B186" s="33" t="str">
        <f>Equipos!D184</f>
        <v xml:space="preserve">Ventilador Mecánico </v>
      </c>
      <c r="C186" s="33" t="str">
        <f>Equipos!E184</f>
        <v>UPC Pediátrica</v>
      </c>
      <c r="D186" s="33" t="str">
        <f>Equipos!G184</f>
        <v>Sala de equipos</v>
      </c>
      <c r="E186" s="33" t="str">
        <f>Equipos!I184</f>
        <v>Drager</v>
      </c>
      <c r="F186" s="33" t="str">
        <f>Equipos!J184</f>
        <v>Evita V300</v>
      </c>
      <c r="G186" s="37" t="str">
        <f>Equipos!K184</f>
        <v>ASJA-0097</v>
      </c>
      <c r="H186" s="33"/>
      <c r="I186" s="38"/>
      <c r="J186" s="38"/>
      <c r="K186" s="38"/>
      <c r="L186" s="38"/>
      <c r="M186" s="50" t="s">
        <v>275</v>
      </c>
      <c r="N186" s="38"/>
      <c r="O186" s="38"/>
      <c r="P186" s="38"/>
      <c r="Q186" s="38"/>
      <c r="R186" s="38"/>
      <c r="S186" s="38"/>
      <c r="T186" s="38"/>
      <c r="U186" s="33">
        <f t="shared" si="10"/>
        <v>1</v>
      </c>
      <c r="V186" s="33">
        <f t="shared" si="11"/>
        <v>1</v>
      </c>
      <c r="W186" s="33">
        <f t="shared" si="12"/>
        <v>0</v>
      </c>
      <c r="X186" s="33">
        <f t="shared" si="13"/>
        <v>0</v>
      </c>
      <c r="Y186" s="33">
        <f ca="1">SUMPRODUCT((I186:INDEX(I186:T186,MONTH(TODAY()))="X")*1)</f>
        <v>0</v>
      </c>
      <c r="Z186" s="39">
        <f t="shared" si="14"/>
        <v>1</v>
      </c>
    </row>
    <row r="187" spans="1:26" x14ac:dyDescent="0.25">
      <c r="A187" s="37">
        <f>Equipos!C185</f>
        <v>0</v>
      </c>
      <c r="B187" s="33" t="str">
        <f>Equipos!D185</f>
        <v xml:space="preserve">Ventilador Mecánico </v>
      </c>
      <c r="C187" s="33">
        <f>Equipos!E185</f>
        <v>0</v>
      </c>
      <c r="D187" s="33">
        <f>Equipos!G185</f>
        <v>0</v>
      </c>
      <c r="E187" s="33">
        <f>Equipos!I185</f>
        <v>0</v>
      </c>
      <c r="F187" s="33">
        <f>Equipos!J185</f>
        <v>0</v>
      </c>
      <c r="G187" s="37">
        <f>Equipos!K185</f>
        <v>0</v>
      </c>
      <c r="H187" s="33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3">
        <f t="shared" si="10"/>
        <v>0</v>
      </c>
      <c r="V187" s="33">
        <f t="shared" si="11"/>
        <v>0</v>
      </c>
      <c r="W187" s="33">
        <f t="shared" si="12"/>
        <v>0</v>
      </c>
      <c r="X187" s="33">
        <f t="shared" si="13"/>
        <v>0</v>
      </c>
      <c r="Y187" s="33">
        <f ca="1">SUMPRODUCT((I187:INDEX(I187:T187,MONTH(TODAY()))="X")*1)</f>
        <v>0</v>
      </c>
      <c r="Z187" s="39" t="str">
        <f t="shared" si="14"/>
        <v/>
      </c>
    </row>
    <row r="188" spans="1:26" x14ac:dyDescent="0.25">
      <c r="A188" s="37">
        <f>Equipos!C186</f>
        <v>0</v>
      </c>
      <c r="B188" s="33" t="str">
        <f>Equipos!D186</f>
        <v xml:space="preserve">Ventilador Mecánico </v>
      </c>
      <c r="C188" s="33">
        <f>Equipos!E186</f>
        <v>0</v>
      </c>
      <c r="D188" s="33">
        <f>Equipos!G186</f>
        <v>0</v>
      </c>
      <c r="E188" s="33">
        <f>Equipos!I186</f>
        <v>0</v>
      </c>
      <c r="F188" s="33">
        <f>Equipos!J186</f>
        <v>0</v>
      </c>
      <c r="G188" s="37">
        <f>Equipos!K186</f>
        <v>0</v>
      </c>
      <c r="H188" s="33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3">
        <f t="shared" si="10"/>
        <v>0</v>
      </c>
      <c r="V188" s="33">
        <f t="shared" si="11"/>
        <v>0</v>
      </c>
      <c r="W188" s="33">
        <f t="shared" si="12"/>
        <v>0</v>
      </c>
      <c r="X188" s="33">
        <f t="shared" si="13"/>
        <v>0</v>
      </c>
      <c r="Y188" s="33">
        <f ca="1">SUMPRODUCT((I188:INDEX(I188:T188,MONTH(TODAY()))="X")*1)</f>
        <v>0</v>
      </c>
      <c r="Z188" s="39" t="str">
        <f t="shared" si="14"/>
        <v/>
      </c>
    </row>
    <row r="189" spans="1:26" x14ac:dyDescent="0.25">
      <c r="A189" s="37">
        <f>Equipos!C187</f>
        <v>0</v>
      </c>
      <c r="B189" s="33" t="str">
        <f>Equipos!D187</f>
        <v xml:space="preserve">Ventilador Mecánico </v>
      </c>
      <c r="C189" s="33">
        <f>Equipos!E187</f>
        <v>0</v>
      </c>
      <c r="D189" s="33">
        <f>Equipos!G187</f>
        <v>0</v>
      </c>
      <c r="E189" s="33">
        <f>Equipos!I187</f>
        <v>0</v>
      </c>
      <c r="F189" s="33">
        <f>Equipos!J187</f>
        <v>0</v>
      </c>
      <c r="G189" s="37">
        <f>Equipos!K187</f>
        <v>0</v>
      </c>
      <c r="H189" s="33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3">
        <f t="shared" si="10"/>
        <v>0</v>
      </c>
      <c r="V189" s="33">
        <f t="shared" si="11"/>
        <v>0</v>
      </c>
      <c r="W189" s="33">
        <f t="shared" si="12"/>
        <v>0</v>
      </c>
      <c r="X189" s="33">
        <f t="shared" si="13"/>
        <v>0</v>
      </c>
      <c r="Y189" s="33">
        <f ca="1">SUMPRODUCT((I189:INDEX(I189:T189,MONTH(TODAY()))="X")*1)</f>
        <v>0</v>
      </c>
      <c r="Z189" s="39" t="str">
        <f t="shared" si="14"/>
        <v/>
      </c>
    </row>
    <row r="190" spans="1:26" x14ac:dyDescent="0.25">
      <c r="A190" s="37" t="str">
        <f>Equipos!C188</f>
        <v>2-003462</v>
      </c>
      <c r="B190" s="33" t="str">
        <f>Equipos!D188</f>
        <v xml:space="preserve">Ventilador Mecánico </v>
      </c>
      <c r="C190" s="33" t="str">
        <f>Equipos!E188</f>
        <v>UPC Cardiovascular</v>
      </c>
      <c r="D190" s="33" t="str">
        <f>Equipos!G188</f>
        <v>SALA EQUIPOS</v>
      </c>
      <c r="E190" s="33" t="str">
        <f>Equipos!I188</f>
        <v>Puritan Bennett</v>
      </c>
      <c r="F190" s="33" t="str">
        <f>Equipos!J188</f>
        <v>840/Sin Comp.</v>
      </c>
      <c r="G190" s="37" t="str">
        <f>Equipos!K188</f>
        <v>3510094107</v>
      </c>
      <c r="H190" s="33"/>
      <c r="I190" s="38"/>
      <c r="J190" s="38"/>
      <c r="K190" s="50" t="s">
        <v>276</v>
      </c>
      <c r="L190" s="50" t="s">
        <v>275</v>
      </c>
      <c r="M190" s="38"/>
      <c r="N190" s="38"/>
      <c r="O190" s="38"/>
      <c r="P190" s="38"/>
      <c r="Q190" s="38"/>
      <c r="R190" s="38"/>
      <c r="S190" s="38"/>
      <c r="T190" s="38"/>
      <c r="U190" s="33">
        <f t="shared" si="10"/>
        <v>2</v>
      </c>
      <c r="V190" s="33">
        <f t="shared" si="11"/>
        <v>1</v>
      </c>
      <c r="W190" s="33">
        <f t="shared" si="12"/>
        <v>0</v>
      </c>
      <c r="X190" s="33">
        <f t="shared" si="13"/>
        <v>0</v>
      </c>
      <c r="Y190" s="33">
        <f ca="1">SUMPRODUCT((I190:INDEX(I190:T190,MONTH(TODAY()))="X")*1)</f>
        <v>0</v>
      </c>
      <c r="Z190" s="39">
        <f t="shared" si="14"/>
        <v>0.5</v>
      </c>
    </row>
    <row r="191" spans="1:26" x14ac:dyDescent="0.25">
      <c r="A191" s="37" t="str">
        <f>Equipos!C189</f>
        <v>2-135144</v>
      </c>
      <c r="B191" s="33" t="str">
        <f>Equipos!D189</f>
        <v xml:space="preserve">Ventilador Mecánico </v>
      </c>
      <c r="C191" s="33" t="str">
        <f>Equipos!E189</f>
        <v>SAMU</v>
      </c>
      <c r="D191" s="33">
        <f>Equipos!G189</f>
        <v>0</v>
      </c>
      <c r="E191" s="33" t="str">
        <f>Equipos!I189</f>
        <v>Newport</v>
      </c>
      <c r="F191" s="33" t="str">
        <f>Equipos!J189</f>
        <v>HT70 PLUS</v>
      </c>
      <c r="G191" s="37" t="str">
        <f>Equipos!K189</f>
        <v>HT7P200663</v>
      </c>
      <c r="H191" s="33"/>
      <c r="I191" s="38"/>
      <c r="J191" s="38"/>
      <c r="K191" s="50" t="s">
        <v>276</v>
      </c>
      <c r="L191" s="50" t="s">
        <v>275</v>
      </c>
      <c r="M191" s="38"/>
      <c r="N191" s="38"/>
      <c r="O191" s="38"/>
      <c r="P191" s="38"/>
      <c r="Q191" s="38"/>
      <c r="R191" s="38"/>
      <c r="S191" s="38"/>
      <c r="T191" s="38"/>
      <c r="U191" s="33">
        <f t="shared" si="10"/>
        <v>2</v>
      </c>
      <c r="V191" s="33">
        <f t="shared" si="11"/>
        <v>1</v>
      </c>
      <c r="W191" s="33">
        <f t="shared" si="12"/>
        <v>0</v>
      </c>
      <c r="X191" s="33">
        <f t="shared" si="13"/>
        <v>0</v>
      </c>
      <c r="Y191" s="33">
        <f ca="1">SUMPRODUCT((I191:INDEX(I191:T191,MONTH(TODAY()))="X")*1)</f>
        <v>0</v>
      </c>
      <c r="Z191" s="39">
        <f t="shared" si="14"/>
        <v>0.5</v>
      </c>
    </row>
    <row r="192" spans="1:26" x14ac:dyDescent="0.25">
      <c r="A192" s="37">
        <f>Equipos!C190</f>
        <v>0</v>
      </c>
      <c r="B192" s="33" t="str">
        <f>Equipos!D190</f>
        <v xml:space="preserve">Ventilador Mecánico </v>
      </c>
      <c r="C192" s="33">
        <f>Equipos!E190</f>
        <v>0</v>
      </c>
      <c r="D192" s="33">
        <f>Equipos!G190</f>
        <v>0</v>
      </c>
      <c r="E192" s="33">
        <f>Equipos!I190</f>
        <v>0</v>
      </c>
      <c r="F192" s="33">
        <f>Equipos!J190</f>
        <v>0</v>
      </c>
      <c r="G192" s="37">
        <f>Equipos!K190</f>
        <v>0</v>
      </c>
      <c r="H192" s="33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3">
        <f t="shared" si="10"/>
        <v>0</v>
      </c>
      <c r="V192" s="33">
        <f t="shared" si="11"/>
        <v>0</v>
      </c>
      <c r="W192" s="33">
        <f t="shared" si="12"/>
        <v>0</v>
      </c>
      <c r="X192" s="33">
        <f t="shared" si="13"/>
        <v>0</v>
      </c>
      <c r="Y192" s="33">
        <f ca="1">SUMPRODUCT((I192:INDEX(I192:T192,MONTH(TODAY()))="X")*1)</f>
        <v>0</v>
      </c>
      <c r="Z192" s="39" t="str">
        <f t="shared" si="14"/>
        <v/>
      </c>
    </row>
    <row r="193" spans="1:26" x14ac:dyDescent="0.25">
      <c r="A193" s="37">
        <f>Equipos!C191</f>
        <v>0</v>
      </c>
      <c r="B193" s="33" t="str">
        <f>Equipos!D191</f>
        <v xml:space="preserve">Ventilador Mecánico </v>
      </c>
      <c r="C193" s="33">
        <f>Equipos!E191</f>
        <v>0</v>
      </c>
      <c r="D193" s="33">
        <f>Equipos!G191</f>
        <v>0</v>
      </c>
      <c r="E193" s="33">
        <f>Equipos!I191</f>
        <v>0</v>
      </c>
      <c r="F193" s="33">
        <f>Equipos!J191</f>
        <v>0</v>
      </c>
      <c r="G193" s="37">
        <f>Equipos!K191</f>
        <v>0</v>
      </c>
      <c r="H193" s="33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3">
        <f t="shared" si="10"/>
        <v>0</v>
      </c>
      <c r="V193" s="33">
        <f t="shared" si="11"/>
        <v>0</v>
      </c>
      <c r="W193" s="33">
        <f t="shared" si="12"/>
        <v>0</v>
      </c>
      <c r="X193" s="33">
        <f t="shared" si="13"/>
        <v>0</v>
      </c>
      <c r="Y193" s="33">
        <f ca="1">SUMPRODUCT((I193:INDEX(I193:T193,MONTH(TODAY()))="X")*1)</f>
        <v>0</v>
      </c>
      <c r="Z193" s="39" t="str">
        <f t="shared" si="14"/>
        <v/>
      </c>
    </row>
    <row r="194" spans="1:26" x14ac:dyDescent="0.25">
      <c r="A194" s="37" t="str">
        <f>Equipos!C192</f>
        <v>2-003461</v>
      </c>
      <c r="B194" s="33" t="str">
        <f>Equipos!D192</f>
        <v xml:space="preserve">Ventilador Mecánico </v>
      </c>
      <c r="C194" s="33" t="str">
        <f>Equipos!E192</f>
        <v>UPC Cardiovascular</v>
      </c>
      <c r="D194" s="33" t="str">
        <f>Equipos!G192</f>
        <v>SALA EQUIPOS</v>
      </c>
      <c r="E194" s="33" t="str">
        <f>Equipos!I192</f>
        <v>Puritan Bennett</v>
      </c>
      <c r="F194" s="33" t="str">
        <f>Equipos!J192</f>
        <v>840</v>
      </c>
      <c r="G194" s="37" t="str">
        <f>Equipos!K192</f>
        <v>3510053116</v>
      </c>
      <c r="H194" s="33"/>
      <c r="I194" s="38"/>
      <c r="J194" s="38"/>
      <c r="K194" s="50" t="s">
        <v>276</v>
      </c>
      <c r="L194" s="50" t="s">
        <v>275</v>
      </c>
      <c r="M194" s="38"/>
      <c r="N194" s="38"/>
      <c r="O194" s="38"/>
      <c r="P194" s="38"/>
      <c r="Q194" s="38"/>
      <c r="R194" s="38"/>
      <c r="S194" s="38"/>
      <c r="T194" s="38"/>
      <c r="U194" s="33">
        <f t="shared" si="10"/>
        <v>2</v>
      </c>
      <c r="V194" s="33">
        <f t="shared" si="11"/>
        <v>1</v>
      </c>
      <c r="W194" s="33">
        <f t="shared" si="12"/>
        <v>0</v>
      </c>
      <c r="X194" s="33">
        <f t="shared" si="13"/>
        <v>0</v>
      </c>
      <c r="Y194" s="33">
        <f ca="1">SUMPRODUCT((I194:INDEX(I194:T194,MONTH(TODAY()))="X")*1)</f>
        <v>0</v>
      </c>
      <c r="Z194" s="39">
        <f t="shared" si="14"/>
        <v>0.5</v>
      </c>
    </row>
    <row r="195" spans="1:26" x14ac:dyDescent="0.25">
      <c r="A195" s="37" t="str">
        <f>Equipos!C193</f>
        <v>2-003452</v>
      </c>
      <c r="B195" s="33" t="str">
        <f>Equipos!D193</f>
        <v xml:space="preserve">Ventilador Mecánico </v>
      </c>
      <c r="C195" s="33" t="str">
        <f>Equipos!E193</f>
        <v>UPC Cardiovascular</v>
      </c>
      <c r="D195" s="33" t="str">
        <f>Equipos!G193</f>
        <v>SALA EQUIPOS</v>
      </c>
      <c r="E195" s="33" t="str">
        <f>Equipos!I193</f>
        <v>Puritan Bennett</v>
      </c>
      <c r="F195" s="33" t="str">
        <f>Equipos!J193</f>
        <v>840</v>
      </c>
      <c r="G195" s="37" t="str">
        <f>Equipos!K193</f>
        <v>3510053070</v>
      </c>
      <c r="H195" s="33"/>
      <c r="I195" s="38"/>
      <c r="J195" s="38"/>
      <c r="K195" s="50" t="s">
        <v>276</v>
      </c>
      <c r="L195" s="50" t="s">
        <v>275</v>
      </c>
      <c r="M195" s="38"/>
      <c r="N195" s="38"/>
      <c r="O195" s="38"/>
      <c r="P195" s="38"/>
      <c r="Q195" s="38"/>
      <c r="R195" s="38"/>
      <c r="S195" s="38"/>
      <c r="T195" s="38"/>
      <c r="U195" s="33">
        <f t="shared" si="10"/>
        <v>2</v>
      </c>
      <c r="V195" s="33">
        <f t="shared" si="11"/>
        <v>1</v>
      </c>
      <c r="W195" s="33">
        <f t="shared" si="12"/>
        <v>0</v>
      </c>
      <c r="X195" s="33">
        <f t="shared" si="13"/>
        <v>0</v>
      </c>
      <c r="Y195" s="33">
        <f ca="1">SUMPRODUCT((I195:INDEX(I195:T195,MONTH(TODAY()))="X")*1)</f>
        <v>0</v>
      </c>
      <c r="Z195" s="39">
        <f t="shared" si="14"/>
        <v>0.5</v>
      </c>
    </row>
    <row r="196" spans="1:26" x14ac:dyDescent="0.25">
      <c r="A196" s="37">
        <f>Equipos!C194</f>
        <v>0</v>
      </c>
      <c r="B196" s="33" t="str">
        <f>Equipos!D194</f>
        <v xml:space="preserve">Ventilador Mecánico </v>
      </c>
      <c r="C196" s="33">
        <f>Equipos!E194</f>
        <v>0</v>
      </c>
      <c r="D196" s="33">
        <f>Equipos!G194</f>
        <v>0</v>
      </c>
      <c r="E196" s="33">
        <f>Equipos!I194</f>
        <v>0</v>
      </c>
      <c r="F196" s="33">
        <f>Equipos!J194</f>
        <v>0</v>
      </c>
      <c r="G196" s="37">
        <f>Equipos!K194</f>
        <v>0</v>
      </c>
      <c r="H196" s="33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3">
        <f t="shared" ref="U196:U259" si="15">V196+W196+X196+COUNTIF(I196:T196,"R")</f>
        <v>0</v>
      </c>
      <c r="V196" s="33">
        <f t="shared" ref="V196:V259" si="16">COUNTIF(I196:T196,"E")</f>
        <v>0</v>
      </c>
      <c r="W196" s="33">
        <f t="shared" ref="W196:W259" si="17">COUNTIF(I196:T196,"X")</f>
        <v>0</v>
      </c>
      <c r="X196" s="33">
        <f t="shared" ref="X196:X259" si="18">COUNTIF(I196:T196,"C2")+COUNTIF(I196:T196,"C3")</f>
        <v>0</v>
      </c>
      <c r="Y196" s="33">
        <f ca="1">SUMPRODUCT((I196:INDEX(I196:T196,MONTH(TODAY()))="X")*1)</f>
        <v>0</v>
      </c>
      <c r="Z196" s="39" t="str">
        <f t="shared" ref="Z196:Z259" si="19">IFERROR(V196/U196,"")</f>
        <v/>
      </c>
    </row>
    <row r="197" spans="1:26" x14ac:dyDescent="0.25">
      <c r="A197" s="37" t="str">
        <f>Equipos!C195</f>
        <v>2-112294</v>
      </c>
      <c r="B197" s="33" t="str">
        <f>Equipos!D195</f>
        <v>Ventilador Alta Frecuencia</v>
      </c>
      <c r="C197" s="33" t="str">
        <f>Equipos!E195</f>
        <v xml:space="preserve">UPC Pediátrica </v>
      </c>
      <c r="D197" s="33" t="str">
        <f>Equipos!G195</f>
        <v>UPC-P2-SA44</v>
      </c>
      <c r="E197" s="33" t="str">
        <f>Equipos!I195</f>
        <v>CareFusion</v>
      </c>
      <c r="F197" s="33" t="str">
        <f>Equipos!J195</f>
        <v xml:space="preserve">Sensormedics 3100A </v>
      </c>
      <c r="G197" s="37" t="str">
        <f>Equipos!K195</f>
        <v>AJW01025</v>
      </c>
      <c r="H197" s="33"/>
      <c r="I197" s="38"/>
      <c r="J197" s="38"/>
      <c r="K197" s="38"/>
      <c r="L197" s="50" t="s">
        <v>275</v>
      </c>
      <c r="M197" s="38"/>
      <c r="N197" s="38"/>
      <c r="O197" s="38"/>
      <c r="P197" s="38"/>
      <c r="Q197" s="38"/>
      <c r="R197" s="38"/>
      <c r="S197" s="38"/>
      <c r="T197" s="38"/>
      <c r="U197" s="33">
        <f t="shared" si="15"/>
        <v>1</v>
      </c>
      <c r="V197" s="33">
        <f t="shared" si="16"/>
        <v>1</v>
      </c>
      <c r="W197" s="33">
        <f t="shared" si="17"/>
        <v>0</v>
      </c>
      <c r="X197" s="33">
        <f t="shared" si="18"/>
        <v>0</v>
      </c>
      <c r="Y197" s="33">
        <f ca="1">SUMPRODUCT((I197:INDEX(I197:T197,MONTH(TODAY()))="X")*1)</f>
        <v>0</v>
      </c>
      <c r="Z197" s="39">
        <f t="shared" si="19"/>
        <v>1</v>
      </c>
    </row>
    <row r="198" spans="1:26" x14ac:dyDescent="0.25">
      <c r="A198" s="37" t="str">
        <f>Equipos!C196</f>
        <v>2-119687</v>
      </c>
      <c r="B198" s="33" t="str">
        <f>Equipos!D196</f>
        <v xml:space="preserve">Ventilador Mecánico </v>
      </c>
      <c r="C198" s="33" t="str">
        <f>Equipos!E196</f>
        <v>UPC Adulto</v>
      </c>
      <c r="D198" s="33" t="str">
        <f>Equipos!G196</f>
        <v>UPC-P2-BG14</v>
      </c>
      <c r="E198" s="33" t="str">
        <f>Equipos!I196</f>
        <v>Drager</v>
      </c>
      <c r="F198" s="33" t="str">
        <f>Equipos!J196</f>
        <v>Evita V300/SC</v>
      </c>
      <c r="G198" s="37" t="str">
        <f>Equipos!K196</f>
        <v>ASLE-0157</v>
      </c>
      <c r="H198" s="33"/>
      <c r="I198" s="38"/>
      <c r="J198" s="38"/>
      <c r="K198" s="38"/>
      <c r="L198" s="50" t="s">
        <v>276</v>
      </c>
      <c r="M198" s="50" t="s">
        <v>275</v>
      </c>
      <c r="N198" s="38"/>
      <c r="O198" s="38"/>
      <c r="P198" s="38"/>
      <c r="Q198" s="38"/>
      <c r="R198" s="38"/>
      <c r="S198" s="38"/>
      <c r="T198" s="38"/>
      <c r="U198" s="33">
        <f t="shared" si="15"/>
        <v>2</v>
      </c>
      <c r="V198" s="33">
        <f t="shared" si="16"/>
        <v>1</v>
      </c>
      <c r="W198" s="33">
        <f t="shared" si="17"/>
        <v>0</v>
      </c>
      <c r="X198" s="33">
        <f t="shared" si="18"/>
        <v>0</v>
      </c>
      <c r="Y198" s="33">
        <f ca="1">SUMPRODUCT((I198:INDEX(I198:T198,MONTH(TODAY()))="X")*1)</f>
        <v>0</v>
      </c>
      <c r="Z198" s="39">
        <f t="shared" si="19"/>
        <v>0.5</v>
      </c>
    </row>
    <row r="199" spans="1:26" x14ac:dyDescent="0.25">
      <c r="A199" s="37" t="str">
        <f>Equipos!C197</f>
        <v>2-121208</v>
      </c>
      <c r="B199" s="33" t="str">
        <f>Equipos!D197</f>
        <v xml:space="preserve">Ventilador Mecánico </v>
      </c>
      <c r="C199" s="33" t="str">
        <f>Equipos!E197</f>
        <v>UPC Adulto</v>
      </c>
      <c r="D199" s="33">
        <f>Equipos!G197</f>
        <v>0</v>
      </c>
      <c r="E199" s="33" t="str">
        <f>Equipos!I197</f>
        <v>MEK ICS</v>
      </c>
      <c r="F199" s="33" t="str">
        <f>Equipos!J197</f>
        <v>MV2000 EVO5</v>
      </c>
      <c r="G199" s="37" t="str">
        <f>Equipos!K197</f>
        <v>MV2000UA1D0803</v>
      </c>
      <c r="H199" s="33"/>
      <c r="I199" s="38"/>
      <c r="J199" s="38"/>
      <c r="K199" s="38"/>
      <c r="L199" s="50" t="s">
        <v>275</v>
      </c>
      <c r="M199" s="38"/>
      <c r="N199" s="38"/>
      <c r="O199" s="38"/>
      <c r="P199" s="38"/>
      <c r="Q199" s="38"/>
      <c r="R199" s="38"/>
      <c r="S199" s="38"/>
      <c r="T199" s="38"/>
      <c r="U199" s="33">
        <f t="shared" si="15"/>
        <v>1</v>
      </c>
      <c r="V199" s="33">
        <f t="shared" si="16"/>
        <v>1</v>
      </c>
      <c r="W199" s="33">
        <f t="shared" si="17"/>
        <v>0</v>
      </c>
      <c r="X199" s="33">
        <f t="shared" si="18"/>
        <v>0</v>
      </c>
      <c r="Y199" s="33">
        <f ca="1">SUMPRODUCT((I199:INDEX(I199:T199,MONTH(TODAY()))="X")*1)</f>
        <v>0</v>
      </c>
      <c r="Z199" s="39">
        <f t="shared" si="19"/>
        <v>1</v>
      </c>
    </row>
    <row r="200" spans="1:26" x14ac:dyDescent="0.25">
      <c r="A200" s="37">
        <f>Equipos!C198</f>
        <v>0</v>
      </c>
      <c r="B200" s="33" t="str">
        <f>Equipos!D198</f>
        <v xml:space="preserve">Ventilador Mecánico </v>
      </c>
      <c r="C200" s="33">
        <f>Equipos!E198</f>
        <v>0</v>
      </c>
      <c r="D200" s="33">
        <f>Equipos!G198</f>
        <v>0</v>
      </c>
      <c r="E200" s="33">
        <f>Equipos!I198</f>
        <v>0</v>
      </c>
      <c r="F200" s="33">
        <f>Equipos!J198</f>
        <v>0</v>
      </c>
      <c r="G200" s="37">
        <f>Equipos!K198</f>
        <v>0</v>
      </c>
      <c r="H200" s="33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3">
        <f t="shared" si="15"/>
        <v>0</v>
      </c>
      <c r="V200" s="33">
        <f t="shared" si="16"/>
        <v>0</v>
      </c>
      <c r="W200" s="33">
        <f t="shared" si="17"/>
        <v>0</v>
      </c>
      <c r="X200" s="33">
        <f t="shared" si="18"/>
        <v>0</v>
      </c>
      <c r="Y200" s="33">
        <f ca="1">SUMPRODUCT((I200:INDEX(I200:T200,MONTH(TODAY()))="X")*1)</f>
        <v>0</v>
      </c>
      <c r="Z200" s="39" t="str">
        <f t="shared" si="19"/>
        <v/>
      </c>
    </row>
    <row r="201" spans="1:26" x14ac:dyDescent="0.25">
      <c r="A201" s="37" t="str">
        <f>Equipos!C199</f>
        <v>2-112298</v>
      </c>
      <c r="B201" s="33" t="str">
        <f>Equipos!D199</f>
        <v xml:space="preserve">Ventilador Mecánico </v>
      </c>
      <c r="C201" s="33" t="str">
        <f>Equipos!E199</f>
        <v xml:space="preserve">UPC Pediátrica </v>
      </c>
      <c r="D201" s="33" t="str">
        <f>Equipos!G199</f>
        <v>UPC-P2-SA44</v>
      </c>
      <c r="E201" s="33" t="str">
        <f>Equipos!I199</f>
        <v>Maquet</v>
      </c>
      <c r="F201" s="33" t="str">
        <f>Equipos!J199</f>
        <v>Servo i</v>
      </c>
      <c r="G201" s="37" t="str">
        <f>Equipos!K199</f>
        <v>15062</v>
      </c>
      <c r="H201" s="33"/>
      <c r="I201" s="38"/>
      <c r="J201" s="38"/>
      <c r="K201" s="50" t="s">
        <v>276</v>
      </c>
      <c r="L201" s="50" t="s">
        <v>275</v>
      </c>
      <c r="M201" s="38"/>
      <c r="N201" s="38"/>
      <c r="O201" s="38"/>
      <c r="P201" s="38"/>
      <c r="Q201" s="38"/>
      <c r="R201" s="38"/>
      <c r="S201" s="38"/>
      <c r="T201" s="38"/>
      <c r="U201" s="33">
        <f t="shared" si="15"/>
        <v>2</v>
      </c>
      <c r="V201" s="33">
        <f t="shared" si="16"/>
        <v>1</v>
      </c>
      <c r="W201" s="33">
        <f t="shared" si="17"/>
        <v>0</v>
      </c>
      <c r="X201" s="33">
        <f t="shared" si="18"/>
        <v>0</v>
      </c>
      <c r="Y201" s="33">
        <f ca="1">SUMPRODUCT((I201:INDEX(I201:T201,MONTH(TODAY()))="X")*1)</f>
        <v>0</v>
      </c>
      <c r="Z201" s="39">
        <f t="shared" si="19"/>
        <v>0.5</v>
      </c>
    </row>
    <row r="202" spans="1:26" x14ac:dyDescent="0.25">
      <c r="A202" s="37" t="str">
        <f>Equipos!C200</f>
        <v>2-112299</v>
      </c>
      <c r="B202" s="33" t="str">
        <f>Equipos!D200</f>
        <v xml:space="preserve">Ventilador Mecánico </v>
      </c>
      <c r="C202" s="33" t="str">
        <f>Equipos!E200</f>
        <v xml:space="preserve">UPC Pediátrica </v>
      </c>
      <c r="D202" s="33" t="str">
        <f>Equipos!G200</f>
        <v>UPC-P2-SA44</v>
      </c>
      <c r="E202" s="33" t="str">
        <f>Equipos!I200</f>
        <v>Maquet</v>
      </c>
      <c r="F202" s="33" t="str">
        <f>Equipos!J200</f>
        <v>Servo i</v>
      </c>
      <c r="G202" s="37" t="str">
        <f>Equipos!K200</f>
        <v>27409</v>
      </c>
      <c r="H202" s="33"/>
      <c r="I202" s="38"/>
      <c r="J202" s="38"/>
      <c r="K202" s="50" t="s">
        <v>276</v>
      </c>
      <c r="L202" s="50" t="s">
        <v>275</v>
      </c>
      <c r="M202" s="38"/>
      <c r="N202" s="38"/>
      <c r="O202" s="38"/>
      <c r="P202" s="38"/>
      <c r="Q202" s="38"/>
      <c r="R202" s="38"/>
      <c r="S202" s="38"/>
      <c r="T202" s="38"/>
      <c r="U202" s="33">
        <f t="shared" si="15"/>
        <v>2</v>
      </c>
      <c r="V202" s="33">
        <f t="shared" si="16"/>
        <v>1</v>
      </c>
      <c r="W202" s="33">
        <f t="shared" si="17"/>
        <v>0</v>
      </c>
      <c r="X202" s="33">
        <f t="shared" si="18"/>
        <v>0</v>
      </c>
      <c r="Y202" s="33">
        <f ca="1">SUMPRODUCT((I202:INDEX(I202:T202,MONTH(TODAY()))="X")*1)</f>
        <v>0</v>
      </c>
      <c r="Z202" s="39">
        <f t="shared" si="19"/>
        <v>0.5</v>
      </c>
    </row>
    <row r="203" spans="1:26" x14ac:dyDescent="0.25">
      <c r="A203" s="37">
        <f>Equipos!C201</f>
        <v>0</v>
      </c>
      <c r="B203" s="33" t="str">
        <f>Equipos!D201</f>
        <v xml:space="preserve">Ventilador Mecánico </v>
      </c>
      <c r="C203" s="33">
        <f>Equipos!E201</f>
        <v>0</v>
      </c>
      <c r="D203" s="33">
        <f>Equipos!G201</f>
        <v>0</v>
      </c>
      <c r="E203" s="33">
        <f>Equipos!I201</f>
        <v>0</v>
      </c>
      <c r="F203" s="33">
        <f>Equipos!J201</f>
        <v>0</v>
      </c>
      <c r="G203" s="37">
        <f>Equipos!K201</f>
        <v>0</v>
      </c>
      <c r="H203" s="33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3">
        <f t="shared" si="15"/>
        <v>0</v>
      </c>
      <c r="V203" s="33">
        <f t="shared" si="16"/>
        <v>0</v>
      </c>
      <c r="W203" s="33">
        <f t="shared" si="17"/>
        <v>0</v>
      </c>
      <c r="X203" s="33">
        <f t="shared" si="18"/>
        <v>0</v>
      </c>
      <c r="Y203" s="33">
        <f ca="1">SUMPRODUCT((I203:INDEX(I203:T203,MONTH(TODAY()))="X")*1)</f>
        <v>0</v>
      </c>
      <c r="Z203" s="39" t="str">
        <f t="shared" si="19"/>
        <v/>
      </c>
    </row>
    <row r="204" spans="1:26" x14ac:dyDescent="0.25">
      <c r="A204" s="37" t="str">
        <f>Equipos!C202</f>
        <v>2-112301</v>
      </c>
      <c r="B204" s="33" t="str">
        <f>Equipos!D202</f>
        <v xml:space="preserve">Ventilador Mecánico </v>
      </c>
      <c r="C204" s="33" t="str">
        <f>Equipos!E202</f>
        <v xml:space="preserve">UPC Pediátrica </v>
      </c>
      <c r="D204" s="33" t="str">
        <f>Equipos!G202</f>
        <v>UPC-P2-SA44</v>
      </c>
      <c r="E204" s="33" t="str">
        <f>Equipos!I202</f>
        <v>Maquet</v>
      </c>
      <c r="F204" s="33" t="str">
        <f>Equipos!J202</f>
        <v>Servo i RM</v>
      </c>
      <c r="G204" s="37" t="str">
        <f>Equipos!K202</f>
        <v>27406</v>
      </c>
      <c r="H204" s="33"/>
      <c r="I204" s="38"/>
      <c r="J204" s="38"/>
      <c r="K204" s="50" t="s">
        <v>277</v>
      </c>
      <c r="L204" s="38"/>
      <c r="M204" s="38"/>
      <c r="N204" s="38"/>
      <c r="O204" s="38"/>
      <c r="P204" s="38"/>
      <c r="Q204" s="38"/>
      <c r="R204" s="38"/>
      <c r="S204" s="38"/>
      <c r="T204" s="38"/>
      <c r="U204" s="33">
        <f t="shared" si="15"/>
        <v>1</v>
      </c>
      <c r="V204" s="33">
        <f t="shared" si="16"/>
        <v>0</v>
      </c>
      <c r="W204" s="33">
        <f t="shared" si="17"/>
        <v>0</v>
      </c>
      <c r="X204" s="33">
        <f t="shared" si="18"/>
        <v>1</v>
      </c>
      <c r="Y204" s="33">
        <f ca="1">SUMPRODUCT((I204:INDEX(I204:T204,MONTH(TODAY()))="X")*1)</f>
        <v>0</v>
      </c>
      <c r="Z204" s="39">
        <f t="shared" si="19"/>
        <v>0</v>
      </c>
    </row>
    <row r="205" spans="1:26" x14ac:dyDescent="0.25">
      <c r="A205" s="37">
        <f>Equipos!C203</f>
        <v>0</v>
      </c>
      <c r="B205" s="33" t="str">
        <f>Equipos!D203</f>
        <v xml:space="preserve">Ventilador Mecánico </v>
      </c>
      <c r="C205" s="33">
        <f>Equipos!E203</f>
        <v>0</v>
      </c>
      <c r="D205" s="33">
        <f>Equipos!G203</f>
        <v>0</v>
      </c>
      <c r="E205" s="33">
        <f>Equipos!I203</f>
        <v>0</v>
      </c>
      <c r="F205" s="33">
        <f>Equipos!J203</f>
        <v>0</v>
      </c>
      <c r="G205" s="37">
        <f>Equipos!K203</f>
        <v>0</v>
      </c>
      <c r="H205" s="33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3">
        <f t="shared" si="15"/>
        <v>0</v>
      </c>
      <c r="V205" s="33">
        <f t="shared" si="16"/>
        <v>0</v>
      </c>
      <c r="W205" s="33">
        <f t="shared" si="17"/>
        <v>0</v>
      </c>
      <c r="X205" s="33">
        <f t="shared" si="18"/>
        <v>0</v>
      </c>
      <c r="Y205" s="33">
        <f ca="1">SUMPRODUCT((I205:INDEX(I205:T205,MONTH(TODAY()))="X")*1)</f>
        <v>0</v>
      </c>
      <c r="Z205" s="39" t="str">
        <f t="shared" si="19"/>
        <v/>
      </c>
    </row>
    <row r="206" spans="1:26" x14ac:dyDescent="0.25">
      <c r="A206" s="37" t="str">
        <f>Equipos!C204</f>
        <v>2-125486</v>
      </c>
      <c r="B206" s="33" t="str">
        <f>Equipos!D204</f>
        <v xml:space="preserve">Ventilador Mecánico </v>
      </c>
      <c r="C206" s="33" t="str">
        <f>Equipos!E204</f>
        <v>UPC Pediátrica</v>
      </c>
      <c r="D206" s="33" t="str">
        <f>Equipos!G204</f>
        <v xml:space="preserve">Oficina </v>
      </c>
      <c r="E206" s="33" t="str">
        <f>Equipos!I204</f>
        <v>Philips</v>
      </c>
      <c r="F206" s="33" t="str">
        <f>Equipos!J204</f>
        <v>Trilogy 202</v>
      </c>
      <c r="G206" s="37" t="str">
        <f>Equipos!K204</f>
        <v>TV019111110</v>
      </c>
      <c r="H206" s="33"/>
      <c r="I206" s="38"/>
      <c r="J206" s="38"/>
      <c r="K206" s="50" t="s">
        <v>275</v>
      </c>
      <c r="L206" s="38"/>
      <c r="M206" s="38"/>
      <c r="N206" s="38"/>
      <c r="O206" s="38"/>
      <c r="P206" s="38"/>
      <c r="Q206" s="38"/>
      <c r="R206" s="38"/>
      <c r="S206" s="38"/>
      <c r="T206" s="38"/>
      <c r="U206" s="33">
        <f t="shared" si="15"/>
        <v>1</v>
      </c>
      <c r="V206" s="33">
        <f t="shared" si="16"/>
        <v>1</v>
      </c>
      <c r="W206" s="33">
        <f t="shared" si="17"/>
        <v>0</v>
      </c>
      <c r="X206" s="33">
        <f t="shared" si="18"/>
        <v>0</v>
      </c>
      <c r="Y206" s="33">
        <f ca="1">SUMPRODUCT((I206:INDEX(I206:T206,MONTH(TODAY()))="X")*1)</f>
        <v>0</v>
      </c>
      <c r="Z206" s="39">
        <f t="shared" si="19"/>
        <v>1</v>
      </c>
    </row>
    <row r="207" spans="1:26" x14ac:dyDescent="0.25">
      <c r="A207" s="37" t="str">
        <f>Equipos!C205</f>
        <v>2-116303</v>
      </c>
      <c r="B207" s="33" t="str">
        <f>Equipos!D205</f>
        <v xml:space="preserve">Ventilador Mecánico </v>
      </c>
      <c r="C207" s="33" t="str">
        <f>Equipos!E205</f>
        <v xml:space="preserve">UPC Pediátrica </v>
      </c>
      <c r="D207" s="33" t="str">
        <f>Equipos!G205</f>
        <v>Sala de equipos</v>
      </c>
      <c r="E207" s="33" t="str">
        <f>Equipos!I205</f>
        <v>Drager</v>
      </c>
      <c r="F207" s="33" t="str">
        <f>Equipos!J205</f>
        <v>Evita V300</v>
      </c>
      <c r="G207" s="37" t="str">
        <f>Equipos!K205</f>
        <v>ASJA-0098</v>
      </c>
      <c r="H207" s="33"/>
      <c r="I207" s="38"/>
      <c r="J207" s="38"/>
      <c r="K207" s="38"/>
      <c r="L207" s="38"/>
      <c r="M207" s="50" t="s">
        <v>275</v>
      </c>
      <c r="N207" s="38"/>
      <c r="O207" s="38"/>
      <c r="P207" s="38"/>
      <c r="Q207" s="38"/>
      <c r="R207" s="38"/>
      <c r="S207" s="38"/>
      <c r="T207" s="38"/>
      <c r="U207" s="33">
        <f t="shared" si="15"/>
        <v>1</v>
      </c>
      <c r="V207" s="33">
        <f t="shared" si="16"/>
        <v>1</v>
      </c>
      <c r="W207" s="33">
        <f t="shared" si="17"/>
        <v>0</v>
      </c>
      <c r="X207" s="33">
        <f t="shared" si="18"/>
        <v>0</v>
      </c>
      <c r="Y207" s="33">
        <f ca="1">SUMPRODUCT((I207:INDEX(I207:T207,MONTH(TODAY()))="X")*1)</f>
        <v>0</v>
      </c>
      <c r="Z207" s="39">
        <f t="shared" si="19"/>
        <v>1</v>
      </c>
    </row>
    <row r="208" spans="1:26" x14ac:dyDescent="0.25">
      <c r="A208" s="37" t="str">
        <f>Equipos!C206</f>
        <v>2-116304</v>
      </c>
      <c r="B208" s="33" t="str">
        <f>Equipos!D206</f>
        <v xml:space="preserve">Ventilador Mecánico </v>
      </c>
      <c r="C208" s="33" t="str">
        <f>Equipos!E206</f>
        <v xml:space="preserve">UPC Pediátrica </v>
      </c>
      <c r="D208" s="33" t="str">
        <f>Equipos!G206</f>
        <v>Sala de equipos</v>
      </c>
      <c r="E208" s="33" t="str">
        <f>Equipos!I206</f>
        <v>Drager</v>
      </c>
      <c r="F208" s="33" t="str">
        <f>Equipos!J206</f>
        <v>Evita V300</v>
      </c>
      <c r="G208" s="37" t="str">
        <f>Equipos!K206</f>
        <v>ASJF-0007</v>
      </c>
      <c r="H208" s="33"/>
      <c r="I208" s="38"/>
      <c r="J208" s="38"/>
      <c r="K208" s="38"/>
      <c r="L208" s="38"/>
      <c r="M208" s="50" t="s">
        <v>275</v>
      </c>
      <c r="N208" s="38"/>
      <c r="O208" s="38"/>
      <c r="P208" s="38"/>
      <c r="Q208" s="38"/>
      <c r="R208" s="38"/>
      <c r="S208" s="38"/>
      <c r="T208" s="38"/>
      <c r="U208" s="33">
        <f t="shared" si="15"/>
        <v>1</v>
      </c>
      <c r="V208" s="33">
        <f t="shared" si="16"/>
        <v>1</v>
      </c>
      <c r="W208" s="33">
        <f t="shared" si="17"/>
        <v>0</v>
      </c>
      <c r="X208" s="33">
        <f t="shared" si="18"/>
        <v>0</v>
      </c>
      <c r="Y208" s="33">
        <f ca="1">SUMPRODUCT((I208:INDEX(I208:T208,MONTH(TODAY()))="X")*1)</f>
        <v>0</v>
      </c>
      <c r="Z208" s="39">
        <f t="shared" si="19"/>
        <v>1</v>
      </c>
    </row>
    <row r="209" spans="1:26" x14ac:dyDescent="0.25">
      <c r="A209" s="37" t="str">
        <f>Equipos!C207</f>
        <v>2-116305</v>
      </c>
      <c r="B209" s="33" t="str">
        <f>Equipos!D207</f>
        <v xml:space="preserve">Ventilador Mecánico </v>
      </c>
      <c r="C209" s="33" t="str">
        <f>Equipos!E207</f>
        <v xml:space="preserve">UPC Pediátrica </v>
      </c>
      <c r="D209" s="33" t="str">
        <f>Equipos!G207</f>
        <v>Sala de equipos</v>
      </c>
      <c r="E209" s="33" t="str">
        <f>Equipos!I207</f>
        <v>Drager</v>
      </c>
      <c r="F209" s="33" t="str">
        <f>Equipos!J207</f>
        <v>Evita V300</v>
      </c>
      <c r="G209" s="37" t="str">
        <f>Equipos!K207</f>
        <v>ASJF-0008</v>
      </c>
      <c r="H209" s="33"/>
      <c r="I209" s="38"/>
      <c r="J209" s="38"/>
      <c r="K209" s="38"/>
      <c r="L209" s="38"/>
      <c r="M209" s="50" t="s">
        <v>275</v>
      </c>
      <c r="N209" s="38"/>
      <c r="O209" s="38"/>
      <c r="P209" s="38"/>
      <c r="Q209" s="38"/>
      <c r="R209" s="38"/>
      <c r="S209" s="38"/>
      <c r="T209" s="38"/>
      <c r="U209" s="33">
        <f t="shared" si="15"/>
        <v>1</v>
      </c>
      <c r="V209" s="33">
        <f t="shared" si="16"/>
        <v>1</v>
      </c>
      <c r="W209" s="33">
        <f t="shared" si="17"/>
        <v>0</v>
      </c>
      <c r="X209" s="33">
        <f t="shared" si="18"/>
        <v>0</v>
      </c>
      <c r="Y209" s="33">
        <f ca="1">SUMPRODUCT((I209:INDEX(I209:T209,MONTH(TODAY()))="X")*1)</f>
        <v>0</v>
      </c>
      <c r="Z209" s="39">
        <f t="shared" si="19"/>
        <v>1</v>
      </c>
    </row>
    <row r="210" spans="1:26" x14ac:dyDescent="0.25">
      <c r="A210" s="37" t="str">
        <f>Equipos!C208</f>
        <v>2-116306</v>
      </c>
      <c r="B210" s="33" t="str">
        <f>Equipos!D208</f>
        <v xml:space="preserve">Ventilador Mecánico </v>
      </c>
      <c r="C210" s="33" t="str">
        <f>Equipos!E208</f>
        <v>UPC Pediátrica</v>
      </c>
      <c r="D210" s="33" t="str">
        <f>Equipos!G208</f>
        <v>Sala de equipos</v>
      </c>
      <c r="E210" s="33" t="str">
        <f>Equipos!I208</f>
        <v>Drager</v>
      </c>
      <c r="F210" s="33" t="str">
        <f>Equipos!J208</f>
        <v>Evita V300</v>
      </c>
      <c r="G210" s="37" t="str">
        <f>Equipos!K208</f>
        <v>ASJL-0149</v>
      </c>
      <c r="H210" s="33"/>
      <c r="I210" s="38"/>
      <c r="J210" s="38"/>
      <c r="K210" s="38"/>
      <c r="L210" s="38"/>
      <c r="M210" s="50" t="s">
        <v>275</v>
      </c>
      <c r="N210" s="38"/>
      <c r="O210" s="38"/>
      <c r="P210" s="38"/>
      <c r="Q210" s="38"/>
      <c r="R210" s="38"/>
      <c r="S210" s="38"/>
      <c r="T210" s="38"/>
      <c r="U210" s="33">
        <f t="shared" si="15"/>
        <v>1</v>
      </c>
      <c r="V210" s="33">
        <f t="shared" si="16"/>
        <v>1</v>
      </c>
      <c r="W210" s="33">
        <f t="shared" si="17"/>
        <v>0</v>
      </c>
      <c r="X210" s="33">
        <f t="shared" si="18"/>
        <v>0</v>
      </c>
      <c r="Y210" s="33">
        <f ca="1">SUMPRODUCT((I210:INDEX(I210:T210,MONTH(TODAY()))="X")*1)</f>
        <v>0</v>
      </c>
      <c r="Z210" s="39">
        <f t="shared" si="19"/>
        <v>1</v>
      </c>
    </row>
    <row r="211" spans="1:26" x14ac:dyDescent="0.25">
      <c r="A211" s="37" t="str">
        <f>Equipos!C209</f>
        <v>2-116307</v>
      </c>
      <c r="B211" s="33" t="str">
        <f>Equipos!D209</f>
        <v xml:space="preserve">Ventilador Mecánico </v>
      </c>
      <c r="C211" s="33" t="str">
        <f>Equipos!E209</f>
        <v>UPC Pediátrica</v>
      </c>
      <c r="D211" s="33" t="str">
        <f>Equipos!G209</f>
        <v>Sala de equipos</v>
      </c>
      <c r="E211" s="33" t="str">
        <f>Equipos!I209</f>
        <v>Drager</v>
      </c>
      <c r="F211" s="33" t="str">
        <f>Equipos!J209</f>
        <v>Evita V300</v>
      </c>
      <c r="G211" s="37" t="str">
        <f>Equipos!K209</f>
        <v>ASJA-0099</v>
      </c>
      <c r="H211" s="33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3">
        <f t="shared" si="15"/>
        <v>0</v>
      </c>
      <c r="V211" s="33">
        <f t="shared" si="16"/>
        <v>0</v>
      </c>
      <c r="W211" s="33">
        <f t="shared" si="17"/>
        <v>0</v>
      </c>
      <c r="X211" s="33">
        <f t="shared" si="18"/>
        <v>0</v>
      </c>
      <c r="Y211" s="33">
        <f ca="1">SUMPRODUCT((I211:INDEX(I211:T211,MONTH(TODAY()))="X")*1)</f>
        <v>0</v>
      </c>
      <c r="Z211" s="39" t="str">
        <f t="shared" si="19"/>
        <v/>
      </c>
    </row>
    <row r="212" spans="1:26" x14ac:dyDescent="0.25">
      <c r="A212" s="37" t="str">
        <f>Equipos!C210</f>
        <v>2-116308</v>
      </c>
      <c r="B212" s="33" t="str">
        <f>Equipos!D210</f>
        <v xml:space="preserve">Ventilador Mecánico </v>
      </c>
      <c r="C212" s="33" t="str">
        <f>Equipos!E210</f>
        <v>UPC Pediátrica</v>
      </c>
      <c r="D212" s="33" t="str">
        <f>Equipos!G210</f>
        <v>Sala de equipos</v>
      </c>
      <c r="E212" s="33" t="str">
        <f>Equipos!I210</f>
        <v>Drager</v>
      </c>
      <c r="F212" s="33" t="str">
        <f>Equipos!J210</f>
        <v>Evita V300</v>
      </c>
      <c r="G212" s="37" t="str">
        <f>Equipos!K210</f>
        <v>ASJA-0096</v>
      </c>
      <c r="H212" s="33"/>
      <c r="I212" s="38"/>
      <c r="J212" s="38"/>
      <c r="K212" s="38"/>
      <c r="L212" s="38"/>
      <c r="M212" s="50" t="s">
        <v>275</v>
      </c>
      <c r="N212" s="38"/>
      <c r="O212" s="38"/>
      <c r="P212" s="38"/>
      <c r="Q212" s="38"/>
      <c r="R212" s="38"/>
      <c r="S212" s="38"/>
      <c r="T212" s="38"/>
      <c r="U212" s="33">
        <f t="shared" si="15"/>
        <v>1</v>
      </c>
      <c r="V212" s="33">
        <f t="shared" si="16"/>
        <v>1</v>
      </c>
      <c r="W212" s="33">
        <f t="shared" si="17"/>
        <v>0</v>
      </c>
      <c r="X212" s="33">
        <f t="shared" si="18"/>
        <v>0</v>
      </c>
      <c r="Y212" s="33">
        <f ca="1">SUMPRODUCT((I212:INDEX(I212:T212,MONTH(TODAY()))="X")*1)</f>
        <v>0</v>
      </c>
      <c r="Z212" s="39">
        <f t="shared" si="19"/>
        <v>1</v>
      </c>
    </row>
    <row r="213" spans="1:26" x14ac:dyDescent="0.25">
      <c r="A213" s="37" t="str">
        <f>Equipos!C211</f>
        <v>2-013602</v>
      </c>
      <c r="B213" s="33" t="str">
        <f>Equipos!D211</f>
        <v xml:space="preserve">Ventilador Mecánico </v>
      </c>
      <c r="C213" s="33" t="str">
        <f>Equipos!E211</f>
        <v>UPC Adulto</v>
      </c>
      <c r="D213" s="33" t="str">
        <f>Equipos!G211</f>
        <v>UPC-P2-SA19</v>
      </c>
      <c r="E213" s="33" t="str">
        <f>Equipos!I211</f>
        <v xml:space="preserve">Drager </v>
      </c>
      <c r="F213" s="33" t="str">
        <f>Equipos!J211</f>
        <v xml:space="preserve">Carina </v>
      </c>
      <c r="G213" s="37" t="str">
        <f>Equipos!K211</f>
        <v>SRYM-0043</v>
      </c>
      <c r="H213" s="33"/>
      <c r="I213" s="38"/>
      <c r="J213" s="50" t="s">
        <v>279</v>
      </c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3">
        <f t="shared" si="15"/>
        <v>0</v>
      </c>
      <c r="V213" s="33">
        <f t="shared" si="16"/>
        <v>0</v>
      </c>
      <c r="W213" s="33">
        <f t="shared" si="17"/>
        <v>0</v>
      </c>
      <c r="X213" s="33">
        <f t="shared" si="18"/>
        <v>0</v>
      </c>
      <c r="Y213" s="33">
        <f ca="1">SUMPRODUCT((I213:INDEX(I213:T213,MONTH(TODAY()))="X")*1)</f>
        <v>0</v>
      </c>
      <c r="Z213" s="39" t="str">
        <f t="shared" si="19"/>
        <v/>
      </c>
    </row>
    <row r="214" spans="1:26" x14ac:dyDescent="0.25">
      <c r="A214" s="37" t="str">
        <f>Equipos!C212</f>
        <v>2-112313</v>
      </c>
      <c r="B214" s="33" t="str">
        <f>Equipos!D212</f>
        <v xml:space="preserve">Ventilador Mecánico </v>
      </c>
      <c r="C214" s="33" t="str">
        <f>Equipos!E212</f>
        <v>Neonatología</v>
      </c>
      <c r="D214" s="33">
        <f>Equipos!G212</f>
        <v>0</v>
      </c>
      <c r="E214" s="33" t="str">
        <f>Equipos!I212</f>
        <v xml:space="preserve">Drager </v>
      </c>
      <c r="F214" s="33" t="str">
        <f>Equipos!J212</f>
        <v>VN500</v>
      </c>
      <c r="G214" s="37" t="str">
        <f>Equipos!K212</f>
        <v>ASDB-0042</v>
      </c>
      <c r="H214" s="33"/>
      <c r="I214" s="50" t="s">
        <v>276</v>
      </c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3">
        <f t="shared" si="15"/>
        <v>1</v>
      </c>
      <c r="V214" s="33">
        <f t="shared" si="16"/>
        <v>0</v>
      </c>
      <c r="W214" s="33">
        <f t="shared" si="17"/>
        <v>0</v>
      </c>
      <c r="X214" s="33">
        <f t="shared" si="18"/>
        <v>0</v>
      </c>
      <c r="Y214" s="33">
        <f ca="1">SUMPRODUCT((I214:INDEX(I214:T214,MONTH(TODAY()))="X")*1)</f>
        <v>0</v>
      </c>
      <c r="Z214" s="39">
        <f t="shared" si="19"/>
        <v>0</v>
      </c>
    </row>
    <row r="215" spans="1:26" x14ac:dyDescent="0.25">
      <c r="A215" s="37" t="str">
        <f>Equipos!C213</f>
        <v>2-027983</v>
      </c>
      <c r="B215" s="33" t="str">
        <f>Equipos!D213</f>
        <v>Ventilador Alta Frecuencia</v>
      </c>
      <c r="C215" s="33" t="str">
        <f>Equipos!E213</f>
        <v>Neonatología</v>
      </c>
      <c r="D215" s="33">
        <f>Equipos!G213</f>
        <v>0</v>
      </c>
      <c r="E215" s="33" t="str">
        <f>Equipos!I213</f>
        <v>CareFusion</v>
      </c>
      <c r="F215" s="33" t="str">
        <f>Equipos!J213</f>
        <v>Sensormedics 3100A</v>
      </c>
      <c r="G215" s="37" t="str">
        <f>Equipos!K213</f>
        <v>TMA24453</v>
      </c>
      <c r="H215" s="33"/>
      <c r="I215" s="38"/>
      <c r="J215" s="38"/>
      <c r="K215" s="38"/>
      <c r="L215" s="50" t="s">
        <v>275</v>
      </c>
      <c r="M215" s="38"/>
      <c r="N215" s="38"/>
      <c r="O215" s="38"/>
      <c r="P215" s="38"/>
      <c r="Q215" s="38"/>
      <c r="R215" s="38"/>
      <c r="S215" s="38"/>
      <c r="T215" s="38"/>
      <c r="U215" s="33">
        <f t="shared" si="15"/>
        <v>1</v>
      </c>
      <c r="V215" s="33">
        <f t="shared" si="16"/>
        <v>1</v>
      </c>
      <c r="W215" s="33">
        <f t="shared" si="17"/>
        <v>0</v>
      </c>
      <c r="X215" s="33">
        <f t="shared" si="18"/>
        <v>0</v>
      </c>
      <c r="Y215" s="33">
        <f ca="1">SUMPRODUCT((I215:INDEX(I215:T215,MONTH(TODAY()))="X")*1)</f>
        <v>0</v>
      </c>
      <c r="Z215" s="39">
        <f t="shared" si="19"/>
        <v>1</v>
      </c>
    </row>
    <row r="216" spans="1:26" x14ac:dyDescent="0.25">
      <c r="A216" s="37" t="str">
        <f>Equipos!C214</f>
        <v>2-112304</v>
      </c>
      <c r="B216" s="33" t="str">
        <f>Equipos!D214</f>
        <v>Ventilador Alta Frecuencia</v>
      </c>
      <c r="C216" s="33" t="str">
        <f>Equipos!E214</f>
        <v>UPC Pediátrica</v>
      </c>
      <c r="D216" s="33" t="str">
        <f>Equipos!G214</f>
        <v>UPC-P2-SA44</v>
      </c>
      <c r="E216" s="33" t="str">
        <f>Equipos!I214</f>
        <v>CareFusion</v>
      </c>
      <c r="F216" s="33" t="str">
        <f>Equipos!J214</f>
        <v>Sensormedics 3100B</v>
      </c>
      <c r="G216" s="37" t="str">
        <f>Equipos!K214</f>
        <v>BBW01018</v>
      </c>
      <c r="H216" s="33"/>
      <c r="I216" s="38"/>
      <c r="J216" s="38"/>
      <c r="K216" s="38"/>
      <c r="L216" s="50" t="s">
        <v>275</v>
      </c>
      <c r="M216" s="38"/>
      <c r="N216" s="38"/>
      <c r="O216" s="38"/>
      <c r="P216" s="38"/>
      <c r="Q216" s="38"/>
      <c r="R216" s="38"/>
      <c r="S216" s="38"/>
      <c r="T216" s="38"/>
      <c r="U216" s="33">
        <f t="shared" si="15"/>
        <v>1</v>
      </c>
      <c r="V216" s="33">
        <f t="shared" si="16"/>
        <v>1</v>
      </c>
      <c r="W216" s="33">
        <f t="shared" si="17"/>
        <v>0</v>
      </c>
      <c r="X216" s="33">
        <f t="shared" si="18"/>
        <v>0</v>
      </c>
      <c r="Y216" s="33">
        <f ca="1">SUMPRODUCT((I216:INDEX(I216:T216,MONTH(TODAY()))="X")*1)</f>
        <v>0</v>
      </c>
      <c r="Z216" s="39">
        <f t="shared" si="19"/>
        <v>1</v>
      </c>
    </row>
    <row r="217" spans="1:26" x14ac:dyDescent="0.25">
      <c r="A217" s="37" t="str">
        <f>Equipos!C215</f>
        <v>2-125487</v>
      </c>
      <c r="B217" s="33" t="str">
        <f>Equipos!D215</f>
        <v xml:space="preserve">Ventilador Mecánico </v>
      </c>
      <c r="C217" s="33" t="str">
        <f>Equipos!E215</f>
        <v>UPC Pediátrica</v>
      </c>
      <c r="D217" s="33" t="str">
        <f>Equipos!G215</f>
        <v xml:space="preserve">Oficina </v>
      </c>
      <c r="E217" s="33" t="str">
        <f>Equipos!I215</f>
        <v>Philips</v>
      </c>
      <c r="F217" s="33" t="str">
        <f>Equipos!J215</f>
        <v>Trilogy 202</v>
      </c>
      <c r="G217" s="37" t="str">
        <f>Equipos!K215</f>
        <v>TV020010610</v>
      </c>
      <c r="H217" s="33"/>
      <c r="I217" s="38"/>
      <c r="J217" s="38"/>
      <c r="K217" s="50" t="s">
        <v>275</v>
      </c>
      <c r="L217" s="38"/>
      <c r="M217" s="38"/>
      <c r="N217" s="38"/>
      <c r="O217" s="38"/>
      <c r="P217" s="38"/>
      <c r="Q217" s="38"/>
      <c r="R217" s="38"/>
      <c r="S217" s="38"/>
      <c r="T217" s="38"/>
      <c r="U217" s="33">
        <f t="shared" si="15"/>
        <v>1</v>
      </c>
      <c r="V217" s="33">
        <f t="shared" si="16"/>
        <v>1</v>
      </c>
      <c r="W217" s="33">
        <f t="shared" si="17"/>
        <v>0</v>
      </c>
      <c r="X217" s="33">
        <f t="shared" si="18"/>
        <v>0</v>
      </c>
      <c r="Y217" s="33">
        <f ca="1">SUMPRODUCT((I217:INDEX(I217:T217,MONTH(TODAY()))="X")*1)</f>
        <v>0</v>
      </c>
      <c r="Z217" s="39">
        <f t="shared" si="19"/>
        <v>1</v>
      </c>
    </row>
    <row r="218" spans="1:26" x14ac:dyDescent="0.25">
      <c r="A218" s="37" t="str">
        <f>Equipos!C216</f>
        <v>2-125490</v>
      </c>
      <c r="B218" s="33" t="str">
        <f>Equipos!D216</f>
        <v xml:space="preserve">Ventilador Mecánico </v>
      </c>
      <c r="C218" s="33" t="str">
        <f>Equipos!E216</f>
        <v>Urgencia Adulto (Prestado a Urgencia Infantil)</v>
      </c>
      <c r="D218" s="33" t="str">
        <f>Equipos!G216</f>
        <v>Reanimación</v>
      </c>
      <c r="E218" s="33" t="str">
        <f>Equipos!I216</f>
        <v>Philips</v>
      </c>
      <c r="F218" s="33" t="str">
        <f>Equipos!J216</f>
        <v>Trilogy 202</v>
      </c>
      <c r="G218" s="37" t="str">
        <f>Equipos!K216</f>
        <v>TV019111203</v>
      </c>
      <c r="H218" s="33"/>
      <c r="I218" s="38"/>
      <c r="J218" s="38"/>
      <c r="K218" s="50" t="s">
        <v>276</v>
      </c>
      <c r="L218" s="50" t="s">
        <v>275</v>
      </c>
      <c r="M218" s="38"/>
      <c r="N218" s="38"/>
      <c r="O218" s="38"/>
      <c r="P218" s="38"/>
      <c r="Q218" s="38"/>
      <c r="R218" s="38"/>
      <c r="S218" s="38"/>
      <c r="T218" s="38"/>
      <c r="U218" s="33">
        <f t="shared" si="15"/>
        <v>2</v>
      </c>
      <c r="V218" s="33">
        <f t="shared" si="16"/>
        <v>1</v>
      </c>
      <c r="W218" s="33">
        <f t="shared" si="17"/>
        <v>0</v>
      </c>
      <c r="X218" s="33">
        <f t="shared" si="18"/>
        <v>0</v>
      </c>
      <c r="Y218" s="33">
        <f ca="1">SUMPRODUCT((I218:INDEX(I218:T218,MONTH(TODAY()))="X")*1)</f>
        <v>0</v>
      </c>
      <c r="Z218" s="39">
        <f t="shared" si="19"/>
        <v>0.5</v>
      </c>
    </row>
    <row r="219" spans="1:26" x14ac:dyDescent="0.25">
      <c r="A219" s="37" t="str">
        <f>Equipos!C217</f>
        <v>2-118676</v>
      </c>
      <c r="B219" s="33" t="str">
        <f>Equipos!D217</f>
        <v xml:space="preserve">Ventilador Mecánico </v>
      </c>
      <c r="C219" s="33" t="str">
        <f>Equipos!E217</f>
        <v>Urgencia Adulto</v>
      </c>
      <c r="D219" s="33" t="str">
        <f>Equipos!G217</f>
        <v>Sala equipos SUA</v>
      </c>
      <c r="E219" s="33" t="str">
        <f>Equipos!I217</f>
        <v>Drager</v>
      </c>
      <c r="F219" s="33" t="str">
        <f>Equipos!J217</f>
        <v xml:space="preserve">Carina </v>
      </c>
      <c r="G219" s="37" t="str">
        <f>Equipos!K217</f>
        <v>ASHC-0026</v>
      </c>
      <c r="H219" s="33"/>
      <c r="I219" s="38"/>
      <c r="J219" s="38"/>
      <c r="K219" s="38"/>
      <c r="L219" s="38"/>
      <c r="M219" s="50" t="s">
        <v>275</v>
      </c>
      <c r="N219" s="38"/>
      <c r="O219" s="38"/>
      <c r="P219" s="38"/>
      <c r="Q219" s="38"/>
      <c r="R219" s="38"/>
      <c r="S219" s="38"/>
      <c r="T219" s="38"/>
      <c r="U219" s="33">
        <f t="shared" si="15"/>
        <v>1</v>
      </c>
      <c r="V219" s="33">
        <f t="shared" si="16"/>
        <v>1</v>
      </c>
      <c r="W219" s="33">
        <f t="shared" si="17"/>
        <v>0</v>
      </c>
      <c r="X219" s="33">
        <f t="shared" si="18"/>
        <v>0</v>
      </c>
      <c r="Y219" s="33">
        <f ca="1">SUMPRODUCT((I219:INDEX(I219:T219,MONTH(TODAY()))="X")*1)</f>
        <v>0</v>
      </c>
      <c r="Z219" s="39">
        <f t="shared" si="19"/>
        <v>1</v>
      </c>
    </row>
    <row r="220" spans="1:26" x14ac:dyDescent="0.25">
      <c r="A220" s="37" t="str">
        <f>Equipos!C218</f>
        <v>2-119313</v>
      </c>
      <c r="B220" s="33" t="str">
        <f>Equipos!D218</f>
        <v xml:space="preserve">Ventilador Mecánico </v>
      </c>
      <c r="C220" s="33" t="str">
        <f>Equipos!E218</f>
        <v>UPC Cardiovascular</v>
      </c>
      <c r="D220" s="33" t="str">
        <f>Equipos!G218</f>
        <v>SALA EQUIPOS</v>
      </c>
      <c r="E220" s="33" t="str">
        <f>Equipos!I218</f>
        <v>Philips</v>
      </c>
      <c r="F220" s="33" t="str">
        <f>Equipos!J218</f>
        <v>Respironic V60</v>
      </c>
      <c r="G220" s="37" t="str">
        <f>Equipos!K218</f>
        <v>201038729</v>
      </c>
      <c r="H220" s="33"/>
      <c r="I220" s="38"/>
      <c r="J220" s="38"/>
      <c r="K220" s="50" t="s">
        <v>275</v>
      </c>
      <c r="L220" s="38"/>
      <c r="M220" s="38"/>
      <c r="N220" s="38"/>
      <c r="O220" s="38"/>
      <c r="P220" s="38"/>
      <c r="Q220" s="38"/>
      <c r="R220" s="38"/>
      <c r="S220" s="38"/>
      <c r="T220" s="38"/>
      <c r="U220" s="33">
        <f t="shared" si="15"/>
        <v>1</v>
      </c>
      <c r="V220" s="33">
        <f t="shared" si="16"/>
        <v>1</v>
      </c>
      <c r="W220" s="33">
        <f t="shared" si="17"/>
        <v>0</v>
      </c>
      <c r="X220" s="33">
        <f t="shared" si="18"/>
        <v>0</v>
      </c>
      <c r="Y220" s="33">
        <f ca="1">SUMPRODUCT((I220:INDEX(I220:T220,MONTH(TODAY()))="X")*1)</f>
        <v>0</v>
      </c>
      <c r="Z220" s="39">
        <f t="shared" si="19"/>
        <v>1</v>
      </c>
    </row>
    <row r="221" spans="1:26" x14ac:dyDescent="0.25">
      <c r="A221" s="37" t="str">
        <f>Equipos!C219</f>
        <v>2-125491</v>
      </c>
      <c r="B221" s="33" t="str">
        <f>Equipos!D219</f>
        <v xml:space="preserve">Ventilador Mecánico </v>
      </c>
      <c r="C221" s="33" t="str">
        <f>Equipos!E219</f>
        <v>Urgencia Adulto</v>
      </c>
      <c r="D221" s="33" t="str">
        <f>Equipos!G219</f>
        <v>Sala equipos SUA</v>
      </c>
      <c r="E221" s="33" t="str">
        <f>Equipos!I219</f>
        <v>Philips</v>
      </c>
      <c r="F221" s="33" t="str">
        <f>Equipos!J219</f>
        <v>Trilogy 202</v>
      </c>
      <c r="G221" s="37" t="str">
        <f>Equipos!K219</f>
        <v>TV02001060B</v>
      </c>
      <c r="H221" s="33"/>
      <c r="I221" s="38"/>
      <c r="J221" s="38"/>
      <c r="K221" s="50" t="s">
        <v>275</v>
      </c>
      <c r="L221" s="38"/>
      <c r="M221" s="38"/>
      <c r="N221" s="38"/>
      <c r="O221" s="38"/>
      <c r="P221" s="38"/>
      <c r="Q221" s="38"/>
      <c r="R221" s="38"/>
      <c r="S221" s="38"/>
      <c r="T221" s="38"/>
      <c r="U221" s="33">
        <f t="shared" si="15"/>
        <v>1</v>
      </c>
      <c r="V221" s="33">
        <f t="shared" si="16"/>
        <v>1</v>
      </c>
      <c r="W221" s="33">
        <f t="shared" si="17"/>
        <v>0</v>
      </c>
      <c r="X221" s="33">
        <f t="shared" si="18"/>
        <v>0</v>
      </c>
      <c r="Y221" s="33">
        <f ca="1">SUMPRODUCT((I221:INDEX(I221:T221,MONTH(TODAY()))="X")*1)</f>
        <v>0</v>
      </c>
      <c r="Z221" s="39">
        <f t="shared" si="19"/>
        <v>1</v>
      </c>
    </row>
    <row r="222" spans="1:26" x14ac:dyDescent="0.25">
      <c r="A222" s="37" t="str">
        <f>Equipos!C220</f>
        <v>2-116288</v>
      </c>
      <c r="B222" s="33" t="str">
        <f>Equipos!D220</f>
        <v xml:space="preserve">Ventilador Mecánico </v>
      </c>
      <c r="C222" s="33" t="str">
        <f>Equipos!E220</f>
        <v>Neonatología</v>
      </c>
      <c r="D222" s="33">
        <f>Equipos!G220</f>
        <v>0</v>
      </c>
      <c r="E222" s="33" t="str">
        <f>Equipos!I220</f>
        <v>Drager</v>
      </c>
      <c r="F222" s="33" t="str">
        <f>Equipos!J220</f>
        <v>VN500</v>
      </c>
      <c r="G222" s="37" t="str">
        <f>Equipos!K220</f>
        <v>ASJL-0099</v>
      </c>
      <c r="H222" s="33"/>
      <c r="I222" s="38"/>
      <c r="J222" s="38"/>
      <c r="K222" s="38"/>
      <c r="L222" s="38"/>
      <c r="M222" s="50" t="s">
        <v>275</v>
      </c>
      <c r="N222" s="38"/>
      <c r="O222" s="38"/>
      <c r="P222" s="38"/>
      <c r="Q222" s="38"/>
      <c r="R222" s="38"/>
      <c r="S222" s="38"/>
      <c r="T222" s="38"/>
      <c r="U222" s="33">
        <f t="shared" si="15"/>
        <v>1</v>
      </c>
      <c r="V222" s="33">
        <f t="shared" si="16"/>
        <v>1</v>
      </c>
      <c r="W222" s="33">
        <f t="shared" si="17"/>
        <v>0</v>
      </c>
      <c r="X222" s="33">
        <f t="shared" si="18"/>
        <v>0</v>
      </c>
      <c r="Y222" s="33">
        <f ca="1">SUMPRODUCT((I222:INDEX(I222:T222,MONTH(TODAY()))="X")*1)</f>
        <v>0</v>
      </c>
      <c r="Z222" s="39">
        <f t="shared" si="19"/>
        <v>1</v>
      </c>
    </row>
    <row r="223" spans="1:26" x14ac:dyDescent="0.25">
      <c r="A223" s="37" t="str">
        <f>Equipos!C221</f>
        <v>2-125488</v>
      </c>
      <c r="B223" s="33" t="str">
        <f>Equipos!D221</f>
        <v xml:space="preserve">Ventilador Mecánico </v>
      </c>
      <c r="C223" s="33" t="str">
        <f>Equipos!E221</f>
        <v>UPC Pediátrica</v>
      </c>
      <c r="D223" s="33" t="str">
        <f>Equipos!G221</f>
        <v xml:space="preserve">Oficina </v>
      </c>
      <c r="E223" s="33" t="str">
        <f>Equipos!I221</f>
        <v>Philips</v>
      </c>
      <c r="F223" s="33" t="str">
        <f>Equipos!J221</f>
        <v>Trilogy 202</v>
      </c>
      <c r="G223" s="37" t="str">
        <f>Equipos!K221</f>
        <v>TV020010608</v>
      </c>
      <c r="H223" s="33"/>
      <c r="I223" s="38"/>
      <c r="J223" s="38"/>
      <c r="K223" s="50" t="s">
        <v>275</v>
      </c>
      <c r="L223" s="38"/>
      <c r="M223" s="38"/>
      <c r="N223" s="38"/>
      <c r="O223" s="38"/>
      <c r="P223" s="38"/>
      <c r="Q223" s="38"/>
      <c r="R223" s="38"/>
      <c r="S223" s="38"/>
      <c r="T223" s="38"/>
      <c r="U223" s="33">
        <f t="shared" si="15"/>
        <v>1</v>
      </c>
      <c r="V223" s="33">
        <f t="shared" si="16"/>
        <v>1</v>
      </c>
      <c r="W223" s="33">
        <f t="shared" si="17"/>
        <v>0</v>
      </c>
      <c r="X223" s="33">
        <f t="shared" si="18"/>
        <v>0</v>
      </c>
      <c r="Y223" s="33">
        <f ca="1">SUMPRODUCT((I223:INDEX(I223:T223,MONTH(TODAY()))="X")*1)</f>
        <v>0</v>
      </c>
      <c r="Z223" s="39">
        <f t="shared" si="19"/>
        <v>1</v>
      </c>
    </row>
    <row r="224" spans="1:26" x14ac:dyDescent="0.25">
      <c r="A224" s="37" t="str">
        <f>Equipos!C222</f>
        <v>2-116289</v>
      </c>
      <c r="B224" s="33" t="str">
        <f>Equipos!D222</f>
        <v xml:space="preserve">Ventilador Mecánico </v>
      </c>
      <c r="C224" s="33" t="str">
        <f>Equipos!E222</f>
        <v>Neonatología</v>
      </c>
      <c r="D224" s="33">
        <f>Equipos!G222</f>
        <v>0</v>
      </c>
      <c r="E224" s="33" t="str">
        <f>Equipos!I222</f>
        <v>Drager</v>
      </c>
      <c r="F224" s="33" t="str">
        <f>Equipos!J222</f>
        <v>VN500</v>
      </c>
      <c r="G224" s="37" t="str">
        <f>Equipos!K222</f>
        <v>ASKK-0196</v>
      </c>
      <c r="H224" s="33"/>
      <c r="I224" s="38"/>
      <c r="J224" s="38"/>
      <c r="K224" s="38"/>
      <c r="L224" s="38"/>
      <c r="M224" s="50" t="s">
        <v>275</v>
      </c>
      <c r="N224" s="38"/>
      <c r="O224" s="38"/>
      <c r="P224" s="38"/>
      <c r="Q224" s="38"/>
      <c r="R224" s="38"/>
      <c r="S224" s="38"/>
      <c r="T224" s="38"/>
      <c r="U224" s="33">
        <f t="shared" si="15"/>
        <v>1</v>
      </c>
      <c r="V224" s="33">
        <f t="shared" si="16"/>
        <v>1</v>
      </c>
      <c r="W224" s="33">
        <f t="shared" si="17"/>
        <v>0</v>
      </c>
      <c r="X224" s="33">
        <f t="shared" si="18"/>
        <v>0</v>
      </c>
      <c r="Y224" s="33">
        <f ca="1">SUMPRODUCT((I224:INDEX(I224:T224,MONTH(TODAY()))="X")*1)</f>
        <v>0</v>
      </c>
      <c r="Z224" s="39">
        <f t="shared" si="19"/>
        <v>1</v>
      </c>
    </row>
    <row r="225" spans="1:26" x14ac:dyDescent="0.25">
      <c r="A225" s="37">
        <f>Equipos!C223</f>
        <v>0</v>
      </c>
      <c r="B225" s="33" t="str">
        <f>Equipos!D223</f>
        <v xml:space="preserve">Ventilador Mecánico </v>
      </c>
      <c r="C225" s="33">
        <f>Equipos!E223</f>
        <v>0</v>
      </c>
      <c r="D225" s="33">
        <f>Equipos!G223</f>
        <v>0</v>
      </c>
      <c r="E225" s="33">
        <f>Equipos!I223</f>
        <v>0</v>
      </c>
      <c r="F225" s="33">
        <f>Equipos!J223</f>
        <v>0</v>
      </c>
      <c r="G225" s="37">
        <f>Equipos!K223</f>
        <v>0</v>
      </c>
      <c r="H225" s="33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3">
        <f t="shared" si="15"/>
        <v>0</v>
      </c>
      <c r="V225" s="33">
        <f t="shared" si="16"/>
        <v>0</v>
      </c>
      <c r="W225" s="33">
        <f t="shared" si="17"/>
        <v>0</v>
      </c>
      <c r="X225" s="33">
        <f t="shared" si="18"/>
        <v>0</v>
      </c>
      <c r="Y225" s="33">
        <f ca="1">SUMPRODUCT((I225:INDEX(I225:T225,MONTH(TODAY()))="X")*1)</f>
        <v>0</v>
      </c>
      <c r="Z225" s="39" t="str">
        <f t="shared" si="19"/>
        <v/>
      </c>
    </row>
    <row r="226" spans="1:26" x14ac:dyDescent="0.25">
      <c r="A226" s="37">
        <f>Equipos!C224</f>
        <v>0</v>
      </c>
      <c r="B226" s="33" t="str">
        <f>Equipos!D224</f>
        <v xml:space="preserve">Ventilador Mecánico </v>
      </c>
      <c r="C226" s="33">
        <f>Equipos!E224</f>
        <v>0</v>
      </c>
      <c r="D226" s="33">
        <f>Equipos!G224</f>
        <v>0</v>
      </c>
      <c r="E226" s="33">
        <f>Equipos!I224</f>
        <v>0</v>
      </c>
      <c r="F226" s="33">
        <f>Equipos!J224</f>
        <v>0</v>
      </c>
      <c r="G226" s="37">
        <f>Equipos!K224</f>
        <v>0</v>
      </c>
      <c r="H226" s="33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3">
        <f t="shared" si="15"/>
        <v>0</v>
      </c>
      <c r="V226" s="33">
        <f t="shared" si="16"/>
        <v>0</v>
      </c>
      <c r="W226" s="33">
        <f t="shared" si="17"/>
        <v>0</v>
      </c>
      <c r="X226" s="33">
        <f t="shared" si="18"/>
        <v>0</v>
      </c>
      <c r="Y226" s="33">
        <f ca="1">SUMPRODUCT((I226:INDEX(I226:T226,MONTH(TODAY()))="X")*1)</f>
        <v>0</v>
      </c>
      <c r="Z226" s="39" t="str">
        <f t="shared" si="19"/>
        <v/>
      </c>
    </row>
    <row r="227" spans="1:26" x14ac:dyDescent="0.25">
      <c r="A227" s="37">
        <f>Equipos!C225</f>
        <v>0</v>
      </c>
      <c r="B227" s="33" t="str">
        <f>Equipos!D225</f>
        <v xml:space="preserve">Ventilador Mecánico </v>
      </c>
      <c r="C227" s="33">
        <f>Equipos!E225</f>
        <v>0</v>
      </c>
      <c r="D227" s="33">
        <f>Equipos!G225</f>
        <v>0</v>
      </c>
      <c r="E227" s="33">
        <f>Equipos!I225</f>
        <v>0</v>
      </c>
      <c r="F227" s="33">
        <f>Equipos!J225</f>
        <v>0</v>
      </c>
      <c r="G227" s="37">
        <f>Equipos!K225</f>
        <v>0</v>
      </c>
      <c r="H227" s="33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3">
        <f t="shared" si="15"/>
        <v>0</v>
      </c>
      <c r="V227" s="33">
        <f t="shared" si="16"/>
        <v>0</v>
      </c>
      <c r="W227" s="33">
        <f t="shared" si="17"/>
        <v>0</v>
      </c>
      <c r="X227" s="33">
        <f t="shared" si="18"/>
        <v>0</v>
      </c>
      <c r="Y227" s="33">
        <f ca="1">SUMPRODUCT((I227:INDEX(I227:T227,MONTH(TODAY()))="X")*1)</f>
        <v>0</v>
      </c>
      <c r="Z227" s="39" t="str">
        <f t="shared" si="19"/>
        <v/>
      </c>
    </row>
    <row r="228" spans="1:26" x14ac:dyDescent="0.25">
      <c r="A228" s="37">
        <f>Equipos!C226</f>
        <v>0</v>
      </c>
      <c r="B228" s="33" t="str">
        <f>Equipos!D226</f>
        <v xml:space="preserve">Ventilador Mecánico </v>
      </c>
      <c r="C228" s="33">
        <f>Equipos!E226</f>
        <v>0</v>
      </c>
      <c r="D228" s="33">
        <f>Equipos!G226</f>
        <v>0</v>
      </c>
      <c r="E228" s="33">
        <f>Equipos!I226</f>
        <v>0</v>
      </c>
      <c r="F228" s="33">
        <f>Equipos!J226</f>
        <v>0</v>
      </c>
      <c r="G228" s="37">
        <f>Equipos!K226</f>
        <v>0</v>
      </c>
      <c r="H228" s="33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3">
        <f t="shared" si="15"/>
        <v>0</v>
      </c>
      <c r="V228" s="33">
        <f t="shared" si="16"/>
        <v>0</v>
      </c>
      <c r="W228" s="33">
        <f t="shared" si="17"/>
        <v>0</v>
      </c>
      <c r="X228" s="33">
        <f t="shared" si="18"/>
        <v>0</v>
      </c>
      <c r="Y228" s="33">
        <f ca="1">SUMPRODUCT((I228:INDEX(I228:T228,MONTH(TODAY()))="X")*1)</f>
        <v>0</v>
      </c>
      <c r="Z228" s="39" t="str">
        <f t="shared" si="19"/>
        <v/>
      </c>
    </row>
    <row r="229" spans="1:26" x14ac:dyDescent="0.25">
      <c r="A229" s="37" t="str">
        <f>Equipos!C227</f>
        <v>2-125401</v>
      </c>
      <c r="B229" s="33" t="str">
        <f>Equipos!D227</f>
        <v xml:space="preserve">Ventilador Mecánico </v>
      </c>
      <c r="C229" s="33" t="str">
        <f>Equipos!E227</f>
        <v>SAMU</v>
      </c>
      <c r="D229" s="33">
        <f>Equipos!G227</f>
        <v>0</v>
      </c>
      <c r="E229" s="33" t="str">
        <f>Equipos!I227</f>
        <v>Hamilton</v>
      </c>
      <c r="F229" s="33" t="str">
        <f>Equipos!J227</f>
        <v>T1</v>
      </c>
      <c r="G229" s="37" t="str">
        <f>Equipos!K227</f>
        <v>27365</v>
      </c>
      <c r="H229" s="33"/>
      <c r="I229" s="38"/>
      <c r="J229" s="38"/>
      <c r="K229" s="50" t="s">
        <v>275</v>
      </c>
      <c r="L229" s="38"/>
      <c r="M229" s="38"/>
      <c r="N229" s="38"/>
      <c r="O229" s="38"/>
      <c r="P229" s="38"/>
      <c r="Q229" s="38"/>
      <c r="R229" s="38"/>
      <c r="S229" s="38"/>
      <c r="T229" s="38"/>
      <c r="U229" s="33">
        <f t="shared" si="15"/>
        <v>1</v>
      </c>
      <c r="V229" s="33">
        <f t="shared" si="16"/>
        <v>1</v>
      </c>
      <c r="W229" s="33">
        <f t="shared" si="17"/>
        <v>0</v>
      </c>
      <c r="X229" s="33">
        <f t="shared" si="18"/>
        <v>0</v>
      </c>
      <c r="Y229" s="33">
        <f ca="1">SUMPRODUCT((I229:INDEX(I229:T229,MONTH(TODAY()))="X")*1)</f>
        <v>0</v>
      </c>
      <c r="Z229" s="39">
        <f t="shared" si="19"/>
        <v>1</v>
      </c>
    </row>
    <row r="230" spans="1:26" x14ac:dyDescent="0.25">
      <c r="A230" s="37" t="str">
        <f>Equipos!C228</f>
        <v>2-112320</v>
      </c>
      <c r="B230" s="33" t="str">
        <f>Equipos!D228</f>
        <v xml:space="preserve">Ventilador Mecánico </v>
      </c>
      <c r="C230" s="33" t="str">
        <f>Equipos!E228</f>
        <v>Urgencia Adulto</v>
      </c>
      <c r="D230" s="33" t="str">
        <f>Equipos!G228</f>
        <v>Sala equipos SUA</v>
      </c>
      <c r="E230" s="33" t="str">
        <f>Equipos!I228</f>
        <v>Drager</v>
      </c>
      <c r="F230" s="33" t="str">
        <f>Equipos!J228</f>
        <v>Oxylog 3000</v>
      </c>
      <c r="G230" s="37" t="str">
        <f>Equipos!K228</f>
        <v>ASCL-0118</v>
      </c>
      <c r="H230" s="33"/>
      <c r="I230" s="38"/>
      <c r="J230" s="38"/>
      <c r="K230" s="38"/>
      <c r="L230" s="38"/>
      <c r="M230" s="50" t="s">
        <v>275</v>
      </c>
      <c r="N230" s="38"/>
      <c r="O230" s="38"/>
      <c r="P230" s="38"/>
      <c r="Q230" s="38"/>
      <c r="R230" s="38"/>
      <c r="S230" s="38"/>
      <c r="T230" s="38"/>
      <c r="U230" s="33">
        <f t="shared" si="15"/>
        <v>1</v>
      </c>
      <c r="V230" s="33">
        <f t="shared" si="16"/>
        <v>1</v>
      </c>
      <c r="W230" s="33">
        <f t="shared" si="17"/>
        <v>0</v>
      </c>
      <c r="X230" s="33">
        <f t="shared" si="18"/>
        <v>0</v>
      </c>
      <c r="Y230" s="33">
        <f ca="1">SUMPRODUCT((I230:INDEX(I230:T230,MONTH(TODAY()))="X")*1)</f>
        <v>0</v>
      </c>
      <c r="Z230" s="39">
        <f t="shared" si="19"/>
        <v>1</v>
      </c>
    </row>
    <row r="231" spans="1:26" x14ac:dyDescent="0.25">
      <c r="A231" s="37">
        <f>Equipos!C229</f>
        <v>0</v>
      </c>
      <c r="B231" s="33" t="str">
        <f>Equipos!D229</f>
        <v xml:space="preserve">Ventilador Mecánico </v>
      </c>
      <c r="C231" s="33" t="str">
        <f>Equipos!E229</f>
        <v>UPC Adulto</v>
      </c>
      <c r="D231" s="33">
        <f>Equipos!G229</f>
        <v>0</v>
      </c>
      <c r="E231" s="33" t="str">
        <f>Equipos!I229</f>
        <v>Philips</v>
      </c>
      <c r="F231" s="33" t="str">
        <f>Equipos!J229</f>
        <v>EV300</v>
      </c>
      <c r="G231" s="37" t="str">
        <f>Equipos!K229</f>
        <v>H377386649137</v>
      </c>
      <c r="H231" s="33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3">
        <f t="shared" si="15"/>
        <v>0</v>
      </c>
      <c r="V231" s="33">
        <f t="shared" si="16"/>
        <v>0</v>
      </c>
      <c r="W231" s="33">
        <f t="shared" si="17"/>
        <v>0</v>
      </c>
      <c r="X231" s="33">
        <f t="shared" si="18"/>
        <v>0</v>
      </c>
      <c r="Y231" s="33">
        <f ca="1">SUMPRODUCT((I231:INDEX(I231:T231,MONTH(TODAY()))="X")*1)</f>
        <v>0</v>
      </c>
      <c r="Z231" s="39" t="str">
        <f t="shared" si="19"/>
        <v/>
      </c>
    </row>
    <row r="232" spans="1:26" x14ac:dyDescent="0.25">
      <c r="A232" s="37" t="str">
        <f>Equipos!C230</f>
        <v>2-007500</v>
      </c>
      <c r="B232" s="33" t="str">
        <f>Equipos!D230</f>
        <v xml:space="preserve">Ventilador Mecánico </v>
      </c>
      <c r="C232" s="33" t="str">
        <f>Equipos!E230</f>
        <v>UPC Adulto</v>
      </c>
      <c r="D232" s="33">
        <f>Equipos!G230</f>
        <v>0</v>
      </c>
      <c r="E232" s="33" t="str">
        <f>Equipos!I230</f>
        <v>Puritan Bennett</v>
      </c>
      <c r="F232" s="33" t="str">
        <f>Equipos!J230</f>
        <v>840/Sin Comp.</v>
      </c>
      <c r="G232" s="37" t="str">
        <f>Equipos!K230</f>
        <v>3510053115</v>
      </c>
      <c r="H232" s="33"/>
      <c r="I232" s="38"/>
      <c r="J232" s="38"/>
      <c r="K232" s="50" t="s">
        <v>277</v>
      </c>
      <c r="L232" s="38"/>
      <c r="M232" s="38"/>
      <c r="N232" s="38"/>
      <c r="O232" s="38"/>
      <c r="P232" s="38"/>
      <c r="Q232" s="38"/>
      <c r="R232" s="38"/>
      <c r="S232" s="38"/>
      <c r="T232" s="38"/>
      <c r="U232" s="33">
        <f t="shared" si="15"/>
        <v>1</v>
      </c>
      <c r="V232" s="33">
        <f t="shared" si="16"/>
        <v>0</v>
      </c>
      <c r="W232" s="33">
        <f t="shared" si="17"/>
        <v>0</v>
      </c>
      <c r="X232" s="33">
        <f t="shared" si="18"/>
        <v>1</v>
      </c>
      <c r="Y232" s="33">
        <f ca="1">SUMPRODUCT((I232:INDEX(I232:T232,MONTH(TODAY()))="X")*1)</f>
        <v>0</v>
      </c>
      <c r="Z232" s="39">
        <f t="shared" si="19"/>
        <v>0</v>
      </c>
    </row>
    <row r="233" spans="1:26" x14ac:dyDescent="0.25">
      <c r="A233" s="37" t="str">
        <f>Equipos!C231</f>
        <v>2-121785</v>
      </c>
      <c r="B233" s="33" t="str">
        <f>Equipos!D231</f>
        <v xml:space="preserve">Ventilador Mecánico </v>
      </c>
      <c r="C233" s="33" t="str">
        <f>Equipos!E231</f>
        <v>UPC Cardiovascular</v>
      </c>
      <c r="D233" s="33">
        <f>Equipos!G231</f>
        <v>0</v>
      </c>
      <c r="E233" s="33" t="str">
        <f>Equipos!I231</f>
        <v>Puritan Bennett</v>
      </c>
      <c r="F233" s="33" t="str">
        <f>Equipos!J231</f>
        <v>980/cc</v>
      </c>
      <c r="G233" s="37" t="str">
        <f>Equipos!K231</f>
        <v>35B2100833</v>
      </c>
      <c r="H233" s="33"/>
      <c r="I233" s="38"/>
      <c r="J233" s="38"/>
      <c r="K233" s="50" t="s">
        <v>276</v>
      </c>
      <c r="L233" s="50" t="s">
        <v>275</v>
      </c>
      <c r="M233" s="38"/>
      <c r="N233" s="38"/>
      <c r="O233" s="38"/>
      <c r="P233" s="38"/>
      <c r="Q233" s="38"/>
      <c r="R233" s="38"/>
      <c r="S233" s="38"/>
      <c r="T233" s="38"/>
      <c r="U233" s="33">
        <f t="shared" si="15"/>
        <v>2</v>
      </c>
      <c r="V233" s="33">
        <f t="shared" si="16"/>
        <v>1</v>
      </c>
      <c r="W233" s="33">
        <f t="shared" si="17"/>
        <v>0</v>
      </c>
      <c r="X233" s="33">
        <f t="shared" si="18"/>
        <v>0</v>
      </c>
      <c r="Y233" s="33">
        <f ca="1">SUMPRODUCT((I233:INDEX(I233:T233,MONTH(TODAY()))="X")*1)</f>
        <v>0</v>
      </c>
      <c r="Z233" s="39">
        <f t="shared" si="19"/>
        <v>0.5</v>
      </c>
    </row>
    <row r="234" spans="1:26" x14ac:dyDescent="0.25">
      <c r="A234" s="37" t="str">
        <f>Equipos!C232</f>
        <v>2-125348</v>
      </c>
      <c r="B234" s="33" t="str">
        <f>Equipos!D232</f>
        <v xml:space="preserve">Ventilador Mecánico </v>
      </c>
      <c r="C234" s="33" t="str">
        <f>Equipos!E232</f>
        <v>SAMU</v>
      </c>
      <c r="D234" s="33">
        <f>Equipos!G232</f>
        <v>0</v>
      </c>
      <c r="E234" s="33" t="str">
        <f>Equipos!I232</f>
        <v>Hamilton</v>
      </c>
      <c r="F234" s="33" t="str">
        <f>Equipos!J232</f>
        <v>T1</v>
      </c>
      <c r="G234" s="37" t="str">
        <f>Equipos!K232</f>
        <v>27332</v>
      </c>
      <c r="H234" s="33"/>
      <c r="I234" s="38"/>
      <c r="J234" s="38"/>
      <c r="K234" s="50" t="s">
        <v>275</v>
      </c>
      <c r="L234" s="38"/>
      <c r="M234" s="38"/>
      <c r="N234" s="38"/>
      <c r="O234" s="38"/>
      <c r="P234" s="38"/>
      <c r="Q234" s="38"/>
      <c r="R234" s="38"/>
      <c r="S234" s="38"/>
      <c r="T234" s="38"/>
      <c r="U234" s="33">
        <f t="shared" si="15"/>
        <v>1</v>
      </c>
      <c r="V234" s="33">
        <f t="shared" si="16"/>
        <v>1</v>
      </c>
      <c r="W234" s="33">
        <f t="shared" si="17"/>
        <v>0</v>
      </c>
      <c r="X234" s="33">
        <f t="shared" si="18"/>
        <v>0</v>
      </c>
      <c r="Y234" s="33">
        <f ca="1">SUMPRODUCT((I234:INDEX(I234:T234,MONTH(TODAY()))="X")*1)</f>
        <v>0</v>
      </c>
      <c r="Z234" s="39">
        <f t="shared" si="19"/>
        <v>1</v>
      </c>
    </row>
    <row r="235" spans="1:26" x14ac:dyDescent="0.25">
      <c r="A235" s="37" t="str">
        <f>Equipos!C233</f>
        <v>2-116290</v>
      </c>
      <c r="B235" s="33" t="str">
        <f>Equipos!D233</f>
        <v xml:space="preserve">Ventilador Mecánico </v>
      </c>
      <c r="C235" s="33" t="str">
        <f>Equipos!E233</f>
        <v>Neonatología</v>
      </c>
      <c r="D235" s="33">
        <f>Equipos!G233</f>
        <v>0</v>
      </c>
      <c r="E235" s="33" t="str">
        <f>Equipos!I233</f>
        <v>Drager</v>
      </c>
      <c r="F235" s="33" t="str">
        <f>Equipos!J233</f>
        <v>VN500</v>
      </c>
      <c r="G235" s="37" t="str">
        <f>Equipos!K233</f>
        <v>ASKK-0198</v>
      </c>
      <c r="H235" s="33"/>
      <c r="I235" s="38"/>
      <c r="J235" s="38"/>
      <c r="K235" s="38"/>
      <c r="L235" s="38"/>
      <c r="M235" s="50" t="s">
        <v>275</v>
      </c>
      <c r="N235" s="38"/>
      <c r="O235" s="38"/>
      <c r="P235" s="38"/>
      <c r="Q235" s="38"/>
      <c r="R235" s="38"/>
      <c r="S235" s="38"/>
      <c r="T235" s="38"/>
      <c r="U235" s="33">
        <f t="shared" si="15"/>
        <v>1</v>
      </c>
      <c r="V235" s="33">
        <f t="shared" si="16"/>
        <v>1</v>
      </c>
      <c r="W235" s="33">
        <f t="shared" si="17"/>
        <v>0</v>
      </c>
      <c r="X235" s="33">
        <f t="shared" si="18"/>
        <v>0</v>
      </c>
      <c r="Y235" s="33">
        <f ca="1">SUMPRODUCT((I235:INDEX(I235:T235,MONTH(TODAY()))="X")*1)</f>
        <v>0</v>
      </c>
      <c r="Z235" s="39">
        <f t="shared" si="19"/>
        <v>1</v>
      </c>
    </row>
    <row r="236" spans="1:26" x14ac:dyDescent="0.25">
      <c r="A236" s="37" t="str">
        <f>Equipos!C234</f>
        <v>2-133451</v>
      </c>
      <c r="B236" s="33" t="str">
        <f>Equipos!D234</f>
        <v xml:space="preserve">Ventilador Mecánico </v>
      </c>
      <c r="C236" s="33" t="str">
        <f>Equipos!E234</f>
        <v>Urgencia Adulto</v>
      </c>
      <c r="D236" s="33">
        <f>Equipos!G234</f>
        <v>0</v>
      </c>
      <c r="E236" s="33" t="str">
        <f>Equipos!I234</f>
        <v>Hamilton</v>
      </c>
      <c r="F236" s="33" t="str">
        <f>Equipos!J234</f>
        <v>MR1</v>
      </c>
      <c r="G236" s="37" t="str">
        <f>Equipos!K234</f>
        <v>5497</v>
      </c>
      <c r="H236" s="33"/>
      <c r="I236" s="38"/>
      <c r="J236" s="38"/>
      <c r="K236" s="50" t="s">
        <v>275</v>
      </c>
      <c r="L236" s="38"/>
      <c r="M236" s="38"/>
      <c r="N236" s="38"/>
      <c r="O236" s="38"/>
      <c r="P236" s="38"/>
      <c r="Q236" s="38"/>
      <c r="R236" s="38"/>
      <c r="S236" s="38"/>
      <c r="T236" s="38"/>
      <c r="U236" s="33">
        <f t="shared" si="15"/>
        <v>1</v>
      </c>
      <c r="V236" s="33">
        <f t="shared" si="16"/>
        <v>1</v>
      </c>
      <c r="W236" s="33">
        <f t="shared" si="17"/>
        <v>0</v>
      </c>
      <c r="X236" s="33">
        <f t="shared" si="18"/>
        <v>0</v>
      </c>
      <c r="Y236" s="33">
        <f ca="1">SUMPRODUCT((I236:INDEX(I236:T236,MONTH(TODAY()))="X")*1)</f>
        <v>0</v>
      </c>
      <c r="Z236" s="39">
        <f t="shared" si="19"/>
        <v>1</v>
      </c>
    </row>
    <row r="237" spans="1:26" x14ac:dyDescent="0.25">
      <c r="A237" s="37">
        <f>Equipos!C235</f>
        <v>0</v>
      </c>
      <c r="B237" s="33" t="str">
        <f>Equipos!D235</f>
        <v xml:space="preserve">Ventilador Mecánico </v>
      </c>
      <c r="C237" s="33">
        <f>Equipos!E235</f>
        <v>0</v>
      </c>
      <c r="D237" s="33">
        <f>Equipos!G235</f>
        <v>0</v>
      </c>
      <c r="E237" s="33">
        <f>Equipos!I235</f>
        <v>0</v>
      </c>
      <c r="F237" s="33">
        <f>Equipos!J235</f>
        <v>0</v>
      </c>
      <c r="G237" s="37">
        <f>Equipos!K235</f>
        <v>0</v>
      </c>
      <c r="H237" s="33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3">
        <f t="shared" si="15"/>
        <v>0</v>
      </c>
      <c r="V237" s="33">
        <f t="shared" si="16"/>
        <v>0</v>
      </c>
      <c r="W237" s="33">
        <f t="shared" si="17"/>
        <v>0</v>
      </c>
      <c r="X237" s="33">
        <f t="shared" si="18"/>
        <v>0</v>
      </c>
      <c r="Y237" s="33">
        <f ca="1">SUMPRODUCT((I237:INDEX(I237:T237,MONTH(TODAY()))="X")*1)</f>
        <v>0</v>
      </c>
      <c r="Z237" s="39" t="str">
        <f t="shared" si="19"/>
        <v/>
      </c>
    </row>
    <row r="238" spans="1:26" x14ac:dyDescent="0.25">
      <c r="A238" s="37" t="str">
        <f>Equipos!C236</f>
        <v>2-112325</v>
      </c>
      <c r="B238" s="33" t="str">
        <f>Equipos!D236</f>
        <v xml:space="preserve">Ventilador Mecánico </v>
      </c>
      <c r="C238" s="33" t="str">
        <f>Equipos!E236</f>
        <v>Urgencia Adulto (Prestado a UPC Cardiovascular)</v>
      </c>
      <c r="D238" s="33" t="str">
        <f>Equipos!G236</f>
        <v>UPC Cardiovascular</v>
      </c>
      <c r="E238" s="33" t="str">
        <f>Equipos!I236</f>
        <v>Puritan Bennett</v>
      </c>
      <c r="F238" s="33" t="str">
        <f>Equipos!J236</f>
        <v>840/Sin Comp.</v>
      </c>
      <c r="G238" s="37" t="str">
        <f>Equipos!K236</f>
        <v>3512141901</v>
      </c>
      <c r="H238" s="33"/>
      <c r="I238" s="38"/>
      <c r="J238" s="38"/>
      <c r="K238" s="50" t="s">
        <v>276</v>
      </c>
      <c r="L238" s="50" t="s">
        <v>275</v>
      </c>
      <c r="M238" s="38"/>
      <c r="N238" s="38"/>
      <c r="O238" s="38"/>
      <c r="P238" s="38"/>
      <c r="Q238" s="38"/>
      <c r="R238" s="38"/>
      <c r="S238" s="38"/>
      <c r="T238" s="38"/>
      <c r="U238" s="33">
        <f t="shared" si="15"/>
        <v>2</v>
      </c>
      <c r="V238" s="33">
        <f t="shared" si="16"/>
        <v>1</v>
      </c>
      <c r="W238" s="33">
        <f t="shared" si="17"/>
        <v>0</v>
      </c>
      <c r="X238" s="33">
        <f t="shared" si="18"/>
        <v>0</v>
      </c>
      <c r="Y238" s="33">
        <f ca="1">SUMPRODUCT((I238:INDEX(I238:T238,MONTH(TODAY()))="X")*1)</f>
        <v>0</v>
      </c>
      <c r="Z238" s="39">
        <f t="shared" si="19"/>
        <v>0.5</v>
      </c>
    </row>
    <row r="239" spans="1:26" x14ac:dyDescent="0.25">
      <c r="A239" s="37" t="str">
        <f>Equipos!C237</f>
        <v>2-007497</v>
      </c>
      <c r="B239" s="33" t="str">
        <f>Equipos!D237</f>
        <v xml:space="preserve">Ventilador Mecánico </v>
      </c>
      <c r="C239" s="33" t="str">
        <f>Equipos!E237</f>
        <v>UPC Adulto</v>
      </c>
      <c r="D239" s="33" t="str">
        <f>Equipos!G237</f>
        <v>UPC-P2-SA19</v>
      </c>
      <c r="E239" s="33" t="str">
        <f>Equipos!I237</f>
        <v xml:space="preserve">Drager </v>
      </c>
      <c r="F239" s="33" t="str">
        <f>Equipos!J237</f>
        <v>Oxylog 3000</v>
      </c>
      <c r="G239" s="37" t="str">
        <f>Equipos!K237</f>
        <v>ASFM-0081</v>
      </c>
      <c r="H239" s="33"/>
      <c r="I239" s="50" t="s">
        <v>276</v>
      </c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3">
        <f t="shared" si="15"/>
        <v>1</v>
      </c>
      <c r="V239" s="33">
        <f t="shared" si="16"/>
        <v>0</v>
      </c>
      <c r="W239" s="33">
        <f t="shared" si="17"/>
        <v>0</v>
      </c>
      <c r="X239" s="33">
        <f t="shared" si="18"/>
        <v>0</v>
      </c>
      <c r="Y239" s="33">
        <f ca="1">SUMPRODUCT((I239:INDEX(I239:T239,MONTH(TODAY()))="X")*1)</f>
        <v>0</v>
      </c>
      <c r="Z239" s="39">
        <f t="shared" si="19"/>
        <v>0</v>
      </c>
    </row>
    <row r="240" spans="1:26" x14ac:dyDescent="0.25">
      <c r="A240" s="37" t="str">
        <f>Equipos!C238</f>
        <v>2-013598</v>
      </c>
      <c r="B240" s="33" t="str">
        <f>Equipos!D238</f>
        <v xml:space="preserve">Ventilador Mecánico </v>
      </c>
      <c r="C240" s="33" t="str">
        <f>Equipos!E238</f>
        <v>UPC Adulto</v>
      </c>
      <c r="D240" s="33" t="str">
        <f>Equipos!G238</f>
        <v>UPC-P2-SA19</v>
      </c>
      <c r="E240" s="33" t="str">
        <f>Equipos!I238</f>
        <v xml:space="preserve">Drager </v>
      </c>
      <c r="F240" s="33" t="str">
        <f>Equipos!J238</f>
        <v>Oxylog 3000</v>
      </c>
      <c r="G240" s="37" t="str">
        <f>Equipos!K238</f>
        <v>ASFM-0082</v>
      </c>
      <c r="H240" s="33"/>
      <c r="I240" s="38"/>
      <c r="J240" s="38"/>
      <c r="K240" s="38"/>
      <c r="L240" s="50" t="s">
        <v>276</v>
      </c>
      <c r="M240" s="50" t="s">
        <v>275</v>
      </c>
      <c r="N240" s="38"/>
      <c r="O240" s="38"/>
      <c r="P240" s="38"/>
      <c r="Q240" s="38"/>
      <c r="R240" s="38"/>
      <c r="S240" s="38"/>
      <c r="T240" s="38"/>
      <c r="U240" s="33">
        <f t="shared" si="15"/>
        <v>2</v>
      </c>
      <c r="V240" s="33">
        <f t="shared" si="16"/>
        <v>1</v>
      </c>
      <c r="W240" s="33">
        <f t="shared" si="17"/>
        <v>0</v>
      </c>
      <c r="X240" s="33">
        <f t="shared" si="18"/>
        <v>0</v>
      </c>
      <c r="Y240" s="33">
        <f ca="1">SUMPRODUCT((I240:INDEX(I240:T240,MONTH(TODAY()))="X")*1)</f>
        <v>0</v>
      </c>
      <c r="Z240" s="39">
        <f t="shared" si="19"/>
        <v>0.5</v>
      </c>
    </row>
    <row r="241" spans="1:26" x14ac:dyDescent="0.25">
      <c r="A241" s="37" t="str">
        <f>Equipos!C239</f>
        <v>2-112326</v>
      </c>
      <c r="B241" s="33" t="str">
        <f>Equipos!D239</f>
        <v xml:space="preserve">Ventilador Mecánico </v>
      </c>
      <c r="C241" s="33" t="str">
        <f>Equipos!E239</f>
        <v>UPC Adulto</v>
      </c>
      <c r="D241" s="33">
        <f>Equipos!G239</f>
        <v>0</v>
      </c>
      <c r="E241" s="33" t="str">
        <f>Equipos!I239</f>
        <v>Drager</v>
      </c>
      <c r="F241" s="33" t="str">
        <f>Equipos!J239</f>
        <v xml:space="preserve">Carina </v>
      </c>
      <c r="G241" s="37" t="str">
        <f>Equipos!K239</f>
        <v>ASFN-0010</v>
      </c>
      <c r="H241" s="33"/>
      <c r="I241" s="50" t="s">
        <v>276</v>
      </c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3">
        <f t="shared" si="15"/>
        <v>1</v>
      </c>
      <c r="V241" s="33">
        <f t="shared" si="16"/>
        <v>0</v>
      </c>
      <c r="W241" s="33">
        <f t="shared" si="17"/>
        <v>0</v>
      </c>
      <c r="X241" s="33">
        <f t="shared" si="18"/>
        <v>0</v>
      </c>
      <c r="Y241" s="33">
        <f ca="1">SUMPRODUCT((I241:INDEX(I241:T241,MONTH(TODAY()))="X")*1)</f>
        <v>0</v>
      </c>
      <c r="Z241" s="39">
        <f t="shared" si="19"/>
        <v>0</v>
      </c>
    </row>
    <row r="242" spans="1:26" x14ac:dyDescent="0.25">
      <c r="A242" s="37" t="str">
        <f>Equipos!C240</f>
        <v>2-013590</v>
      </c>
      <c r="B242" s="33" t="str">
        <f>Equipos!D240</f>
        <v xml:space="preserve">Ventilador Mecánico </v>
      </c>
      <c r="C242" s="33" t="str">
        <f>Equipos!E240</f>
        <v>UPC Adulto</v>
      </c>
      <c r="D242" s="33" t="str">
        <f>Equipos!G240</f>
        <v>UPC-P2-SA19</v>
      </c>
      <c r="E242" s="33" t="str">
        <f>Equipos!I240</f>
        <v>Drager</v>
      </c>
      <c r="F242" s="33" t="str">
        <f>Equipos!J240</f>
        <v xml:space="preserve">Carina </v>
      </c>
      <c r="G242" s="37" t="str">
        <f>Equipos!K240</f>
        <v>ASFN-0008</v>
      </c>
      <c r="H242" s="33"/>
      <c r="I242" s="50" t="s">
        <v>276</v>
      </c>
      <c r="J242" s="38"/>
      <c r="K242" s="38"/>
      <c r="L242" s="50" t="s">
        <v>277</v>
      </c>
      <c r="M242" s="50" t="s">
        <v>275</v>
      </c>
      <c r="N242" s="38"/>
      <c r="O242" s="38"/>
      <c r="P242" s="38"/>
      <c r="Q242" s="38"/>
      <c r="R242" s="38"/>
      <c r="S242" s="38"/>
      <c r="T242" s="38"/>
      <c r="U242" s="33">
        <f t="shared" si="15"/>
        <v>3</v>
      </c>
      <c r="V242" s="33">
        <f t="shared" si="16"/>
        <v>1</v>
      </c>
      <c r="W242" s="33">
        <f t="shared" si="17"/>
        <v>0</v>
      </c>
      <c r="X242" s="33">
        <f t="shared" si="18"/>
        <v>1</v>
      </c>
      <c r="Y242" s="33">
        <f ca="1">SUMPRODUCT((I242:INDEX(I242:T242,MONTH(TODAY()))="X")*1)</f>
        <v>0</v>
      </c>
      <c r="Z242" s="39">
        <f t="shared" si="19"/>
        <v>0.33333333333333331</v>
      </c>
    </row>
    <row r="243" spans="1:26" x14ac:dyDescent="0.25">
      <c r="A243" s="37" t="str">
        <f>Equipos!C241</f>
        <v>2-013589</v>
      </c>
      <c r="B243" s="33" t="str">
        <f>Equipos!D241</f>
        <v xml:space="preserve">Ventilador Mecánico </v>
      </c>
      <c r="C243" s="33" t="str">
        <f>Equipos!E241</f>
        <v>UPC Adulto</v>
      </c>
      <c r="D243" s="33" t="str">
        <f>Equipos!G241</f>
        <v>UPC-P2-SA19</v>
      </c>
      <c r="E243" s="33" t="str">
        <f>Equipos!I241</f>
        <v>Drager</v>
      </c>
      <c r="F243" s="33" t="str">
        <f>Equipos!J241</f>
        <v xml:space="preserve">Carina </v>
      </c>
      <c r="G243" s="37" t="str">
        <f>Equipos!K241</f>
        <v>ASFN-0007</v>
      </c>
      <c r="H243" s="33"/>
      <c r="I243" s="50" t="s">
        <v>276</v>
      </c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3">
        <f t="shared" si="15"/>
        <v>1</v>
      </c>
      <c r="V243" s="33">
        <f t="shared" si="16"/>
        <v>0</v>
      </c>
      <c r="W243" s="33">
        <f t="shared" si="17"/>
        <v>0</v>
      </c>
      <c r="X243" s="33">
        <f t="shared" si="18"/>
        <v>0</v>
      </c>
      <c r="Y243" s="33">
        <f ca="1">SUMPRODUCT((I243:INDEX(I243:T243,MONTH(TODAY()))="X")*1)</f>
        <v>0</v>
      </c>
      <c r="Z243" s="39">
        <f t="shared" si="19"/>
        <v>0</v>
      </c>
    </row>
    <row r="244" spans="1:26" x14ac:dyDescent="0.25">
      <c r="A244" s="37" t="str">
        <f>Equipos!C242</f>
        <v>2-013592</v>
      </c>
      <c r="B244" s="33" t="str">
        <f>Equipos!D242</f>
        <v xml:space="preserve">Ventilador Mecánico </v>
      </c>
      <c r="C244" s="33" t="str">
        <f>Equipos!E242</f>
        <v>UPC Adulto</v>
      </c>
      <c r="D244" s="33" t="str">
        <f>Equipos!G242</f>
        <v>UPC-P2-SA19</v>
      </c>
      <c r="E244" s="33" t="str">
        <f>Equipos!I242</f>
        <v>Drager</v>
      </c>
      <c r="F244" s="33" t="str">
        <f>Equipos!J242</f>
        <v xml:space="preserve">Carina </v>
      </c>
      <c r="G244" s="37" t="str">
        <f>Equipos!K242</f>
        <v>ASFN-0006</v>
      </c>
      <c r="H244" s="33"/>
      <c r="I244" s="50" t="s">
        <v>275</v>
      </c>
      <c r="J244" s="38"/>
      <c r="K244" s="38"/>
      <c r="L244" s="50" t="s">
        <v>276</v>
      </c>
      <c r="M244" s="50" t="s">
        <v>275</v>
      </c>
      <c r="N244" s="38"/>
      <c r="O244" s="38"/>
      <c r="P244" s="38"/>
      <c r="Q244" s="38"/>
      <c r="R244" s="38"/>
      <c r="S244" s="38"/>
      <c r="T244" s="38"/>
      <c r="U244" s="33">
        <f t="shared" si="15"/>
        <v>3</v>
      </c>
      <c r="V244" s="33">
        <f t="shared" si="16"/>
        <v>2</v>
      </c>
      <c r="W244" s="33">
        <f t="shared" si="17"/>
        <v>0</v>
      </c>
      <c r="X244" s="33">
        <f t="shared" si="18"/>
        <v>0</v>
      </c>
      <c r="Y244" s="33">
        <f ca="1">SUMPRODUCT((I244:INDEX(I244:T244,MONTH(TODAY()))="X")*1)</f>
        <v>0</v>
      </c>
      <c r="Z244" s="39">
        <f t="shared" si="19"/>
        <v>0.66666666666666663</v>
      </c>
    </row>
    <row r="245" spans="1:26" x14ac:dyDescent="0.25">
      <c r="A245" s="37" t="str">
        <f>Equipos!C243</f>
        <v>2-112327</v>
      </c>
      <c r="B245" s="33" t="str">
        <f>Equipos!D243</f>
        <v xml:space="preserve">Ventilador Mecánico </v>
      </c>
      <c r="C245" s="33" t="str">
        <f>Equipos!E243</f>
        <v>UPC Adulto</v>
      </c>
      <c r="D245" s="33">
        <f>Equipos!G243</f>
        <v>0</v>
      </c>
      <c r="E245" s="33" t="str">
        <f>Equipos!I243</f>
        <v>Drager</v>
      </c>
      <c r="F245" s="33" t="str">
        <f>Equipos!J243</f>
        <v xml:space="preserve">Carina </v>
      </c>
      <c r="G245" s="37" t="str">
        <f>Equipos!K243</f>
        <v>ASFN-0009</v>
      </c>
      <c r="H245" s="33"/>
      <c r="I245" s="38"/>
      <c r="J245" s="38"/>
      <c r="K245" s="38"/>
      <c r="L245" s="38"/>
      <c r="M245" s="50" t="s">
        <v>275</v>
      </c>
      <c r="N245" s="38"/>
      <c r="O245" s="38"/>
      <c r="P245" s="38"/>
      <c r="Q245" s="38"/>
      <c r="R245" s="38"/>
      <c r="S245" s="38"/>
      <c r="T245" s="38"/>
      <c r="U245" s="33">
        <f t="shared" si="15"/>
        <v>1</v>
      </c>
      <c r="V245" s="33">
        <f t="shared" si="16"/>
        <v>1</v>
      </c>
      <c r="W245" s="33">
        <f t="shared" si="17"/>
        <v>0</v>
      </c>
      <c r="X245" s="33">
        <f t="shared" si="18"/>
        <v>0</v>
      </c>
      <c r="Y245" s="33">
        <f ca="1">SUMPRODUCT((I245:INDEX(I245:T245,MONTH(TODAY()))="X")*1)</f>
        <v>0</v>
      </c>
      <c r="Z245" s="39">
        <f t="shared" si="19"/>
        <v>1</v>
      </c>
    </row>
    <row r="246" spans="1:26" x14ac:dyDescent="0.25">
      <c r="A246" s="37" t="str">
        <f>Equipos!C244</f>
        <v>2-110574</v>
      </c>
      <c r="B246" s="33" t="str">
        <f>Equipos!D244</f>
        <v xml:space="preserve">Ventilador Mecánico </v>
      </c>
      <c r="C246" s="33" t="str">
        <f>Equipos!E244</f>
        <v>UPC Adulto</v>
      </c>
      <c r="D246" s="33" t="str">
        <f>Equipos!G244</f>
        <v>UPC-P2-SA02</v>
      </c>
      <c r="E246" s="33" t="str">
        <f>Equipos!I244</f>
        <v>Drager</v>
      </c>
      <c r="F246" s="33" t="str">
        <f>Equipos!J244</f>
        <v>Evita V300</v>
      </c>
      <c r="G246" s="37" t="str">
        <f>Equipos!K244</f>
        <v>ASHK-0158</v>
      </c>
      <c r="H246" s="33"/>
      <c r="I246" s="38"/>
      <c r="J246" s="38"/>
      <c r="K246" s="38"/>
      <c r="L246" s="50" t="s">
        <v>276</v>
      </c>
      <c r="M246" s="50" t="s">
        <v>275</v>
      </c>
      <c r="N246" s="38"/>
      <c r="O246" s="38"/>
      <c r="P246" s="38"/>
      <c r="Q246" s="38"/>
      <c r="R246" s="38"/>
      <c r="S246" s="38"/>
      <c r="T246" s="38"/>
      <c r="U246" s="33">
        <f t="shared" si="15"/>
        <v>2</v>
      </c>
      <c r="V246" s="33">
        <f t="shared" si="16"/>
        <v>1</v>
      </c>
      <c r="W246" s="33">
        <f t="shared" si="17"/>
        <v>0</v>
      </c>
      <c r="X246" s="33">
        <f t="shared" si="18"/>
        <v>0</v>
      </c>
      <c r="Y246" s="33">
        <f ca="1">SUMPRODUCT((I246:INDEX(I246:T246,MONTH(TODAY()))="X")*1)</f>
        <v>0</v>
      </c>
      <c r="Z246" s="39">
        <f t="shared" si="19"/>
        <v>0.5</v>
      </c>
    </row>
    <row r="247" spans="1:26" x14ac:dyDescent="0.25">
      <c r="A247" s="37" t="str">
        <f>Equipos!C245</f>
        <v>2-110572</v>
      </c>
      <c r="B247" s="33" t="str">
        <f>Equipos!D245</f>
        <v xml:space="preserve">Ventilador Mecánico </v>
      </c>
      <c r="C247" s="33" t="str">
        <f>Equipos!E245</f>
        <v>UPC Adulto</v>
      </c>
      <c r="D247" s="33" t="str">
        <f>Equipos!G245</f>
        <v>UPC-P2-SA02</v>
      </c>
      <c r="E247" s="33" t="str">
        <f>Equipos!I245</f>
        <v>Drager</v>
      </c>
      <c r="F247" s="33" t="str">
        <f>Equipos!J245</f>
        <v>Evita V300</v>
      </c>
      <c r="G247" s="37" t="str">
        <f>Equipos!K245</f>
        <v>ASHK-0163</v>
      </c>
      <c r="H247" s="33"/>
      <c r="I247" s="38"/>
      <c r="J247" s="38"/>
      <c r="K247" s="38"/>
      <c r="L247" s="50" t="s">
        <v>276</v>
      </c>
      <c r="M247" s="50" t="s">
        <v>275</v>
      </c>
      <c r="N247" s="38"/>
      <c r="O247" s="38"/>
      <c r="P247" s="38"/>
      <c r="Q247" s="38"/>
      <c r="R247" s="38"/>
      <c r="S247" s="38"/>
      <c r="T247" s="38"/>
      <c r="U247" s="33">
        <f t="shared" si="15"/>
        <v>2</v>
      </c>
      <c r="V247" s="33">
        <f t="shared" si="16"/>
        <v>1</v>
      </c>
      <c r="W247" s="33">
        <f t="shared" si="17"/>
        <v>0</v>
      </c>
      <c r="X247" s="33">
        <f t="shared" si="18"/>
        <v>0</v>
      </c>
      <c r="Y247" s="33">
        <f ca="1">SUMPRODUCT((I247:INDEX(I247:T247,MONTH(TODAY()))="X")*1)</f>
        <v>0</v>
      </c>
      <c r="Z247" s="39">
        <f t="shared" si="19"/>
        <v>0.5</v>
      </c>
    </row>
    <row r="248" spans="1:26" x14ac:dyDescent="0.25">
      <c r="A248" s="37" t="str">
        <f>Equipos!C246</f>
        <v>2-110575</v>
      </c>
      <c r="B248" s="33" t="str">
        <f>Equipos!D246</f>
        <v xml:space="preserve">Ventilador Mecánico </v>
      </c>
      <c r="C248" s="33" t="str">
        <f>Equipos!E246</f>
        <v>UPC Adulto</v>
      </c>
      <c r="D248" s="33" t="str">
        <f>Equipos!G246</f>
        <v>UPC-P2-SA02</v>
      </c>
      <c r="E248" s="33" t="str">
        <f>Equipos!I246</f>
        <v>Drager</v>
      </c>
      <c r="F248" s="33" t="str">
        <f>Equipos!J246</f>
        <v>Evita V300</v>
      </c>
      <c r="G248" s="37" t="str">
        <f>Equipos!K246</f>
        <v>ASHK-0162</v>
      </c>
      <c r="H248" s="33"/>
      <c r="I248" s="38"/>
      <c r="J248" s="38"/>
      <c r="K248" s="38"/>
      <c r="L248" s="50" t="s">
        <v>276</v>
      </c>
      <c r="M248" s="50" t="s">
        <v>275</v>
      </c>
      <c r="N248" s="38"/>
      <c r="O248" s="38"/>
      <c r="P248" s="38"/>
      <c r="Q248" s="38"/>
      <c r="R248" s="38"/>
      <c r="S248" s="38"/>
      <c r="T248" s="38"/>
      <c r="U248" s="33">
        <f t="shared" si="15"/>
        <v>2</v>
      </c>
      <c r="V248" s="33">
        <f t="shared" si="16"/>
        <v>1</v>
      </c>
      <c r="W248" s="33">
        <f t="shared" si="17"/>
        <v>0</v>
      </c>
      <c r="X248" s="33">
        <f t="shared" si="18"/>
        <v>0</v>
      </c>
      <c r="Y248" s="33">
        <f ca="1">SUMPRODUCT((I248:INDEX(I248:T248,MONTH(TODAY()))="X")*1)</f>
        <v>0</v>
      </c>
      <c r="Z248" s="39">
        <f t="shared" si="19"/>
        <v>0.5</v>
      </c>
    </row>
    <row r="249" spans="1:26" x14ac:dyDescent="0.25">
      <c r="A249" s="37" t="str">
        <f>Equipos!C247</f>
        <v>2-110565</v>
      </c>
      <c r="B249" s="33" t="str">
        <f>Equipos!D247</f>
        <v xml:space="preserve">Ventilador Mecánico </v>
      </c>
      <c r="C249" s="33" t="str">
        <f>Equipos!E247</f>
        <v>UPC Adulto</v>
      </c>
      <c r="D249" s="33" t="str">
        <f>Equipos!G247</f>
        <v>UPC-P2-SA02</v>
      </c>
      <c r="E249" s="33" t="str">
        <f>Equipos!I247</f>
        <v>Drager</v>
      </c>
      <c r="F249" s="33" t="str">
        <f>Equipos!J247</f>
        <v>Evita V300</v>
      </c>
      <c r="G249" s="37" t="str">
        <f>Equipos!K247</f>
        <v>ASHK-0148</v>
      </c>
      <c r="H249" s="33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3">
        <f t="shared" si="15"/>
        <v>0</v>
      </c>
      <c r="V249" s="33">
        <f t="shared" si="16"/>
        <v>0</v>
      </c>
      <c r="W249" s="33">
        <f t="shared" si="17"/>
        <v>0</v>
      </c>
      <c r="X249" s="33">
        <f t="shared" si="18"/>
        <v>0</v>
      </c>
      <c r="Y249" s="33">
        <f ca="1">SUMPRODUCT((I249:INDEX(I249:T249,MONTH(TODAY()))="X")*1)</f>
        <v>0</v>
      </c>
      <c r="Z249" s="39" t="str">
        <f t="shared" si="19"/>
        <v/>
      </c>
    </row>
    <row r="250" spans="1:26" x14ac:dyDescent="0.25">
      <c r="A250" s="37" t="str">
        <f>Equipos!C248</f>
        <v>2-110571</v>
      </c>
      <c r="B250" s="33" t="str">
        <f>Equipos!D248</f>
        <v xml:space="preserve">Ventilador Mecánico </v>
      </c>
      <c r="C250" s="33" t="str">
        <f>Equipos!E248</f>
        <v>UPC Adulto</v>
      </c>
      <c r="D250" s="33" t="str">
        <f>Equipos!G248</f>
        <v>UPC-P2-SA02</v>
      </c>
      <c r="E250" s="33" t="str">
        <f>Equipos!I248</f>
        <v>Drager</v>
      </c>
      <c r="F250" s="33" t="str">
        <f>Equipos!J248</f>
        <v>Evita V300</v>
      </c>
      <c r="G250" s="37" t="str">
        <f>Equipos!K248</f>
        <v>ASHK-0151</v>
      </c>
      <c r="H250" s="33"/>
      <c r="I250" s="50" t="s">
        <v>276</v>
      </c>
      <c r="J250" s="38"/>
      <c r="K250" s="38"/>
      <c r="L250" s="50" t="s">
        <v>278</v>
      </c>
      <c r="M250" s="50" t="s">
        <v>275</v>
      </c>
      <c r="N250" s="38"/>
      <c r="O250" s="38"/>
      <c r="P250" s="38"/>
      <c r="Q250" s="38"/>
      <c r="R250" s="38"/>
      <c r="S250" s="38"/>
      <c r="T250" s="38"/>
      <c r="U250" s="33">
        <f t="shared" si="15"/>
        <v>3</v>
      </c>
      <c r="V250" s="33">
        <f t="shared" si="16"/>
        <v>1</v>
      </c>
      <c r="W250" s="33">
        <f t="shared" si="17"/>
        <v>0</v>
      </c>
      <c r="X250" s="33">
        <f t="shared" si="18"/>
        <v>1</v>
      </c>
      <c r="Y250" s="33">
        <f ca="1">SUMPRODUCT((I250:INDEX(I250:T250,MONTH(TODAY()))="X")*1)</f>
        <v>0</v>
      </c>
      <c r="Z250" s="39">
        <f t="shared" si="19"/>
        <v>0.33333333333333331</v>
      </c>
    </row>
    <row r="251" spans="1:26" x14ac:dyDescent="0.25">
      <c r="A251" s="37" t="str">
        <f>Equipos!C249</f>
        <v>2-110563</v>
      </c>
      <c r="B251" s="33" t="str">
        <f>Equipos!D249</f>
        <v xml:space="preserve">Ventilador Mecánico </v>
      </c>
      <c r="C251" s="33" t="str">
        <f>Equipos!E249</f>
        <v>UPC Adulto</v>
      </c>
      <c r="D251" s="33" t="str">
        <f>Equipos!G249</f>
        <v>UPC-P2-SA02</v>
      </c>
      <c r="E251" s="33" t="str">
        <f>Equipos!I249</f>
        <v>Drager</v>
      </c>
      <c r="F251" s="33" t="str">
        <f>Equipos!J249</f>
        <v>Evita V300</v>
      </c>
      <c r="G251" s="37" t="str">
        <f>Equipos!K249</f>
        <v>ASHK-0153</v>
      </c>
      <c r="H251" s="33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3">
        <f t="shared" si="15"/>
        <v>0</v>
      </c>
      <c r="V251" s="33">
        <f t="shared" si="16"/>
        <v>0</v>
      </c>
      <c r="W251" s="33">
        <f t="shared" si="17"/>
        <v>0</v>
      </c>
      <c r="X251" s="33">
        <f t="shared" si="18"/>
        <v>0</v>
      </c>
      <c r="Y251" s="33">
        <f ca="1">SUMPRODUCT((I251:INDEX(I251:T251,MONTH(TODAY()))="X")*1)</f>
        <v>0</v>
      </c>
      <c r="Z251" s="39" t="str">
        <f t="shared" si="19"/>
        <v/>
      </c>
    </row>
    <row r="252" spans="1:26" x14ac:dyDescent="0.25">
      <c r="A252" s="37" t="str">
        <f>Equipos!C250</f>
        <v>2-110568</v>
      </c>
      <c r="B252" s="33" t="str">
        <f>Equipos!D250</f>
        <v xml:space="preserve">Ventilador Mecánico </v>
      </c>
      <c r="C252" s="33" t="str">
        <f>Equipos!E250</f>
        <v>UPC Adulto</v>
      </c>
      <c r="D252" s="33" t="str">
        <f>Equipos!G250</f>
        <v>UPC-P2-SA02</v>
      </c>
      <c r="E252" s="33" t="str">
        <f>Equipos!I250</f>
        <v>Drager</v>
      </c>
      <c r="F252" s="33" t="str">
        <f>Equipos!J250</f>
        <v>Evita V300</v>
      </c>
      <c r="G252" s="37" t="str">
        <f>Equipos!K250</f>
        <v>ASHK-0155</v>
      </c>
      <c r="H252" s="33"/>
      <c r="I252" s="38"/>
      <c r="J252" s="38"/>
      <c r="K252" s="38"/>
      <c r="L252" s="50" t="s">
        <v>276</v>
      </c>
      <c r="M252" s="50" t="s">
        <v>275</v>
      </c>
      <c r="N252" s="38"/>
      <c r="O252" s="38"/>
      <c r="P252" s="38"/>
      <c r="Q252" s="38"/>
      <c r="R252" s="38"/>
      <c r="S252" s="38"/>
      <c r="T252" s="38"/>
      <c r="U252" s="33">
        <f t="shared" si="15"/>
        <v>2</v>
      </c>
      <c r="V252" s="33">
        <f t="shared" si="16"/>
        <v>1</v>
      </c>
      <c r="W252" s="33">
        <f t="shared" si="17"/>
        <v>0</v>
      </c>
      <c r="X252" s="33">
        <f t="shared" si="18"/>
        <v>0</v>
      </c>
      <c r="Y252" s="33">
        <f ca="1">SUMPRODUCT((I252:INDEX(I252:T252,MONTH(TODAY()))="X")*1)</f>
        <v>0</v>
      </c>
      <c r="Z252" s="39">
        <f t="shared" si="19"/>
        <v>0.5</v>
      </c>
    </row>
    <row r="253" spans="1:26" x14ac:dyDescent="0.25">
      <c r="A253" s="37" t="str">
        <f>Equipos!C251</f>
        <v>2-110567</v>
      </c>
      <c r="B253" s="33" t="str">
        <f>Equipos!D251</f>
        <v xml:space="preserve">Ventilador Mecánico </v>
      </c>
      <c r="C253" s="33" t="str">
        <f>Equipos!E251</f>
        <v>UPC Adulto</v>
      </c>
      <c r="D253" s="33" t="str">
        <f>Equipos!G251</f>
        <v>UPC-P2-SA02</v>
      </c>
      <c r="E253" s="33" t="str">
        <f>Equipos!I251</f>
        <v>Drager</v>
      </c>
      <c r="F253" s="33" t="str">
        <f>Equipos!J251</f>
        <v>Evita V300</v>
      </c>
      <c r="G253" s="37" t="str">
        <f>Equipos!K251</f>
        <v>ASHK-0160</v>
      </c>
      <c r="H253" s="33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3">
        <f t="shared" si="15"/>
        <v>0</v>
      </c>
      <c r="V253" s="33">
        <f t="shared" si="16"/>
        <v>0</v>
      </c>
      <c r="W253" s="33">
        <f t="shared" si="17"/>
        <v>0</v>
      </c>
      <c r="X253" s="33">
        <f t="shared" si="18"/>
        <v>0</v>
      </c>
      <c r="Y253" s="33">
        <f ca="1">SUMPRODUCT((I253:INDEX(I253:T253,MONTH(TODAY()))="X")*1)</f>
        <v>0</v>
      </c>
      <c r="Z253" s="39" t="str">
        <f t="shared" si="19"/>
        <v/>
      </c>
    </row>
    <row r="254" spans="1:26" x14ac:dyDescent="0.25">
      <c r="A254" s="37" t="str">
        <f>Equipos!C252</f>
        <v>2-110566</v>
      </c>
      <c r="B254" s="33" t="str">
        <f>Equipos!D252</f>
        <v xml:space="preserve">Ventilador Mecánico </v>
      </c>
      <c r="C254" s="33" t="str">
        <f>Equipos!E252</f>
        <v>UPC Adulto</v>
      </c>
      <c r="D254" s="33" t="str">
        <f>Equipos!G252</f>
        <v>UPC-P2-SA02</v>
      </c>
      <c r="E254" s="33" t="str">
        <f>Equipos!I252</f>
        <v>Drager</v>
      </c>
      <c r="F254" s="33" t="str">
        <f>Equipos!J252</f>
        <v>Evita V300</v>
      </c>
      <c r="G254" s="37" t="str">
        <f>Equipos!K252</f>
        <v>ASHK-0157</v>
      </c>
      <c r="H254" s="33"/>
      <c r="I254" s="38"/>
      <c r="J254" s="38"/>
      <c r="K254" s="38"/>
      <c r="L254" s="50" t="s">
        <v>276</v>
      </c>
      <c r="M254" s="50" t="s">
        <v>275</v>
      </c>
      <c r="N254" s="38"/>
      <c r="O254" s="38"/>
      <c r="P254" s="38"/>
      <c r="Q254" s="38"/>
      <c r="R254" s="38"/>
      <c r="S254" s="38"/>
      <c r="T254" s="38"/>
      <c r="U254" s="33">
        <f t="shared" si="15"/>
        <v>2</v>
      </c>
      <c r="V254" s="33">
        <f t="shared" si="16"/>
        <v>1</v>
      </c>
      <c r="W254" s="33">
        <f t="shared" si="17"/>
        <v>0</v>
      </c>
      <c r="X254" s="33">
        <f t="shared" si="18"/>
        <v>0</v>
      </c>
      <c r="Y254" s="33">
        <f ca="1">SUMPRODUCT((I254:INDEX(I254:T254,MONTH(TODAY()))="X")*1)</f>
        <v>0</v>
      </c>
      <c r="Z254" s="39">
        <f t="shared" si="19"/>
        <v>0.5</v>
      </c>
    </row>
    <row r="255" spans="1:26" x14ac:dyDescent="0.25">
      <c r="A255" s="37" t="str">
        <f>Equipos!C253</f>
        <v>2-110573</v>
      </c>
      <c r="B255" s="33" t="str">
        <f>Equipos!D253</f>
        <v xml:space="preserve">Ventilador Mecánico </v>
      </c>
      <c r="C255" s="33" t="str">
        <f>Equipos!E253</f>
        <v>UPC Adulto</v>
      </c>
      <c r="D255" s="33" t="str">
        <f>Equipos!G253</f>
        <v>UPC-P2-SA02</v>
      </c>
      <c r="E255" s="33" t="str">
        <f>Equipos!I253</f>
        <v>Drager</v>
      </c>
      <c r="F255" s="33" t="str">
        <f>Equipos!J253</f>
        <v>Evita V300</v>
      </c>
      <c r="G255" s="37" t="str">
        <f>Equipos!K253</f>
        <v>ASHK-0156</v>
      </c>
      <c r="H255" s="33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3">
        <f t="shared" si="15"/>
        <v>0</v>
      </c>
      <c r="V255" s="33">
        <f t="shared" si="16"/>
        <v>0</v>
      </c>
      <c r="W255" s="33">
        <f t="shared" si="17"/>
        <v>0</v>
      </c>
      <c r="X255" s="33">
        <f t="shared" si="18"/>
        <v>0</v>
      </c>
      <c r="Y255" s="33">
        <f ca="1">SUMPRODUCT((I255:INDEX(I255:T255,MONTH(TODAY()))="X")*1)</f>
        <v>0</v>
      </c>
      <c r="Z255" s="39" t="str">
        <f t="shared" si="19"/>
        <v/>
      </c>
    </row>
    <row r="256" spans="1:26" x14ac:dyDescent="0.25">
      <c r="A256" s="37" t="str">
        <f>Equipos!C254</f>
        <v>2-110562</v>
      </c>
      <c r="B256" s="33" t="str">
        <f>Equipos!D254</f>
        <v xml:space="preserve">Ventilador Mecánico </v>
      </c>
      <c r="C256" s="33" t="str">
        <f>Equipos!E254</f>
        <v>UPC Adulto</v>
      </c>
      <c r="D256" s="33" t="str">
        <f>Equipos!G254</f>
        <v>UPC-P2-SA02</v>
      </c>
      <c r="E256" s="33" t="str">
        <f>Equipos!I254</f>
        <v>Drager</v>
      </c>
      <c r="F256" s="33" t="str">
        <f>Equipos!J254</f>
        <v>Evita V300</v>
      </c>
      <c r="G256" s="37" t="str">
        <f>Equipos!K254</f>
        <v>ASHK-0161</v>
      </c>
      <c r="H256" s="33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3">
        <f t="shared" si="15"/>
        <v>0</v>
      </c>
      <c r="V256" s="33">
        <f t="shared" si="16"/>
        <v>0</v>
      </c>
      <c r="W256" s="33">
        <f t="shared" si="17"/>
        <v>0</v>
      </c>
      <c r="X256" s="33">
        <f t="shared" si="18"/>
        <v>0</v>
      </c>
      <c r="Y256" s="33">
        <f ca="1">SUMPRODUCT((I256:INDEX(I256:T256,MONTH(TODAY()))="X")*1)</f>
        <v>0</v>
      </c>
      <c r="Z256" s="39" t="str">
        <f t="shared" si="19"/>
        <v/>
      </c>
    </row>
    <row r="257" spans="1:26" x14ac:dyDescent="0.25">
      <c r="A257" s="37" t="str">
        <f>Equipos!C255</f>
        <v>2-110569</v>
      </c>
      <c r="B257" s="33" t="str">
        <f>Equipos!D255</f>
        <v xml:space="preserve">Ventilador Mecánico </v>
      </c>
      <c r="C257" s="33" t="str">
        <f>Equipos!E255</f>
        <v>UPC Adulto</v>
      </c>
      <c r="D257" s="33" t="str">
        <f>Equipos!G255</f>
        <v>UPC-P2-SA02</v>
      </c>
      <c r="E257" s="33" t="str">
        <f>Equipos!I255</f>
        <v>Drager</v>
      </c>
      <c r="F257" s="33" t="str">
        <f>Equipos!J255</f>
        <v>Evita V300</v>
      </c>
      <c r="G257" s="37" t="str">
        <f>Equipos!K255</f>
        <v>ASHK-0152</v>
      </c>
      <c r="H257" s="33"/>
      <c r="I257" s="38"/>
      <c r="J257" s="38"/>
      <c r="K257" s="38"/>
      <c r="L257" s="50" t="s">
        <v>276</v>
      </c>
      <c r="M257" s="50" t="s">
        <v>275</v>
      </c>
      <c r="N257" s="38"/>
      <c r="O257" s="38"/>
      <c r="P257" s="38"/>
      <c r="Q257" s="38"/>
      <c r="R257" s="38"/>
      <c r="S257" s="38"/>
      <c r="T257" s="38"/>
      <c r="U257" s="33">
        <f t="shared" si="15"/>
        <v>2</v>
      </c>
      <c r="V257" s="33">
        <f t="shared" si="16"/>
        <v>1</v>
      </c>
      <c r="W257" s="33">
        <f t="shared" si="17"/>
        <v>0</v>
      </c>
      <c r="X257" s="33">
        <f t="shared" si="18"/>
        <v>0</v>
      </c>
      <c r="Y257" s="33">
        <f ca="1">SUMPRODUCT((I257:INDEX(I257:T257,MONTH(TODAY()))="X")*1)</f>
        <v>0</v>
      </c>
      <c r="Z257" s="39">
        <f t="shared" si="19"/>
        <v>0.5</v>
      </c>
    </row>
    <row r="258" spans="1:26" x14ac:dyDescent="0.25">
      <c r="A258" s="37" t="str">
        <f>Equipos!C256</f>
        <v>2-110564</v>
      </c>
      <c r="B258" s="33" t="str">
        <f>Equipos!D256</f>
        <v xml:space="preserve">Ventilador Mecánico </v>
      </c>
      <c r="C258" s="33" t="str">
        <f>Equipos!E256</f>
        <v>UPC Adulto</v>
      </c>
      <c r="D258" s="33" t="str">
        <f>Equipos!G256</f>
        <v>UPC-P2-SA02</v>
      </c>
      <c r="E258" s="33" t="str">
        <f>Equipos!I256</f>
        <v>Drager</v>
      </c>
      <c r="F258" s="33" t="str">
        <f>Equipos!J256</f>
        <v>Evita V300</v>
      </c>
      <c r="G258" s="37" t="str">
        <f>Equipos!K256</f>
        <v>ASHK-0154</v>
      </c>
      <c r="H258" s="33"/>
      <c r="I258" s="50" t="s">
        <v>276</v>
      </c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3">
        <f t="shared" si="15"/>
        <v>1</v>
      </c>
      <c r="V258" s="33">
        <f t="shared" si="16"/>
        <v>0</v>
      </c>
      <c r="W258" s="33">
        <f t="shared" si="17"/>
        <v>0</v>
      </c>
      <c r="X258" s="33">
        <f t="shared" si="18"/>
        <v>0</v>
      </c>
      <c r="Y258" s="33">
        <f ca="1">SUMPRODUCT((I258:INDEX(I258:T258,MONTH(TODAY()))="X")*1)</f>
        <v>0</v>
      </c>
      <c r="Z258" s="39">
        <f t="shared" si="19"/>
        <v>0</v>
      </c>
    </row>
    <row r="259" spans="1:26" x14ac:dyDescent="0.25">
      <c r="A259" s="37" t="str">
        <f>Equipos!C257</f>
        <v>2-110570</v>
      </c>
      <c r="B259" s="33" t="str">
        <f>Equipos!D257</f>
        <v xml:space="preserve">Ventilador Mecánico </v>
      </c>
      <c r="C259" s="33" t="str">
        <f>Equipos!E257</f>
        <v>UPC Adulto</v>
      </c>
      <c r="D259" s="33" t="str">
        <f>Equipos!G257</f>
        <v>UPC-P2-SA02</v>
      </c>
      <c r="E259" s="33" t="str">
        <f>Equipos!I257</f>
        <v>Drager</v>
      </c>
      <c r="F259" s="33" t="str">
        <f>Equipos!J257</f>
        <v>Evita V300</v>
      </c>
      <c r="G259" s="37" t="str">
        <f>Equipos!K257</f>
        <v>ASHK-0159</v>
      </c>
      <c r="H259" s="33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3">
        <f t="shared" si="15"/>
        <v>0</v>
      </c>
      <c r="V259" s="33">
        <f t="shared" si="16"/>
        <v>0</v>
      </c>
      <c r="W259" s="33">
        <f t="shared" si="17"/>
        <v>0</v>
      </c>
      <c r="X259" s="33">
        <f t="shared" si="18"/>
        <v>0</v>
      </c>
      <c r="Y259" s="33">
        <f ca="1">SUMPRODUCT((I259:INDEX(I259:T259,MONTH(TODAY()))="X")*1)</f>
        <v>0</v>
      </c>
      <c r="Z259" s="39" t="str">
        <f t="shared" si="19"/>
        <v/>
      </c>
    </row>
    <row r="260" spans="1:26" x14ac:dyDescent="0.25">
      <c r="A260" s="37">
        <f>Equipos!C258</f>
        <v>0</v>
      </c>
      <c r="B260" s="33" t="str">
        <f>Equipos!D258</f>
        <v xml:space="preserve">Ventilador Mecánico </v>
      </c>
      <c r="C260" s="33">
        <f>Equipos!E258</f>
        <v>0</v>
      </c>
      <c r="D260" s="33">
        <f>Equipos!G258</f>
        <v>0</v>
      </c>
      <c r="E260" s="33">
        <f>Equipos!I258</f>
        <v>0</v>
      </c>
      <c r="F260" s="33">
        <f>Equipos!J258</f>
        <v>0</v>
      </c>
      <c r="G260" s="37">
        <f>Equipos!K258</f>
        <v>0</v>
      </c>
      <c r="H260" s="33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3">
        <f t="shared" ref="U260:U323" si="20">V260+W260+X260+COUNTIF(I260:T260,"R")</f>
        <v>0</v>
      </c>
      <c r="V260" s="33">
        <f t="shared" ref="V260:V323" si="21">COUNTIF(I260:T260,"E")</f>
        <v>0</v>
      </c>
      <c r="W260" s="33">
        <f t="shared" ref="W260:W323" si="22">COUNTIF(I260:T260,"X")</f>
        <v>0</v>
      </c>
      <c r="X260" s="33">
        <f t="shared" ref="X260:X323" si="23">COUNTIF(I260:T260,"C2")+COUNTIF(I260:T260,"C3")</f>
        <v>0</v>
      </c>
      <c r="Y260" s="33">
        <f ca="1">SUMPRODUCT((I260:INDEX(I260:T260,MONTH(TODAY()))="X")*1)</f>
        <v>0</v>
      </c>
      <c r="Z260" s="39" t="str">
        <f t="shared" ref="Z260:Z323" si="24">IFERROR(V260/U260,"")</f>
        <v/>
      </c>
    </row>
    <row r="261" spans="1:26" x14ac:dyDescent="0.25">
      <c r="A261" s="37" t="str">
        <f>Equipos!C259</f>
        <v>2-121214</v>
      </c>
      <c r="B261" s="33" t="str">
        <f>Equipos!D259</f>
        <v xml:space="preserve">Ventilador Mecánico </v>
      </c>
      <c r="C261" s="33" t="str">
        <f>Equipos!E259</f>
        <v>UPC Adulto</v>
      </c>
      <c r="D261" s="33">
        <f>Equipos!G259</f>
        <v>0</v>
      </c>
      <c r="E261" s="33" t="str">
        <f>Equipos!I259</f>
        <v>MEK ICS</v>
      </c>
      <c r="F261" s="33" t="str">
        <f>Equipos!J259</f>
        <v>MV2000 EVO5</v>
      </c>
      <c r="G261" s="37" t="str">
        <f>Equipos!K259</f>
        <v>MV2000UA1D0984</v>
      </c>
      <c r="H261" s="33"/>
      <c r="I261" s="38"/>
      <c r="J261" s="38"/>
      <c r="K261" s="38"/>
      <c r="L261" s="50" t="s">
        <v>275</v>
      </c>
      <c r="M261" s="38"/>
      <c r="N261" s="38"/>
      <c r="O261" s="38"/>
      <c r="P261" s="38"/>
      <c r="Q261" s="38"/>
      <c r="R261" s="38"/>
      <c r="S261" s="38"/>
      <c r="T261" s="38"/>
      <c r="U261" s="33">
        <f t="shared" si="20"/>
        <v>1</v>
      </c>
      <c r="V261" s="33">
        <f t="shared" si="21"/>
        <v>1</v>
      </c>
      <c r="W261" s="33">
        <f t="shared" si="22"/>
        <v>0</v>
      </c>
      <c r="X261" s="33">
        <f t="shared" si="23"/>
        <v>0</v>
      </c>
      <c r="Y261" s="33">
        <f ca="1">SUMPRODUCT((I261:INDEX(I261:T261,MONTH(TODAY()))="X")*1)</f>
        <v>0</v>
      </c>
      <c r="Z261" s="39">
        <f t="shared" si="24"/>
        <v>1</v>
      </c>
    </row>
    <row r="262" spans="1:26" x14ac:dyDescent="0.25">
      <c r="A262" s="37" t="str">
        <f>Equipos!C260</f>
        <v>2-013588</v>
      </c>
      <c r="B262" s="33" t="str">
        <f>Equipos!D260</f>
        <v xml:space="preserve">Ventilador Mecánico </v>
      </c>
      <c r="C262" s="33" t="str">
        <f>Equipos!E260</f>
        <v>UPC Adulto</v>
      </c>
      <c r="D262" s="33" t="str">
        <f>Equipos!G260</f>
        <v>UPC-P2-SA19</v>
      </c>
      <c r="E262" s="33" t="str">
        <f>Equipos!I260</f>
        <v>Maquet</v>
      </c>
      <c r="F262" s="33" t="str">
        <f>Equipos!J260</f>
        <v>Servo i RM</v>
      </c>
      <c r="G262" s="37" t="str">
        <f>Equipos!K260</f>
        <v>79510</v>
      </c>
      <c r="H262" s="33"/>
      <c r="I262" s="38"/>
      <c r="J262" s="38"/>
      <c r="K262" s="50" t="s">
        <v>276</v>
      </c>
      <c r="L262" s="50" t="s">
        <v>275</v>
      </c>
      <c r="M262" s="38"/>
      <c r="N262" s="38"/>
      <c r="O262" s="38"/>
      <c r="P262" s="38"/>
      <c r="Q262" s="38"/>
      <c r="R262" s="38"/>
      <c r="S262" s="38"/>
      <c r="T262" s="38"/>
      <c r="U262" s="33">
        <f t="shared" si="20"/>
        <v>2</v>
      </c>
      <c r="V262" s="33">
        <f t="shared" si="21"/>
        <v>1</v>
      </c>
      <c r="W262" s="33">
        <f t="shared" si="22"/>
        <v>0</v>
      </c>
      <c r="X262" s="33">
        <f t="shared" si="23"/>
        <v>0</v>
      </c>
      <c r="Y262" s="33">
        <f ca="1">SUMPRODUCT((I262:INDEX(I262:T262,MONTH(TODAY()))="X")*1)</f>
        <v>0</v>
      </c>
      <c r="Z262" s="39">
        <f t="shared" si="24"/>
        <v>0.5</v>
      </c>
    </row>
    <row r="263" spans="1:26" x14ac:dyDescent="0.25">
      <c r="A263" s="37">
        <f>Equipos!C261</f>
        <v>0</v>
      </c>
      <c r="B263" s="33" t="str">
        <f>Equipos!D261</f>
        <v xml:space="preserve">Ventilador Mecánico </v>
      </c>
      <c r="C263" s="33">
        <f>Equipos!E261</f>
        <v>0</v>
      </c>
      <c r="D263" s="33">
        <f>Equipos!G261</f>
        <v>0</v>
      </c>
      <c r="E263" s="33">
        <f>Equipos!I261</f>
        <v>0</v>
      </c>
      <c r="F263" s="33">
        <f>Equipos!J261</f>
        <v>0</v>
      </c>
      <c r="G263" s="37">
        <f>Equipos!K261</f>
        <v>0</v>
      </c>
      <c r="H263" s="33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3">
        <f t="shared" si="20"/>
        <v>0</v>
      </c>
      <c r="V263" s="33">
        <f t="shared" si="21"/>
        <v>0</v>
      </c>
      <c r="W263" s="33">
        <f t="shared" si="22"/>
        <v>0</v>
      </c>
      <c r="X263" s="33">
        <f t="shared" si="23"/>
        <v>0</v>
      </c>
      <c r="Y263" s="33">
        <f ca="1">SUMPRODUCT((I263:INDEX(I263:T263,MONTH(TODAY()))="X")*1)</f>
        <v>0</v>
      </c>
      <c r="Z263" s="39" t="str">
        <f t="shared" si="24"/>
        <v/>
      </c>
    </row>
    <row r="264" spans="1:26" x14ac:dyDescent="0.25">
      <c r="A264" s="37" t="str">
        <f>Equipos!C262</f>
        <v>2-121215</v>
      </c>
      <c r="B264" s="33" t="str">
        <f>Equipos!D262</f>
        <v xml:space="preserve">Ventilador Mecánico </v>
      </c>
      <c r="C264" s="33" t="str">
        <f>Equipos!E262</f>
        <v>UPC Adulto</v>
      </c>
      <c r="D264" s="33">
        <f>Equipos!G262</f>
        <v>0</v>
      </c>
      <c r="E264" s="33" t="str">
        <f>Equipos!I262</f>
        <v>MEK ICS</v>
      </c>
      <c r="F264" s="33" t="str">
        <f>Equipos!J262</f>
        <v>MV2000 EVO5</v>
      </c>
      <c r="G264" s="37" t="str">
        <f>Equipos!K262</f>
        <v>MV2000UA1D0987</v>
      </c>
      <c r="H264" s="33"/>
      <c r="I264" s="38"/>
      <c r="J264" s="38"/>
      <c r="K264" s="38"/>
      <c r="L264" s="50" t="s">
        <v>275</v>
      </c>
      <c r="M264" s="38"/>
      <c r="N264" s="38"/>
      <c r="O264" s="38"/>
      <c r="P264" s="38"/>
      <c r="Q264" s="38"/>
      <c r="R264" s="38"/>
      <c r="S264" s="38"/>
      <c r="T264" s="38"/>
      <c r="U264" s="33">
        <f t="shared" si="20"/>
        <v>1</v>
      </c>
      <c r="V264" s="33">
        <f t="shared" si="21"/>
        <v>1</v>
      </c>
      <c r="W264" s="33">
        <f t="shared" si="22"/>
        <v>0</v>
      </c>
      <c r="X264" s="33">
        <f t="shared" si="23"/>
        <v>0</v>
      </c>
      <c r="Y264" s="33">
        <f ca="1">SUMPRODUCT((I264:INDEX(I264:T264,MONTH(TODAY()))="X")*1)</f>
        <v>0</v>
      </c>
      <c r="Z264" s="39">
        <f t="shared" si="24"/>
        <v>1</v>
      </c>
    </row>
    <row r="265" spans="1:26" x14ac:dyDescent="0.25">
      <c r="A265" s="37" t="str">
        <f>Equipos!C263</f>
        <v>2-111146</v>
      </c>
      <c r="B265" s="33" t="str">
        <f>Equipos!D263</f>
        <v xml:space="preserve">Ventilador Mecánico </v>
      </c>
      <c r="C265" s="33" t="str">
        <f>Equipos!E263</f>
        <v>Urgencia Adulto (Prestado a UPC Cardiovascular)</v>
      </c>
      <c r="D265" s="33" t="str">
        <f>Equipos!G263</f>
        <v>UPC Cardiovascular</v>
      </c>
      <c r="E265" s="33" t="str">
        <f>Equipos!I263</f>
        <v xml:space="preserve">Newport </v>
      </c>
      <c r="F265" s="33" t="str">
        <f>Equipos!J263</f>
        <v>HT70 PLUS</v>
      </c>
      <c r="G265" s="37" t="str">
        <f>Equipos!K263</f>
        <v>N14HT720413504</v>
      </c>
      <c r="H265" s="33"/>
      <c r="I265" s="38"/>
      <c r="J265" s="38"/>
      <c r="K265" s="50" t="s">
        <v>276</v>
      </c>
      <c r="L265" s="50" t="s">
        <v>275</v>
      </c>
      <c r="M265" s="38"/>
      <c r="N265" s="38"/>
      <c r="O265" s="38"/>
      <c r="P265" s="38"/>
      <c r="Q265" s="38"/>
      <c r="R265" s="38"/>
      <c r="S265" s="38"/>
      <c r="T265" s="38"/>
      <c r="U265" s="33">
        <f t="shared" si="20"/>
        <v>2</v>
      </c>
      <c r="V265" s="33">
        <f t="shared" si="21"/>
        <v>1</v>
      </c>
      <c r="W265" s="33">
        <f t="shared" si="22"/>
        <v>0</v>
      </c>
      <c r="X265" s="33">
        <f t="shared" si="23"/>
        <v>0</v>
      </c>
      <c r="Y265" s="33">
        <f ca="1">SUMPRODUCT((I265:INDEX(I265:T265,MONTH(TODAY()))="X")*1)</f>
        <v>0</v>
      </c>
      <c r="Z265" s="39">
        <f t="shared" si="24"/>
        <v>0.5</v>
      </c>
    </row>
    <row r="266" spans="1:26" x14ac:dyDescent="0.25">
      <c r="A266" s="37" t="str">
        <f>Equipos!C264</f>
        <v>2-116291</v>
      </c>
      <c r="B266" s="33" t="str">
        <f>Equipos!D264</f>
        <v xml:space="preserve">Ventilador Mecánico </v>
      </c>
      <c r="C266" s="33" t="str">
        <f>Equipos!E264</f>
        <v>Neonatología</v>
      </c>
      <c r="D266" s="33">
        <f>Equipos!G264</f>
        <v>0</v>
      </c>
      <c r="E266" s="33" t="str">
        <f>Equipos!I264</f>
        <v>Drager</v>
      </c>
      <c r="F266" s="33" t="str">
        <f>Equipos!J264</f>
        <v>VN500</v>
      </c>
      <c r="G266" s="37" t="str">
        <f>Equipos!K264</f>
        <v>ASKK-0199</v>
      </c>
      <c r="H266" s="33"/>
      <c r="I266" s="38"/>
      <c r="J266" s="38"/>
      <c r="K266" s="38"/>
      <c r="L266" s="38"/>
      <c r="M266" s="50" t="s">
        <v>275</v>
      </c>
      <c r="N266" s="38"/>
      <c r="O266" s="38"/>
      <c r="P266" s="38"/>
      <c r="Q266" s="38"/>
      <c r="R266" s="38"/>
      <c r="S266" s="38"/>
      <c r="T266" s="38"/>
      <c r="U266" s="33">
        <f t="shared" si="20"/>
        <v>1</v>
      </c>
      <c r="V266" s="33">
        <f t="shared" si="21"/>
        <v>1</v>
      </c>
      <c r="W266" s="33">
        <f t="shared" si="22"/>
        <v>0</v>
      </c>
      <c r="X266" s="33">
        <f t="shared" si="23"/>
        <v>0</v>
      </c>
      <c r="Y266" s="33">
        <f ca="1">SUMPRODUCT((I266:INDEX(I266:T266,MONTH(TODAY()))="X")*1)</f>
        <v>0</v>
      </c>
      <c r="Z266" s="39">
        <f t="shared" si="24"/>
        <v>1</v>
      </c>
    </row>
    <row r="267" spans="1:26" x14ac:dyDescent="0.25">
      <c r="A267" s="37" t="str">
        <f>Equipos!C265</f>
        <v>2-116292</v>
      </c>
      <c r="B267" s="33" t="str">
        <f>Equipos!D265</f>
        <v xml:space="preserve">Ventilador Mecánico </v>
      </c>
      <c r="C267" s="33" t="str">
        <f>Equipos!E265</f>
        <v>Neonatología</v>
      </c>
      <c r="D267" s="33">
        <f>Equipos!G265</f>
        <v>0</v>
      </c>
      <c r="E267" s="33" t="str">
        <f>Equipos!I265</f>
        <v>Drager</v>
      </c>
      <c r="F267" s="33" t="str">
        <f>Equipos!J265</f>
        <v>VN500</v>
      </c>
      <c r="G267" s="37" t="str">
        <f>Equipos!K265</f>
        <v>ASKK-0200</v>
      </c>
      <c r="H267" s="33"/>
      <c r="I267" s="38"/>
      <c r="J267" s="38"/>
      <c r="K267" s="38"/>
      <c r="L267" s="38"/>
      <c r="M267" s="50" t="s">
        <v>275</v>
      </c>
      <c r="N267" s="38"/>
      <c r="O267" s="38"/>
      <c r="P267" s="38"/>
      <c r="Q267" s="38"/>
      <c r="R267" s="38"/>
      <c r="S267" s="38"/>
      <c r="T267" s="38"/>
      <c r="U267" s="33">
        <f t="shared" si="20"/>
        <v>1</v>
      </c>
      <c r="V267" s="33">
        <f t="shared" si="21"/>
        <v>1</v>
      </c>
      <c r="W267" s="33">
        <f t="shared" si="22"/>
        <v>0</v>
      </c>
      <c r="X267" s="33">
        <f t="shared" si="23"/>
        <v>0</v>
      </c>
      <c r="Y267" s="33">
        <f ca="1">SUMPRODUCT((I267:INDEX(I267:T267,MONTH(TODAY()))="X")*1)</f>
        <v>0</v>
      </c>
      <c r="Z267" s="39">
        <f t="shared" si="24"/>
        <v>1</v>
      </c>
    </row>
    <row r="268" spans="1:26" x14ac:dyDescent="0.25">
      <c r="A268" s="37" t="str">
        <f>Equipos!C266</f>
        <v>2-116293</v>
      </c>
      <c r="B268" s="33" t="str">
        <f>Equipos!D266</f>
        <v xml:space="preserve">Ventilador Mecánico </v>
      </c>
      <c r="C268" s="33" t="str">
        <f>Equipos!E266</f>
        <v>Neonatología</v>
      </c>
      <c r="D268" s="33">
        <f>Equipos!G266</f>
        <v>0</v>
      </c>
      <c r="E268" s="33" t="str">
        <f>Equipos!I266</f>
        <v>Drager</v>
      </c>
      <c r="F268" s="33" t="str">
        <f>Equipos!J266</f>
        <v>VN500</v>
      </c>
      <c r="G268" s="37" t="str">
        <f>Equipos!K266</f>
        <v>ASKL-0003</v>
      </c>
      <c r="H268" s="33"/>
      <c r="I268" s="38"/>
      <c r="J268" s="38"/>
      <c r="K268" s="38"/>
      <c r="L268" s="38"/>
      <c r="M268" s="50" t="s">
        <v>275</v>
      </c>
      <c r="N268" s="38"/>
      <c r="O268" s="38"/>
      <c r="P268" s="38"/>
      <c r="Q268" s="38"/>
      <c r="R268" s="38"/>
      <c r="S268" s="38"/>
      <c r="T268" s="38"/>
      <c r="U268" s="33">
        <f t="shared" si="20"/>
        <v>1</v>
      </c>
      <c r="V268" s="33">
        <f t="shared" si="21"/>
        <v>1</v>
      </c>
      <c r="W268" s="33">
        <f t="shared" si="22"/>
        <v>0</v>
      </c>
      <c r="X268" s="33">
        <f t="shared" si="23"/>
        <v>0</v>
      </c>
      <c r="Y268" s="33">
        <f ca="1">SUMPRODUCT((I268:INDEX(I268:T268,MONTH(TODAY()))="X")*1)</f>
        <v>0</v>
      </c>
      <c r="Z268" s="39">
        <f t="shared" si="24"/>
        <v>1</v>
      </c>
    </row>
    <row r="269" spans="1:26" x14ac:dyDescent="0.25">
      <c r="A269" s="37" t="str">
        <f>Equipos!C267</f>
        <v>2-116294</v>
      </c>
      <c r="B269" s="33" t="str">
        <f>Equipos!D267</f>
        <v xml:space="preserve">Ventilador Mecánico </v>
      </c>
      <c r="C269" s="33" t="str">
        <f>Equipos!E267</f>
        <v>Neonatología</v>
      </c>
      <c r="D269" s="33">
        <f>Equipos!G267</f>
        <v>0</v>
      </c>
      <c r="E269" s="33" t="str">
        <f>Equipos!I267</f>
        <v>Drager</v>
      </c>
      <c r="F269" s="33" t="str">
        <f>Equipos!J267</f>
        <v>VN500</v>
      </c>
      <c r="G269" s="37" t="str">
        <f>Equipos!K267</f>
        <v>ASKL-0004</v>
      </c>
      <c r="H269" s="33"/>
      <c r="I269" s="38"/>
      <c r="J269" s="38"/>
      <c r="K269" s="38"/>
      <c r="L269" s="38"/>
      <c r="M269" s="50" t="s">
        <v>275</v>
      </c>
      <c r="N269" s="38"/>
      <c r="O269" s="38"/>
      <c r="P269" s="38"/>
      <c r="Q269" s="38"/>
      <c r="R269" s="38"/>
      <c r="S269" s="38"/>
      <c r="T269" s="38"/>
      <c r="U269" s="33">
        <f t="shared" si="20"/>
        <v>1</v>
      </c>
      <c r="V269" s="33">
        <f t="shared" si="21"/>
        <v>1</v>
      </c>
      <c r="W269" s="33">
        <f t="shared" si="22"/>
        <v>0</v>
      </c>
      <c r="X269" s="33">
        <f t="shared" si="23"/>
        <v>0</v>
      </c>
      <c r="Y269" s="33">
        <f ca="1">SUMPRODUCT((I269:INDEX(I269:T269,MONTH(TODAY()))="X")*1)</f>
        <v>0</v>
      </c>
      <c r="Z269" s="39">
        <f t="shared" si="24"/>
        <v>1</v>
      </c>
    </row>
    <row r="270" spans="1:26" x14ac:dyDescent="0.25">
      <c r="A270" s="37" t="str">
        <f>Equipos!C268</f>
        <v>2-116295</v>
      </c>
      <c r="B270" s="33" t="str">
        <f>Equipos!D268</f>
        <v xml:space="preserve">Ventilador Mecánico </v>
      </c>
      <c r="C270" s="33" t="str">
        <f>Equipos!E268</f>
        <v>Neonatología</v>
      </c>
      <c r="D270" s="33">
        <f>Equipos!G268</f>
        <v>0</v>
      </c>
      <c r="E270" s="33" t="str">
        <f>Equipos!I268</f>
        <v>Drager</v>
      </c>
      <c r="F270" s="33" t="str">
        <f>Equipos!J268</f>
        <v>VN500</v>
      </c>
      <c r="G270" s="37" t="str">
        <f>Equipos!K268</f>
        <v>ASKL-0008</v>
      </c>
      <c r="H270" s="33"/>
      <c r="I270" s="38"/>
      <c r="J270" s="38"/>
      <c r="K270" s="38"/>
      <c r="L270" s="38"/>
      <c r="M270" s="50" t="s">
        <v>275</v>
      </c>
      <c r="N270" s="38"/>
      <c r="O270" s="38"/>
      <c r="P270" s="38"/>
      <c r="Q270" s="38"/>
      <c r="R270" s="38"/>
      <c r="S270" s="38"/>
      <c r="T270" s="38"/>
      <c r="U270" s="33">
        <f t="shared" si="20"/>
        <v>1</v>
      </c>
      <c r="V270" s="33">
        <f t="shared" si="21"/>
        <v>1</v>
      </c>
      <c r="W270" s="33">
        <f t="shared" si="22"/>
        <v>0</v>
      </c>
      <c r="X270" s="33">
        <f t="shared" si="23"/>
        <v>0</v>
      </c>
      <c r="Y270" s="33">
        <f ca="1">SUMPRODUCT((I270:INDEX(I270:T270,MONTH(TODAY()))="X")*1)</f>
        <v>0</v>
      </c>
      <c r="Z270" s="39">
        <f t="shared" si="24"/>
        <v>1</v>
      </c>
    </row>
    <row r="271" spans="1:26" x14ac:dyDescent="0.25">
      <c r="A271" s="37" t="str">
        <f>Equipos!C269</f>
        <v>2-116296</v>
      </c>
      <c r="B271" s="33" t="str">
        <f>Equipos!D269</f>
        <v xml:space="preserve">Ventilador Mecánico </v>
      </c>
      <c r="C271" s="33" t="str">
        <f>Equipos!E269</f>
        <v>Neonatología</v>
      </c>
      <c r="D271" s="33">
        <f>Equipos!G269</f>
        <v>0</v>
      </c>
      <c r="E271" s="33" t="str">
        <f>Equipos!I269</f>
        <v>Drager</v>
      </c>
      <c r="F271" s="33" t="str">
        <f>Equipos!J269</f>
        <v>VN500</v>
      </c>
      <c r="G271" s="37" t="str">
        <f>Equipos!K269</f>
        <v>ASKL-0009</v>
      </c>
      <c r="H271" s="33"/>
      <c r="I271" s="38"/>
      <c r="J271" s="38"/>
      <c r="K271" s="38"/>
      <c r="L271" s="38"/>
      <c r="M271" s="50" t="s">
        <v>275</v>
      </c>
      <c r="N271" s="38"/>
      <c r="O271" s="38"/>
      <c r="P271" s="38"/>
      <c r="Q271" s="38"/>
      <c r="R271" s="38"/>
      <c r="S271" s="38"/>
      <c r="T271" s="38"/>
      <c r="U271" s="33">
        <f t="shared" si="20"/>
        <v>1</v>
      </c>
      <c r="V271" s="33">
        <f t="shared" si="21"/>
        <v>1</v>
      </c>
      <c r="W271" s="33">
        <f t="shared" si="22"/>
        <v>0</v>
      </c>
      <c r="X271" s="33">
        <f t="shared" si="23"/>
        <v>0</v>
      </c>
      <c r="Y271" s="33">
        <f ca="1">SUMPRODUCT((I271:INDEX(I271:T271,MONTH(TODAY()))="X")*1)</f>
        <v>0</v>
      </c>
      <c r="Z271" s="39">
        <f t="shared" si="24"/>
        <v>1</v>
      </c>
    </row>
    <row r="272" spans="1:26" x14ac:dyDescent="0.25">
      <c r="A272" s="37" t="str">
        <f>Equipos!C270</f>
        <v>2-116297</v>
      </c>
      <c r="B272" s="33" t="str">
        <f>Equipos!D270</f>
        <v xml:space="preserve">Ventilador Mecánico </v>
      </c>
      <c r="C272" s="33" t="str">
        <f>Equipos!E270</f>
        <v>Neonatología</v>
      </c>
      <c r="D272" s="33">
        <f>Equipos!G270</f>
        <v>0</v>
      </c>
      <c r="E272" s="33" t="str">
        <f>Equipos!I270</f>
        <v>Drager</v>
      </c>
      <c r="F272" s="33" t="str">
        <f>Equipos!J270</f>
        <v>VN500</v>
      </c>
      <c r="G272" s="37" t="str">
        <f>Equipos!K270</f>
        <v>ASKK-0201</v>
      </c>
      <c r="H272" s="33"/>
      <c r="I272" s="38"/>
      <c r="J272" s="38"/>
      <c r="K272" s="38"/>
      <c r="L272" s="38"/>
      <c r="M272" s="50" t="s">
        <v>275</v>
      </c>
      <c r="N272" s="38"/>
      <c r="O272" s="38"/>
      <c r="P272" s="38"/>
      <c r="Q272" s="38"/>
      <c r="R272" s="38"/>
      <c r="S272" s="38"/>
      <c r="T272" s="38"/>
      <c r="U272" s="33">
        <f t="shared" si="20"/>
        <v>1</v>
      </c>
      <c r="V272" s="33">
        <f t="shared" si="21"/>
        <v>1</v>
      </c>
      <c r="W272" s="33">
        <f t="shared" si="22"/>
        <v>0</v>
      </c>
      <c r="X272" s="33">
        <f t="shared" si="23"/>
        <v>0</v>
      </c>
      <c r="Y272" s="33">
        <f ca="1">SUMPRODUCT((I272:INDEX(I272:T272,MONTH(TODAY()))="X")*1)</f>
        <v>0</v>
      </c>
      <c r="Z272" s="39">
        <f t="shared" si="24"/>
        <v>1</v>
      </c>
    </row>
    <row r="273" spans="1:26" x14ac:dyDescent="0.25">
      <c r="A273" s="37" t="str">
        <f>Equipos!C271</f>
        <v>2-116298</v>
      </c>
      <c r="B273" s="33" t="str">
        <f>Equipos!D271</f>
        <v xml:space="preserve">Ventilador Mecánico </v>
      </c>
      <c r="C273" s="33" t="str">
        <f>Equipos!E271</f>
        <v>Neonatología</v>
      </c>
      <c r="D273" s="33">
        <f>Equipos!G271</f>
        <v>0</v>
      </c>
      <c r="E273" s="33" t="str">
        <f>Equipos!I271</f>
        <v>Drager</v>
      </c>
      <c r="F273" s="33" t="str">
        <f>Equipos!J271</f>
        <v>VN500</v>
      </c>
      <c r="G273" s="37" t="str">
        <f>Equipos!K271</f>
        <v>ASKL-0005</v>
      </c>
      <c r="H273" s="33"/>
      <c r="I273" s="38"/>
      <c r="J273" s="38"/>
      <c r="K273" s="38"/>
      <c r="L273" s="38"/>
      <c r="M273" s="50" t="s">
        <v>275</v>
      </c>
      <c r="N273" s="38"/>
      <c r="O273" s="38"/>
      <c r="P273" s="38"/>
      <c r="Q273" s="38"/>
      <c r="R273" s="38"/>
      <c r="S273" s="38"/>
      <c r="T273" s="38"/>
      <c r="U273" s="33">
        <f t="shared" si="20"/>
        <v>1</v>
      </c>
      <c r="V273" s="33">
        <f t="shared" si="21"/>
        <v>1</v>
      </c>
      <c r="W273" s="33">
        <f t="shared" si="22"/>
        <v>0</v>
      </c>
      <c r="X273" s="33">
        <f t="shared" si="23"/>
        <v>0</v>
      </c>
      <c r="Y273" s="33">
        <f ca="1">SUMPRODUCT((I273:INDEX(I273:T273,MONTH(TODAY()))="X")*1)</f>
        <v>0</v>
      </c>
      <c r="Z273" s="39">
        <f t="shared" si="24"/>
        <v>1</v>
      </c>
    </row>
    <row r="274" spans="1:26" x14ac:dyDescent="0.25">
      <c r="A274" s="37" t="str">
        <f>Equipos!C272</f>
        <v>2-116299</v>
      </c>
      <c r="B274" s="33" t="str">
        <f>Equipos!D272</f>
        <v xml:space="preserve">Ventilador Mecánico </v>
      </c>
      <c r="C274" s="33" t="str">
        <f>Equipos!E272</f>
        <v>Neonatología</v>
      </c>
      <c r="D274" s="33">
        <f>Equipos!G272</f>
        <v>0</v>
      </c>
      <c r="E274" s="33" t="str">
        <f>Equipos!I272</f>
        <v>Drager</v>
      </c>
      <c r="F274" s="33" t="str">
        <f>Equipos!J272</f>
        <v>VN500</v>
      </c>
      <c r="G274" s="37" t="str">
        <f>Equipos!K272</f>
        <v>ASKL-0006</v>
      </c>
      <c r="H274" s="33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3">
        <f t="shared" si="20"/>
        <v>0</v>
      </c>
      <c r="V274" s="33">
        <f t="shared" si="21"/>
        <v>0</v>
      </c>
      <c r="W274" s="33">
        <f t="shared" si="22"/>
        <v>0</v>
      </c>
      <c r="X274" s="33">
        <f t="shared" si="23"/>
        <v>0</v>
      </c>
      <c r="Y274" s="33">
        <f ca="1">SUMPRODUCT((I274:INDEX(I274:T274,MONTH(TODAY()))="X")*1)</f>
        <v>0</v>
      </c>
      <c r="Z274" s="39" t="str">
        <f t="shared" si="24"/>
        <v/>
      </c>
    </row>
    <row r="275" spans="1:26" x14ac:dyDescent="0.25">
      <c r="A275" s="37" t="str">
        <f>Equipos!C273</f>
        <v>2-116300</v>
      </c>
      <c r="B275" s="33" t="str">
        <f>Equipos!D273</f>
        <v xml:space="preserve">Ventilador Mecánico </v>
      </c>
      <c r="C275" s="33" t="str">
        <f>Equipos!E273</f>
        <v>Neonatología</v>
      </c>
      <c r="D275" s="33">
        <f>Equipos!G273</f>
        <v>0</v>
      </c>
      <c r="E275" s="33" t="str">
        <f>Equipos!I273</f>
        <v>Drager</v>
      </c>
      <c r="F275" s="33" t="str">
        <f>Equipos!J273</f>
        <v>VN500</v>
      </c>
      <c r="G275" s="37" t="str">
        <f>Equipos!K273</f>
        <v>ASKL-0007</v>
      </c>
      <c r="H275" s="33"/>
      <c r="I275" s="38"/>
      <c r="J275" s="38"/>
      <c r="K275" s="38"/>
      <c r="L275" s="38"/>
      <c r="M275" s="50" t="s">
        <v>275</v>
      </c>
      <c r="N275" s="38"/>
      <c r="O275" s="38"/>
      <c r="P275" s="38"/>
      <c r="Q275" s="38"/>
      <c r="R275" s="38"/>
      <c r="S275" s="38"/>
      <c r="T275" s="38"/>
      <c r="U275" s="33">
        <f t="shared" si="20"/>
        <v>1</v>
      </c>
      <c r="V275" s="33">
        <f t="shared" si="21"/>
        <v>1</v>
      </c>
      <c r="W275" s="33">
        <f t="shared" si="22"/>
        <v>0</v>
      </c>
      <c r="X275" s="33">
        <f t="shared" si="23"/>
        <v>0</v>
      </c>
      <c r="Y275" s="33">
        <f ca="1">SUMPRODUCT((I275:INDEX(I275:T275,MONTH(TODAY()))="X")*1)</f>
        <v>0</v>
      </c>
      <c r="Z275" s="39">
        <f t="shared" si="24"/>
        <v>1</v>
      </c>
    </row>
    <row r="276" spans="1:26" x14ac:dyDescent="0.25">
      <c r="A276" s="37" t="str">
        <f>Equipos!C274</f>
        <v>2-116301</v>
      </c>
      <c r="B276" s="33" t="str">
        <f>Equipos!D274</f>
        <v xml:space="preserve">Ventilador Mecánico </v>
      </c>
      <c r="C276" s="33" t="str">
        <f>Equipos!E274</f>
        <v>Neonatología</v>
      </c>
      <c r="D276" s="33">
        <f>Equipos!G274</f>
        <v>0</v>
      </c>
      <c r="E276" s="33" t="str">
        <f>Equipos!I274</f>
        <v>Drager</v>
      </c>
      <c r="F276" s="33" t="str">
        <f>Equipos!J274</f>
        <v>VN500</v>
      </c>
      <c r="G276" s="37" t="str">
        <f>Equipos!K274</f>
        <v>ASJA-0138</v>
      </c>
      <c r="H276" s="33"/>
      <c r="I276" s="38"/>
      <c r="J276" s="38"/>
      <c r="K276" s="38"/>
      <c r="L276" s="38"/>
      <c r="M276" s="50" t="s">
        <v>275</v>
      </c>
      <c r="N276" s="38"/>
      <c r="O276" s="38"/>
      <c r="P276" s="38"/>
      <c r="Q276" s="38"/>
      <c r="R276" s="38"/>
      <c r="S276" s="38"/>
      <c r="T276" s="38"/>
      <c r="U276" s="33">
        <f t="shared" si="20"/>
        <v>1</v>
      </c>
      <c r="V276" s="33">
        <f t="shared" si="21"/>
        <v>1</v>
      </c>
      <c r="W276" s="33">
        <f t="shared" si="22"/>
        <v>0</v>
      </c>
      <c r="X276" s="33">
        <f t="shared" si="23"/>
        <v>0</v>
      </c>
      <c r="Y276" s="33">
        <f ca="1">SUMPRODUCT((I276:INDEX(I276:T276,MONTH(TODAY()))="X")*1)</f>
        <v>0</v>
      </c>
      <c r="Z276" s="39">
        <f t="shared" si="24"/>
        <v>1</v>
      </c>
    </row>
    <row r="277" spans="1:26" x14ac:dyDescent="0.25">
      <c r="A277" s="37" t="str">
        <f>Equipos!C275</f>
        <v>2-117264</v>
      </c>
      <c r="B277" s="33" t="str">
        <f>Equipos!D275</f>
        <v xml:space="preserve">Ventilador Mecánico </v>
      </c>
      <c r="C277" s="33" t="str">
        <f>Equipos!E275</f>
        <v>SAMU</v>
      </c>
      <c r="D277" s="33" t="str">
        <f>Equipos!G275</f>
        <v>Base 13</v>
      </c>
      <c r="E277" s="33" t="str">
        <f>Equipos!I275</f>
        <v xml:space="preserve">Newport </v>
      </c>
      <c r="F277" s="33" t="str">
        <f>Equipos!J275</f>
        <v>HT70 PLUS</v>
      </c>
      <c r="G277" s="37" t="str">
        <f>Equipos!K275</f>
        <v>N17HT720120041</v>
      </c>
      <c r="H277" s="33"/>
      <c r="I277" s="38"/>
      <c r="J277" s="38"/>
      <c r="K277" s="50" t="s">
        <v>276</v>
      </c>
      <c r="L277" s="50" t="s">
        <v>275</v>
      </c>
      <c r="M277" s="38"/>
      <c r="N277" s="38"/>
      <c r="O277" s="38"/>
      <c r="P277" s="38"/>
      <c r="Q277" s="38"/>
      <c r="R277" s="38"/>
      <c r="S277" s="38"/>
      <c r="T277" s="38"/>
      <c r="U277" s="33">
        <f t="shared" si="20"/>
        <v>2</v>
      </c>
      <c r="V277" s="33">
        <f t="shared" si="21"/>
        <v>1</v>
      </c>
      <c r="W277" s="33">
        <f t="shared" si="22"/>
        <v>0</v>
      </c>
      <c r="X277" s="33">
        <f t="shared" si="23"/>
        <v>0</v>
      </c>
      <c r="Y277" s="33">
        <f ca="1">SUMPRODUCT((I277:INDEX(I277:T277,MONTH(TODAY()))="X")*1)</f>
        <v>0</v>
      </c>
      <c r="Z277" s="39">
        <f t="shared" si="24"/>
        <v>0.5</v>
      </c>
    </row>
    <row r="278" spans="1:26" x14ac:dyDescent="0.25">
      <c r="A278" s="37" t="str">
        <f>Equipos!C276</f>
        <v>2-121216</v>
      </c>
      <c r="B278" s="33" t="str">
        <f>Equipos!D276</f>
        <v xml:space="preserve">Ventilador Mecánico </v>
      </c>
      <c r="C278" s="33" t="str">
        <f>Equipos!E276</f>
        <v>UPC Adulto</v>
      </c>
      <c r="D278" s="33">
        <f>Equipos!G276</f>
        <v>0</v>
      </c>
      <c r="E278" s="33" t="str">
        <f>Equipos!I276</f>
        <v>MEK ICS</v>
      </c>
      <c r="F278" s="33" t="str">
        <f>Equipos!J276</f>
        <v>MV2000 EVO5</v>
      </c>
      <c r="G278" s="37" t="str">
        <f>Equipos!K276</f>
        <v>MV2000UA1D0775</v>
      </c>
      <c r="H278" s="33"/>
      <c r="I278" s="38"/>
      <c r="J278" s="38"/>
      <c r="K278" s="38"/>
      <c r="L278" s="50" t="s">
        <v>275</v>
      </c>
      <c r="M278" s="38"/>
      <c r="N278" s="38"/>
      <c r="O278" s="38"/>
      <c r="P278" s="38"/>
      <c r="Q278" s="38"/>
      <c r="R278" s="38"/>
      <c r="S278" s="38"/>
      <c r="T278" s="38"/>
      <c r="U278" s="33">
        <f t="shared" si="20"/>
        <v>1</v>
      </c>
      <c r="V278" s="33">
        <f t="shared" si="21"/>
        <v>1</v>
      </c>
      <c r="W278" s="33">
        <f t="shared" si="22"/>
        <v>0</v>
      </c>
      <c r="X278" s="33">
        <f t="shared" si="23"/>
        <v>0</v>
      </c>
      <c r="Y278" s="33">
        <f ca="1">SUMPRODUCT((I278:INDEX(I278:T278,MONTH(TODAY()))="X")*1)</f>
        <v>0</v>
      </c>
      <c r="Z278" s="39">
        <f t="shared" si="24"/>
        <v>1</v>
      </c>
    </row>
    <row r="279" spans="1:26" x14ac:dyDescent="0.25">
      <c r="A279" s="37" t="str">
        <f>Equipos!C277</f>
        <v>2-119888</v>
      </c>
      <c r="B279" s="33" t="str">
        <f>Equipos!D277</f>
        <v xml:space="preserve">Ventilador Mecánico </v>
      </c>
      <c r="C279" s="33" t="str">
        <f>Equipos!E277</f>
        <v>UPC 3er Piso</v>
      </c>
      <c r="D279" s="33" t="str">
        <f>Equipos!G277</f>
        <v>Sala de equipos</v>
      </c>
      <c r="E279" s="33" t="str">
        <f>Equipos!I277</f>
        <v>Puritan Bennett</v>
      </c>
      <c r="F279" s="33" t="str">
        <f>Equipos!J277</f>
        <v>560</v>
      </c>
      <c r="G279" s="37" t="str">
        <f>Equipos!K277</f>
        <v>40966N0158</v>
      </c>
      <c r="H279" s="33"/>
      <c r="I279" s="38"/>
      <c r="J279" s="38"/>
      <c r="K279" s="50" t="s">
        <v>278</v>
      </c>
      <c r="L279" s="38"/>
      <c r="M279" s="38"/>
      <c r="N279" s="38"/>
      <c r="O279" s="38"/>
      <c r="P279" s="38"/>
      <c r="Q279" s="38"/>
      <c r="R279" s="38"/>
      <c r="S279" s="38"/>
      <c r="T279" s="38"/>
      <c r="U279" s="33">
        <f t="shared" si="20"/>
        <v>1</v>
      </c>
      <c r="V279" s="33">
        <f t="shared" si="21"/>
        <v>0</v>
      </c>
      <c r="W279" s="33">
        <f t="shared" si="22"/>
        <v>0</v>
      </c>
      <c r="X279" s="33">
        <f t="shared" si="23"/>
        <v>1</v>
      </c>
      <c r="Y279" s="33">
        <f ca="1">SUMPRODUCT((I279:INDEX(I279:T279,MONTH(TODAY()))="X")*1)</f>
        <v>0</v>
      </c>
      <c r="Z279" s="39">
        <f t="shared" si="24"/>
        <v>0</v>
      </c>
    </row>
    <row r="280" spans="1:26" x14ac:dyDescent="0.25">
      <c r="A280" s="37" t="str">
        <f>Equipos!C278</f>
        <v>2-119889</v>
      </c>
      <c r="B280" s="33" t="str">
        <f>Equipos!D278</f>
        <v xml:space="preserve">Ventilador Mecánico </v>
      </c>
      <c r="C280" s="33" t="str">
        <f>Equipos!E278</f>
        <v>UPC 3er Piso</v>
      </c>
      <c r="D280" s="33" t="str">
        <f>Equipos!G278</f>
        <v>Bodega</v>
      </c>
      <c r="E280" s="33" t="str">
        <f>Equipos!I278</f>
        <v>Puritan Bennett</v>
      </c>
      <c r="F280" s="33" t="str">
        <f>Equipos!J278</f>
        <v>560</v>
      </c>
      <c r="G280" s="37" t="str">
        <f>Equipos!K278</f>
        <v>40966N0156</v>
      </c>
      <c r="H280" s="33"/>
      <c r="I280" s="38"/>
      <c r="J280" s="38"/>
      <c r="K280" s="50" t="s">
        <v>276</v>
      </c>
      <c r="L280" s="50" t="s">
        <v>275</v>
      </c>
      <c r="M280" s="38"/>
      <c r="N280" s="38"/>
      <c r="O280" s="38"/>
      <c r="P280" s="38"/>
      <c r="Q280" s="38"/>
      <c r="R280" s="38"/>
      <c r="S280" s="38"/>
      <c r="T280" s="38"/>
      <c r="U280" s="33">
        <f t="shared" si="20"/>
        <v>2</v>
      </c>
      <c r="V280" s="33">
        <f t="shared" si="21"/>
        <v>1</v>
      </c>
      <c r="W280" s="33">
        <f t="shared" si="22"/>
        <v>0</v>
      </c>
      <c r="X280" s="33">
        <f t="shared" si="23"/>
        <v>0</v>
      </c>
      <c r="Y280" s="33">
        <f ca="1">SUMPRODUCT((I280:INDEX(I280:T280,MONTH(TODAY()))="X")*1)</f>
        <v>0</v>
      </c>
      <c r="Z280" s="39">
        <f t="shared" si="24"/>
        <v>0.5</v>
      </c>
    </row>
    <row r="281" spans="1:26" x14ac:dyDescent="0.25">
      <c r="A281" s="37" t="str">
        <f>Equipos!C279</f>
        <v>2-119890</v>
      </c>
      <c r="B281" s="33" t="str">
        <f>Equipos!D279</f>
        <v xml:space="preserve">Ventilador Mecánico </v>
      </c>
      <c r="C281" s="33" t="str">
        <f>Equipos!E279</f>
        <v>UPC 3er Piso</v>
      </c>
      <c r="D281" s="33" t="str">
        <f>Equipos!G279</f>
        <v>Bodega</v>
      </c>
      <c r="E281" s="33" t="str">
        <f>Equipos!I279</f>
        <v>Puritan Bennett</v>
      </c>
      <c r="F281" s="33" t="str">
        <f>Equipos!J279</f>
        <v>560</v>
      </c>
      <c r="G281" s="37" t="str">
        <f>Equipos!K279</f>
        <v>40966N0134</v>
      </c>
      <c r="H281" s="33"/>
      <c r="I281" s="38"/>
      <c r="J281" s="38"/>
      <c r="K281" s="50" t="s">
        <v>276</v>
      </c>
      <c r="L281" s="50" t="s">
        <v>275</v>
      </c>
      <c r="M281" s="38"/>
      <c r="N281" s="38"/>
      <c r="O281" s="38"/>
      <c r="P281" s="38"/>
      <c r="Q281" s="38"/>
      <c r="R281" s="38"/>
      <c r="S281" s="38"/>
      <c r="T281" s="38"/>
      <c r="U281" s="33">
        <f t="shared" si="20"/>
        <v>2</v>
      </c>
      <c r="V281" s="33">
        <f t="shared" si="21"/>
        <v>1</v>
      </c>
      <c r="W281" s="33">
        <f t="shared" si="22"/>
        <v>0</v>
      </c>
      <c r="X281" s="33">
        <f t="shared" si="23"/>
        <v>0</v>
      </c>
      <c r="Y281" s="33">
        <f ca="1">SUMPRODUCT((I281:INDEX(I281:T281,MONTH(TODAY()))="X")*1)</f>
        <v>0</v>
      </c>
      <c r="Z281" s="39">
        <f t="shared" si="24"/>
        <v>0.5</v>
      </c>
    </row>
    <row r="282" spans="1:26" x14ac:dyDescent="0.25">
      <c r="A282" s="37" t="str">
        <f>Equipos!C280</f>
        <v>2-119891</v>
      </c>
      <c r="B282" s="33" t="str">
        <f>Equipos!D280</f>
        <v xml:space="preserve">Ventilador Mecánico </v>
      </c>
      <c r="C282" s="33" t="str">
        <f>Equipos!E280</f>
        <v>UPC 3er Piso</v>
      </c>
      <c r="D282" s="33" t="str">
        <f>Equipos!G280</f>
        <v>Bodega</v>
      </c>
      <c r="E282" s="33" t="str">
        <f>Equipos!I280</f>
        <v>Puritan Bennett</v>
      </c>
      <c r="F282" s="33" t="str">
        <f>Equipos!J280</f>
        <v>560</v>
      </c>
      <c r="G282" s="37" t="str">
        <f>Equipos!K280</f>
        <v>40966N0118</v>
      </c>
      <c r="H282" s="33"/>
      <c r="I282" s="38"/>
      <c r="J282" s="38"/>
      <c r="K282" s="50" t="s">
        <v>276</v>
      </c>
      <c r="L282" s="50" t="s">
        <v>275</v>
      </c>
      <c r="M282" s="38"/>
      <c r="N282" s="38"/>
      <c r="O282" s="38"/>
      <c r="P282" s="38"/>
      <c r="Q282" s="38"/>
      <c r="R282" s="38"/>
      <c r="S282" s="38"/>
      <c r="T282" s="38"/>
      <c r="U282" s="33">
        <f t="shared" si="20"/>
        <v>2</v>
      </c>
      <c r="V282" s="33">
        <f t="shared" si="21"/>
        <v>1</v>
      </c>
      <c r="W282" s="33">
        <f t="shared" si="22"/>
        <v>0</v>
      </c>
      <c r="X282" s="33">
        <f t="shared" si="23"/>
        <v>0</v>
      </c>
      <c r="Y282" s="33">
        <f ca="1">SUMPRODUCT((I282:INDEX(I282:T282,MONTH(TODAY()))="X")*1)</f>
        <v>0</v>
      </c>
      <c r="Z282" s="39">
        <f t="shared" si="24"/>
        <v>0.5</v>
      </c>
    </row>
    <row r="283" spans="1:26" x14ac:dyDescent="0.25">
      <c r="A283" s="37" t="str">
        <f>Equipos!C281</f>
        <v>2-119885</v>
      </c>
      <c r="B283" s="33" t="str">
        <f>Equipos!D281</f>
        <v xml:space="preserve">Ventilador Mecánico </v>
      </c>
      <c r="C283" s="33" t="str">
        <f>Equipos!E281</f>
        <v>Urgencia Adulto</v>
      </c>
      <c r="D283" s="33">
        <f>Equipos!G281</f>
        <v>0</v>
      </c>
      <c r="E283" s="33" t="str">
        <f>Equipos!I281</f>
        <v>Puritan Bennett</v>
      </c>
      <c r="F283" s="33" t="str">
        <f>Equipos!J281</f>
        <v>560</v>
      </c>
      <c r="G283" s="37" t="str">
        <f>Equipos!K281</f>
        <v>40966N0147</v>
      </c>
      <c r="H283" s="33"/>
      <c r="I283" s="38"/>
      <c r="J283" s="38"/>
      <c r="K283" s="50" t="s">
        <v>278</v>
      </c>
      <c r="L283" s="38"/>
      <c r="M283" s="38"/>
      <c r="N283" s="38"/>
      <c r="O283" s="38"/>
      <c r="P283" s="38"/>
      <c r="Q283" s="38"/>
      <c r="R283" s="38"/>
      <c r="S283" s="38"/>
      <c r="T283" s="38"/>
      <c r="U283" s="33">
        <f t="shared" si="20"/>
        <v>1</v>
      </c>
      <c r="V283" s="33">
        <f t="shared" si="21"/>
        <v>0</v>
      </c>
      <c r="W283" s="33">
        <f t="shared" si="22"/>
        <v>0</v>
      </c>
      <c r="X283" s="33">
        <f t="shared" si="23"/>
        <v>1</v>
      </c>
      <c r="Y283" s="33">
        <f ca="1">SUMPRODUCT((I283:INDEX(I283:T283,MONTH(TODAY()))="X")*1)</f>
        <v>0</v>
      </c>
      <c r="Z283" s="39">
        <f t="shared" si="24"/>
        <v>0</v>
      </c>
    </row>
    <row r="284" spans="1:26" x14ac:dyDescent="0.25">
      <c r="A284" s="37" t="str">
        <f>Equipos!C282</f>
        <v>2-119886</v>
      </c>
      <c r="B284" s="33" t="str">
        <f>Equipos!D282</f>
        <v xml:space="preserve">Ventilador Mecánico </v>
      </c>
      <c r="C284" s="33" t="str">
        <f>Equipos!E282</f>
        <v>Urgencia Adulto (Prestado a UPC Cardiovascular)</v>
      </c>
      <c r="D284" s="33">
        <f>Equipos!G282</f>
        <v>0</v>
      </c>
      <c r="E284" s="33" t="str">
        <f>Equipos!I282</f>
        <v>Puritan Bennett</v>
      </c>
      <c r="F284" s="33" t="str">
        <f>Equipos!J282</f>
        <v>560</v>
      </c>
      <c r="G284" s="37" t="str">
        <f>Equipos!K282</f>
        <v>40966N0133</v>
      </c>
      <c r="H284" s="33"/>
      <c r="I284" s="38"/>
      <c r="J284" s="38"/>
      <c r="K284" s="50" t="s">
        <v>276</v>
      </c>
      <c r="L284" s="50" t="s">
        <v>275</v>
      </c>
      <c r="M284" s="38"/>
      <c r="N284" s="38"/>
      <c r="O284" s="38"/>
      <c r="P284" s="38"/>
      <c r="Q284" s="38"/>
      <c r="R284" s="38"/>
      <c r="S284" s="38"/>
      <c r="T284" s="38"/>
      <c r="U284" s="33">
        <f t="shared" si="20"/>
        <v>2</v>
      </c>
      <c r="V284" s="33">
        <f t="shared" si="21"/>
        <v>1</v>
      </c>
      <c r="W284" s="33">
        <f t="shared" si="22"/>
        <v>0</v>
      </c>
      <c r="X284" s="33">
        <f t="shared" si="23"/>
        <v>0</v>
      </c>
      <c r="Y284" s="33">
        <f ca="1">SUMPRODUCT((I284:INDEX(I284:T284,MONTH(TODAY()))="X")*1)</f>
        <v>0</v>
      </c>
      <c r="Z284" s="39">
        <f t="shared" si="24"/>
        <v>0.5</v>
      </c>
    </row>
    <row r="285" spans="1:26" x14ac:dyDescent="0.25">
      <c r="A285" s="37" t="str">
        <f>Equipos!C283</f>
        <v>2-119887</v>
      </c>
      <c r="B285" s="33" t="str">
        <f>Equipos!D283</f>
        <v xml:space="preserve">Ventilador Mecánico </v>
      </c>
      <c r="C285" s="33" t="str">
        <f>Equipos!E283</f>
        <v>Urgencia Adulto (Prestado a UPC 3er piso)</v>
      </c>
      <c r="D285" s="33" t="str">
        <f>Equipos!G283</f>
        <v>UPC 3er Piso</v>
      </c>
      <c r="E285" s="33" t="str">
        <f>Equipos!I283</f>
        <v>Puritan Bennett</v>
      </c>
      <c r="F285" s="33" t="str">
        <f>Equipos!J283</f>
        <v>560</v>
      </c>
      <c r="G285" s="37" t="str">
        <f>Equipos!K283</f>
        <v>40966N0126</v>
      </c>
      <c r="H285" s="33"/>
      <c r="I285" s="38"/>
      <c r="J285" s="38"/>
      <c r="K285" s="50" t="s">
        <v>276</v>
      </c>
      <c r="L285" s="50" t="s">
        <v>275</v>
      </c>
      <c r="M285" s="38"/>
      <c r="N285" s="38"/>
      <c r="O285" s="38"/>
      <c r="P285" s="38"/>
      <c r="Q285" s="38"/>
      <c r="R285" s="38"/>
      <c r="S285" s="38"/>
      <c r="T285" s="38"/>
      <c r="U285" s="33">
        <f t="shared" si="20"/>
        <v>2</v>
      </c>
      <c r="V285" s="33">
        <f t="shared" si="21"/>
        <v>1</v>
      </c>
      <c r="W285" s="33">
        <f t="shared" si="22"/>
        <v>0</v>
      </c>
      <c r="X285" s="33">
        <f t="shared" si="23"/>
        <v>0</v>
      </c>
      <c r="Y285" s="33">
        <f ca="1">SUMPRODUCT((I285:INDEX(I285:T285,MONTH(TODAY()))="X")*1)</f>
        <v>0</v>
      </c>
      <c r="Z285" s="39">
        <f t="shared" si="24"/>
        <v>0.5</v>
      </c>
    </row>
    <row r="286" spans="1:26" x14ac:dyDescent="0.25">
      <c r="A286" s="37" t="str">
        <f>Equipos!C284</f>
        <v>121010-019703</v>
      </c>
      <c r="B286" s="33" t="str">
        <f>Equipos!D284</f>
        <v xml:space="preserve">Ventilador Mecánico </v>
      </c>
      <c r="C286" s="33" t="str">
        <f>Equipos!E284</f>
        <v>UPC Cardiovascular</v>
      </c>
      <c r="D286" s="33" t="str">
        <f>Equipos!G284</f>
        <v>SALA EQUIPOS</v>
      </c>
      <c r="E286" s="33" t="str">
        <f>Equipos!I284</f>
        <v>Newport</v>
      </c>
      <c r="F286" s="33" t="str">
        <f>Equipos!J284</f>
        <v>HT70 PLUS</v>
      </c>
      <c r="G286" s="37" t="str">
        <f>Equipos!K284</f>
        <v>HT7P200197</v>
      </c>
      <c r="H286" s="33"/>
      <c r="I286" s="38"/>
      <c r="J286" s="38"/>
      <c r="K286" s="50" t="s">
        <v>276</v>
      </c>
      <c r="L286" s="50" t="s">
        <v>275</v>
      </c>
      <c r="M286" s="38"/>
      <c r="N286" s="38"/>
      <c r="O286" s="38"/>
      <c r="P286" s="38"/>
      <c r="Q286" s="38"/>
      <c r="R286" s="38"/>
      <c r="S286" s="38"/>
      <c r="T286" s="38"/>
      <c r="U286" s="33">
        <f t="shared" si="20"/>
        <v>2</v>
      </c>
      <c r="V286" s="33">
        <f t="shared" si="21"/>
        <v>1</v>
      </c>
      <c r="W286" s="33">
        <f t="shared" si="22"/>
        <v>0</v>
      </c>
      <c r="X286" s="33">
        <f t="shared" si="23"/>
        <v>0</v>
      </c>
      <c r="Y286" s="33">
        <f ca="1">SUMPRODUCT((I286:INDEX(I286:T286,MONTH(TODAY()))="X")*1)</f>
        <v>0</v>
      </c>
      <c r="Z286" s="39">
        <f t="shared" si="24"/>
        <v>0.5</v>
      </c>
    </row>
    <row r="287" spans="1:26" x14ac:dyDescent="0.25">
      <c r="A287" s="37" t="str">
        <f>Equipos!C285</f>
        <v>2-120318</v>
      </c>
      <c r="B287" s="33" t="str">
        <f>Equipos!D285</f>
        <v xml:space="preserve">Ventilador Mecánico </v>
      </c>
      <c r="C287" s="33" t="str">
        <f>Equipos!E285</f>
        <v>UPC 3er Piso (Prestado a Urgencia Adulto)</v>
      </c>
      <c r="D287" s="33" t="str">
        <f>Equipos!G285</f>
        <v>Urgencia Adulto</v>
      </c>
      <c r="E287" s="33" t="str">
        <f>Equipos!I285</f>
        <v>Aeonmed</v>
      </c>
      <c r="F287" s="33" t="str">
        <f>Equipos!J285</f>
        <v>VG70</v>
      </c>
      <c r="G287" s="37" t="str">
        <f>Equipos!K285</f>
        <v>VG70(E)XZZU6636</v>
      </c>
      <c r="H287" s="33"/>
      <c r="I287" s="38"/>
      <c r="J287" s="38"/>
      <c r="K287" s="38"/>
      <c r="L287" s="50" t="s">
        <v>275</v>
      </c>
      <c r="M287" s="38"/>
      <c r="N287" s="38"/>
      <c r="O287" s="38"/>
      <c r="P287" s="38"/>
      <c r="Q287" s="38"/>
      <c r="R287" s="38"/>
      <c r="S287" s="38"/>
      <c r="T287" s="38"/>
      <c r="U287" s="33">
        <f t="shared" si="20"/>
        <v>1</v>
      </c>
      <c r="V287" s="33">
        <f t="shared" si="21"/>
        <v>1</v>
      </c>
      <c r="W287" s="33">
        <f t="shared" si="22"/>
        <v>0</v>
      </c>
      <c r="X287" s="33">
        <f t="shared" si="23"/>
        <v>0</v>
      </c>
      <c r="Y287" s="33">
        <f ca="1">SUMPRODUCT((I287:INDEX(I287:T287,MONTH(TODAY()))="X")*1)</f>
        <v>0</v>
      </c>
      <c r="Z287" s="39">
        <f t="shared" si="24"/>
        <v>1</v>
      </c>
    </row>
    <row r="288" spans="1:26" x14ac:dyDescent="0.25">
      <c r="A288" s="37" t="str">
        <f>Equipos!C286</f>
        <v>2-120321</v>
      </c>
      <c r="B288" s="33" t="str">
        <f>Equipos!D286</f>
        <v xml:space="preserve">Ventilador Mecánico </v>
      </c>
      <c r="C288" s="33" t="str">
        <f>Equipos!E286</f>
        <v>UPC 3er Piso (Prestado a Urgencia Adulto)</v>
      </c>
      <c r="D288" s="33" t="str">
        <f>Equipos!G286</f>
        <v>Urgencia Adulto</v>
      </c>
      <c r="E288" s="33" t="str">
        <f>Equipos!I286</f>
        <v>Aeonmed</v>
      </c>
      <c r="F288" s="33" t="str">
        <f>Equipos!J286</f>
        <v>VG70</v>
      </c>
      <c r="G288" s="37" t="str">
        <f>Equipos!K286</f>
        <v>VG70(E)XZZU3360</v>
      </c>
      <c r="H288" s="33"/>
      <c r="I288" s="38"/>
      <c r="J288" s="38"/>
      <c r="K288" s="38"/>
      <c r="L288" s="50" t="s">
        <v>275</v>
      </c>
      <c r="M288" s="38"/>
      <c r="N288" s="38"/>
      <c r="O288" s="38"/>
      <c r="P288" s="38"/>
      <c r="Q288" s="38"/>
      <c r="R288" s="38"/>
      <c r="S288" s="38"/>
      <c r="T288" s="38"/>
      <c r="U288" s="33">
        <f t="shared" si="20"/>
        <v>1</v>
      </c>
      <c r="V288" s="33">
        <f t="shared" si="21"/>
        <v>1</v>
      </c>
      <c r="W288" s="33">
        <f t="shared" si="22"/>
        <v>0</v>
      </c>
      <c r="X288" s="33">
        <f t="shared" si="23"/>
        <v>0</v>
      </c>
      <c r="Y288" s="33">
        <f ca="1">SUMPRODUCT((I288:INDEX(I288:T288,MONTH(TODAY()))="X")*1)</f>
        <v>0</v>
      </c>
      <c r="Z288" s="39">
        <f t="shared" si="24"/>
        <v>1</v>
      </c>
    </row>
    <row r="289" spans="1:26" x14ac:dyDescent="0.25">
      <c r="A289" s="37" t="str">
        <f>Equipos!C287</f>
        <v>2-120319</v>
      </c>
      <c r="B289" s="33" t="str">
        <f>Equipos!D287</f>
        <v xml:space="preserve">Ventilador Mecánico </v>
      </c>
      <c r="C289" s="33" t="str">
        <f>Equipos!E287</f>
        <v>UPC 3er Piso</v>
      </c>
      <c r="D289" s="33" t="str">
        <f>Equipos!G287</f>
        <v>Sala de equipos</v>
      </c>
      <c r="E289" s="33" t="str">
        <f>Equipos!I287</f>
        <v>Aeonmed</v>
      </c>
      <c r="F289" s="33" t="str">
        <f>Equipos!J287</f>
        <v>VG70</v>
      </c>
      <c r="G289" s="37" t="str">
        <f>Equipos!K287</f>
        <v>VG70(E)XZZU9473</v>
      </c>
      <c r="H289" s="33"/>
      <c r="I289" s="38"/>
      <c r="J289" s="38"/>
      <c r="K289" s="38"/>
      <c r="L289" s="50" t="s">
        <v>275</v>
      </c>
      <c r="M289" s="38"/>
      <c r="N289" s="38"/>
      <c r="O289" s="38"/>
      <c r="P289" s="38"/>
      <c r="Q289" s="38"/>
      <c r="R289" s="38"/>
      <c r="S289" s="38"/>
      <c r="T289" s="38"/>
      <c r="U289" s="33">
        <f t="shared" si="20"/>
        <v>1</v>
      </c>
      <c r="V289" s="33">
        <f t="shared" si="21"/>
        <v>1</v>
      </c>
      <c r="W289" s="33">
        <f t="shared" si="22"/>
        <v>0</v>
      </c>
      <c r="X289" s="33">
        <f t="shared" si="23"/>
        <v>0</v>
      </c>
      <c r="Y289" s="33">
        <f ca="1">SUMPRODUCT((I289:INDEX(I289:T289,MONTH(TODAY()))="X")*1)</f>
        <v>0</v>
      </c>
      <c r="Z289" s="39">
        <f t="shared" si="24"/>
        <v>1</v>
      </c>
    </row>
    <row r="290" spans="1:26" x14ac:dyDescent="0.25">
      <c r="A290" s="37" t="str">
        <f>Equipos!C288</f>
        <v>2-120320</v>
      </c>
      <c r="B290" s="33" t="str">
        <f>Equipos!D288</f>
        <v xml:space="preserve">Ventilador Mecánico </v>
      </c>
      <c r="C290" s="33" t="str">
        <f>Equipos!E288</f>
        <v>UPC 3er Piso</v>
      </c>
      <c r="D290" s="33" t="str">
        <f>Equipos!G288</f>
        <v>Sala de equipos</v>
      </c>
      <c r="E290" s="33" t="str">
        <f>Equipos!I288</f>
        <v>Aeonmed</v>
      </c>
      <c r="F290" s="33" t="str">
        <f>Equipos!J288</f>
        <v>VG70</v>
      </c>
      <c r="G290" s="37" t="str">
        <f>Equipos!K288</f>
        <v>VG70(E)XZZU8032</v>
      </c>
      <c r="H290" s="33"/>
      <c r="I290" s="38"/>
      <c r="J290" s="38"/>
      <c r="K290" s="38"/>
      <c r="L290" s="50" t="s">
        <v>275</v>
      </c>
      <c r="M290" s="38"/>
      <c r="N290" s="38"/>
      <c r="O290" s="38"/>
      <c r="P290" s="38"/>
      <c r="Q290" s="38"/>
      <c r="R290" s="38"/>
      <c r="S290" s="38"/>
      <c r="T290" s="38"/>
      <c r="U290" s="33">
        <f t="shared" si="20"/>
        <v>1</v>
      </c>
      <c r="V290" s="33">
        <f t="shared" si="21"/>
        <v>1</v>
      </c>
      <c r="W290" s="33">
        <f t="shared" si="22"/>
        <v>0</v>
      </c>
      <c r="X290" s="33">
        <f t="shared" si="23"/>
        <v>0</v>
      </c>
      <c r="Y290" s="33">
        <f ca="1">SUMPRODUCT((I290:INDEX(I290:T290,MONTH(TODAY()))="X")*1)</f>
        <v>0</v>
      </c>
      <c r="Z290" s="39">
        <f t="shared" si="24"/>
        <v>1</v>
      </c>
    </row>
    <row r="291" spans="1:26" x14ac:dyDescent="0.25">
      <c r="A291" s="37" t="str">
        <f>Equipos!C289</f>
        <v>2-120322</v>
      </c>
      <c r="B291" s="33" t="str">
        <f>Equipos!D289</f>
        <v xml:space="preserve">Ventilador Mecánico </v>
      </c>
      <c r="C291" s="33" t="str">
        <f>Equipos!E289</f>
        <v>UPC Adulto</v>
      </c>
      <c r="D291" s="33">
        <f>Equipos!G289</f>
        <v>0</v>
      </c>
      <c r="E291" s="33" t="str">
        <f>Equipos!I289</f>
        <v>MEK ICS</v>
      </c>
      <c r="F291" s="33" t="str">
        <f>Equipos!J289</f>
        <v>MV2000 EVO5</v>
      </c>
      <c r="G291" s="37" t="str">
        <f>Equipos!K289</f>
        <v>MV2000TA2F0736</v>
      </c>
      <c r="H291" s="33"/>
      <c r="I291" s="38"/>
      <c r="J291" s="38"/>
      <c r="K291" s="38"/>
      <c r="L291" s="50" t="s">
        <v>275</v>
      </c>
      <c r="M291" s="38"/>
      <c r="N291" s="38"/>
      <c r="O291" s="38"/>
      <c r="P291" s="38"/>
      <c r="Q291" s="38"/>
      <c r="R291" s="38"/>
      <c r="S291" s="38"/>
      <c r="T291" s="38"/>
      <c r="U291" s="33">
        <f t="shared" si="20"/>
        <v>1</v>
      </c>
      <c r="V291" s="33">
        <f t="shared" si="21"/>
        <v>1</v>
      </c>
      <c r="W291" s="33">
        <f t="shared" si="22"/>
        <v>0</v>
      </c>
      <c r="X291" s="33">
        <f t="shared" si="23"/>
        <v>0</v>
      </c>
      <c r="Y291" s="33">
        <f ca="1">SUMPRODUCT((I291:INDEX(I291:T291,MONTH(TODAY()))="X")*1)</f>
        <v>0</v>
      </c>
      <c r="Z291" s="39">
        <f t="shared" si="24"/>
        <v>1</v>
      </c>
    </row>
    <row r="292" spans="1:26" x14ac:dyDescent="0.25">
      <c r="A292" s="37" t="str">
        <f>Equipos!C290</f>
        <v>2-120323</v>
      </c>
      <c r="B292" s="33" t="str">
        <f>Equipos!D290</f>
        <v xml:space="preserve">Ventilador Mecánico </v>
      </c>
      <c r="C292" s="33" t="str">
        <f>Equipos!E290</f>
        <v>UPC 3er Piso</v>
      </c>
      <c r="D292" s="33" t="str">
        <f>Equipos!G290</f>
        <v>Sala de equipos</v>
      </c>
      <c r="E292" s="33" t="str">
        <f>Equipos!I290</f>
        <v>MEK ICS</v>
      </c>
      <c r="F292" s="33" t="str">
        <f>Equipos!J290</f>
        <v>MV2000 EVO5</v>
      </c>
      <c r="G292" s="37" t="str">
        <f>Equipos!K290</f>
        <v>MV2000TA2F0740</v>
      </c>
      <c r="H292" s="33"/>
      <c r="I292" s="38"/>
      <c r="J292" s="38"/>
      <c r="K292" s="38"/>
      <c r="L292" s="50" t="s">
        <v>275</v>
      </c>
      <c r="M292" s="38"/>
      <c r="N292" s="38"/>
      <c r="O292" s="38"/>
      <c r="P292" s="38"/>
      <c r="Q292" s="38"/>
      <c r="R292" s="38"/>
      <c r="S292" s="38"/>
      <c r="T292" s="38"/>
      <c r="U292" s="33">
        <f t="shared" si="20"/>
        <v>1</v>
      </c>
      <c r="V292" s="33">
        <f t="shared" si="21"/>
        <v>1</v>
      </c>
      <c r="W292" s="33">
        <f t="shared" si="22"/>
        <v>0</v>
      </c>
      <c r="X292" s="33">
        <f t="shared" si="23"/>
        <v>0</v>
      </c>
      <c r="Y292" s="33">
        <f ca="1">SUMPRODUCT((I292:INDEX(I292:T292,MONTH(TODAY()))="X")*1)</f>
        <v>0</v>
      </c>
      <c r="Z292" s="39">
        <f t="shared" si="24"/>
        <v>1</v>
      </c>
    </row>
    <row r="293" spans="1:26" x14ac:dyDescent="0.25">
      <c r="A293" s="37" t="str">
        <f>Equipos!C291</f>
        <v>2-120324</v>
      </c>
      <c r="B293" s="33" t="str">
        <f>Equipos!D291</f>
        <v xml:space="preserve">Ventilador Mecánico </v>
      </c>
      <c r="C293" s="33" t="str">
        <f>Equipos!E291</f>
        <v>UPC 3er Piso</v>
      </c>
      <c r="D293" s="33" t="str">
        <f>Equipos!G291</f>
        <v>Sala de equipos</v>
      </c>
      <c r="E293" s="33" t="str">
        <f>Equipos!I291</f>
        <v>MEK ICS</v>
      </c>
      <c r="F293" s="33" t="str">
        <f>Equipos!J291</f>
        <v>MV2000 EVO5</v>
      </c>
      <c r="G293" s="37" t="str">
        <f>Equipos!K291</f>
        <v>MV2000TA2F0735</v>
      </c>
      <c r="H293" s="33"/>
      <c r="I293" s="38"/>
      <c r="J293" s="38"/>
      <c r="K293" s="38"/>
      <c r="L293" s="50" t="s">
        <v>275</v>
      </c>
      <c r="M293" s="38"/>
      <c r="N293" s="38"/>
      <c r="O293" s="38"/>
      <c r="P293" s="38"/>
      <c r="Q293" s="38"/>
      <c r="R293" s="38"/>
      <c r="S293" s="38"/>
      <c r="T293" s="38"/>
      <c r="U293" s="33">
        <f t="shared" si="20"/>
        <v>1</v>
      </c>
      <c r="V293" s="33">
        <f t="shared" si="21"/>
        <v>1</v>
      </c>
      <c r="W293" s="33">
        <f t="shared" si="22"/>
        <v>0</v>
      </c>
      <c r="X293" s="33">
        <f t="shared" si="23"/>
        <v>0</v>
      </c>
      <c r="Y293" s="33">
        <f ca="1">SUMPRODUCT((I293:INDEX(I293:T293,MONTH(TODAY()))="X")*1)</f>
        <v>0</v>
      </c>
      <c r="Z293" s="39">
        <f t="shared" si="24"/>
        <v>1</v>
      </c>
    </row>
    <row r="294" spans="1:26" x14ac:dyDescent="0.25">
      <c r="A294" s="37" t="str">
        <f>Equipos!C292</f>
        <v>2-120325</v>
      </c>
      <c r="B294" s="33" t="str">
        <f>Equipos!D292</f>
        <v xml:space="preserve">Ventilador Mecánico </v>
      </c>
      <c r="C294" s="33" t="str">
        <f>Equipos!E292</f>
        <v>UPC Adulto</v>
      </c>
      <c r="D294" s="33">
        <f>Equipos!G292</f>
        <v>0</v>
      </c>
      <c r="E294" s="33" t="str">
        <f>Equipos!I292</f>
        <v>MEK ICS</v>
      </c>
      <c r="F294" s="33" t="str">
        <f>Equipos!J292</f>
        <v>MV2000 EVO5</v>
      </c>
      <c r="G294" s="37" t="str">
        <f>Equipos!K292</f>
        <v>MV2000TA1F0353</v>
      </c>
      <c r="H294" s="33"/>
      <c r="I294" s="38"/>
      <c r="J294" s="38"/>
      <c r="K294" s="38"/>
      <c r="L294" s="50" t="s">
        <v>275</v>
      </c>
      <c r="M294" s="38"/>
      <c r="N294" s="38"/>
      <c r="O294" s="38"/>
      <c r="P294" s="38"/>
      <c r="Q294" s="38"/>
      <c r="R294" s="38"/>
      <c r="S294" s="38"/>
      <c r="T294" s="38"/>
      <c r="U294" s="33">
        <f t="shared" si="20"/>
        <v>1</v>
      </c>
      <c r="V294" s="33">
        <f t="shared" si="21"/>
        <v>1</v>
      </c>
      <c r="W294" s="33">
        <f t="shared" si="22"/>
        <v>0</v>
      </c>
      <c r="X294" s="33">
        <f t="shared" si="23"/>
        <v>0</v>
      </c>
      <c r="Y294" s="33">
        <f ca="1">SUMPRODUCT((I294:INDEX(I294:T294,MONTH(TODAY()))="X")*1)</f>
        <v>0</v>
      </c>
      <c r="Z294" s="39">
        <f t="shared" si="24"/>
        <v>1</v>
      </c>
    </row>
    <row r="295" spans="1:26" x14ac:dyDescent="0.25">
      <c r="A295" s="37" t="str">
        <f>Equipos!C293</f>
        <v>2-120326</v>
      </c>
      <c r="B295" s="33" t="str">
        <f>Equipos!D293</f>
        <v xml:space="preserve">Ventilador Mecánico </v>
      </c>
      <c r="C295" s="33" t="str">
        <f>Equipos!E293</f>
        <v>UPC 3er Piso</v>
      </c>
      <c r="D295" s="33" t="str">
        <f>Equipos!G293</f>
        <v>Sala de equipos</v>
      </c>
      <c r="E295" s="33" t="str">
        <f>Equipos!I293</f>
        <v>MEK ICS</v>
      </c>
      <c r="F295" s="33" t="str">
        <f>Equipos!J293</f>
        <v>MV2000 EVO5</v>
      </c>
      <c r="G295" s="37" t="str">
        <f>Equipos!K293</f>
        <v>MV2000TA2F0745</v>
      </c>
      <c r="H295" s="33"/>
      <c r="I295" s="38"/>
      <c r="J295" s="38"/>
      <c r="K295" s="38"/>
      <c r="L295" s="50" t="s">
        <v>275</v>
      </c>
      <c r="M295" s="38"/>
      <c r="N295" s="38"/>
      <c r="O295" s="38"/>
      <c r="P295" s="38"/>
      <c r="Q295" s="38"/>
      <c r="R295" s="38"/>
      <c r="S295" s="38"/>
      <c r="T295" s="38"/>
      <c r="U295" s="33">
        <f t="shared" si="20"/>
        <v>1</v>
      </c>
      <c r="V295" s="33">
        <f t="shared" si="21"/>
        <v>1</v>
      </c>
      <c r="W295" s="33">
        <f t="shared" si="22"/>
        <v>0</v>
      </c>
      <c r="X295" s="33">
        <f t="shared" si="23"/>
        <v>0</v>
      </c>
      <c r="Y295" s="33">
        <f ca="1">SUMPRODUCT((I295:INDEX(I295:T295,MONTH(TODAY()))="X")*1)</f>
        <v>0</v>
      </c>
      <c r="Z295" s="39">
        <f t="shared" si="24"/>
        <v>1</v>
      </c>
    </row>
    <row r="296" spans="1:26" x14ac:dyDescent="0.25">
      <c r="A296" s="37" t="str">
        <f>Equipos!C294</f>
        <v>2-012933</v>
      </c>
      <c r="B296" s="33" t="str">
        <f>Equipos!D294</f>
        <v xml:space="preserve">Ventilador Mecánico </v>
      </c>
      <c r="C296" s="33" t="str">
        <f>Equipos!E294</f>
        <v>SAMU (Prestado al Hospital de Villarrica)</v>
      </c>
      <c r="D296" s="33" t="str">
        <f>Equipos!G294</f>
        <v>Hospital de Villarrica</v>
      </c>
      <c r="E296" s="33" t="str">
        <f>Equipos!I294</f>
        <v>Weinmann</v>
      </c>
      <c r="F296" s="33" t="str">
        <f>Equipos!J294</f>
        <v>Medumat Transport</v>
      </c>
      <c r="G296" s="37" t="str">
        <f>Equipos!K294</f>
        <v>8253</v>
      </c>
      <c r="H296" s="33"/>
      <c r="I296" s="50" t="s">
        <v>276</v>
      </c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3">
        <f t="shared" si="20"/>
        <v>1</v>
      </c>
      <c r="V296" s="33">
        <f t="shared" si="21"/>
        <v>0</v>
      </c>
      <c r="W296" s="33">
        <f t="shared" si="22"/>
        <v>0</v>
      </c>
      <c r="X296" s="33">
        <f t="shared" si="23"/>
        <v>0</v>
      </c>
      <c r="Y296" s="33">
        <f ca="1">SUMPRODUCT((I296:INDEX(I296:T296,MONTH(TODAY()))="X")*1)</f>
        <v>0</v>
      </c>
      <c r="Z296" s="39">
        <f t="shared" si="24"/>
        <v>0</v>
      </c>
    </row>
    <row r="297" spans="1:26" x14ac:dyDescent="0.25">
      <c r="A297" s="37" t="str">
        <f>Equipos!C295</f>
        <v>2-121048</v>
      </c>
      <c r="B297" s="33" t="str">
        <f>Equipos!D295</f>
        <v xml:space="preserve">Ventilador Mecánico </v>
      </c>
      <c r="C297" s="33" t="str">
        <f>Equipos!E295</f>
        <v>UPC Cardiovascular</v>
      </c>
      <c r="D297" s="33" t="str">
        <f>Equipos!G295</f>
        <v>UCI Cardiovascular</v>
      </c>
      <c r="E297" s="33" t="str">
        <f>Equipos!I295</f>
        <v>Puritan Bennett</v>
      </c>
      <c r="F297" s="33" t="str">
        <f>Equipos!J295</f>
        <v>980</v>
      </c>
      <c r="G297" s="37" t="str">
        <f>Equipos!K295</f>
        <v>35B2002482</v>
      </c>
      <c r="H297" s="33"/>
      <c r="I297" s="38"/>
      <c r="J297" s="38"/>
      <c r="K297" s="50" t="s">
        <v>277</v>
      </c>
      <c r="L297" s="50" t="s">
        <v>275</v>
      </c>
      <c r="M297" s="38"/>
      <c r="N297" s="38"/>
      <c r="O297" s="38"/>
      <c r="P297" s="38"/>
      <c r="Q297" s="38"/>
      <c r="R297" s="38"/>
      <c r="S297" s="38"/>
      <c r="T297" s="38"/>
      <c r="U297" s="33">
        <f t="shared" si="20"/>
        <v>2</v>
      </c>
      <c r="V297" s="33">
        <f t="shared" si="21"/>
        <v>1</v>
      </c>
      <c r="W297" s="33">
        <f t="shared" si="22"/>
        <v>0</v>
      </c>
      <c r="X297" s="33">
        <f t="shared" si="23"/>
        <v>1</v>
      </c>
      <c r="Y297" s="33">
        <f ca="1">SUMPRODUCT((I297:INDEX(I297:T297,MONTH(TODAY()))="X")*1)</f>
        <v>0</v>
      </c>
      <c r="Z297" s="39">
        <f t="shared" si="24"/>
        <v>0.5</v>
      </c>
    </row>
    <row r="298" spans="1:26" x14ac:dyDescent="0.25">
      <c r="A298" s="37" t="str">
        <f>Equipos!C296</f>
        <v>2-121204</v>
      </c>
      <c r="B298" s="33" t="str">
        <f>Equipos!D296</f>
        <v xml:space="preserve">Ventilador Mecánico </v>
      </c>
      <c r="C298" s="33" t="str">
        <f>Equipos!E296</f>
        <v>Urgencia Adulto</v>
      </c>
      <c r="D298" s="33">
        <f>Equipos!G296</f>
        <v>0</v>
      </c>
      <c r="E298" s="33" t="str">
        <f>Equipos!I296</f>
        <v>Drager</v>
      </c>
      <c r="F298" s="33" t="str">
        <f>Equipos!J296</f>
        <v>Oxylog 3000</v>
      </c>
      <c r="G298" s="37" t="str">
        <f>Equipos!K296</f>
        <v>ASJL-0086</v>
      </c>
      <c r="H298" s="33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3">
        <f t="shared" si="20"/>
        <v>0</v>
      </c>
      <c r="V298" s="33">
        <f t="shared" si="21"/>
        <v>0</v>
      </c>
      <c r="W298" s="33">
        <f t="shared" si="22"/>
        <v>0</v>
      </c>
      <c r="X298" s="33">
        <f t="shared" si="23"/>
        <v>0</v>
      </c>
      <c r="Y298" s="33">
        <f ca="1">SUMPRODUCT((I298:INDEX(I298:T298,MONTH(TODAY()))="X")*1)</f>
        <v>0</v>
      </c>
      <c r="Z298" s="39" t="str">
        <f t="shared" si="24"/>
        <v/>
      </c>
    </row>
    <row r="299" spans="1:26" x14ac:dyDescent="0.25">
      <c r="A299" s="37" t="str">
        <f>Equipos!C297</f>
        <v>2-121203</v>
      </c>
      <c r="B299" s="33" t="str">
        <f>Equipos!D297</f>
        <v xml:space="preserve">Ventilador Mecánico </v>
      </c>
      <c r="C299" s="33" t="str">
        <f>Equipos!E297</f>
        <v>UPC 3er Piso</v>
      </c>
      <c r="D299" s="33" t="str">
        <f>Equipos!G297</f>
        <v>Sala de equipos</v>
      </c>
      <c r="E299" s="33" t="str">
        <f>Equipos!I297</f>
        <v>Drager</v>
      </c>
      <c r="F299" s="33" t="str">
        <f>Equipos!J297</f>
        <v>Oxylog 3000</v>
      </c>
      <c r="G299" s="37" t="str">
        <f>Equipos!K297</f>
        <v>ASJL-0081</v>
      </c>
      <c r="H299" s="33"/>
      <c r="I299" s="38"/>
      <c r="J299" s="38"/>
      <c r="K299" s="38"/>
      <c r="L299" s="38"/>
      <c r="M299" s="50" t="s">
        <v>275</v>
      </c>
      <c r="N299" s="38"/>
      <c r="O299" s="38"/>
      <c r="P299" s="38"/>
      <c r="Q299" s="38"/>
      <c r="R299" s="38"/>
      <c r="S299" s="38"/>
      <c r="T299" s="38"/>
      <c r="U299" s="33">
        <f t="shared" si="20"/>
        <v>1</v>
      </c>
      <c r="V299" s="33">
        <f t="shared" si="21"/>
        <v>1</v>
      </c>
      <c r="W299" s="33">
        <f t="shared" si="22"/>
        <v>0</v>
      </c>
      <c r="X299" s="33">
        <f t="shared" si="23"/>
        <v>0</v>
      </c>
      <c r="Y299" s="33">
        <f ca="1">SUMPRODUCT((I299:INDEX(I299:T299,MONTH(TODAY()))="X")*1)</f>
        <v>0</v>
      </c>
      <c r="Z299" s="39">
        <f t="shared" si="24"/>
        <v>1</v>
      </c>
    </row>
    <row r="300" spans="1:26" x14ac:dyDescent="0.25">
      <c r="A300" s="37" t="str">
        <f>Equipos!C298</f>
        <v>2-120744</v>
      </c>
      <c r="B300" s="33" t="str">
        <f>Equipos!D298</f>
        <v xml:space="preserve">Ventilador Mecánico </v>
      </c>
      <c r="C300" s="33" t="str">
        <f>Equipos!E298</f>
        <v>Urgencia Adulto</v>
      </c>
      <c r="D300" s="33" t="str">
        <f>Equipos!G298</f>
        <v>Sala equipos SUA</v>
      </c>
      <c r="E300" s="33" t="str">
        <f>Equipos!I298</f>
        <v>Aeonmed</v>
      </c>
      <c r="F300" s="33" t="str">
        <f>Equipos!J298</f>
        <v>VG70</v>
      </c>
      <c r="G300" s="37" t="str">
        <f>Equipos!K298</f>
        <v>VG70(E)XZZU7932</v>
      </c>
      <c r="H300" s="33"/>
      <c r="I300" s="38"/>
      <c r="J300" s="38"/>
      <c r="K300" s="38"/>
      <c r="L300" s="50" t="s">
        <v>275</v>
      </c>
      <c r="M300" s="38"/>
      <c r="N300" s="38"/>
      <c r="O300" s="38"/>
      <c r="P300" s="38"/>
      <c r="Q300" s="38"/>
      <c r="R300" s="38"/>
      <c r="S300" s="38"/>
      <c r="T300" s="38"/>
      <c r="U300" s="33">
        <f t="shared" si="20"/>
        <v>1</v>
      </c>
      <c r="V300" s="33">
        <f t="shared" si="21"/>
        <v>1</v>
      </c>
      <c r="W300" s="33">
        <f t="shared" si="22"/>
        <v>0</v>
      </c>
      <c r="X300" s="33">
        <f t="shared" si="23"/>
        <v>0</v>
      </c>
      <c r="Y300" s="33">
        <f ca="1">SUMPRODUCT((I300:INDEX(I300:T300,MONTH(TODAY()))="X")*1)</f>
        <v>0</v>
      </c>
      <c r="Z300" s="39">
        <f t="shared" si="24"/>
        <v>1</v>
      </c>
    </row>
    <row r="301" spans="1:26" x14ac:dyDescent="0.25">
      <c r="A301" s="37" t="str">
        <f>Equipos!C299</f>
        <v>2-120745</v>
      </c>
      <c r="B301" s="33" t="str">
        <f>Equipos!D299</f>
        <v xml:space="preserve">Ventilador Mecánico </v>
      </c>
      <c r="C301" s="33" t="str">
        <f>Equipos!E299</f>
        <v>Urgencia Adulto</v>
      </c>
      <c r="D301" s="33" t="str">
        <f>Equipos!G299</f>
        <v>Sala equipos SUA</v>
      </c>
      <c r="E301" s="33" t="str">
        <f>Equipos!I299</f>
        <v>Aeonmed</v>
      </c>
      <c r="F301" s="33" t="str">
        <f>Equipos!J299</f>
        <v>VG70</v>
      </c>
      <c r="G301" s="37" t="str">
        <f>Equipos!K299</f>
        <v>VG70(E)XZZU7934</v>
      </c>
      <c r="H301" s="33"/>
      <c r="I301" s="38"/>
      <c r="J301" s="38"/>
      <c r="K301" s="38"/>
      <c r="L301" s="50" t="s">
        <v>275</v>
      </c>
      <c r="M301" s="38"/>
      <c r="N301" s="38"/>
      <c r="O301" s="38"/>
      <c r="P301" s="38"/>
      <c r="Q301" s="38"/>
      <c r="R301" s="38"/>
      <c r="S301" s="38"/>
      <c r="T301" s="38"/>
      <c r="U301" s="33">
        <f t="shared" si="20"/>
        <v>1</v>
      </c>
      <c r="V301" s="33">
        <f t="shared" si="21"/>
        <v>1</v>
      </c>
      <c r="W301" s="33">
        <f t="shared" si="22"/>
        <v>0</v>
      </c>
      <c r="X301" s="33">
        <f t="shared" si="23"/>
        <v>0</v>
      </c>
      <c r="Y301" s="33">
        <f ca="1">SUMPRODUCT((I301:INDEX(I301:T301,MONTH(TODAY()))="X")*1)</f>
        <v>0</v>
      </c>
      <c r="Z301" s="39">
        <f t="shared" si="24"/>
        <v>1</v>
      </c>
    </row>
    <row r="302" spans="1:26" x14ac:dyDescent="0.25">
      <c r="A302" s="37" t="str">
        <f>Equipos!C300</f>
        <v>2-120565</v>
      </c>
      <c r="B302" s="33" t="str">
        <f>Equipos!D300</f>
        <v xml:space="preserve">Ventilador Mecánico </v>
      </c>
      <c r="C302" s="33" t="str">
        <f>Equipos!E300</f>
        <v>UPC Adulto</v>
      </c>
      <c r="D302" s="33" t="str">
        <f>Equipos!G300</f>
        <v>Sala de equipos</v>
      </c>
      <c r="E302" s="33" t="str">
        <f>Equipos!I300</f>
        <v>Puritan Bennett</v>
      </c>
      <c r="F302" s="33" t="str">
        <f>Equipos!J300</f>
        <v>980/Sin Comp.</v>
      </c>
      <c r="G302" s="37" t="str">
        <f>Equipos!K300</f>
        <v>35B2004521</v>
      </c>
      <c r="H302" s="33"/>
      <c r="I302" s="38"/>
      <c r="J302" s="38"/>
      <c r="K302" s="50" t="s">
        <v>277</v>
      </c>
      <c r="L302" s="50" t="s">
        <v>275</v>
      </c>
      <c r="M302" s="38"/>
      <c r="N302" s="38"/>
      <c r="O302" s="38"/>
      <c r="P302" s="38"/>
      <c r="Q302" s="38"/>
      <c r="R302" s="38"/>
      <c r="S302" s="38"/>
      <c r="T302" s="38"/>
      <c r="U302" s="33">
        <f t="shared" si="20"/>
        <v>2</v>
      </c>
      <c r="V302" s="33">
        <f t="shared" si="21"/>
        <v>1</v>
      </c>
      <c r="W302" s="33">
        <f t="shared" si="22"/>
        <v>0</v>
      </c>
      <c r="X302" s="33">
        <f t="shared" si="23"/>
        <v>1</v>
      </c>
      <c r="Y302" s="33">
        <f ca="1">SUMPRODUCT((I302:INDEX(I302:T302,MONTH(TODAY()))="X")*1)</f>
        <v>0</v>
      </c>
      <c r="Z302" s="39">
        <f t="shared" si="24"/>
        <v>0.5</v>
      </c>
    </row>
    <row r="303" spans="1:26" x14ac:dyDescent="0.25">
      <c r="A303" s="37" t="str">
        <f>Equipos!C301</f>
        <v>2-120566</v>
      </c>
      <c r="B303" s="33" t="str">
        <f>Equipos!D301</f>
        <v xml:space="preserve">Ventilador Mecánico </v>
      </c>
      <c r="C303" s="33" t="str">
        <f>Equipos!E301</f>
        <v>Urgencia Adulto (Prestado a UPC Cardiovascular)</v>
      </c>
      <c r="D303" s="33" t="str">
        <f>Equipos!G301</f>
        <v>UPC Cardiovascular</v>
      </c>
      <c r="E303" s="33" t="str">
        <f>Equipos!I301</f>
        <v>Puritan Bennett</v>
      </c>
      <c r="F303" s="33" t="str">
        <f>Equipos!J301</f>
        <v>840</v>
      </c>
      <c r="G303" s="37" t="str">
        <f>Equipos!K301</f>
        <v>3512202265</v>
      </c>
      <c r="H303" s="33"/>
      <c r="I303" s="38"/>
      <c r="J303" s="38"/>
      <c r="K303" s="50" t="s">
        <v>276</v>
      </c>
      <c r="L303" s="50" t="s">
        <v>275</v>
      </c>
      <c r="M303" s="38"/>
      <c r="N303" s="38"/>
      <c r="O303" s="38"/>
      <c r="P303" s="38"/>
      <c r="Q303" s="38"/>
      <c r="R303" s="38"/>
      <c r="S303" s="38"/>
      <c r="T303" s="38"/>
      <c r="U303" s="33">
        <f t="shared" si="20"/>
        <v>2</v>
      </c>
      <c r="V303" s="33">
        <f t="shared" si="21"/>
        <v>1</v>
      </c>
      <c r="W303" s="33">
        <f t="shared" si="22"/>
        <v>0</v>
      </c>
      <c r="X303" s="33">
        <f t="shared" si="23"/>
        <v>0</v>
      </c>
      <c r="Y303" s="33">
        <f ca="1">SUMPRODUCT((I303:INDEX(I303:T303,MONTH(TODAY()))="X")*1)</f>
        <v>0</v>
      </c>
      <c r="Z303" s="39">
        <f t="shared" si="24"/>
        <v>0.5</v>
      </c>
    </row>
    <row r="304" spans="1:26" x14ac:dyDescent="0.25">
      <c r="A304" s="37" t="str">
        <f>Equipos!C302</f>
        <v>2-120568</v>
      </c>
      <c r="B304" s="33" t="str">
        <f>Equipos!D302</f>
        <v xml:space="preserve">Ventilador Mecánico </v>
      </c>
      <c r="C304" s="33" t="str">
        <f>Equipos!E302</f>
        <v>UPC Cardiovascular</v>
      </c>
      <c r="D304" s="33" t="str">
        <f>Equipos!G302</f>
        <v>UCI Cardiovascular</v>
      </c>
      <c r="E304" s="33" t="str">
        <f>Equipos!I302</f>
        <v>Puritan Bennett</v>
      </c>
      <c r="F304" s="33" t="str">
        <f>Equipos!J302</f>
        <v>980/Sin Comp.</v>
      </c>
      <c r="G304" s="37" t="str">
        <f>Equipos!K302</f>
        <v>35B2004413</v>
      </c>
      <c r="H304" s="33"/>
      <c r="I304" s="38"/>
      <c r="J304" s="38"/>
      <c r="K304" s="50" t="s">
        <v>277</v>
      </c>
      <c r="L304" s="50" t="s">
        <v>275</v>
      </c>
      <c r="M304" s="38"/>
      <c r="N304" s="38"/>
      <c r="O304" s="38"/>
      <c r="P304" s="38"/>
      <c r="Q304" s="38"/>
      <c r="R304" s="38"/>
      <c r="S304" s="38"/>
      <c r="T304" s="38"/>
      <c r="U304" s="33">
        <f t="shared" si="20"/>
        <v>2</v>
      </c>
      <c r="V304" s="33">
        <f t="shared" si="21"/>
        <v>1</v>
      </c>
      <c r="W304" s="33">
        <f t="shared" si="22"/>
        <v>0</v>
      </c>
      <c r="X304" s="33">
        <f t="shared" si="23"/>
        <v>1</v>
      </c>
      <c r="Y304" s="33">
        <f ca="1">SUMPRODUCT((I304:INDEX(I304:T304,MONTH(TODAY()))="X")*1)</f>
        <v>0</v>
      </c>
      <c r="Z304" s="39">
        <f t="shared" si="24"/>
        <v>0.5</v>
      </c>
    </row>
    <row r="305" spans="1:26" x14ac:dyDescent="0.25">
      <c r="A305" s="37" t="str">
        <f>Equipos!C303</f>
        <v>2-120567</v>
      </c>
      <c r="B305" s="33" t="str">
        <f>Equipos!D303</f>
        <v xml:space="preserve">Ventilador Mecánico </v>
      </c>
      <c r="C305" s="33" t="str">
        <f>Equipos!E303</f>
        <v>UPC Cardiovascular</v>
      </c>
      <c r="D305" s="33" t="str">
        <f>Equipos!G303</f>
        <v>UCI Cardiovascular</v>
      </c>
      <c r="E305" s="33" t="str">
        <f>Equipos!I303</f>
        <v>Puritan Bennett</v>
      </c>
      <c r="F305" s="33" t="str">
        <f>Equipos!J303</f>
        <v>980/Sin Comp.</v>
      </c>
      <c r="G305" s="37" t="str">
        <f>Equipos!K303</f>
        <v>35B2004449</v>
      </c>
      <c r="H305" s="33"/>
      <c r="I305" s="38"/>
      <c r="J305" s="38"/>
      <c r="K305" s="50" t="s">
        <v>276</v>
      </c>
      <c r="L305" s="50" t="s">
        <v>275</v>
      </c>
      <c r="M305" s="38"/>
      <c r="N305" s="38"/>
      <c r="O305" s="38"/>
      <c r="P305" s="38"/>
      <c r="Q305" s="38"/>
      <c r="R305" s="38"/>
      <c r="S305" s="38"/>
      <c r="T305" s="38"/>
      <c r="U305" s="33">
        <f t="shared" si="20"/>
        <v>2</v>
      </c>
      <c r="V305" s="33">
        <f t="shared" si="21"/>
        <v>1</v>
      </c>
      <c r="W305" s="33">
        <f t="shared" si="22"/>
        <v>0</v>
      </c>
      <c r="X305" s="33">
        <f t="shared" si="23"/>
        <v>0</v>
      </c>
      <c r="Y305" s="33">
        <f ca="1">SUMPRODUCT((I305:INDEX(I305:T305,MONTH(TODAY()))="X")*1)</f>
        <v>0</v>
      </c>
      <c r="Z305" s="39">
        <f t="shared" si="24"/>
        <v>0.5</v>
      </c>
    </row>
    <row r="306" spans="1:26" x14ac:dyDescent="0.25">
      <c r="A306" s="37" t="str">
        <f>Equipos!C304</f>
        <v>2-120569</v>
      </c>
      <c r="B306" s="33" t="str">
        <f>Equipos!D304</f>
        <v xml:space="preserve">Ventilador Mecánico </v>
      </c>
      <c r="C306" s="33" t="str">
        <f>Equipos!E304</f>
        <v>UPC Adulto</v>
      </c>
      <c r="D306" s="33">
        <f>Equipos!G304</f>
        <v>0</v>
      </c>
      <c r="E306" s="33" t="str">
        <f>Equipos!I304</f>
        <v>Puritan Bennett</v>
      </c>
      <c r="F306" s="33" t="str">
        <f>Equipos!J304</f>
        <v>980/Sin Comp.</v>
      </c>
      <c r="G306" s="37" t="str">
        <f>Equipos!K304</f>
        <v>35B2004447</v>
      </c>
      <c r="H306" s="33"/>
      <c r="I306" s="38"/>
      <c r="J306" s="38"/>
      <c r="K306" s="50" t="s">
        <v>276</v>
      </c>
      <c r="L306" s="50" t="s">
        <v>275</v>
      </c>
      <c r="M306" s="38"/>
      <c r="N306" s="38"/>
      <c r="O306" s="38"/>
      <c r="P306" s="38"/>
      <c r="Q306" s="38"/>
      <c r="R306" s="38"/>
      <c r="S306" s="38"/>
      <c r="T306" s="38"/>
      <c r="U306" s="33">
        <f t="shared" si="20"/>
        <v>2</v>
      </c>
      <c r="V306" s="33">
        <f t="shared" si="21"/>
        <v>1</v>
      </c>
      <c r="W306" s="33">
        <f t="shared" si="22"/>
        <v>0</v>
      </c>
      <c r="X306" s="33">
        <f t="shared" si="23"/>
        <v>0</v>
      </c>
      <c r="Y306" s="33">
        <f ca="1">SUMPRODUCT((I306:INDEX(I306:T306,MONTH(TODAY()))="X")*1)</f>
        <v>0</v>
      </c>
      <c r="Z306" s="39">
        <f t="shared" si="24"/>
        <v>0.5</v>
      </c>
    </row>
    <row r="307" spans="1:26" x14ac:dyDescent="0.25">
      <c r="A307" s="37" t="str">
        <f>Equipos!C305</f>
        <v>2-120570</v>
      </c>
      <c r="B307" s="33" t="str">
        <f>Equipos!D305</f>
        <v xml:space="preserve">Ventilador Mecánico </v>
      </c>
      <c r="C307" s="33" t="str">
        <f>Equipos!E305</f>
        <v>UPC Adulto</v>
      </c>
      <c r="D307" s="33">
        <f>Equipos!G305</f>
        <v>0</v>
      </c>
      <c r="E307" s="33" t="str">
        <f>Equipos!I305</f>
        <v>Puritan Bennett</v>
      </c>
      <c r="F307" s="33" t="str">
        <f>Equipos!J305</f>
        <v>840</v>
      </c>
      <c r="G307" s="37" t="str">
        <f>Equipos!K305</f>
        <v>3512202261</v>
      </c>
      <c r="H307" s="33"/>
      <c r="I307" s="38"/>
      <c r="J307" s="38"/>
      <c r="K307" s="50" t="s">
        <v>276</v>
      </c>
      <c r="L307" s="50" t="s">
        <v>275</v>
      </c>
      <c r="M307" s="38"/>
      <c r="N307" s="38"/>
      <c r="O307" s="38"/>
      <c r="P307" s="38"/>
      <c r="Q307" s="38"/>
      <c r="R307" s="38"/>
      <c r="S307" s="38"/>
      <c r="T307" s="38"/>
      <c r="U307" s="33">
        <f t="shared" si="20"/>
        <v>2</v>
      </c>
      <c r="V307" s="33">
        <f t="shared" si="21"/>
        <v>1</v>
      </c>
      <c r="W307" s="33">
        <f t="shared" si="22"/>
        <v>0</v>
      </c>
      <c r="X307" s="33">
        <f t="shared" si="23"/>
        <v>0</v>
      </c>
      <c r="Y307" s="33">
        <f ca="1">SUMPRODUCT((I307:INDEX(I307:T307,MONTH(TODAY()))="X")*1)</f>
        <v>0</v>
      </c>
      <c r="Z307" s="39">
        <f t="shared" si="24"/>
        <v>0.5</v>
      </c>
    </row>
    <row r="308" spans="1:26" x14ac:dyDescent="0.25">
      <c r="A308" s="37" t="str">
        <f>Equipos!C306</f>
        <v>2-120571</v>
      </c>
      <c r="B308" s="33" t="str">
        <f>Equipos!D306</f>
        <v xml:space="preserve">Ventilador Mecánico </v>
      </c>
      <c r="C308" s="33" t="str">
        <f>Equipos!E306</f>
        <v>UPC Adulto</v>
      </c>
      <c r="D308" s="33">
        <f>Equipos!G306</f>
        <v>0</v>
      </c>
      <c r="E308" s="33" t="str">
        <f>Equipos!I306</f>
        <v>Puritan Bennett</v>
      </c>
      <c r="F308" s="33" t="str">
        <f>Equipos!J306</f>
        <v>840</v>
      </c>
      <c r="G308" s="37" t="str">
        <f>Equipos!K306</f>
        <v>3512202219</v>
      </c>
      <c r="H308" s="33"/>
      <c r="I308" s="38"/>
      <c r="J308" s="38"/>
      <c r="K308" s="50" t="s">
        <v>276</v>
      </c>
      <c r="L308" s="50" t="s">
        <v>275</v>
      </c>
      <c r="M308" s="38"/>
      <c r="N308" s="38"/>
      <c r="O308" s="38"/>
      <c r="P308" s="38"/>
      <c r="Q308" s="38"/>
      <c r="R308" s="38"/>
      <c r="S308" s="38"/>
      <c r="T308" s="38"/>
      <c r="U308" s="33">
        <f t="shared" si="20"/>
        <v>2</v>
      </c>
      <c r="V308" s="33">
        <f t="shared" si="21"/>
        <v>1</v>
      </c>
      <c r="W308" s="33">
        <f t="shared" si="22"/>
        <v>0</v>
      </c>
      <c r="X308" s="33">
        <f t="shared" si="23"/>
        <v>0</v>
      </c>
      <c r="Y308" s="33">
        <f ca="1">SUMPRODUCT((I308:INDEX(I308:T308,MONTH(TODAY()))="X")*1)</f>
        <v>0</v>
      </c>
      <c r="Z308" s="39">
        <f t="shared" si="24"/>
        <v>0.5</v>
      </c>
    </row>
    <row r="309" spans="1:26" x14ac:dyDescent="0.25">
      <c r="A309" s="37" t="str">
        <f>Equipos!C307</f>
        <v>2-120837</v>
      </c>
      <c r="B309" s="33" t="str">
        <f>Equipos!D307</f>
        <v xml:space="preserve">Ventilador Mecánico </v>
      </c>
      <c r="C309" s="33" t="str">
        <f>Equipos!E307</f>
        <v>UPC Adulto</v>
      </c>
      <c r="D309" s="33">
        <f>Equipos!G307</f>
        <v>0</v>
      </c>
      <c r="E309" s="33" t="str">
        <f>Equipos!I307</f>
        <v>Drager</v>
      </c>
      <c r="F309" s="33" t="str">
        <f>Equipos!J307</f>
        <v xml:space="preserve">Oxylog 3000 </v>
      </c>
      <c r="G309" s="37" t="str">
        <f>Equipos!K307</f>
        <v>ASNH-0098</v>
      </c>
      <c r="H309" s="33"/>
      <c r="I309" s="38"/>
      <c r="J309" s="38"/>
      <c r="K309" s="38"/>
      <c r="L309" s="50" t="s">
        <v>276</v>
      </c>
      <c r="M309" s="50" t="s">
        <v>275</v>
      </c>
      <c r="N309" s="38"/>
      <c r="O309" s="38"/>
      <c r="P309" s="38"/>
      <c r="Q309" s="38"/>
      <c r="R309" s="38"/>
      <c r="S309" s="38"/>
      <c r="T309" s="38"/>
      <c r="U309" s="33">
        <f t="shared" si="20"/>
        <v>2</v>
      </c>
      <c r="V309" s="33">
        <f t="shared" si="21"/>
        <v>1</v>
      </c>
      <c r="W309" s="33">
        <f t="shared" si="22"/>
        <v>0</v>
      </c>
      <c r="X309" s="33">
        <f t="shared" si="23"/>
        <v>0</v>
      </c>
      <c r="Y309" s="33">
        <f ca="1">SUMPRODUCT((I309:INDEX(I309:T309,MONTH(TODAY()))="X")*1)</f>
        <v>0</v>
      </c>
      <c r="Z309" s="39">
        <f t="shared" si="24"/>
        <v>0.5</v>
      </c>
    </row>
    <row r="310" spans="1:26" x14ac:dyDescent="0.25">
      <c r="A310" s="37" t="str">
        <f>Equipos!C308</f>
        <v>2-120836</v>
      </c>
      <c r="B310" s="33" t="str">
        <f>Equipos!D308</f>
        <v xml:space="preserve">Ventilador Mecánico </v>
      </c>
      <c r="C310" s="33" t="str">
        <f>Equipos!E308</f>
        <v>Medicina</v>
      </c>
      <c r="D310" s="33" t="str">
        <f>Equipos!G308</f>
        <v>SALA PROCEDIMIENTO TNA</v>
      </c>
      <c r="E310" s="33" t="str">
        <f>Equipos!I308</f>
        <v>Drager</v>
      </c>
      <c r="F310" s="33" t="str">
        <f>Equipos!J308</f>
        <v xml:space="preserve">Oxylog 3000 </v>
      </c>
      <c r="G310" s="37" t="str">
        <f>Equipos!K308</f>
        <v>ASNH-0099</v>
      </c>
      <c r="H310" s="33"/>
      <c r="I310" s="38"/>
      <c r="J310" s="38"/>
      <c r="K310" s="38"/>
      <c r="L310" s="38"/>
      <c r="M310" s="50" t="s">
        <v>275</v>
      </c>
      <c r="N310" s="38"/>
      <c r="O310" s="38"/>
      <c r="P310" s="38"/>
      <c r="Q310" s="38"/>
      <c r="R310" s="38"/>
      <c r="S310" s="38"/>
      <c r="T310" s="38"/>
      <c r="U310" s="33">
        <f t="shared" si="20"/>
        <v>1</v>
      </c>
      <c r="V310" s="33">
        <f t="shared" si="21"/>
        <v>1</v>
      </c>
      <c r="W310" s="33">
        <f t="shared" si="22"/>
        <v>0</v>
      </c>
      <c r="X310" s="33">
        <f t="shared" si="23"/>
        <v>0</v>
      </c>
      <c r="Y310" s="33">
        <f ca="1">SUMPRODUCT((I310:INDEX(I310:T310,MONTH(TODAY()))="X")*1)</f>
        <v>0</v>
      </c>
      <c r="Z310" s="39">
        <f t="shared" si="24"/>
        <v>1</v>
      </c>
    </row>
    <row r="311" spans="1:26" x14ac:dyDescent="0.25">
      <c r="A311" s="37">
        <f>Equipos!C309</f>
        <v>0</v>
      </c>
      <c r="B311" s="33" t="str">
        <f>Equipos!D309</f>
        <v xml:space="preserve">Ventilador Mecánico </v>
      </c>
      <c r="C311" s="33">
        <f>Equipos!E309</f>
        <v>0</v>
      </c>
      <c r="D311" s="33">
        <f>Equipos!G309</f>
        <v>0</v>
      </c>
      <c r="E311" s="33">
        <f>Equipos!I309</f>
        <v>0</v>
      </c>
      <c r="F311" s="33">
        <f>Equipos!J309</f>
        <v>0</v>
      </c>
      <c r="G311" s="37">
        <f>Equipos!K309</f>
        <v>0</v>
      </c>
      <c r="H311" s="33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3">
        <f t="shared" si="20"/>
        <v>0</v>
      </c>
      <c r="V311" s="33">
        <f t="shared" si="21"/>
        <v>0</v>
      </c>
      <c r="W311" s="33">
        <f t="shared" si="22"/>
        <v>0</v>
      </c>
      <c r="X311" s="33">
        <f t="shared" si="23"/>
        <v>0</v>
      </c>
      <c r="Y311" s="33">
        <f ca="1">SUMPRODUCT((I311:INDEX(I311:T311,MONTH(TODAY()))="X")*1)</f>
        <v>0</v>
      </c>
      <c r="Z311" s="39" t="str">
        <f t="shared" si="24"/>
        <v/>
      </c>
    </row>
    <row r="312" spans="1:26" x14ac:dyDescent="0.25">
      <c r="A312" s="37" t="str">
        <f>Equipos!C310</f>
        <v>2-120936</v>
      </c>
      <c r="B312" s="33" t="str">
        <f>Equipos!D310</f>
        <v xml:space="preserve">Ventilador Mecánico </v>
      </c>
      <c r="C312" s="33" t="str">
        <f>Equipos!E310</f>
        <v>UPC 3er Piso</v>
      </c>
      <c r="D312" s="33" t="str">
        <f>Equipos!G310</f>
        <v>UCI 4</v>
      </c>
      <c r="E312" s="33" t="str">
        <f>Equipos!I310</f>
        <v>Drager</v>
      </c>
      <c r="F312" s="33" t="str">
        <f>Equipos!J310</f>
        <v>Evita V800</v>
      </c>
      <c r="G312" s="37" t="str">
        <f>Equipos!K310</f>
        <v>ASNM-0001</v>
      </c>
      <c r="H312" s="33"/>
      <c r="I312" s="38"/>
      <c r="J312" s="38"/>
      <c r="K312" s="38"/>
      <c r="L312" s="38"/>
      <c r="M312" s="50" t="s">
        <v>275</v>
      </c>
      <c r="N312" s="38"/>
      <c r="O312" s="38"/>
      <c r="P312" s="38"/>
      <c r="Q312" s="38"/>
      <c r="R312" s="38"/>
      <c r="S312" s="38"/>
      <c r="T312" s="38"/>
      <c r="U312" s="33">
        <f t="shared" si="20"/>
        <v>1</v>
      </c>
      <c r="V312" s="33">
        <f t="shared" si="21"/>
        <v>1</v>
      </c>
      <c r="W312" s="33">
        <f t="shared" si="22"/>
        <v>0</v>
      </c>
      <c r="X312" s="33">
        <f t="shared" si="23"/>
        <v>0</v>
      </c>
      <c r="Y312" s="33">
        <f ca="1">SUMPRODUCT((I312:INDEX(I312:T312,MONTH(TODAY()))="X")*1)</f>
        <v>0</v>
      </c>
      <c r="Z312" s="39">
        <f t="shared" si="24"/>
        <v>1</v>
      </c>
    </row>
    <row r="313" spans="1:26" x14ac:dyDescent="0.25">
      <c r="A313" s="37" t="str">
        <f>Equipos!C311</f>
        <v>2-120937</v>
      </c>
      <c r="B313" s="33" t="str">
        <f>Equipos!D311</f>
        <v xml:space="preserve">Ventilador Mecánico </v>
      </c>
      <c r="C313" s="33" t="str">
        <f>Equipos!E311</f>
        <v>UPC 3er Piso</v>
      </c>
      <c r="D313" s="33" t="str">
        <f>Equipos!G311</f>
        <v>UCI 1</v>
      </c>
      <c r="E313" s="33" t="str">
        <f>Equipos!I311</f>
        <v>Drager</v>
      </c>
      <c r="F313" s="33" t="str">
        <f>Equipos!J311</f>
        <v>Evita V800</v>
      </c>
      <c r="G313" s="37" t="str">
        <f>Equipos!K311</f>
        <v>ASNK-0048</v>
      </c>
      <c r="H313" s="33"/>
      <c r="I313" s="38"/>
      <c r="J313" s="38"/>
      <c r="K313" s="38"/>
      <c r="L313" s="38"/>
      <c r="M313" s="50" t="s">
        <v>275</v>
      </c>
      <c r="N313" s="38"/>
      <c r="O313" s="38"/>
      <c r="P313" s="38"/>
      <c r="Q313" s="38"/>
      <c r="R313" s="38"/>
      <c r="S313" s="38"/>
      <c r="T313" s="38"/>
      <c r="U313" s="33">
        <f t="shared" si="20"/>
        <v>1</v>
      </c>
      <c r="V313" s="33">
        <f t="shared" si="21"/>
        <v>1</v>
      </c>
      <c r="W313" s="33">
        <f t="shared" si="22"/>
        <v>0</v>
      </c>
      <c r="X313" s="33">
        <f t="shared" si="23"/>
        <v>0</v>
      </c>
      <c r="Y313" s="33">
        <f ca="1">SUMPRODUCT((I313:INDEX(I313:T313,MONTH(TODAY()))="X")*1)</f>
        <v>0</v>
      </c>
      <c r="Z313" s="39">
        <f t="shared" si="24"/>
        <v>1</v>
      </c>
    </row>
    <row r="314" spans="1:26" x14ac:dyDescent="0.25">
      <c r="A314" s="37" t="str">
        <f>Equipos!C312</f>
        <v>2-120938</v>
      </c>
      <c r="B314" s="33" t="str">
        <f>Equipos!D312</f>
        <v xml:space="preserve">Ventilador Mecánico </v>
      </c>
      <c r="C314" s="33" t="str">
        <f>Equipos!E312</f>
        <v>UPC 3er Piso</v>
      </c>
      <c r="D314" s="33" t="str">
        <f>Equipos!G312</f>
        <v>UCI 7</v>
      </c>
      <c r="E314" s="33" t="str">
        <f>Equipos!I312</f>
        <v>Drager</v>
      </c>
      <c r="F314" s="33" t="str">
        <f>Equipos!J312</f>
        <v>Evita V800</v>
      </c>
      <c r="G314" s="37" t="str">
        <f>Equipos!K312</f>
        <v>ASNK-0047</v>
      </c>
      <c r="H314" s="33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3">
        <f t="shared" si="20"/>
        <v>0</v>
      </c>
      <c r="V314" s="33">
        <f t="shared" si="21"/>
        <v>0</v>
      </c>
      <c r="W314" s="33">
        <f t="shared" si="22"/>
        <v>0</v>
      </c>
      <c r="X314" s="33">
        <f t="shared" si="23"/>
        <v>0</v>
      </c>
      <c r="Y314" s="33">
        <f ca="1">SUMPRODUCT((I314:INDEX(I314:T314,MONTH(TODAY()))="X")*1)</f>
        <v>0</v>
      </c>
      <c r="Z314" s="39" t="str">
        <f t="shared" si="24"/>
        <v/>
      </c>
    </row>
    <row r="315" spans="1:26" x14ac:dyDescent="0.25">
      <c r="A315" s="37" t="str">
        <f>Equipos!C313</f>
        <v>2-120939</v>
      </c>
      <c r="B315" s="33" t="str">
        <f>Equipos!D313</f>
        <v xml:space="preserve">Ventilador Mecánico </v>
      </c>
      <c r="C315" s="33" t="str">
        <f>Equipos!E313</f>
        <v>UPC 3er Piso</v>
      </c>
      <c r="D315" s="33" t="str">
        <f>Equipos!G313</f>
        <v>UCI 3</v>
      </c>
      <c r="E315" s="33" t="str">
        <f>Equipos!I313</f>
        <v>Drager</v>
      </c>
      <c r="F315" s="33" t="str">
        <f>Equipos!J313</f>
        <v>Evita V800</v>
      </c>
      <c r="G315" s="37" t="str">
        <f>Equipos!K313</f>
        <v>ASNK-0043</v>
      </c>
      <c r="H315" s="33"/>
      <c r="I315" s="38"/>
      <c r="J315" s="38"/>
      <c r="K315" s="38"/>
      <c r="L315" s="38"/>
      <c r="M315" s="50" t="s">
        <v>275</v>
      </c>
      <c r="N315" s="38"/>
      <c r="O315" s="38"/>
      <c r="P315" s="38"/>
      <c r="Q315" s="38"/>
      <c r="R315" s="38"/>
      <c r="S315" s="38"/>
      <c r="T315" s="38"/>
      <c r="U315" s="33">
        <f t="shared" si="20"/>
        <v>1</v>
      </c>
      <c r="V315" s="33">
        <f t="shared" si="21"/>
        <v>1</v>
      </c>
      <c r="W315" s="33">
        <f t="shared" si="22"/>
        <v>0</v>
      </c>
      <c r="X315" s="33">
        <f t="shared" si="23"/>
        <v>0</v>
      </c>
      <c r="Y315" s="33">
        <f ca="1">SUMPRODUCT((I315:INDEX(I315:T315,MONTH(TODAY()))="X")*1)</f>
        <v>0</v>
      </c>
      <c r="Z315" s="39">
        <f t="shared" si="24"/>
        <v>1</v>
      </c>
    </row>
    <row r="316" spans="1:26" x14ac:dyDescent="0.25">
      <c r="A316" s="37" t="str">
        <f>Equipos!C314</f>
        <v>2-120940</v>
      </c>
      <c r="B316" s="33" t="str">
        <f>Equipos!D314</f>
        <v xml:space="preserve">Ventilador Mecánico </v>
      </c>
      <c r="C316" s="33" t="str">
        <f>Equipos!E314</f>
        <v>UPC 3er Piso</v>
      </c>
      <c r="D316" s="33" t="str">
        <f>Equipos!G314</f>
        <v>UCI 5</v>
      </c>
      <c r="E316" s="33" t="str">
        <f>Equipos!I314</f>
        <v>Drager</v>
      </c>
      <c r="F316" s="33" t="str">
        <f>Equipos!J314</f>
        <v>Evita V800</v>
      </c>
      <c r="G316" s="37" t="str">
        <f>Equipos!K314</f>
        <v>ASNK-0046</v>
      </c>
      <c r="H316" s="33"/>
      <c r="I316" s="38"/>
      <c r="J316" s="38"/>
      <c r="K316" s="38"/>
      <c r="L316" s="38"/>
      <c r="M316" s="50" t="s">
        <v>275</v>
      </c>
      <c r="N316" s="38"/>
      <c r="O316" s="38"/>
      <c r="P316" s="38"/>
      <c r="Q316" s="38"/>
      <c r="R316" s="38"/>
      <c r="S316" s="38"/>
      <c r="T316" s="38"/>
      <c r="U316" s="33">
        <f t="shared" si="20"/>
        <v>1</v>
      </c>
      <c r="V316" s="33">
        <f t="shared" si="21"/>
        <v>1</v>
      </c>
      <c r="W316" s="33">
        <f t="shared" si="22"/>
        <v>0</v>
      </c>
      <c r="X316" s="33">
        <f t="shared" si="23"/>
        <v>0</v>
      </c>
      <c r="Y316" s="33">
        <f ca="1">SUMPRODUCT((I316:INDEX(I316:T316,MONTH(TODAY()))="X")*1)</f>
        <v>0</v>
      </c>
      <c r="Z316" s="39">
        <f t="shared" si="24"/>
        <v>1</v>
      </c>
    </row>
    <row r="317" spans="1:26" x14ac:dyDescent="0.25">
      <c r="A317" s="37" t="str">
        <f>Equipos!C315</f>
        <v>2-120941</v>
      </c>
      <c r="B317" s="33" t="str">
        <f>Equipos!D315</f>
        <v xml:space="preserve">Ventilador Mecánico </v>
      </c>
      <c r="C317" s="33" t="str">
        <f>Equipos!E315</f>
        <v>UPC 3er Piso</v>
      </c>
      <c r="D317" s="33" t="str">
        <f>Equipos!G315</f>
        <v>Sala de equipos</v>
      </c>
      <c r="E317" s="33" t="str">
        <f>Equipos!I315</f>
        <v>Drager</v>
      </c>
      <c r="F317" s="33" t="str">
        <f>Equipos!J315</f>
        <v>Evita V800</v>
      </c>
      <c r="G317" s="37" t="str">
        <f>Equipos!K315</f>
        <v>ASNM-0007</v>
      </c>
      <c r="H317" s="33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3">
        <f t="shared" si="20"/>
        <v>0</v>
      </c>
      <c r="V317" s="33">
        <f t="shared" si="21"/>
        <v>0</v>
      </c>
      <c r="W317" s="33">
        <f t="shared" si="22"/>
        <v>0</v>
      </c>
      <c r="X317" s="33">
        <f t="shared" si="23"/>
        <v>0</v>
      </c>
      <c r="Y317" s="33">
        <f ca="1">SUMPRODUCT((I317:INDEX(I317:T317,MONTH(TODAY()))="X")*1)</f>
        <v>0</v>
      </c>
      <c r="Z317" s="39" t="str">
        <f t="shared" si="24"/>
        <v/>
      </c>
    </row>
    <row r="318" spans="1:26" x14ac:dyDescent="0.25">
      <c r="A318" s="37" t="str">
        <f>Equipos!C316</f>
        <v>2-120943</v>
      </c>
      <c r="B318" s="33" t="str">
        <f>Equipos!D316</f>
        <v xml:space="preserve">Ventilador Mecánico </v>
      </c>
      <c r="C318" s="33" t="str">
        <f>Equipos!E316</f>
        <v>UPC Adulto</v>
      </c>
      <c r="D318" s="33">
        <f>Equipos!G316</f>
        <v>0</v>
      </c>
      <c r="E318" s="33" t="str">
        <f>Equipos!I316</f>
        <v>Drager</v>
      </c>
      <c r="F318" s="33" t="str">
        <f>Equipos!J316</f>
        <v>Evita V800</v>
      </c>
      <c r="G318" s="37" t="str">
        <f>Equipos!K316</f>
        <v>ASNM-0005</v>
      </c>
      <c r="H318" s="33"/>
      <c r="I318" s="38"/>
      <c r="J318" s="38"/>
      <c r="K318" s="38"/>
      <c r="L318" s="50" t="s">
        <v>276</v>
      </c>
      <c r="M318" s="50" t="s">
        <v>275</v>
      </c>
      <c r="N318" s="38"/>
      <c r="O318" s="38"/>
      <c r="P318" s="38"/>
      <c r="Q318" s="38"/>
      <c r="R318" s="38"/>
      <c r="S318" s="38"/>
      <c r="T318" s="38"/>
      <c r="U318" s="33">
        <f t="shared" si="20"/>
        <v>2</v>
      </c>
      <c r="V318" s="33">
        <f t="shared" si="21"/>
        <v>1</v>
      </c>
      <c r="W318" s="33">
        <f t="shared" si="22"/>
        <v>0</v>
      </c>
      <c r="X318" s="33">
        <f t="shared" si="23"/>
        <v>0</v>
      </c>
      <c r="Y318" s="33">
        <f ca="1">SUMPRODUCT((I318:INDEX(I318:T318,MONTH(TODAY()))="X")*1)</f>
        <v>0</v>
      </c>
      <c r="Z318" s="39">
        <f t="shared" si="24"/>
        <v>0.5</v>
      </c>
    </row>
    <row r="319" spans="1:26" x14ac:dyDescent="0.25">
      <c r="A319" s="37" t="str">
        <f>Equipos!C317</f>
        <v>2-120944</v>
      </c>
      <c r="B319" s="33" t="str">
        <f>Equipos!D317</f>
        <v xml:space="preserve">Ventilador Mecánico </v>
      </c>
      <c r="C319" s="33" t="str">
        <f>Equipos!E317</f>
        <v>UPC Adulto</v>
      </c>
      <c r="D319" s="33">
        <f>Equipos!G317</f>
        <v>0</v>
      </c>
      <c r="E319" s="33" t="str">
        <f>Equipos!I317</f>
        <v>Drager</v>
      </c>
      <c r="F319" s="33" t="str">
        <f>Equipos!J317</f>
        <v>Evita V800</v>
      </c>
      <c r="G319" s="37" t="str">
        <f>Equipos!K317</f>
        <v>ASNM-0008</v>
      </c>
      <c r="H319" s="33"/>
      <c r="I319" s="38"/>
      <c r="J319" s="38"/>
      <c r="K319" s="38"/>
      <c r="L319" s="50" t="s">
        <v>276</v>
      </c>
      <c r="M319" s="38"/>
      <c r="N319" s="38"/>
      <c r="O319" s="38"/>
      <c r="P319" s="38"/>
      <c r="Q319" s="38"/>
      <c r="R319" s="38"/>
      <c r="S319" s="38"/>
      <c r="T319" s="38"/>
      <c r="U319" s="33">
        <f t="shared" si="20"/>
        <v>1</v>
      </c>
      <c r="V319" s="33">
        <f t="shared" si="21"/>
        <v>0</v>
      </c>
      <c r="W319" s="33">
        <f t="shared" si="22"/>
        <v>0</v>
      </c>
      <c r="X319" s="33">
        <f t="shared" si="23"/>
        <v>0</v>
      </c>
      <c r="Y319" s="33">
        <f ca="1">SUMPRODUCT((I319:INDEX(I319:T319,MONTH(TODAY()))="X")*1)</f>
        <v>0</v>
      </c>
      <c r="Z319" s="39">
        <f t="shared" si="24"/>
        <v>0</v>
      </c>
    </row>
    <row r="320" spans="1:26" x14ac:dyDescent="0.25">
      <c r="A320" s="37" t="str">
        <f>Equipos!C318</f>
        <v>2-120945</v>
      </c>
      <c r="B320" s="33" t="str">
        <f>Equipos!D318</f>
        <v xml:space="preserve">Ventilador Mecánico </v>
      </c>
      <c r="C320" s="33" t="str">
        <f>Equipos!E318</f>
        <v>UPC Adulto</v>
      </c>
      <c r="D320" s="33">
        <f>Equipos!G318</f>
        <v>0</v>
      </c>
      <c r="E320" s="33" t="str">
        <f>Equipos!I318</f>
        <v>Drager</v>
      </c>
      <c r="F320" s="33" t="str">
        <f>Equipos!J318</f>
        <v>Evita V800</v>
      </c>
      <c r="G320" s="37" t="str">
        <f>Equipos!K318</f>
        <v>ASNK-0045</v>
      </c>
      <c r="H320" s="33"/>
      <c r="I320" s="38"/>
      <c r="J320" s="38"/>
      <c r="K320" s="38"/>
      <c r="L320" s="50" t="s">
        <v>276</v>
      </c>
      <c r="M320" s="50" t="s">
        <v>275</v>
      </c>
      <c r="N320" s="38"/>
      <c r="O320" s="38"/>
      <c r="P320" s="38"/>
      <c r="Q320" s="38"/>
      <c r="R320" s="38"/>
      <c r="S320" s="38"/>
      <c r="T320" s="38"/>
      <c r="U320" s="33">
        <f t="shared" si="20"/>
        <v>2</v>
      </c>
      <c r="V320" s="33">
        <f t="shared" si="21"/>
        <v>1</v>
      </c>
      <c r="W320" s="33">
        <f t="shared" si="22"/>
        <v>0</v>
      </c>
      <c r="X320" s="33">
        <f t="shared" si="23"/>
        <v>0</v>
      </c>
      <c r="Y320" s="33">
        <f ca="1">SUMPRODUCT((I320:INDEX(I320:T320,MONTH(TODAY()))="X")*1)</f>
        <v>0</v>
      </c>
      <c r="Z320" s="39">
        <f t="shared" si="24"/>
        <v>0.5</v>
      </c>
    </row>
    <row r="321" spans="1:26" x14ac:dyDescent="0.25">
      <c r="A321" s="37" t="str">
        <f>Equipos!C319</f>
        <v>2-120946</v>
      </c>
      <c r="B321" s="33" t="str">
        <f>Equipos!D319</f>
        <v xml:space="preserve">Ventilador Mecánico </v>
      </c>
      <c r="C321" s="33" t="str">
        <f>Equipos!E319</f>
        <v>UPC Adulto</v>
      </c>
      <c r="D321" s="33">
        <f>Equipos!G319</f>
        <v>0</v>
      </c>
      <c r="E321" s="33" t="str">
        <f>Equipos!I319</f>
        <v>Drager</v>
      </c>
      <c r="F321" s="33" t="str">
        <f>Equipos!J319</f>
        <v>Evita V800</v>
      </c>
      <c r="G321" s="37" t="str">
        <f>Equipos!K319</f>
        <v>ASNM-0003</v>
      </c>
      <c r="H321" s="33"/>
      <c r="I321" s="38"/>
      <c r="J321" s="38"/>
      <c r="K321" s="38"/>
      <c r="L321" s="50" t="s">
        <v>276</v>
      </c>
      <c r="M321" s="50" t="s">
        <v>275</v>
      </c>
      <c r="N321" s="38"/>
      <c r="O321" s="38"/>
      <c r="P321" s="38"/>
      <c r="Q321" s="38"/>
      <c r="R321" s="38"/>
      <c r="S321" s="38"/>
      <c r="T321" s="38"/>
      <c r="U321" s="33">
        <f t="shared" si="20"/>
        <v>2</v>
      </c>
      <c r="V321" s="33">
        <f t="shared" si="21"/>
        <v>1</v>
      </c>
      <c r="W321" s="33">
        <f t="shared" si="22"/>
        <v>0</v>
      </c>
      <c r="X321" s="33">
        <f t="shared" si="23"/>
        <v>0</v>
      </c>
      <c r="Y321" s="33">
        <f ca="1">SUMPRODUCT((I321:INDEX(I321:T321,MONTH(TODAY()))="X")*1)</f>
        <v>0</v>
      </c>
      <c r="Z321" s="39">
        <f t="shared" si="24"/>
        <v>0.5</v>
      </c>
    </row>
    <row r="322" spans="1:26" x14ac:dyDescent="0.25">
      <c r="A322" s="37" t="str">
        <f>Equipos!C320</f>
        <v>2-120947</v>
      </c>
      <c r="B322" s="33" t="str">
        <f>Equipos!D320</f>
        <v xml:space="preserve">Ventilador Mecánico </v>
      </c>
      <c r="C322" s="33" t="str">
        <f>Equipos!E320</f>
        <v>UPC Adulto</v>
      </c>
      <c r="D322" s="33">
        <f>Equipos!G320</f>
        <v>0</v>
      </c>
      <c r="E322" s="33" t="str">
        <f>Equipos!I320</f>
        <v>Drager</v>
      </c>
      <c r="F322" s="33" t="str">
        <f>Equipos!J320</f>
        <v>Evita V800</v>
      </c>
      <c r="G322" s="37" t="str">
        <f>Equipos!K320</f>
        <v>ASNM-0006</v>
      </c>
      <c r="H322" s="33"/>
      <c r="I322" s="50" t="s">
        <v>276</v>
      </c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3">
        <f t="shared" si="20"/>
        <v>1</v>
      </c>
      <c r="V322" s="33">
        <f t="shared" si="21"/>
        <v>0</v>
      </c>
      <c r="W322" s="33">
        <f t="shared" si="22"/>
        <v>0</v>
      </c>
      <c r="X322" s="33">
        <f t="shared" si="23"/>
        <v>0</v>
      </c>
      <c r="Y322" s="33">
        <f ca="1">SUMPRODUCT((I322:INDEX(I322:T322,MONTH(TODAY()))="X")*1)</f>
        <v>0</v>
      </c>
      <c r="Z322" s="39">
        <f t="shared" si="24"/>
        <v>0</v>
      </c>
    </row>
    <row r="323" spans="1:26" x14ac:dyDescent="0.25">
      <c r="A323" s="37" t="str">
        <f>Equipos!C321</f>
        <v>2-120948</v>
      </c>
      <c r="B323" s="33" t="str">
        <f>Equipos!D321</f>
        <v xml:space="preserve">Ventilador Mecánico </v>
      </c>
      <c r="C323" s="33" t="str">
        <f>Equipos!E321</f>
        <v>UPC Adulto</v>
      </c>
      <c r="D323" s="33">
        <f>Equipos!G321</f>
        <v>0</v>
      </c>
      <c r="E323" s="33" t="str">
        <f>Equipos!I321</f>
        <v>Drager</v>
      </c>
      <c r="F323" s="33" t="str">
        <f>Equipos!J321</f>
        <v>Evita V800</v>
      </c>
      <c r="G323" s="37" t="str">
        <f>Equipos!K321</f>
        <v>ASNM-0002</v>
      </c>
      <c r="H323" s="33"/>
      <c r="I323" s="38"/>
      <c r="J323" s="38"/>
      <c r="K323" s="38"/>
      <c r="L323" s="50" t="s">
        <v>276</v>
      </c>
      <c r="M323" s="50" t="s">
        <v>275</v>
      </c>
      <c r="N323" s="38"/>
      <c r="O323" s="38"/>
      <c r="P323" s="38"/>
      <c r="Q323" s="38"/>
      <c r="R323" s="38"/>
      <c r="S323" s="38"/>
      <c r="T323" s="38"/>
      <c r="U323" s="33">
        <f t="shared" si="20"/>
        <v>2</v>
      </c>
      <c r="V323" s="33">
        <f t="shared" si="21"/>
        <v>1</v>
      </c>
      <c r="W323" s="33">
        <f t="shared" si="22"/>
        <v>0</v>
      </c>
      <c r="X323" s="33">
        <f t="shared" si="23"/>
        <v>0</v>
      </c>
      <c r="Y323" s="33">
        <f ca="1">SUMPRODUCT((I323:INDEX(I323:T323,MONTH(TODAY()))="X")*1)</f>
        <v>0</v>
      </c>
      <c r="Z323" s="39">
        <f t="shared" si="24"/>
        <v>0.5</v>
      </c>
    </row>
    <row r="324" spans="1:26" x14ac:dyDescent="0.25">
      <c r="A324" s="37">
        <f>Equipos!C322</f>
        <v>0</v>
      </c>
      <c r="B324" s="33" t="str">
        <f>Equipos!D322</f>
        <v xml:space="preserve">Ventilador Mecánico </v>
      </c>
      <c r="C324" s="33">
        <f>Equipos!E322</f>
        <v>0</v>
      </c>
      <c r="D324" s="33">
        <f>Equipos!G322</f>
        <v>0</v>
      </c>
      <c r="E324" s="33">
        <f>Equipos!I322</f>
        <v>0</v>
      </c>
      <c r="F324" s="33">
        <f>Equipos!J322</f>
        <v>0</v>
      </c>
      <c r="G324" s="37">
        <f>Equipos!K322</f>
        <v>0</v>
      </c>
      <c r="H324" s="33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3">
        <f t="shared" ref="U324:U387" si="25">V324+W324+X324+COUNTIF(I324:T324,"R")</f>
        <v>0</v>
      </c>
      <c r="V324" s="33">
        <f t="shared" ref="V324:V387" si="26">COUNTIF(I324:T324,"E")</f>
        <v>0</v>
      </c>
      <c r="W324" s="33">
        <f t="shared" ref="W324:W387" si="27">COUNTIF(I324:T324,"X")</f>
        <v>0</v>
      </c>
      <c r="X324" s="33">
        <f t="shared" ref="X324:X387" si="28">COUNTIF(I324:T324,"C2")+COUNTIF(I324:T324,"C3")</f>
        <v>0</v>
      </c>
      <c r="Y324" s="33">
        <f ca="1">SUMPRODUCT((I324:INDEX(I324:T324,MONTH(TODAY()))="X")*1)</f>
        <v>0</v>
      </c>
      <c r="Z324" s="39" t="str">
        <f t="shared" ref="Z324:Z387" si="29">IFERROR(V324/U324,"")</f>
        <v/>
      </c>
    </row>
    <row r="325" spans="1:26" x14ac:dyDescent="0.25">
      <c r="A325" s="37" t="str">
        <f>Equipos!C323</f>
        <v>2-121218</v>
      </c>
      <c r="B325" s="33" t="str">
        <f>Equipos!D323</f>
        <v xml:space="preserve">Ventilador Mecánico </v>
      </c>
      <c r="C325" s="33" t="str">
        <f>Equipos!E323</f>
        <v>UPC 3er Piso</v>
      </c>
      <c r="D325" s="33" t="str">
        <f>Equipos!G323</f>
        <v>Bodega</v>
      </c>
      <c r="E325" s="33" t="str">
        <f>Equipos!I323</f>
        <v>MEK ICS</v>
      </c>
      <c r="F325" s="33" t="str">
        <f>Equipos!J323</f>
        <v>MTV1000</v>
      </c>
      <c r="G325" s="37" t="str">
        <f>Equipos!K323</f>
        <v>MTV1KUA1B0082</v>
      </c>
      <c r="H325" s="33"/>
      <c r="I325" s="38"/>
      <c r="J325" s="38"/>
      <c r="K325" s="38"/>
      <c r="L325" s="50" t="s">
        <v>275</v>
      </c>
      <c r="M325" s="38"/>
      <c r="N325" s="38"/>
      <c r="O325" s="38"/>
      <c r="P325" s="38"/>
      <c r="Q325" s="38"/>
      <c r="R325" s="38"/>
      <c r="S325" s="38"/>
      <c r="T325" s="38"/>
      <c r="U325" s="33">
        <f t="shared" si="25"/>
        <v>1</v>
      </c>
      <c r="V325" s="33">
        <f t="shared" si="26"/>
        <v>1</v>
      </c>
      <c r="W325" s="33">
        <f t="shared" si="27"/>
        <v>0</v>
      </c>
      <c r="X325" s="33">
        <f t="shared" si="28"/>
        <v>0</v>
      </c>
      <c r="Y325" s="33">
        <f ca="1">SUMPRODUCT((I325:INDEX(I325:T325,MONTH(TODAY()))="X")*1)</f>
        <v>0</v>
      </c>
      <c r="Z325" s="39">
        <f t="shared" si="29"/>
        <v>1</v>
      </c>
    </row>
    <row r="326" spans="1:26" x14ac:dyDescent="0.25">
      <c r="A326" s="37" t="str">
        <f>Equipos!C324</f>
        <v>2-121219</v>
      </c>
      <c r="B326" s="33" t="str">
        <f>Equipos!D324</f>
        <v xml:space="preserve">Ventilador Mecánico </v>
      </c>
      <c r="C326" s="33" t="str">
        <f>Equipos!E324</f>
        <v>UPC 3er Piso</v>
      </c>
      <c r="D326" s="33" t="str">
        <f>Equipos!G324</f>
        <v>Sala de equipos</v>
      </c>
      <c r="E326" s="33" t="str">
        <f>Equipos!I324</f>
        <v>MEK ICS</v>
      </c>
      <c r="F326" s="33" t="str">
        <f>Equipos!J324</f>
        <v>MTV1000</v>
      </c>
      <c r="G326" s="37" t="str">
        <f>Equipos!K324</f>
        <v>MTV1KUA1B0031</v>
      </c>
      <c r="H326" s="33"/>
      <c r="I326" s="50" t="s">
        <v>275</v>
      </c>
      <c r="J326" s="38"/>
      <c r="K326" s="38"/>
      <c r="L326" s="50" t="s">
        <v>275</v>
      </c>
      <c r="M326" s="38"/>
      <c r="N326" s="38"/>
      <c r="O326" s="38"/>
      <c r="P326" s="38"/>
      <c r="Q326" s="38"/>
      <c r="R326" s="38"/>
      <c r="S326" s="38"/>
      <c r="T326" s="38"/>
      <c r="U326" s="33">
        <f t="shared" si="25"/>
        <v>2</v>
      </c>
      <c r="V326" s="33">
        <f t="shared" si="26"/>
        <v>2</v>
      </c>
      <c r="W326" s="33">
        <f t="shared" si="27"/>
        <v>0</v>
      </c>
      <c r="X326" s="33">
        <f t="shared" si="28"/>
        <v>0</v>
      </c>
      <c r="Y326" s="33">
        <f ca="1">SUMPRODUCT((I326:INDEX(I326:T326,MONTH(TODAY()))="X")*1)</f>
        <v>0</v>
      </c>
      <c r="Z326" s="39">
        <f t="shared" si="29"/>
        <v>1</v>
      </c>
    </row>
    <row r="327" spans="1:26" x14ac:dyDescent="0.25">
      <c r="A327" s="37" t="str">
        <f>Equipos!C325</f>
        <v>2-121220</v>
      </c>
      <c r="B327" s="33" t="str">
        <f>Equipos!D325</f>
        <v xml:space="preserve">Ventilador Mecánico </v>
      </c>
      <c r="C327" s="33" t="str">
        <f>Equipos!E325</f>
        <v>UPC 3er Piso</v>
      </c>
      <c r="D327" s="33" t="str">
        <f>Equipos!G325</f>
        <v>Sala de equipos</v>
      </c>
      <c r="E327" s="33" t="str">
        <f>Equipos!I325</f>
        <v>MEK ICS</v>
      </c>
      <c r="F327" s="33" t="str">
        <f>Equipos!J325</f>
        <v>MTV1000</v>
      </c>
      <c r="G327" s="37" t="str">
        <f>Equipos!K325</f>
        <v>MTV1KUA1B0051</v>
      </c>
      <c r="H327" s="33"/>
      <c r="I327" s="38"/>
      <c r="J327" s="38"/>
      <c r="K327" s="38"/>
      <c r="L327" s="50" t="s">
        <v>275</v>
      </c>
      <c r="M327" s="38"/>
      <c r="N327" s="38"/>
      <c r="O327" s="38"/>
      <c r="P327" s="38"/>
      <c r="Q327" s="38"/>
      <c r="R327" s="38"/>
      <c r="S327" s="38"/>
      <c r="T327" s="38"/>
      <c r="U327" s="33">
        <f t="shared" si="25"/>
        <v>1</v>
      </c>
      <c r="V327" s="33">
        <f t="shared" si="26"/>
        <v>1</v>
      </c>
      <c r="W327" s="33">
        <f t="shared" si="27"/>
        <v>0</v>
      </c>
      <c r="X327" s="33">
        <f t="shared" si="28"/>
        <v>0</v>
      </c>
      <c r="Y327" s="33">
        <f ca="1">SUMPRODUCT((I327:INDEX(I327:T327,MONTH(TODAY()))="X")*1)</f>
        <v>0</v>
      </c>
      <c r="Z327" s="39">
        <f t="shared" si="29"/>
        <v>1</v>
      </c>
    </row>
    <row r="328" spans="1:26" x14ac:dyDescent="0.25">
      <c r="A328" s="37" t="str">
        <f>Equipos!C326</f>
        <v>2-121780</v>
      </c>
      <c r="B328" s="33" t="str">
        <f>Equipos!D326</f>
        <v xml:space="preserve">Ventilador Mecánico </v>
      </c>
      <c r="C328" s="33" t="str">
        <f>Equipos!E326</f>
        <v>UPC Cardiovascular (Prestado a Urgencia Adulto)</v>
      </c>
      <c r="D328" s="33">
        <f>Equipos!G326</f>
        <v>0</v>
      </c>
      <c r="E328" s="33" t="str">
        <f>Equipos!I326</f>
        <v>Puritan Bennett</v>
      </c>
      <c r="F328" s="33" t="str">
        <f>Equipos!J326</f>
        <v>980/cc</v>
      </c>
      <c r="G328" s="37" t="str">
        <f>Equipos!K326</f>
        <v>35B2101527</v>
      </c>
      <c r="H328" s="33"/>
      <c r="I328" s="38"/>
      <c r="J328" s="38"/>
      <c r="K328" s="50" t="s">
        <v>276</v>
      </c>
      <c r="L328" s="50" t="s">
        <v>275</v>
      </c>
      <c r="M328" s="38"/>
      <c r="N328" s="38"/>
      <c r="O328" s="38"/>
      <c r="P328" s="38"/>
      <c r="Q328" s="38"/>
      <c r="R328" s="38"/>
      <c r="S328" s="38"/>
      <c r="T328" s="38"/>
      <c r="U328" s="33">
        <f t="shared" si="25"/>
        <v>2</v>
      </c>
      <c r="V328" s="33">
        <f t="shared" si="26"/>
        <v>1</v>
      </c>
      <c r="W328" s="33">
        <f t="shared" si="27"/>
        <v>0</v>
      </c>
      <c r="X328" s="33">
        <f t="shared" si="28"/>
        <v>0</v>
      </c>
      <c r="Y328" s="33">
        <f ca="1">SUMPRODUCT((I328:INDEX(I328:T328,MONTH(TODAY()))="X")*1)</f>
        <v>0</v>
      </c>
      <c r="Z328" s="39">
        <f t="shared" si="29"/>
        <v>0.5</v>
      </c>
    </row>
    <row r="329" spans="1:26" x14ac:dyDescent="0.25">
      <c r="A329" s="37" t="str">
        <f>Equipos!C327</f>
        <v>2-121781</v>
      </c>
      <c r="B329" s="33" t="str">
        <f>Equipos!D327</f>
        <v xml:space="preserve">Ventilador Mecánico </v>
      </c>
      <c r="C329" s="33" t="str">
        <f>Equipos!E327</f>
        <v>UPC Cardiovascular</v>
      </c>
      <c r="D329" s="33" t="str">
        <f>Equipos!G327</f>
        <v>Sala de equipos</v>
      </c>
      <c r="E329" s="33" t="str">
        <f>Equipos!I327</f>
        <v>Puritan Bennett</v>
      </c>
      <c r="F329" s="33" t="str">
        <f>Equipos!J327</f>
        <v>980/cc</v>
      </c>
      <c r="G329" s="37" t="str">
        <f>Equipos!K327</f>
        <v>35B2101475</v>
      </c>
      <c r="H329" s="33"/>
      <c r="I329" s="38"/>
      <c r="J329" s="38"/>
      <c r="K329" s="50" t="s">
        <v>277</v>
      </c>
      <c r="L329" s="38"/>
      <c r="M329" s="38"/>
      <c r="N329" s="38"/>
      <c r="O329" s="38"/>
      <c r="P329" s="38"/>
      <c r="Q329" s="38"/>
      <c r="R329" s="38"/>
      <c r="S329" s="38"/>
      <c r="T329" s="38"/>
      <c r="U329" s="33">
        <f t="shared" si="25"/>
        <v>1</v>
      </c>
      <c r="V329" s="33">
        <f t="shared" si="26"/>
        <v>0</v>
      </c>
      <c r="W329" s="33">
        <f t="shared" si="27"/>
        <v>0</v>
      </c>
      <c r="X329" s="33">
        <f t="shared" si="28"/>
        <v>1</v>
      </c>
      <c r="Y329" s="33">
        <f ca="1">SUMPRODUCT((I329:INDEX(I329:T329,MONTH(TODAY()))="X")*1)</f>
        <v>0</v>
      </c>
      <c r="Z329" s="39">
        <f t="shared" si="29"/>
        <v>0</v>
      </c>
    </row>
    <row r="330" spans="1:26" x14ac:dyDescent="0.25">
      <c r="A330" s="37" t="str">
        <f>Equipos!C328</f>
        <v>2-133374</v>
      </c>
      <c r="B330" s="33" t="str">
        <f>Equipos!D328</f>
        <v xml:space="preserve">Ventilador Mecánico </v>
      </c>
      <c r="C330" s="33" t="str">
        <f>Equipos!E328</f>
        <v>UPC Cardiovascular</v>
      </c>
      <c r="D330" s="33" t="str">
        <f>Equipos!G328</f>
        <v>Sala de equipos</v>
      </c>
      <c r="E330" s="33" t="str">
        <f>Equipos!I328</f>
        <v>Puritan Bennett</v>
      </c>
      <c r="F330" s="33" t="str">
        <f>Equipos!J328</f>
        <v>980</v>
      </c>
      <c r="G330" s="37" t="str">
        <f>Equipos!K328</f>
        <v>35B2101446</v>
      </c>
      <c r="H330" s="33"/>
      <c r="I330" s="38"/>
      <c r="J330" s="38"/>
      <c r="K330" s="50" t="s">
        <v>276</v>
      </c>
      <c r="L330" s="50" t="s">
        <v>275</v>
      </c>
      <c r="M330" s="38"/>
      <c r="N330" s="38"/>
      <c r="O330" s="38"/>
      <c r="P330" s="38"/>
      <c r="Q330" s="38"/>
      <c r="R330" s="38"/>
      <c r="S330" s="38"/>
      <c r="T330" s="38"/>
      <c r="U330" s="33">
        <f t="shared" si="25"/>
        <v>2</v>
      </c>
      <c r="V330" s="33">
        <f t="shared" si="26"/>
        <v>1</v>
      </c>
      <c r="W330" s="33">
        <f t="shared" si="27"/>
        <v>0</v>
      </c>
      <c r="X330" s="33">
        <f t="shared" si="28"/>
        <v>0</v>
      </c>
      <c r="Y330" s="33">
        <f ca="1">SUMPRODUCT((I330:INDEX(I330:T330,MONTH(TODAY()))="X")*1)</f>
        <v>0</v>
      </c>
      <c r="Z330" s="39">
        <f t="shared" si="29"/>
        <v>0.5</v>
      </c>
    </row>
    <row r="331" spans="1:26" x14ac:dyDescent="0.25">
      <c r="A331" s="37" t="str">
        <f>Equipos!C329</f>
        <v>200717-005592</v>
      </c>
      <c r="B331" s="33" t="str">
        <f>Equipos!D329</f>
        <v xml:space="preserve">Ventilador Mecánico </v>
      </c>
      <c r="C331" s="33" t="str">
        <f>Equipos!E329</f>
        <v>UPC 3er Piso</v>
      </c>
      <c r="D331" s="33">
        <f>Equipos!G329</f>
        <v>0</v>
      </c>
      <c r="E331" s="33" t="str">
        <f>Equipos!I329</f>
        <v>Puritan Bennett</v>
      </c>
      <c r="F331" s="33" t="str">
        <f>Equipos!J329</f>
        <v>840</v>
      </c>
      <c r="G331" s="37" t="str">
        <f>Equipos!K329</f>
        <v>3512202272</v>
      </c>
      <c r="H331" s="33"/>
      <c r="I331" s="38"/>
      <c r="J331" s="38"/>
      <c r="K331" s="50" t="s">
        <v>276</v>
      </c>
      <c r="L331" s="50" t="s">
        <v>275</v>
      </c>
      <c r="M331" s="38"/>
      <c r="N331" s="38"/>
      <c r="O331" s="38"/>
      <c r="P331" s="38"/>
      <c r="Q331" s="38"/>
      <c r="R331" s="38"/>
      <c r="S331" s="38"/>
      <c r="T331" s="38"/>
      <c r="U331" s="33">
        <f t="shared" si="25"/>
        <v>2</v>
      </c>
      <c r="V331" s="33">
        <f t="shared" si="26"/>
        <v>1</v>
      </c>
      <c r="W331" s="33">
        <f t="shared" si="27"/>
        <v>0</v>
      </c>
      <c r="X331" s="33">
        <f t="shared" si="28"/>
        <v>0</v>
      </c>
      <c r="Y331" s="33">
        <f ca="1">SUMPRODUCT((I331:INDEX(I331:T331,MONTH(TODAY()))="X")*1)</f>
        <v>0</v>
      </c>
      <c r="Z331" s="39">
        <f t="shared" si="29"/>
        <v>0.5</v>
      </c>
    </row>
    <row r="332" spans="1:26" x14ac:dyDescent="0.25">
      <c r="A332" s="37" t="str">
        <f>Equipos!C330</f>
        <v>200717-005511</v>
      </c>
      <c r="B332" s="33" t="str">
        <f>Equipos!D330</f>
        <v xml:space="preserve">Ventilador Mecánico </v>
      </c>
      <c r="C332" s="33" t="str">
        <f>Equipos!E330</f>
        <v>UPC 3er Piso</v>
      </c>
      <c r="D332" s="33">
        <f>Equipos!G330</f>
        <v>0</v>
      </c>
      <c r="E332" s="33" t="str">
        <f>Equipos!I330</f>
        <v>Puritan Bennett</v>
      </c>
      <c r="F332" s="33" t="str">
        <f>Equipos!J330</f>
        <v>840</v>
      </c>
      <c r="G332" s="37" t="str">
        <f>Equipos!K330</f>
        <v>3512202231</v>
      </c>
      <c r="H332" s="33"/>
      <c r="I332" s="38"/>
      <c r="J332" s="38"/>
      <c r="K332" s="50" t="s">
        <v>276</v>
      </c>
      <c r="L332" s="50" t="s">
        <v>275</v>
      </c>
      <c r="M332" s="38"/>
      <c r="N332" s="38"/>
      <c r="O332" s="38"/>
      <c r="P332" s="38"/>
      <c r="Q332" s="38"/>
      <c r="R332" s="38"/>
      <c r="S332" s="38"/>
      <c r="T332" s="38"/>
      <c r="U332" s="33">
        <f t="shared" si="25"/>
        <v>2</v>
      </c>
      <c r="V332" s="33">
        <f t="shared" si="26"/>
        <v>1</v>
      </c>
      <c r="W332" s="33">
        <f t="shared" si="27"/>
        <v>0</v>
      </c>
      <c r="X332" s="33">
        <f t="shared" si="28"/>
        <v>0</v>
      </c>
      <c r="Y332" s="33">
        <f ca="1">SUMPRODUCT((I332:INDEX(I332:T332,MONTH(TODAY()))="X")*1)</f>
        <v>0</v>
      </c>
      <c r="Z332" s="39">
        <f t="shared" si="29"/>
        <v>0.5</v>
      </c>
    </row>
    <row r="333" spans="1:26" x14ac:dyDescent="0.25">
      <c r="A333" s="37" t="str">
        <f>Equipos!C331</f>
        <v>200717-001961</v>
      </c>
      <c r="B333" s="33" t="str">
        <f>Equipos!D331</f>
        <v xml:space="preserve">Ventilador Mecánico </v>
      </c>
      <c r="C333" s="33" t="str">
        <f>Equipos!E331</f>
        <v>UPC 3er Piso</v>
      </c>
      <c r="D333" s="33">
        <f>Equipos!G331</f>
        <v>0</v>
      </c>
      <c r="E333" s="33" t="str">
        <f>Equipos!I331</f>
        <v>Aeonmed</v>
      </c>
      <c r="F333" s="33" t="str">
        <f>Equipos!J331</f>
        <v>VG70</v>
      </c>
      <c r="G333" s="37" t="str">
        <f>Equipos!K331</f>
        <v>VG70(E)XZZT15424</v>
      </c>
      <c r="H333" s="33"/>
      <c r="I333" s="38"/>
      <c r="J333" s="38"/>
      <c r="K333" s="38"/>
      <c r="L333" s="50" t="s">
        <v>275</v>
      </c>
      <c r="M333" s="38"/>
      <c r="N333" s="38"/>
      <c r="O333" s="38"/>
      <c r="P333" s="38"/>
      <c r="Q333" s="38"/>
      <c r="R333" s="38"/>
      <c r="S333" s="38"/>
      <c r="T333" s="38"/>
      <c r="U333" s="33">
        <f t="shared" si="25"/>
        <v>1</v>
      </c>
      <c r="V333" s="33">
        <f t="shared" si="26"/>
        <v>1</v>
      </c>
      <c r="W333" s="33">
        <f t="shared" si="27"/>
        <v>0</v>
      </c>
      <c r="X333" s="33">
        <f t="shared" si="28"/>
        <v>0</v>
      </c>
      <c r="Y333" s="33">
        <f ca="1">SUMPRODUCT((I333:INDEX(I333:T333,MONTH(TODAY()))="X")*1)</f>
        <v>0</v>
      </c>
      <c r="Z333" s="39">
        <f t="shared" si="29"/>
        <v>1</v>
      </c>
    </row>
    <row r="334" spans="1:26" x14ac:dyDescent="0.25">
      <c r="A334" s="37" t="str">
        <f>Equipos!C332</f>
        <v>2-125250</v>
      </c>
      <c r="B334" s="33" t="str">
        <f>Equipos!D332</f>
        <v xml:space="preserve">Ventilador Mecánico </v>
      </c>
      <c r="C334" s="33" t="str">
        <f>Equipos!E332</f>
        <v>UPC Pediátrica</v>
      </c>
      <c r="D334" s="33" t="str">
        <f>Equipos!G332</f>
        <v>Sala de equipos</v>
      </c>
      <c r="E334" s="33" t="str">
        <f>Equipos!I332</f>
        <v>Philips</v>
      </c>
      <c r="F334" s="33" t="str">
        <f>Equipos!J332</f>
        <v>Trilogy EV300</v>
      </c>
      <c r="G334" s="37" t="str">
        <f>Equipos!K332</f>
        <v>H29942683ADD6</v>
      </c>
      <c r="H334" s="33"/>
      <c r="I334" s="38"/>
      <c r="J334" s="38"/>
      <c r="K334" s="50" t="s">
        <v>275</v>
      </c>
      <c r="L334" s="38"/>
      <c r="M334" s="38"/>
      <c r="N334" s="38"/>
      <c r="O334" s="38"/>
      <c r="P334" s="38"/>
      <c r="Q334" s="38"/>
      <c r="R334" s="38"/>
      <c r="S334" s="38"/>
      <c r="T334" s="38"/>
      <c r="U334" s="33">
        <f t="shared" si="25"/>
        <v>1</v>
      </c>
      <c r="V334" s="33">
        <f t="shared" si="26"/>
        <v>1</v>
      </c>
      <c r="W334" s="33">
        <f t="shared" si="27"/>
        <v>0</v>
      </c>
      <c r="X334" s="33">
        <f t="shared" si="28"/>
        <v>0</v>
      </c>
      <c r="Y334" s="33">
        <f ca="1">SUMPRODUCT((I334:INDEX(I334:T334,MONTH(TODAY()))="X")*1)</f>
        <v>0</v>
      </c>
      <c r="Z334" s="39">
        <f t="shared" si="29"/>
        <v>1</v>
      </c>
    </row>
    <row r="335" spans="1:26" x14ac:dyDescent="0.25">
      <c r="A335" s="37" t="str">
        <f>Equipos!C333</f>
        <v>2-116493</v>
      </c>
      <c r="B335" s="33" t="str">
        <f>Equipos!D333</f>
        <v xml:space="preserve">Ventilador Mecánico </v>
      </c>
      <c r="C335" s="33" t="str">
        <f>Equipos!E333</f>
        <v>UPC Pediátrica</v>
      </c>
      <c r="D335" s="33" t="str">
        <f>Equipos!G333</f>
        <v>Sala de equipos</v>
      </c>
      <c r="E335" s="33" t="str">
        <f>Equipos!I333</f>
        <v>Philips</v>
      </c>
      <c r="F335" s="33" t="str">
        <f>Equipos!J333</f>
        <v>Trilogy 202</v>
      </c>
      <c r="G335" s="37" t="str">
        <f>Equipos!K333</f>
        <v>TV018020609</v>
      </c>
      <c r="H335" s="33"/>
      <c r="I335" s="38"/>
      <c r="J335" s="38"/>
      <c r="K335" s="50" t="s">
        <v>275</v>
      </c>
      <c r="L335" s="38"/>
      <c r="M335" s="38"/>
      <c r="N335" s="38"/>
      <c r="O335" s="38"/>
      <c r="P335" s="38"/>
      <c r="Q335" s="38"/>
      <c r="R335" s="38"/>
      <c r="S335" s="38"/>
      <c r="T335" s="38"/>
      <c r="U335" s="33">
        <f t="shared" si="25"/>
        <v>1</v>
      </c>
      <c r="V335" s="33">
        <f t="shared" si="26"/>
        <v>1</v>
      </c>
      <c r="W335" s="33">
        <f t="shared" si="27"/>
        <v>0</v>
      </c>
      <c r="X335" s="33">
        <f t="shared" si="28"/>
        <v>0</v>
      </c>
      <c r="Y335" s="33">
        <f ca="1">SUMPRODUCT((I335:INDEX(I335:T335,MONTH(TODAY()))="X")*1)</f>
        <v>0</v>
      </c>
      <c r="Z335" s="39">
        <f t="shared" si="29"/>
        <v>1</v>
      </c>
    </row>
    <row r="336" spans="1:26" x14ac:dyDescent="0.25">
      <c r="A336" s="37" t="str">
        <f>Equipos!C334</f>
        <v>2-116494</v>
      </c>
      <c r="B336" s="33" t="str">
        <f>Equipos!D334</f>
        <v xml:space="preserve">Ventilador Mecánico </v>
      </c>
      <c r="C336" s="33" t="str">
        <f>Equipos!E334</f>
        <v>UPC Pediátrica</v>
      </c>
      <c r="D336" s="33" t="str">
        <f>Equipos!G334</f>
        <v>Sala de equipos</v>
      </c>
      <c r="E336" s="33" t="str">
        <f>Equipos!I334</f>
        <v>Philips</v>
      </c>
      <c r="F336" s="33" t="str">
        <f>Equipos!J334</f>
        <v>Trilogy 202</v>
      </c>
      <c r="G336" s="37" t="str">
        <f>Equipos!K334</f>
        <v>TV01802060A</v>
      </c>
      <c r="H336" s="33"/>
      <c r="I336" s="38"/>
      <c r="J336" s="38"/>
      <c r="K336" s="50" t="s">
        <v>275</v>
      </c>
      <c r="L336" s="38"/>
      <c r="M336" s="38"/>
      <c r="N336" s="38"/>
      <c r="O336" s="38"/>
      <c r="P336" s="38"/>
      <c r="Q336" s="38"/>
      <c r="R336" s="38"/>
      <c r="S336" s="38"/>
      <c r="T336" s="38"/>
      <c r="U336" s="33">
        <f t="shared" si="25"/>
        <v>1</v>
      </c>
      <c r="V336" s="33">
        <f t="shared" si="26"/>
        <v>1</v>
      </c>
      <c r="W336" s="33">
        <f t="shared" si="27"/>
        <v>0</v>
      </c>
      <c r="X336" s="33">
        <f t="shared" si="28"/>
        <v>0</v>
      </c>
      <c r="Y336" s="33">
        <f ca="1">SUMPRODUCT((I336:INDEX(I336:T336,MONTH(TODAY()))="X")*1)</f>
        <v>0</v>
      </c>
      <c r="Z336" s="39">
        <f t="shared" si="29"/>
        <v>1</v>
      </c>
    </row>
    <row r="337" spans="1:26" x14ac:dyDescent="0.25">
      <c r="A337" s="37" t="str">
        <f>Equipos!C335</f>
        <v>2-116495</v>
      </c>
      <c r="B337" s="33" t="str">
        <f>Equipos!D335</f>
        <v xml:space="preserve">Ventilador Mecánico </v>
      </c>
      <c r="C337" s="33" t="str">
        <f>Equipos!E335</f>
        <v>UPC Pediátrica</v>
      </c>
      <c r="D337" s="33" t="str">
        <f>Equipos!G335</f>
        <v>Sala de equipos</v>
      </c>
      <c r="E337" s="33" t="str">
        <f>Equipos!I335</f>
        <v>Philips</v>
      </c>
      <c r="F337" s="33" t="str">
        <f>Equipos!J335</f>
        <v>Trilogy 202</v>
      </c>
      <c r="G337" s="37" t="str">
        <f>Equipos!K335</f>
        <v>TV018020612</v>
      </c>
      <c r="H337" s="33"/>
      <c r="I337" s="38"/>
      <c r="J337" s="38"/>
      <c r="K337" s="50" t="s">
        <v>278</v>
      </c>
      <c r="L337" s="38"/>
      <c r="M337" s="38"/>
      <c r="N337" s="38"/>
      <c r="O337" s="38"/>
      <c r="P337" s="38"/>
      <c r="Q337" s="38"/>
      <c r="R337" s="38"/>
      <c r="S337" s="38"/>
      <c r="T337" s="38"/>
      <c r="U337" s="33">
        <f t="shared" si="25"/>
        <v>1</v>
      </c>
      <c r="V337" s="33">
        <f t="shared" si="26"/>
        <v>0</v>
      </c>
      <c r="W337" s="33">
        <f t="shared" si="27"/>
        <v>0</v>
      </c>
      <c r="X337" s="33">
        <f t="shared" si="28"/>
        <v>1</v>
      </c>
      <c r="Y337" s="33">
        <f ca="1">SUMPRODUCT((I337:INDEX(I337:T337,MONTH(TODAY()))="X")*1)</f>
        <v>0</v>
      </c>
      <c r="Z337" s="39">
        <f t="shared" si="29"/>
        <v>0</v>
      </c>
    </row>
    <row r="338" spans="1:26" x14ac:dyDescent="0.25">
      <c r="A338" s="37" t="str">
        <f>Equipos!C336</f>
        <v>2-116496</v>
      </c>
      <c r="B338" s="33" t="str">
        <f>Equipos!D336</f>
        <v xml:space="preserve">Ventilador Mecánico </v>
      </c>
      <c r="C338" s="33" t="str">
        <f>Equipos!E336</f>
        <v>UPC Pediátrica</v>
      </c>
      <c r="D338" s="33" t="str">
        <f>Equipos!G336</f>
        <v>Sala de equipos</v>
      </c>
      <c r="E338" s="33" t="str">
        <f>Equipos!I336</f>
        <v>Philips</v>
      </c>
      <c r="F338" s="33" t="str">
        <f>Equipos!J336</f>
        <v>Trilogy 202</v>
      </c>
      <c r="G338" s="37" t="str">
        <f>Equipos!K336</f>
        <v>TV018021903</v>
      </c>
      <c r="H338" s="33"/>
      <c r="I338" s="38"/>
      <c r="J338" s="38"/>
      <c r="K338" s="50" t="s">
        <v>275</v>
      </c>
      <c r="L338" s="38"/>
      <c r="M338" s="38"/>
      <c r="N338" s="38"/>
      <c r="O338" s="38"/>
      <c r="P338" s="38"/>
      <c r="Q338" s="38"/>
      <c r="R338" s="38"/>
      <c r="S338" s="38"/>
      <c r="T338" s="38"/>
      <c r="U338" s="33">
        <f t="shared" si="25"/>
        <v>1</v>
      </c>
      <c r="V338" s="33">
        <f t="shared" si="26"/>
        <v>1</v>
      </c>
      <c r="W338" s="33">
        <f t="shared" si="27"/>
        <v>0</v>
      </c>
      <c r="X338" s="33">
        <f t="shared" si="28"/>
        <v>0</v>
      </c>
      <c r="Y338" s="33">
        <f ca="1">SUMPRODUCT((I338:INDEX(I338:T338,MONTH(TODAY()))="X")*1)</f>
        <v>0</v>
      </c>
      <c r="Z338" s="39">
        <f t="shared" si="29"/>
        <v>1</v>
      </c>
    </row>
    <row r="339" spans="1:26" x14ac:dyDescent="0.25">
      <c r="A339" s="37" t="str">
        <f>Equipos!C337</f>
        <v>2-116497</v>
      </c>
      <c r="B339" s="33" t="str">
        <f>Equipos!D337</f>
        <v xml:space="preserve">Ventilador Mecánico </v>
      </c>
      <c r="C339" s="33" t="str">
        <f>Equipos!E337</f>
        <v>UPC Pediátrica</v>
      </c>
      <c r="D339" s="33" t="str">
        <f>Equipos!G337</f>
        <v>Sala de equipos</v>
      </c>
      <c r="E339" s="33" t="str">
        <f>Equipos!I337</f>
        <v>Philips</v>
      </c>
      <c r="F339" s="33" t="str">
        <f>Equipos!J337</f>
        <v>Trilogy 202</v>
      </c>
      <c r="G339" s="37" t="str">
        <f>Equipos!K337</f>
        <v>TV018021907</v>
      </c>
      <c r="H339" s="33"/>
      <c r="I339" s="38"/>
      <c r="J339" s="38"/>
      <c r="K339" s="50" t="s">
        <v>275</v>
      </c>
      <c r="L339" s="38"/>
      <c r="M339" s="38"/>
      <c r="N339" s="38"/>
      <c r="O339" s="38"/>
      <c r="P339" s="38"/>
      <c r="Q339" s="38"/>
      <c r="R339" s="38"/>
      <c r="S339" s="38"/>
      <c r="T339" s="38"/>
      <c r="U339" s="33">
        <f t="shared" si="25"/>
        <v>1</v>
      </c>
      <c r="V339" s="33">
        <f t="shared" si="26"/>
        <v>1</v>
      </c>
      <c r="W339" s="33">
        <f t="shared" si="27"/>
        <v>0</v>
      </c>
      <c r="X339" s="33">
        <f t="shared" si="28"/>
        <v>0</v>
      </c>
      <c r="Y339" s="33">
        <f ca="1">SUMPRODUCT((I339:INDEX(I339:T339,MONTH(TODAY()))="X")*1)</f>
        <v>0</v>
      </c>
      <c r="Z339" s="39">
        <f t="shared" si="29"/>
        <v>1</v>
      </c>
    </row>
    <row r="340" spans="1:26" x14ac:dyDescent="0.25">
      <c r="A340" s="37" t="str">
        <f>Equipos!C338</f>
        <v>2-116498</v>
      </c>
      <c r="B340" s="33" t="str">
        <f>Equipos!D338</f>
        <v xml:space="preserve">Ventilador Mecánico </v>
      </c>
      <c r="C340" s="33" t="str">
        <f>Equipos!E338</f>
        <v>UPC Pediátrica</v>
      </c>
      <c r="D340" s="33" t="str">
        <f>Equipos!G338</f>
        <v>Sala de equipos</v>
      </c>
      <c r="E340" s="33" t="str">
        <f>Equipos!I338</f>
        <v>Philips</v>
      </c>
      <c r="F340" s="33" t="str">
        <f>Equipos!J338</f>
        <v>Trilogy 202</v>
      </c>
      <c r="G340" s="37" t="str">
        <f>Equipos!K338</f>
        <v>TV018021909</v>
      </c>
      <c r="H340" s="33"/>
      <c r="I340" s="38"/>
      <c r="J340" s="38"/>
      <c r="K340" s="50" t="s">
        <v>275</v>
      </c>
      <c r="L340" s="38"/>
      <c r="M340" s="38"/>
      <c r="N340" s="38"/>
      <c r="O340" s="38"/>
      <c r="P340" s="38"/>
      <c r="Q340" s="38"/>
      <c r="R340" s="38"/>
      <c r="S340" s="38"/>
      <c r="T340" s="38"/>
      <c r="U340" s="33">
        <f t="shared" si="25"/>
        <v>1</v>
      </c>
      <c r="V340" s="33">
        <f t="shared" si="26"/>
        <v>1</v>
      </c>
      <c r="W340" s="33">
        <f t="shared" si="27"/>
        <v>0</v>
      </c>
      <c r="X340" s="33">
        <f t="shared" si="28"/>
        <v>0</v>
      </c>
      <c r="Y340" s="33">
        <f ca="1">SUMPRODUCT((I340:INDEX(I340:T340,MONTH(TODAY()))="X")*1)</f>
        <v>0</v>
      </c>
      <c r="Z340" s="39">
        <f t="shared" si="29"/>
        <v>1</v>
      </c>
    </row>
    <row r="341" spans="1:26" x14ac:dyDescent="0.25">
      <c r="A341" s="37" t="str">
        <f>Equipos!C339</f>
        <v>2-116499</v>
      </c>
      <c r="B341" s="33" t="str">
        <f>Equipos!D339</f>
        <v xml:space="preserve">Ventilador Mecánico </v>
      </c>
      <c r="C341" s="33" t="str">
        <f>Equipos!E339</f>
        <v>UPC Pediátrica</v>
      </c>
      <c r="D341" s="33" t="str">
        <f>Equipos!G339</f>
        <v>Sala de equipos</v>
      </c>
      <c r="E341" s="33" t="str">
        <f>Equipos!I339</f>
        <v>Philips</v>
      </c>
      <c r="F341" s="33" t="str">
        <f>Equipos!J339</f>
        <v>Trilogy 202</v>
      </c>
      <c r="G341" s="37" t="str">
        <f>Equipos!K339</f>
        <v>TV01802190A</v>
      </c>
      <c r="H341" s="33"/>
      <c r="I341" s="38"/>
      <c r="J341" s="38"/>
      <c r="K341" s="50" t="s">
        <v>276</v>
      </c>
      <c r="L341" s="50" t="s">
        <v>275</v>
      </c>
      <c r="M341" s="38"/>
      <c r="N341" s="38"/>
      <c r="O341" s="38"/>
      <c r="P341" s="38"/>
      <c r="Q341" s="38"/>
      <c r="R341" s="38"/>
      <c r="S341" s="38"/>
      <c r="T341" s="38"/>
      <c r="U341" s="33">
        <f t="shared" si="25"/>
        <v>2</v>
      </c>
      <c r="V341" s="33">
        <f t="shared" si="26"/>
        <v>1</v>
      </c>
      <c r="W341" s="33">
        <f t="shared" si="27"/>
        <v>0</v>
      </c>
      <c r="X341" s="33">
        <f t="shared" si="28"/>
        <v>0</v>
      </c>
      <c r="Y341" s="33">
        <f ca="1">SUMPRODUCT((I341:INDEX(I341:T341,MONTH(TODAY()))="X")*1)</f>
        <v>0</v>
      </c>
      <c r="Z341" s="39">
        <f t="shared" si="29"/>
        <v>0.5</v>
      </c>
    </row>
    <row r="342" spans="1:26" x14ac:dyDescent="0.25">
      <c r="A342" s="37" t="str">
        <f>Equipos!C340</f>
        <v>2-116500</v>
      </c>
      <c r="B342" s="33" t="str">
        <f>Equipos!D340</f>
        <v xml:space="preserve">Ventilador Mecánico </v>
      </c>
      <c r="C342" s="33" t="str">
        <f>Equipos!E340</f>
        <v>UPC Pediátrica</v>
      </c>
      <c r="D342" s="33" t="str">
        <f>Equipos!G340</f>
        <v>Sala de equipos</v>
      </c>
      <c r="E342" s="33" t="str">
        <f>Equipos!I340</f>
        <v>Philips</v>
      </c>
      <c r="F342" s="33" t="str">
        <f>Equipos!J340</f>
        <v>Trilogy 202</v>
      </c>
      <c r="G342" s="37" t="str">
        <f>Equipos!K340</f>
        <v>TV01802190B</v>
      </c>
      <c r="H342" s="33"/>
      <c r="I342" s="38"/>
      <c r="J342" s="38"/>
      <c r="K342" s="50" t="s">
        <v>278</v>
      </c>
      <c r="L342" s="38"/>
      <c r="M342" s="38"/>
      <c r="N342" s="38"/>
      <c r="O342" s="38"/>
      <c r="P342" s="38"/>
      <c r="Q342" s="38"/>
      <c r="R342" s="38"/>
      <c r="S342" s="38"/>
      <c r="T342" s="38"/>
      <c r="U342" s="33">
        <f t="shared" si="25"/>
        <v>1</v>
      </c>
      <c r="V342" s="33">
        <f t="shared" si="26"/>
        <v>0</v>
      </c>
      <c r="W342" s="33">
        <f t="shared" si="27"/>
        <v>0</v>
      </c>
      <c r="X342" s="33">
        <f t="shared" si="28"/>
        <v>1</v>
      </c>
      <c r="Y342" s="33">
        <f ca="1">SUMPRODUCT((I342:INDEX(I342:T342,MONTH(TODAY()))="X")*1)</f>
        <v>0</v>
      </c>
      <c r="Z342" s="39">
        <f t="shared" si="29"/>
        <v>0</v>
      </c>
    </row>
    <row r="343" spans="1:26" x14ac:dyDescent="0.25">
      <c r="A343" s="37" t="str">
        <f>Equipos!C341</f>
        <v>2-116501</v>
      </c>
      <c r="B343" s="33" t="str">
        <f>Equipos!D341</f>
        <v xml:space="preserve">Ventilador Mecánico </v>
      </c>
      <c r="C343" s="33" t="str">
        <f>Equipos!E341</f>
        <v>UPC Pediátrica</v>
      </c>
      <c r="D343" s="33" t="str">
        <f>Equipos!G341</f>
        <v>Sala de equipos</v>
      </c>
      <c r="E343" s="33" t="str">
        <f>Equipos!I341</f>
        <v>Philips</v>
      </c>
      <c r="F343" s="33" t="str">
        <f>Equipos!J341</f>
        <v>Trilogy 202</v>
      </c>
      <c r="G343" s="37" t="str">
        <f>Equipos!K341</f>
        <v>TV01802190C</v>
      </c>
      <c r="H343" s="33"/>
      <c r="I343" s="38"/>
      <c r="J343" s="38"/>
      <c r="K343" s="50" t="s">
        <v>276</v>
      </c>
      <c r="L343" s="50" t="s">
        <v>275</v>
      </c>
      <c r="M343" s="38"/>
      <c r="N343" s="38"/>
      <c r="O343" s="38"/>
      <c r="P343" s="38"/>
      <c r="Q343" s="38"/>
      <c r="R343" s="38"/>
      <c r="S343" s="38"/>
      <c r="T343" s="38"/>
      <c r="U343" s="33">
        <f t="shared" si="25"/>
        <v>2</v>
      </c>
      <c r="V343" s="33">
        <f t="shared" si="26"/>
        <v>1</v>
      </c>
      <c r="W343" s="33">
        <f t="shared" si="27"/>
        <v>0</v>
      </c>
      <c r="X343" s="33">
        <f t="shared" si="28"/>
        <v>0</v>
      </c>
      <c r="Y343" s="33">
        <f ca="1">SUMPRODUCT((I343:INDEX(I343:T343,MONTH(TODAY()))="X")*1)</f>
        <v>0</v>
      </c>
      <c r="Z343" s="39">
        <f t="shared" si="29"/>
        <v>0.5</v>
      </c>
    </row>
    <row r="344" spans="1:26" x14ac:dyDescent="0.25">
      <c r="A344" s="37" t="str">
        <f>Equipos!C342</f>
        <v>2-119582</v>
      </c>
      <c r="B344" s="33" t="str">
        <f>Equipos!D342</f>
        <v xml:space="preserve">Ventilador Mecánico </v>
      </c>
      <c r="C344" s="33" t="str">
        <f>Equipos!E342</f>
        <v>Hospitalización Domiciliaria</v>
      </c>
      <c r="D344" s="33" t="str">
        <f>Equipos!G342</f>
        <v>Domicilio de paciente</v>
      </c>
      <c r="E344" s="33" t="str">
        <f>Equipos!I342</f>
        <v>Philips</v>
      </c>
      <c r="F344" s="33" t="str">
        <f>Equipos!J342</f>
        <v>Trilogy EVO</v>
      </c>
      <c r="G344" s="37" t="str">
        <f>Equipos!K342</f>
        <v>H27247766FFE4</v>
      </c>
      <c r="H344" s="33"/>
      <c r="I344" s="38"/>
      <c r="J344" s="38"/>
      <c r="K344" s="50" t="s">
        <v>276</v>
      </c>
      <c r="L344" s="50" t="s">
        <v>275</v>
      </c>
      <c r="M344" s="38"/>
      <c r="N344" s="38"/>
      <c r="O344" s="38"/>
      <c r="P344" s="38"/>
      <c r="Q344" s="38"/>
      <c r="R344" s="38"/>
      <c r="S344" s="38"/>
      <c r="T344" s="38"/>
      <c r="U344" s="33">
        <f t="shared" si="25"/>
        <v>2</v>
      </c>
      <c r="V344" s="33">
        <f t="shared" si="26"/>
        <v>1</v>
      </c>
      <c r="W344" s="33">
        <f t="shared" si="27"/>
        <v>0</v>
      </c>
      <c r="X344" s="33">
        <f t="shared" si="28"/>
        <v>0</v>
      </c>
      <c r="Y344" s="33">
        <f ca="1">SUMPRODUCT((I344:INDEX(I344:T344,MONTH(TODAY()))="X")*1)</f>
        <v>0</v>
      </c>
      <c r="Z344" s="39">
        <f t="shared" si="29"/>
        <v>0.5</v>
      </c>
    </row>
    <row r="345" spans="1:26" x14ac:dyDescent="0.25">
      <c r="A345" s="37">
        <f>Equipos!C343</f>
        <v>0</v>
      </c>
      <c r="B345" s="33" t="str">
        <f>Equipos!D343</f>
        <v xml:space="preserve">Ventilador Mecánico </v>
      </c>
      <c r="C345" s="33">
        <f>Equipos!E343</f>
        <v>0</v>
      </c>
      <c r="D345" s="33">
        <f>Equipos!G343</f>
        <v>0</v>
      </c>
      <c r="E345" s="33">
        <f>Equipos!I343</f>
        <v>0</v>
      </c>
      <c r="F345" s="33">
        <f>Equipos!J343</f>
        <v>0</v>
      </c>
      <c r="G345" s="37">
        <f>Equipos!K343</f>
        <v>0</v>
      </c>
      <c r="H345" s="33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3">
        <f t="shared" si="25"/>
        <v>0</v>
      </c>
      <c r="V345" s="33">
        <f t="shared" si="26"/>
        <v>0</v>
      </c>
      <c r="W345" s="33">
        <f t="shared" si="27"/>
        <v>0</v>
      </c>
      <c r="X345" s="33">
        <f t="shared" si="28"/>
        <v>0</v>
      </c>
      <c r="Y345" s="33">
        <f ca="1">SUMPRODUCT((I345:INDEX(I345:T345,MONTH(TODAY()))="X")*1)</f>
        <v>0</v>
      </c>
      <c r="Z345" s="39" t="str">
        <f t="shared" si="29"/>
        <v/>
      </c>
    </row>
    <row r="346" spans="1:26" x14ac:dyDescent="0.25">
      <c r="A346" s="37" t="str">
        <f>Equipos!C344</f>
        <v>2-134627</v>
      </c>
      <c r="B346" s="33" t="str">
        <f>Equipos!D344</f>
        <v xml:space="preserve">Ventilador Mecánico </v>
      </c>
      <c r="C346" s="33" t="str">
        <f>Equipos!E344</f>
        <v>UPC Pediátrica</v>
      </c>
      <c r="D346" s="33" t="str">
        <f>Equipos!G344</f>
        <v>Sala de equipos</v>
      </c>
      <c r="E346" s="33" t="str">
        <f>Equipos!I344</f>
        <v>Yuwell</v>
      </c>
      <c r="F346" s="33" t="str">
        <f>Equipos!J344</f>
        <v>YH-830</v>
      </c>
      <c r="G346" s="37" t="str">
        <f>Equipos!K344</f>
        <v>YH830-V24C35011</v>
      </c>
      <c r="H346" s="33"/>
      <c r="I346" s="38"/>
      <c r="J346" s="38"/>
      <c r="K346" s="50" t="s">
        <v>275</v>
      </c>
      <c r="L346" s="38"/>
      <c r="M346" s="38"/>
      <c r="N346" s="38"/>
      <c r="O346" s="38"/>
      <c r="P346" s="38"/>
      <c r="Q346" s="38"/>
      <c r="R346" s="38"/>
      <c r="S346" s="38"/>
      <c r="T346" s="38"/>
      <c r="U346" s="33">
        <f t="shared" si="25"/>
        <v>1</v>
      </c>
      <c r="V346" s="33">
        <f t="shared" si="26"/>
        <v>1</v>
      </c>
      <c r="W346" s="33">
        <f t="shared" si="27"/>
        <v>0</v>
      </c>
      <c r="X346" s="33">
        <f t="shared" si="28"/>
        <v>0</v>
      </c>
      <c r="Y346" s="33">
        <f ca="1">SUMPRODUCT((I346:INDEX(I346:T346,MONTH(TODAY()))="X")*1)</f>
        <v>0</v>
      </c>
      <c r="Z346" s="39">
        <f t="shared" si="29"/>
        <v>1</v>
      </c>
    </row>
    <row r="347" spans="1:26" x14ac:dyDescent="0.25">
      <c r="A347" s="37" t="str">
        <f>Equipos!C345</f>
        <v>2-134628</v>
      </c>
      <c r="B347" s="33" t="str">
        <f>Equipos!D345</f>
        <v xml:space="preserve">Ventilador Mecánico </v>
      </c>
      <c r="C347" s="33" t="str">
        <f>Equipos!E345</f>
        <v>UPC Pediátrica</v>
      </c>
      <c r="D347" s="33" t="str">
        <f>Equipos!G345</f>
        <v>Sala de equipos</v>
      </c>
      <c r="E347" s="33" t="str">
        <f>Equipos!I345</f>
        <v>Yuwell</v>
      </c>
      <c r="F347" s="33" t="str">
        <f>Equipos!J345</f>
        <v>YH-830</v>
      </c>
      <c r="G347" s="37" t="str">
        <f>Equipos!K345</f>
        <v>YH830A-V24C35013</v>
      </c>
      <c r="H347" s="33"/>
      <c r="I347" s="38"/>
      <c r="J347" s="38"/>
      <c r="K347" s="50" t="s">
        <v>275</v>
      </c>
      <c r="L347" s="38"/>
      <c r="M347" s="38"/>
      <c r="N347" s="38"/>
      <c r="O347" s="38"/>
      <c r="P347" s="38"/>
      <c r="Q347" s="38"/>
      <c r="R347" s="38"/>
      <c r="S347" s="38"/>
      <c r="T347" s="38"/>
      <c r="U347" s="33">
        <f t="shared" si="25"/>
        <v>1</v>
      </c>
      <c r="V347" s="33">
        <f t="shared" si="26"/>
        <v>1</v>
      </c>
      <c r="W347" s="33">
        <f t="shared" si="27"/>
        <v>0</v>
      </c>
      <c r="X347" s="33">
        <f t="shared" si="28"/>
        <v>0</v>
      </c>
      <c r="Y347" s="33">
        <f ca="1">SUMPRODUCT((I347:INDEX(I347:T347,MONTH(TODAY()))="X")*1)</f>
        <v>0</v>
      </c>
      <c r="Z347" s="39">
        <f t="shared" si="29"/>
        <v>1</v>
      </c>
    </row>
    <row r="348" spans="1:26" x14ac:dyDescent="0.25">
      <c r="A348" s="37" t="str">
        <f>Equipos!C346</f>
        <v>2-134629</v>
      </c>
      <c r="B348" s="33" t="str">
        <f>Equipos!D346</f>
        <v xml:space="preserve">Ventilador Mecánico </v>
      </c>
      <c r="C348" s="33" t="str">
        <f>Equipos!E346</f>
        <v>UPC Pediátrica</v>
      </c>
      <c r="D348" s="33" t="str">
        <f>Equipos!G346</f>
        <v>Sala de equipos</v>
      </c>
      <c r="E348" s="33" t="str">
        <f>Equipos!I346</f>
        <v>Yuwell</v>
      </c>
      <c r="F348" s="33" t="str">
        <f>Equipos!J346</f>
        <v>YH-830</v>
      </c>
      <c r="G348" s="37" t="str">
        <f>Equipos!K346</f>
        <v>YH830A-V25132020</v>
      </c>
      <c r="H348" s="33"/>
      <c r="I348" s="38"/>
      <c r="J348" s="38"/>
      <c r="K348" s="50" t="s">
        <v>275</v>
      </c>
      <c r="L348" s="38"/>
      <c r="M348" s="38"/>
      <c r="N348" s="38"/>
      <c r="O348" s="38"/>
      <c r="P348" s="38"/>
      <c r="Q348" s="38"/>
      <c r="R348" s="38"/>
      <c r="S348" s="38"/>
      <c r="T348" s="38"/>
      <c r="U348" s="33">
        <f t="shared" si="25"/>
        <v>1</v>
      </c>
      <c r="V348" s="33">
        <f t="shared" si="26"/>
        <v>1</v>
      </c>
      <c r="W348" s="33">
        <f t="shared" si="27"/>
        <v>0</v>
      </c>
      <c r="X348" s="33">
        <f t="shared" si="28"/>
        <v>0</v>
      </c>
      <c r="Y348" s="33">
        <f ca="1">SUMPRODUCT((I348:INDEX(I348:T348,MONTH(TODAY()))="X")*1)</f>
        <v>0</v>
      </c>
      <c r="Z348" s="39">
        <f t="shared" si="29"/>
        <v>1</v>
      </c>
    </row>
    <row r="349" spans="1:26" x14ac:dyDescent="0.25">
      <c r="A349" s="37" t="str">
        <f>Equipos!C347</f>
        <v>2-134630</v>
      </c>
      <c r="B349" s="33" t="str">
        <f>Equipos!D347</f>
        <v xml:space="preserve">Ventilador Mecánico </v>
      </c>
      <c r="C349" s="33" t="str">
        <f>Equipos!E347</f>
        <v>UPC Pediátrica</v>
      </c>
      <c r="D349" s="33" t="str">
        <f>Equipos!G347</f>
        <v>Sala de equipos</v>
      </c>
      <c r="E349" s="33" t="str">
        <f>Equipos!I347</f>
        <v>Yuwell</v>
      </c>
      <c r="F349" s="33" t="str">
        <f>Equipos!J347</f>
        <v>YH-830</v>
      </c>
      <c r="G349" s="37" t="str">
        <f>Equipos!K347</f>
        <v>YH830A-V24C35008</v>
      </c>
      <c r="H349" s="33"/>
      <c r="I349" s="38"/>
      <c r="J349" s="38"/>
      <c r="K349" s="50" t="s">
        <v>275</v>
      </c>
      <c r="L349" s="38"/>
      <c r="M349" s="38"/>
      <c r="N349" s="38"/>
      <c r="O349" s="38"/>
      <c r="P349" s="38"/>
      <c r="Q349" s="38"/>
      <c r="R349" s="38"/>
      <c r="S349" s="38"/>
      <c r="T349" s="38"/>
      <c r="U349" s="33">
        <f t="shared" si="25"/>
        <v>1</v>
      </c>
      <c r="V349" s="33">
        <f t="shared" si="26"/>
        <v>1</v>
      </c>
      <c r="W349" s="33">
        <f t="shared" si="27"/>
        <v>0</v>
      </c>
      <c r="X349" s="33">
        <f t="shared" si="28"/>
        <v>0</v>
      </c>
      <c r="Y349" s="33">
        <f ca="1">SUMPRODUCT((I349:INDEX(I349:T349,MONTH(TODAY()))="X")*1)</f>
        <v>0</v>
      </c>
      <c r="Z349" s="39">
        <f t="shared" si="29"/>
        <v>1</v>
      </c>
    </row>
    <row r="350" spans="1:26" x14ac:dyDescent="0.25">
      <c r="A350" s="37" t="str">
        <f>Equipos!C348</f>
        <v>2-007495</v>
      </c>
      <c r="B350" s="33" t="str">
        <f>Equipos!D348</f>
        <v>Monitor Multiparámetros</v>
      </c>
      <c r="C350" s="33" t="str">
        <f>Equipos!E348</f>
        <v>UPC Adulto</v>
      </c>
      <c r="D350" s="33" t="str">
        <f>Equipos!G348</f>
        <v>CAMA 6</v>
      </c>
      <c r="E350" s="33" t="str">
        <f>Equipos!I348</f>
        <v xml:space="preserve">Drager </v>
      </c>
      <c r="F350" s="33" t="str">
        <f>Equipos!J348</f>
        <v xml:space="preserve">Infinity Kappa </v>
      </c>
      <c r="G350" s="37" t="str">
        <f>Equipos!K348</f>
        <v>5494254562</v>
      </c>
      <c r="H350" s="33"/>
      <c r="I350" s="38"/>
      <c r="J350" s="38"/>
      <c r="K350" s="38"/>
      <c r="L350" s="50" t="s">
        <v>276</v>
      </c>
      <c r="M350" s="50" t="s">
        <v>275</v>
      </c>
      <c r="N350" s="38"/>
      <c r="O350" s="38"/>
      <c r="P350" s="38"/>
      <c r="Q350" s="38"/>
      <c r="R350" s="38"/>
      <c r="S350" s="38"/>
      <c r="T350" s="38"/>
      <c r="U350" s="33">
        <f t="shared" si="25"/>
        <v>2</v>
      </c>
      <c r="V350" s="33">
        <f t="shared" si="26"/>
        <v>1</v>
      </c>
      <c r="W350" s="33">
        <f t="shared" si="27"/>
        <v>0</v>
      </c>
      <c r="X350" s="33">
        <f t="shared" si="28"/>
        <v>0</v>
      </c>
      <c r="Y350" s="33">
        <f ca="1">SUMPRODUCT((I350:INDEX(I350:T350,MONTH(TODAY()))="X")*1)</f>
        <v>0</v>
      </c>
      <c r="Z350" s="39">
        <f t="shared" si="29"/>
        <v>0.5</v>
      </c>
    </row>
    <row r="351" spans="1:26" x14ac:dyDescent="0.25">
      <c r="A351" s="37" t="str">
        <f>Equipos!C349</f>
        <v>2-016863</v>
      </c>
      <c r="B351" s="33" t="str">
        <f>Equipos!D349</f>
        <v>Monitor Multiparámetros</v>
      </c>
      <c r="C351" s="33" t="str">
        <f>Equipos!E349</f>
        <v>UPC Adulto</v>
      </c>
      <c r="D351" s="33" t="str">
        <f>Equipos!G349</f>
        <v>CAMA 4</v>
      </c>
      <c r="E351" s="33" t="str">
        <f>Equipos!I349</f>
        <v xml:space="preserve">Drager </v>
      </c>
      <c r="F351" s="33" t="str">
        <f>Equipos!J349</f>
        <v xml:space="preserve">Infinity Kappa </v>
      </c>
      <c r="G351" s="37" t="str">
        <f>Equipos!K349</f>
        <v>5494252457</v>
      </c>
      <c r="H351" s="33"/>
      <c r="I351" s="38"/>
      <c r="J351" s="38"/>
      <c r="K351" s="38"/>
      <c r="L351" s="50" t="s">
        <v>276</v>
      </c>
      <c r="M351" s="50" t="s">
        <v>275</v>
      </c>
      <c r="N351" s="38"/>
      <c r="O351" s="38"/>
      <c r="P351" s="38"/>
      <c r="Q351" s="38"/>
      <c r="R351" s="38"/>
      <c r="S351" s="38"/>
      <c r="T351" s="38"/>
      <c r="U351" s="33">
        <f t="shared" si="25"/>
        <v>2</v>
      </c>
      <c r="V351" s="33">
        <f t="shared" si="26"/>
        <v>1</v>
      </c>
      <c r="W351" s="33">
        <f t="shared" si="27"/>
        <v>0</v>
      </c>
      <c r="X351" s="33">
        <f t="shared" si="28"/>
        <v>0</v>
      </c>
      <c r="Y351" s="33">
        <f ca="1">SUMPRODUCT((I351:INDEX(I351:T351,MONTH(TODAY()))="X")*1)</f>
        <v>0</v>
      </c>
      <c r="Z351" s="39">
        <f t="shared" si="29"/>
        <v>0.5</v>
      </c>
    </row>
    <row r="352" spans="1:26" x14ac:dyDescent="0.25">
      <c r="A352" s="37" t="str">
        <f>Equipos!C350</f>
        <v>2-112537</v>
      </c>
      <c r="B352" s="33" t="str">
        <f>Equipos!D350</f>
        <v>Monitor Multiparámetros</v>
      </c>
      <c r="C352" s="33" t="str">
        <f>Equipos!E350</f>
        <v>UPC Adulto</v>
      </c>
      <c r="D352" s="33" t="str">
        <f>Equipos!G350</f>
        <v>CAMA 12</v>
      </c>
      <c r="E352" s="33" t="str">
        <f>Equipos!I350</f>
        <v xml:space="preserve">Drager </v>
      </c>
      <c r="F352" s="33" t="str">
        <f>Equipos!J350</f>
        <v xml:space="preserve">Infinity Kappa </v>
      </c>
      <c r="G352" s="37" t="str">
        <f>Equipos!K350</f>
        <v>5494254161</v>
      </c>
      <c r="H352" s="33"/>
      <c r="I352" s="38"/>
      <c r="J352" s="38"/>
      <c r="K352" s="38"/>
      <c r="L352" s="50" t="s">
        <v>278</v>
      </c>
      <c r="M352" s="38"/>
      <c r="N352" s="38"/>
      <c r="O352" s="38"/>
      <c r="P352" s="38"/>
      <c r="Q352" s="38"/>
      <c r="R352" s="38"/>
      <c r="S352" s="38"/>
      <c r="T352" s="38"/>
      <c r="U352" s="33">
        <f t="shared" si="25"/>
        <v>1</v>
      </c>
      <c r="V352" s="33">
        <f t="shared" si="26"/>
        <v>0</v>
      </c>
      <c r="W352" s="33">
        <f t="shared" si="27"/>
        <v>0</v>
      </c>
      <c r="X352" s="33">
        <f t="shared" si="28"/>
        <v>1</v>
      </c>
      <c r="Y352" s="33">
        <f ca="1">SUMPRODUCT((I352:INDEX(I352:T352,MONTH(TODAY()))="X")*1)</f>
        <v>0</v>
      </c>
      <c r="Z352" s="39">
        <f t="shared" si="29"/>
        <v>0</v>
      </c>
    </row>
    <row r="353" spans="1:26" x14ac:dyDescent="0.25">
      <c r="A353" s="37" t="str">
        <f>Equipos!C351</f>
        <v>2-003536</v>
      </c>
      <c r="B353" s="33" t="str">
        <f>Equipos!D351</f>
        <v>Monitor Multiparámetros</v>
      </c>
      <c r="C353" s="33" t="str">
        <f>Equipos!E351</f>
        <v>UPC Adulto</v>
      </c>
      <c r="D353" s="33" t="str">
        <f>Equipos!G351</f>
        <v>CAMA 5</v>
      </c>
      <c r="E353" s="33" t="str">
        <f>Equipos!I351</f>
        <v xml:space="preserve">Drager </v>
      </c>
      <c r="F353" s="33" t="str">
        <f>Equipos!J351</f>
        <v xml:space="preserve">Infinity Kappa </v>
      </c>
      <c r="G353" s="37" t="str">
        <f>Equipos!K351</f>
        <v>5494254259</v>
      </c>
      <c r="H353" s="33"/>
      <c r="I353" s="38"/>
      <c r="J353" s="38"/>
      <c r="K353" s="38"/>
      <c r="L353" s="38"/>
      <c r="M353" s="50" t="s">
        <v>275</v>
      </c>
      <c r="N353" s="38"/>
      <c r="O353" s="38"/>
      <c r="P353" s="38"/>
      <c r="Q353" s="38"/>
      <c r="R353" s="38"/>
      <c r="S353" s="38"/>
      <c r="T353" s="38"/>
      <c r="U353" s="33">
        <f t="shared" si="25"/>
        <v>1</v>
      </c>
      <c r="V353" s="33">
        <f t="shared" si="26"/>
        <v>1</v>
      </c>
      <c r="W353" s="33">
        <f t="shared" si="27"/>
        <v>0</v>
      </c>
      <c r="X353" s="33">
        <f t="shared" si="28"/>
        <v>0</v>
      </c>
      <c r="Y353" s="33">
        <f ca="1">SUMPRODUCT((I353:INDEX(I353:T353,MONTH(TODAY()))="X")*1)</f>
        <v>0</v>
      </c>
      <c r="Z353" s="39">
        <f t="shared" si="29"/>
        <v>1</v>
      </c>
    </row>
    <row r="354" spans="1:26" x14ac:dyDescent="0.25">
      <c r="A354" s="37" t="str">
        <f>Equipos!C352</f>
        <v>2-013560</v>
      </c>
      <c r="B354" s="33" t="str">
        <f>Equipos!D352</f>
        <v>Monitor Multiparámetros</v>
      </c>
      <c r="C354" s="33" t="str">
        <f>Equipos!E352</f>
        <v>UPC Adulto</v>
      </c>
      <c r="D354" s="33" t="str">
        <f>Equipos!G352</f>
        <v>CAMA 8</v>
      </c>
      <c r="E354" s="33" t="str">
        <f>Equipos!I352</f>
        <v xml:space="preserve">Drager </v>
      </c>
      <c r="F354" s="33" t="str">
        <f>Equipos!J352</f>
        <v xml:space="preserve">Infinity Kappa </v>
      </c>
      <c r="G354" s="37" t="str">
        <f>Equipos!K352</f>
        <v>5494264756</v>
      </c>
      <c r="H354" s="33"/>
      <c r="I354" s="38"/>
      <c r="J354" s="38"/>
      <c r="K354" s="38"/>
      <c r="L354" s="38"/>
      <c r="M354" s="50" t="s">
        <v>275</v>
      </c>
      <c r="N354" s="38"/>
      <c r="O354" s="38"/>
      <c r="P354" s="38"/>
      <c r="Q354" s="38"/>
      <c r="R354" s="38"/>
      <c r="S354" s="38"/>
      <c r="T354" s="38"/>
      <c r="U354" s="33">
        <f t="shared" si="25"/>
        <v>1</v>
      </c>
      <c r="V354" s="33">
        <f t="shared" si="26"/>
        <v>1</v>
      </c>
      <c r="W354" s="33">
        <f t="shared" si="27"/>
        <v>0</v>
      </c>
      <c r="X354" s="33">
        <f t="shared" si="28"/>
        <v>0</v>
      </c>
      <c r="Y354" s="33">
        <f ca="1">SUMPRODUCT((I354:INDEX(I354:T354,MONTH(TODAY()))="X")*1)</f>
        <v>0</v>
      </c>
      <c r="Z354" s="39">
        <f t="shared" si="29"/>
        <v>1</v>
      </c>
    </row>
    <row r="355" spans="1:26" x14ac:dyDescent="0.25">
      <c r="A355" s="37" t="str">
        <f>Equipos!C353</f>
        <v>2-007522</v>
      </c>
      <c r="B355" s="33" t="str">
        <f>Equipos!D353</f>
        <v>Monitor Multiparámetros</v>
      </c>
      <c r="C355" s="33" t="str">
        <f>Equipos!E353</f>
        <v>UPC Adulto</v>
      </c>
      <c r="D355" s="33" t="str">
        <f>Equipos!G353</f>
        <v>CAMA 10</v>
      </c>
      <c r="E355" s="33" t="str">
        <f>Equipos!I353</f>
        <v xml:space="preserve">Drager </v>
      </c>
      <c r="F355" s="33" t="str">
        <f>Equipos!J353</f>
        <v xml:space="preserve">Infinity Kappa </v>
      </c>
      <c r="G355" s="37" t="str">
        <f>Equipos!K353</f>
        <v>5494268852</v>
      </c>
      <c r="H355" s="33"/>
      <c r="I355" s="38"/>
      <c r="J355" s="38"/>
      <c r="K355" s="38"/>
      <c r="L355" s="38"/>
      <c r="M355" s="50" t="s">
        <v>275</v>
      </c>
      <c r="N355" s="38"/>
      <c r="O355" s="38"/>
      <c r="P355" s="38"/>
      <c r="Q355" s="38"/>
      <c r="R355" s="38"/>
      <c r="S355" s="38"/>
      <c r="T355" s="38"/>
      <c r="U355" s="33">
        <f t="shared" si="25"/>
        <v>1</v>
      </c>
      <c r="V355" s="33">
        <f t="shared" si="26"/>
        <v>1</v>
      </c>
      <c r="W355" s="33">
        <f t="shared" si="27"/>
        <v>0</v>
      </c>
      <c r="X355" s="33">
        <f t="shared" si="28"/>
        <v>0</v>
      </c>
      <c r="Y355" s="33">
        <f ca="1">SUMPRODUCT((I355:INDEX(I355:T355,MONTH(TODAY()))="X")*1)</f>
        <v>0</v>
      </c>
      <c r="Z355" s="39">
        <f t="shared" si="29"/>
        <v>1</v>
      </c>
    </row>
    <row r="356" spans="1:26" x14ac:dyDescent="0.25">
      <c r="A356" s="37" t="str">
        <f>Equipos!C354</f>
        <v>2-112538</v>
      </c>
      <c r="B356" s="33" t="str">
        <f>Equipos!D354</f>
        <v>Monitor Multiparámetros</v>
      </c>
      <c r="C356" s="33" t="str">
        <f>Equipos!E354</f>
        <v>UPC Adulto</v>
      </c>
      <c r="D356" s="33" t="str">
        <f>Equipos!G354</f>
        <v>CAMA 3</v>
      </c>
      <c r="E356" s="33" t="str">
        <f>Equipos!I354</f>
        <v xml:space="preserve">Drager </v>
      </c>
      <c r="F356" s="33" t="str">
        <f>Equipos!J354</f>
        <v xml:space="preserve">Infinity Kappa </v>
      </c>
      <c r="G356" s="37" t="str">
        <f>Equipos!K354</f>
        <v>5494252564</v>
      </c>
      <c r="H356" s="33"/>
      <c r="I356" s="38"/>
      <c r="J356" s="38"/>
      <c r="K356" s="38"/>
      <c r="L356" s="38"/>
      <c r="M356" s="50" t="s">
        <v>275</v>
      </c>
      <c r="N356" s="38"/>
      <c r="O356" s="38"/>
      <c r="P356" s="38"/>
      <c r="Q356" s="38"/>
      <c r="R356" s="38"/>
      <c r="S356" s="38"/>
      <c r="T356" s="38"/>
      <c r="U356" s="33">
        <f t="shared" si="25"/>
        <v>1</v>
      </c>
      <c r="V356" s="33">
        <f t="shared" si="26"/>
        <v>1</v>
      </c>
      <c r="W356" s="33">
        <f t="shared" si="27"/>
        <v>0</v>
      </c>
      <c r="X356" s="33">
        <f t="shared" si="28"/>
        <v>0</v>
      </c>
      <c r="Y356" s="33">
        <f ca="1">SUMPRODUCT((I356:INDEX(I356:T356,MONTH(TODAY()))="X")*1)</f>
        <v>0</v>
      </c>
      <c r="Z356" s="39">
        <f t="shared" si="29"/>
        <v>1</v>
      </c>
    </row>
    <row r="357" spans="1:26" x14ac:dyDescent="0.25">
      <c r="A357" s="37" t="str">
        <f>Equipos!C355</f>
        <v>2-003522</v>
      </c>
      <c r="B357" s="33" t="str">
        <f>Equipos!D355</f>
        <v>Monitor Multiparámetros</v>
      </c>
      <c r="C357" s="33" t="str">
        <f>Equipos!E355</f>
        <v>UPC Adulto</v>
      </c>
      <c r="D357" s="33" t="str">
        <f>Equipos!G355</f>
        <v>CAMA 2</v>
      </c>
      <c r="E357" s="33" t="str">
        <f>Equipos!I355</f>
        <v xml:space="preserve">Drager </v>
      </c>
      <c r="F357" s="33" t="str">
        <f>Equipos!J355</f>
        <v xml:space="preserve">Infinity Kappa </v>
      </c>
      <c r="G357" s="37" t="str">
        <f>Equipos!K355</f>
        <v>5494265657</v>
      </c>
      <c r="H357" s="33"/>
      <c r="I357" s="38"/>
      <c r="J357" s="38"/>
      <c r="K357" s="38"/>
      <c r="L357" s="38"/>
      <c r="M357" s="50" t="s">
        <v>275</v>
      </c>
      <c r="N357" s="38"/>
      <c r="O357" s="38"/>
      <c r="P357" s="38"/>
      <c r="Q357" s="38"/>
      <c r="R357" s="38"/>
      <c r="S357" s="38"/>
      <c r="T357" s="38"/>
      <c r="U357" s="33">
        <f t="shared" si="25"/>
        <v>1</v>
      </c>
      <c r="V357" s="33">
        <f t="shared" si="26"/>
        <v>1</v>
      </c>
      <c r="W357" s="33">
        <f t="shared" si="27"/>
        <v>0</v>
      </c>
      <c r="X357" s="33">
        <f t="shared" si="28"/>
        <v>0</v>
      </c>
      <c r="Y357" s="33">
        <f ca="1">SUMPRODUCT((I357:INDEX(I357:T357,MONTH(TODAY()))="X")*1)</f>
        <v>0</v>
      </c>
      <c r="Z357" s="39">
        <f t="shared" si="29"/>
        <v>1</v>
      </c>
    </row>
    <row r="358" spans="1:26" x14ac:dyDescent="0.25">
      <c r="A358" s="37" t="str">
        <f>Equipos!C356</f>
        <v>2-007511</v>
      </c>
      <c r="B358" s="33" t="str">
        <f>Equipos!D356</f>
        <v>Monitor Multiparámetros</v>
      </c>
      <c r="C358" s="33" t="str">
        <f>Equipos!E356</f>
        <v>UPC Adulto</v>
      </c>
      <c r="D358" s="33" t="str">
        <f>Equipos!G356</f>
        <v>CAMA 7</v>
      </c>
      <c r="E358" s="33" t="str">
        <f>Equipos!I356</f>
        <v xml:space="preserve">Drager </v>
      </c>
      <c r="F358" s="33" t="str">
        <f>Equipos!J356</f>
        <v xml:space="preserve">Infinity Kappa </v>
      </c>
      <c r="G358" s="37" t="str">
        <f>Equipos!K356</f>
        <v>5494255757</v>
      </c>
      <c r="H358" s="33"/>
      <c r="I358" s="38"/>
      <c r="J358" s="38"/>
      <c r="K358" s="38"/>
      <c r="L358" s="38"/>
      <c r="M358" s="50" t="s">
        <v>275</v>
      </c>
      <c r="N358" s="38"/>
      <c r="O358" s="38"/>
      <c r="P358" s="38"/>
      <c r="Q358" s="38"/>
      <c r="R358" s="38"/>
      <c r="S358" s="38"/>
      <c r="T358" s="38"/>
      <c r="U358" s="33">
        <f t="shared" si="25"/>
        <v>1</v>
      </c>
      <c r="V358" s="33">
        <f t="shared" si="26"/>
        <v>1</v>
      </c>
      <c r="W358" s="33">
        <f t="shared" si="27"/>
        <v>0</v>
      </c>
      <c r="X358" s="33">
        <f t="shared" si="28"/>
        <v>0</v>
      </c>
      <c r="Y358" s="33">
        <f ca="1">SUMPRODUCT((I358:INDEX(I358:T358,MONTH(TODAY()))="X")*1)</f>
        <v>0</v>
      </c>
      <c r="Z358" s="39">
        <f t="shared" si="29"/>
        <v>1</v>
      </c>
    </row>
    <row r="359" spans="1:26" x14ac:dyDescent="0.25">
      <c r="A359" s="37" t="str">
        <f>Equipos!C357</f>
        <v>2-007502</v>
      </c>
      <c r="B359" s="33" t="str">
        <f>Equipos!D357</f>
        <v>Monitor Multiparámetros</v>
      </c>
      <c r="C359" s="33" t="str">
        <f>Equipos!E357</f>
        <v>UPC Adulto</v>
      </c>
      <c r="D359" s="33" t="str">
        <f>Equipos!G357</f>
        <v>CAMA 9</v>
      </c>
      <c r="E359" s="33" t="str">
        <f>Equipos!I357</f>
        <v xml:space="preserve">Drager </v>
      </c>
      <c r="F359" s="33" t="str">
        <f>Equipos!J357</f>
        <v xml:space="preserve">Infinity Kappa </v>
      </c>
      <c r="G359" s="37" t="str">
        <f>Equipos!K357</f>
        <v>5494255659</v>
      </c>
      <c r="H359" s="33"/>
      <c r="I359" s="38"/>
      <c r="J359" s="38"/>
      <c r="K359" s="38"/>
      <c r="L359" s="38"/>
      <c r="M359" s="50" t="s">
        <v>275</v>
      </c>
      <c r="N359" s="38"/>
      <c r="O359" s="38"/>
      <c r="P359" s="38"/>
      <c r="Q359" s="38"/>
      <c r="R359" s="38"/>
      <c r="S359" s="38"/>
      <c r="T359" s="38"/>
      <c r="U359" s="33">
        <f t="shared" si="25"/>
        <v>1</v>
      </c>
      <c r="V359" s="33">
        <f t="shared" si="26"/>
        <v>1</v>
      </c>
      <c r="W359" s="33">
        <f t="shared" si="27"/>
        <v>0</v>
      </c>
      <c r="X359" s="33">
        <f t="shared" si="28"/>
        <v>0</v>
      </c>
      <c r="Y359" s="33">
        <f ca="1">SUMPRODUCT((I359:INDEX(I359:T359,MONTH(TODAY()))="X")*1)</f>
        <v>0</v>
      </c>
      <c r="Z359" s="39">
        <f t="shared" si="29"/>
        <v>1</v>
      </c>
    </row>
    <row r="360" spans="1:26" x14ac:dyDescent="0.25">
      <c r="A360" s="37" t="str">
        <f>Equipos!C358</f>
        <v>2-112539</v>
      </c>
      <c r="B360" s="33" t="str">
        <f>Equipos!D358</f>
        <v>Monitor Multiparámetros</v>
      </c>
      <c r="C360" s="33" t="str">
        <f>Equipos!E358</f>
        <v>UPC Adulto</v>
      </c>
      <c r="D360" s="33" t="str">
        <f>Equipos!G358</f>
        <v>CAMA 11</v>
      </c>
      <c r="E360" s="33" t="str">
        <f>Equipos!I358</f>
        <v xml:space="preserve">Drager </v>
      </c>
      <c r="F360" s="33" t="str">
        <f>Equipos!J358</f>
        <v xml:space="preserve">Infinity Kappa </v>
      </c>
      <c r="G360" s="37" t="str">
        <f>Equipos!K358</f>
        <v>5494275254</v>
      </c>
      <c r="H360" s="33"/>
      <c r="I360" s="38"/>
      <c r="J360" s="38"/>
      <c r="K360" s="38"/>
      <c r="L360" s="38"/>
      <c r="M360" s="50" t="s">
        <v>275</v>
      </c>
      <c r="N360" s="38"/>
      <c r="O360" s="38"/>
      <c r="P360" s="38"/>
      <c r="Q360" s="38"/>
      <c r="R360" s="38"/>
      <c r="S360" s="38"/>
      <c r="T360" s="38"/>
      <c r="U360" s="33">
        <f t="shared" si="25"/>
        <v>1</v>
      </c>
      <c r="V360" s="33">
        <f t="shared" si="26"/>
        <v>1</v>
      </c>
      <c r="W360" s="33">
        <f t="shared" si="27"/>
        <v>0</v>
      </c>
      <c r="X360" s="33">
        <f t="shared" si="28"/>
        <v>0</v>
      </c>
      <c r="Y360" s="33">
        <f ca="1">SUMPRODUCT((I360:INDEX(I360:T360,MONTH(TODAY()))="X")*1)</f>
        <v>0</v>
      </c>
      <c r="Z360" s="39">
        <f t="shared" si="29"/>
        <v>1</v>
      </c>
    </row>
    <row r="361" spans="1:26" x14ac:dyDescent="0.25">
      <c r="A361" s="37" t="str">
        <f>Equipos!C359</f>
        <v>2-003508</v>
      </c>
      <c r="B361" s="33" t="str">
        <f>Equipos!D359</f>
        <v>Monitor Multiparámetros</v>
      </c>
      <c r="C361" s="33" t="str">
        <f>Equipos!E359</f>
        <v>UPC Adulto</v>
      </c>
      <c r="D361" s="33" t="str">
        <f>Equipos!G359</f>
        <v>CAMA 14</v>
      </c>
      <c r="E361" s="33" t="str">
        <f>Equipos!I359</f>
        <v xml:space="preserve">Drager </v>
      </c>
      <c r="F361" s="33" t="str">
        <f>Equipos!J359</f>
        <v xml:space="preserve">Infinity Kappa </v>
      </c>
      <c r="G361" s="37" t="str">
        <f>Equipos!K359</f>
        <v>5494264854</v>
      </c>
      <c r="H361" s="33"/>
      <c r="I361" s="38"/>
      <c r="J361" s="38"/>
      <c r="K361" s="38"/>
      <c r="L361" s="50" t="s">
        <v>275</v>
      </c>
      <c r="M361" s="38"/>
      <c r="N361" s="38"/>
      <c r="O361" s="38"/>
      <c r="P361" s="38"/>
      <c r="Q361" s="38"/>
      <c r="R361" s="38"/>
      <c r="S361" s="38"/>
      <c r="T361" s="38"/>
      <c r="U361" s="33">
        <f t="shared" si="25"/>
        <v>1</v>
      </c>
      <c r="V361" s="33">
        <f t="shared" si="26"/>
        <v>1</v>
      </c>
      <c r="W361" s="33">
        <f t="shared" si="27"/>
        <v>0</v>
      </c>
      <c r="X361" s="33">
        <f t="shared" si="28"/>
        <v>0</v>
      </c>
      <c r="Y361" s="33">
        <f ca="1">SUMPRODUCT((I361:INDEX(I361:T361,MONTH(TODAY()))="X")*1)</f>
        <v>0</v>
      </c>
      <c r="Z361" s="39">
        <f t="shared" si="29"/>
        <v>1</v>
      </c>
    </row>
    <row r="362" spans="1:26" x14ac:dyDescent="0.25">
      <c r="A362" s="37" t="str">
        <f>Equipos!C360</f>
        <v>2-003445</v>
      </c>
      <c r="B362" s="33" t="str">
        <f>Equipos!D360</f>
        <v>Monitor Multiparámetros</v>
      </c>
      <c r="C362" s="33" t="str">
        <f>Equipos!E360</f>
        <v>Urgencia Adulto (Prestado a Pediatría)</v>
      </c>
      <c r="D362" s="33" t="str">
        <f>Equipos!G360</f>
        <v>Pediatría lactantes</v>
      </c>
      <c r="E362" s="33" t="str">
        <f>Equipos!I360</f>
        <v xml:space="preserve">Drager </v>
      </c>
      <c r="F362" s="33" t="str">
        <f>Equipos!J360</f>
        <v xml:space="preserve">Infinity Vista XL </v>
      </c>
      <c r="G362" s="37" t="str">
        <f>Equipos!K360</f>
        <v>6000543675</v>
      </c>
      <c r="H362" s="33"/>
      <c r="I362" s="38"/>
      <c r="J362" s="50" t="s">
        <v>276</v>
      </c>
      <c r="K362" s="50" t="s">
        <v>275</v>
      </c>
      <c r="L362" s="38"/>
      <c r="M362" s="38"/>
      <c r="N362" s="38"/>
      <c r="O362" s="38"/>
      <c r="P362" s="38"/>
      <c r="Q362" s="38"/>
      <c r="R362" s="38"/>
      <c r="S362" s="38"/>
      <c r="T362" s="38"/>
      <c r="U362" s="33">
        <f t="shared" si="25"/>
        <v>2</v>
      </c>
      <c r="V362" s="33">
        <f t="shared" si="26"/>
        <v>1</v>
      </c>
      <c r="W362" s="33">
        <f t="shared" si="27"/>
        <v>0</v>
      </c>
      <c r="X362" s="33">
        <f t="shared" si="28"/>
        <v>0</v>
      </c>
      <c r="Y362" s="33">
        <f ca="1">SUMPRODUCT((I362:INDEX(I362:T362,MONTH(TODAY()))="X")*1)</f>
        <v>0</v>
      </c>
      <c r="Z362" s="39">
        <f t="shared" si="29"/>
        <v>0.5</v>
      </c>
    </row>
    <row r="363" spans="1:26" x14ac:dyDescent="0.25">
      <c r="A363" s="37" t="str">
        <f>Equipos!C361</f>
        <v>2-003446</v>
      </c>
      <c r="B363" s="33" t="str">
        <f>Equipos!D361</f>
        <v>Monitor Multiparámetros</v>
      </c>
      <c r="C363" s="33" t="str">
        <f>Equipos!E361</f>
        <v>UPC Cardiovascular (Prestado a medicina cardiovascular)</v>
      </c>
      <c r="D363" s="33" t="str">
        <f>Equipos!G361</f>
        <v>BODEGA</v>
      </c>
      <c r="E363" s="33" t="str">
        <f>Equipos!I361</f>
        <v xml:space="preserve">Drager </v>
      </c>
      <c r="F363" s="33" t="str">
        <f>Equipos!J361</f>
        <v xml:space="preserve">Infinity Vista </v>
      </c>
      <c r="G363" s="37" t="str">
        <f>Equipos!K361</f>
        <v>5514410774</v>
      </c>
      <c r="H363" s="33"/>
      <c r="I363" s="38"/>
      <c r="J363" s="50" t="s">
        <v>276</v>
      </c>
      <c r="K363" s="50" t="s">
        <v>275</v>
      </c>
      <c r="L363" s="38"/>
      <c r="M363" s="38"/>
      <c r="N363" s="38"/>
      <c r="O363" s="38"/>
      <c r="P363" s="38"/>
      <c r="Q363" s="38"/>
      <c r="R363" s="38"/>
      <c r="S363" s="38"/>
      <c r="T363" s="38"/>
      <c r="U363" s="33">
        <f t="shared" si="25"/>
        <v>2</v>
      </c>
      <c r="V363" s="33">
        <f t="shared" si="26"/>
        <v>1</v>
      </c>
      <c r="W363" s="33">
        <f t="shared" si="27"/>
        <v>0</v>
      </c>
      <c r="X363" s="33">
        <f t="shared" si="28"/>
        <v>0</v>
      </c>
      <c r="Y363" s="33">
        <f ca="1">SUMPRODUCT((I363:INDEX(I363:T363,MONTH(TODAY()))="X")*1)</f>
        <v>0</v>
      </c>
      <c r="Z363" s="39">
        <f t="shared" si="29"/>
        <v>0.5</v>
      </c>
    </row>
    <row r="364" spans="1:26" x14ac:dyDescent="0.25">
      <c r="A364" s="37" t="str">
        <f>Equipos!C362</f>
        <v>2-003460</v>
      </c>
      <c r="B364" s="33" t="str">
        <f>Equipos!D362</f>
        <v>Monitor Multiparámetros</v>
      </c>
      <c r="C364" s="33" t="str">
        <f>Equipos!E362</f>
        <v>UPC Cardiovascular</v>
      </c>
      <c r="D364" s="33" t="str">
        <f>Equipos!G362</f>
        <v>UCI-CAMA 1</v>
      </c>
      <c r="E364" s="33" t="str">
        <f>Equipos!I362</f>
        <v xml:space="preserve">Drager </v>
      </c>
      <c r="F364" s="33" t="str">
        <f>Equipos!J362</f>
        <v>Infinity Kappa</v>
      </c>
      <c r="G364" s="37" t="str">
        <f>Equipos!K362</f>
        <v>5494273060</v>
      </c>
      <c r="H364" s="33"/>
      <c r="I364" s="50" t="s">
        <v>276</v>
      </c>
      <c r="J364" s="50" t="s">
        <v>275</v>
      </c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3">
        <f t="shared" si="25"/>
        <v>2</v>
      </c>
      <c r="V364" s="33">
        <f t="shared" si="26"/>
        <v>1</v>
      </c>
      <c r="W364" s="33">
        <f t="shared" si="27"/>
        <v>0</v>
      </c>
      <c r="X364" s="33">
        <f t="shared" si="28"/>
        <v>0</v>
      </c>
      <c r="Y364" s="33">
        <f ca="1">SUMPRODUCT((I364:INDEX(I364:T364,MONTH(TODAY()))="X")*1)</f>
        <v>0</v>
      </c>
      <c r="Z364" s="39">
        <f t="shared" si="29"/>
        <v>0.5</v>
      </c>
    </row>
    <row r="365" spans="1:26" x14ac:dyDescent="0.25">
      <c r="A365" s="37" t="str">
        <f>Equipos!C363</f>
        <v>2-112543</v>
      </c>
      <c r="B365" s="33" t="str">
        <f>Equipos!D363</f>
        <v>Monitor Multiparámetros</v>
      </c>
      <c r="C365" s="33" t="str">
        <f>Equipos!E363</f>
        <v>UPC Cardiovascular</v>
      </c>
      <c r="D365" s="33" t="str">
        <f>Equipos!G363</f>
        <v>UCI-CAMA 2</v>
      </c>
      <c r="E365" s="33" t="str">
        <f>Equipos!I363</f>
        <v xml:space="preserve">Drager </v>
      </c>
      <c r="F365" s="33" t="str">
        <f>Equipos!J363</f>
        <v>Infinity Kappa</v>
      </c>
      <c r="G365" s="37" t="str">
        <f>Equipos!K363</f>
        <v>5494308255</v>
      </c>
      <c r="H365" s="33"/>
      <c r="I365" s="50" t="s">
        <v>276</v>
      </c>
      <c r="J365" s="50" t="s">
        <v>275</v>
      </c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3">
        <f t="shared" si="25"/>
        <v>2</v>
      </c>
      <c r="V365" s="33">
        <f t="shared" si="26"/>
        <v>1</v>
      </c>
      <c r="W365" s="33">
        <f t="shared" si="27"/>
        <v>0</v>
      </c>
      <c r="X365" s="33">
        <f t="shared" si="28"/>
        <v>0</v>
      </c>
      <c r="Y365" s="33">
        <f ca="1">SUMPRODUCT((I365:INDEX(I365:T365,MONTH(TODAY()))="X")*1)</f>
        <v>0</v>
      </c>
      <c r="Z365" s="39">
        <f t="shared" si="29"/>
        <v>0.5</v>
      </c>
    </row>
    <row r="366" spans="1:26" x14ac:dyDescent="0.25">
      <c r="A366" s="37" t="str">
        <f>Equipos!C364</f>
        <v>2-112544</v>
      </c>
      <c r="B366" s="33" t="str">
        <f>Equipos!D364</f>
        <v>Monitor Multiparámetros</v>
      </c>
      <c r="C366" s="33" t="str">
        <f>Equipos!E364</f>
        <v>UPC Cardiovascular</v>
      </c>
      <c r="D366" s="33" t="str">
        <f>Equipos!G364</f>
        <v>UCI-CAMA 3</v>
      </c>
      <c r="E366" s="33" t="str">
        <f>Equipos!I364</f>
        <v xml:space="preserve">Drager </v>
      </c>
      <c r="F366" s="33" t="str">
        <f>Equipos!J364</f>
        <v>Infinity Kappa</v>
      </c>
      <c r="G366" s="37" t="str">
        <f>Equipos!K364</f>
        <v>5494307158</v>
      </c>
      <c r="H366" s="33"/>
      <c r="I366" s="50" t="s">
        <v>276</v>
      </c>
      <c r="J366" s="50" t="s">
        <v>275</v>
      </c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3">
        <f t="shared" si="25"/>
        <v>2</v>
      </c>
      <c r="V366" s="33">
        <f t="shared" si="26"/>
        <v>1</v>
      </c>
      <c r="W366" s="33">
        <f t="shared" si="27"/>
        <v>0</v>
      </c>
      <c r="X366" s="33">
        <f t="shared" si="28"/>
        <v>0</v>
      </c>
      <c r="Y366" s="33">
        <f ca="1">SUMPRODUCT((I366:INDEX(I366:T366,MONTH(TODAY()))="X")*1)</f>
        <v>0</v>
      </c>
      <c r="Z366" s="39">
        <f t="shared" si="29"/>
        <v>0.5</v>
      </c>
    </row>
    <row r="367" spans="1:26" x14ac:dyDescent="0.25">
      <c r="A367" s="37" t="str">
        <f>Equipos!C365</f>
        <v>2-003453</v>
      </c>
      <c r="B367" s="33" t="str">
        <f>Equipos!D365</f>
        <v>Monitor Multiparámetros</v>
      </c>
      <c r="C367" s="33" t="str">
        <f>Equipos!E365</f>
        <v>UPC Cardiovascular</v>
      </c>
      <c r="D367" s="33" t="str">
        <f>Equipos!G365</f>
        <v>UCI-CAMA 6</v>
      </c>
      <c r="E367" s="33" t="str">
        <f>Equipos!I365</f>
        <v xml:space="preserve">Drager </v>
      </c>
      <c r="F367" s="33" t="str">
        <f>Equipos!J365</f>
        <v>Infinity Kappa</v>
      </c>
      <c r="G367" s="37" t="str">
        <f>Equipos!K365</f>
        <v>5494307853</v>
      </c>
      <c r="H367" s="33"/>
      <c r="I367" s="50" t="s">
        <v>276</v>
      </c>
      <c r="J367" s="50" t="s">
        <v>275</v>
      </c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3">
        <f t="shared" si="25"/>
        <v>2</v>
      </c>
      <c r="V367" s="33">
        <f t="shared" si="26"/>
        <v>1</v>
      </c>
      <c r="W367" s="33">
        <f t="shared" si="27"/>
        <v>0</v>
      </c>
      <c r="X367" s="33">
        <f t="shared" si="28"/>
        <v>0</v>
      </c>
      <c r="Y367" s="33">
        <f ca="1">SUMPRODUCT((I367:INDEX(I367:T367,MONTH(TODAY()))="X")*1)</f>
        <v>0</v>
      </c>
      <c r="Z367" s="39">
        <f t="shared" si="29"/>
        <v>0.5</v>
      </c>
    </row>
    <row r="368" spans="1:26" x14ac:dyDescent="0.25">
      <c r="A368" s="37" t="str">
        <f>Equipos!C366</f>
        <v>2-112545</v>
      </c>
      <c r="B368" s="33" t="str">
        <f>Equipos!D366</f>
        <v>Monitor Multiparámetros</v>
      </c>
      <c r="C368" s="33" t="str">
        <f>Equipos!E366</f>
        <v>UPC Cardiovascular</v>
      </c>
      <c r="D368" s="33" t="str">
        <f>Equipos!G366</f>
        <v>UCI-CAMA 4</v>
      </c>
      <c r="E368" s="33" t="str">
        <f>Equipos!I366</f>
        <v xml:space="preserve">Drager </v>
      </c>
      <c r="F368" s="33" t="str">
        <f>Equipos!J366</f>
        <v>Infinity Kappa</v>
      </c>
      <c r="G368" s="37" t="str">
        <f>Equipos!K366</f>
        <v>5494278447</v>
      </c>
      <c r="H368" s="33"/>
      <c r="I368" s="50" t="s">
        <v>276</v>
      </c>
      <c r="J368" s="50" t="s">
        <v>275</v>
      </c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3">
        <f t="shared" si="25"/>
        <v>2</v>
      </c>
      <c r="V368" s="33">
        <f t="shared" si="26"/>
        <v>1</v>
      </c>
      <c r="W368" s="33">
        <f t="shared" si="27"/>
        <v>0</v>
      </c>
      <c r="X368" s="33">
        <f t="shared" si="28"/>
        <v>0</v>
      </c>
      <c r="Y368" s="33">
        <f ca="1">SUMPRODUCT((I368:INDEX(I368:T368,MONTH(TODAY()))="X")*1)</f>
        <v>0</v>
      </c>
      <c r="Z368" s="39">
        <f t="shared" si="29"/>
        <v>0.5</v>
      </c>
    </row>
    <row r="369" spans="1:26" x14ac:dyDescent="0.25">
      <c r="A369" s="37" t="str">
        <f>Equipos!C367</f>
        <v>2-112546</v>
      </c>
      <c r="B369" s="33" t="str">
        <f>Equipos!D367</f>
        <v>Monitor Multiparámetros</v>
      </c>
      <c r="C369" s="33" t="str">
        <f>Equipos!E367</f>
        <v>UPC Cardiovascular</v>
      </c>
      <c r="D369" s="33" t="str">
        <f>Equipos!G367</f>
        <v>UCI-CAMA 7</v>
      </c>
      <c r="E369" s="33" t="str">
        <f>Equipos!I367</f>
        <v xml:space="preserve">Drager </v>
      </c>
      <c r="F369" s="33" t="str">
        <f>Equipos!J367</f>
        <v>infinity kappa</v>
      </c>
      <c r="G369" s="37" t="str">
        <f>Equipos!K367</f>
        <v>5494294652</v>
      </c>
      <c r="H369" s="33"/>
      <c r="I369" s="50" t="s">
        <v>276</v>
      </c>
      <c r="J369" s="50" t="s">
        <v>275</v>
      </c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3">
        <f t="shared" si="25"/>
        <v>2</v>
      </c>
      <c r="V369" s="33">
        <f t="shared" si="26"/>
        <v>1</v>
      </c>
      <c r="W369" s="33">
        <f t="shared" si="27"/>
        <v>0</v>
      </c>
      <c r="X369" s="33">
        <f t="shared" si="28"/>
        <v>0</v>
      </c>
      <c r="Y369" s="33">
        <f ca="1">SUMPRODUCT((I369:INDEX(I369:T369,MONTH(TODAY()))="X")*1)</f>
        <v>0</v>
      </c>
      <c r="Z369" s="39">
        <f t="shared" si="29"/>
        <v>0.5</v>
      </c>
    </row>
    <row r="370" spans="1:26" x14ac:dyDescent="0.25">
      <c r="A370" s="37" t="str">
        <f>Equipos!C368</f>
        <v>2-113483</v>
      </c>
      <c r="B370" s="33" t="str">
        <f>Equipos!D368</f>
        <v>Monitor Multiparámetros</v>
      </c>
      <c r="C370" s="33" t="str">
        <f>Equipos!E368</f>
        <v>UPC Cardiovascular</v>
      </c>
      <c r="D370" s="33" t="str">
        <f>Equipos!G368</f>
        <v>UTI-CAMA 6</v>
      </c>
      <c r="E370" s="33" t="str">
        <f>Equipos!I368</f>
        <v xml:space="preserve">Drager </v>
      </c>
      <c r="F370" s="33" t="str">
        <f>Equipos!J368</f>
        <v>Infinity Kappa</v>
      </c>
      <c r="G370" s="37" t="str">
        <f>Equipos!K368</f>
        <v>5494306061</v>
      </c>
      <c r="H370" s="33"/>
      <c r="I370" s="50" t="s">
        <v>276</v>
      </c>
      <c r="J370" s="50" t="s">
        <v>275</v>
      </c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3">
        <f t="shared" si="25"/>
        <v>2</v>
      </c>
      <c r="V370" s="33">
        <f t="shared" si="26"/>
        <v>1</v>
      </c>
      <c r="W370" s="33">
        <f t="shared" si="27"/>
        <v>0</v>
      </c>
      <c r="X370" s="33">
        <f t="shared" si="28"/>
        <v>0</v>
      </c>
      <c r="Y370" s="33">
        <f ca="1">SUMPRODUCT((I370:INDEX(I370:T370,MONTH(TODAY()))="X")*1)</f>
        <v>0</v>
      </c>
      <c r="Z370" s="39">
        <f t="shared" si="29"/>
        <v>0.5</v>
      </c>
    </row>
    <row r="371" spans="1:26" x14ac:dyDescent="0.25">
      <c r="A371" s="37" t="str">
        <f>Equipos!C369</f>
        <v>2-013522</v>
      </c>
      <c r="B371" s="33" t="str">
        <f>Equipos!D369</f>
        <v>Monitor Multiparámetros</v>
      </c>
      <c r="C371" s="33" t="str">
        <f>Equipos!E369</f>
        <v>Urgencia Adulto (Prestado a UPC Adulto)</v>
      </c>
      <c r="D371" s="33">
        <f>Equipos!G369</f>
        <v>0</v>
      </c>
      <c r="E371" s="33" t="str">
        <f>Equipos!I369</f>
        <v xml:space="preserve">Drager </v>
      </c>
      <c r="F371" s="33" t="str">
        <f>Equipos!J369</f>
        <v xml:space="preserve">Infinity Vista XL </v>
      </c>
      <c r="G371" s="37" t="str">
        <f>Equipos!K369</f>
        <v>6000883771.</v>
      </c>
      <c r="H371" s="33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3">
        <f t="shared" si="25"/>
        <v>0</v>
      </c>
      <c r="V371" s="33">
        <f t="shared" si="26"/>
        <v>0</v>
      </c>
      <c r="W371" s="33">
        <f t="shared" si="27"/>
        <v>0</v>
      </c>
      <c r="X371" s="33">
        <f t="shared" si="28"/>
        <v>0</v>
      </c>
      <c r="Y371" s="33">
        <f ca="1">SUMPRODUCT((I371:INDEX(I371:T371,MONTH(TODAY()))="X")*1)</f>
        <v>0</v>
      </c>
      <c r="Z371" s="39" t="str">
        <f t="shared" si="29"/>
        <v/>
      </c>
    </row>
    <row r="372" spans="1:26" x14ac:dyDescent="0.25">
      <c r="A372" s="37" t="str">
        <f>Equipos!C370</f>
        <v>2-003476</v>
      </c>
      <c r="B372" s="33" t="str">
        <f>Equipos!D370</f>
        <v>Monitor Multiparámetros</v>
      </c>
      <c r="C372" s="33" t="str">
        <f>Equipos!E370</f>
        <v>UPC Cardiovascular</v>
      </c>
      <c r="D372" s="33" t="str">
        <f>Equipos!G370</f>
        <v>UTI-CAMA 1</v>
      </c>
      <c r="E372" s="33" t="str">
        <f>Equipos!I370</f>
        <v xml:space="preserve">Drager </v>
      </c>
      <c r="F372" s="33" t="str">
        <f>Equipos!J370</f>
        <v>Infinity Kappa</v>
      </c>
      <c r="G372" s="37" t="str">
        <f>Equipos!K370</f>
        <v>5494308353</v>
      </c>
      <c r="H372" s="33"/>
      <c r="I372" s="50" t="s">
        <v>276</v>
      </c>
      <c r="J372" s="50" t="s">
        <v>275</v>
      </c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3">
        <f t="shared" si="25"/>
        <v>2</v>
      </c>
      <c r="V372" s="33">
        <f t="shared" si="26"/>
        <v>1</v>
      </c>
      <c r="W372" s="33">
        <f t="shared" si="27"/>
        <v>0</v>
      </c>
      <c r="X372" s="33">
        <f t="shared" si="28"/>
        <v>0</v>
      </c>
      <c r="Y372" s="33">
        <f ca="1">SUMPRODUCT((I372:INDEX(I372:T372,MONTH(TODAY()))="X")*1)</f>
        <v>0</v>
      </c>
      <c r="Z372" s="39">
        <f t="shared" si="29"/>
        <v>0.5</v>
      </c>
    </row>
    <row r="373" spans="1:26" x14ac:dyDescent="0.25">
      <c r="A373" s="37" t="str">
        <f>Equipos!C371</f>
        <v>2-003478</v>
      </c>
      <c r="B373" s="33" t="str">
        <f>Equipos!D371</f>
        <v>Monitor Multiparámetros</v>
      </c>
      <c r="C373" s="33" t="str">
        <f>Equipos!E371</f>
        <v>UPC Cardiovascular</v>
      </c>
      <c r="D373" s="33" t="str">
        <f>Equipos!G371</f>
        <v>UTI-CAMA 2</v>
      </c>
      <c r="E373" s="33" t="str">
        <f>Equipos!I371</f>
        <v xml:space="preserve">Drager </v>
      </c>
      <c r="F373" s="33" t="str">
        <f>Equipos!J371</f>
        <v>Infinity Kappa</v>
      </c>
      <c r="G373" s="37" t="str">
        <f>Equipos!K371</f>
        <v>5494305953</v>
      </c>
      <c r="H373" s="33"/>
      <c r="I373" s="50" t="s">
        <v>276</v>
      </c>
      <c r="J373" s="50" t="s">
        <v>275</v>
      </c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3">
        <f t="shared" si="25"/>
        <v>2</v>
      </c>
      <c r="V373" s="33">
        <f t="shared" si="26"/>
        <v>1</v>
      </c>
      <c r="W373" s="33">
        <f t="shared" si="27"/>
        <v>0</v>
      </c>
      <c r="X373" s="33">
        <f t="shared" si="28"/>
        <v>0</v>
      </c>
      <c r="Y373" s="33">
        <f ca="1">SUMPRODUCT((I373:INDEX(I373:T373,MONTH(TODAY()))="X")*1)</f>
        <v>0</v>
      </c>
      <c r="Z373" s="39">
        <f t="shared" si="29"/>
        <v>0.5</v>
      </c>
    </row>
    <row r="374" spans="1:26" x14ac:dyDescent="0.25">
      <c r="A374" s="37" t="str">
        <f>Equipos!C372</f>
        <v>2-003485</v>
      </c>
      <c r="B374" s="33" t="str">
        <f>Equipos!D372</f>
        <v>Monitor Multiparámetros</v>
      </c>
      <c r="C374" s="33" t="str">
        <f>Equipos!E372</f>
        <v>UPC Cardiovascular</v>
      </c>
      <c r="D374" s="33" t="str">
        <f>Equipos!G372</f>
        <v>UTI-CAMA 3</v>
      </c>
      <c r="E374" s="33" t="str">
        <f>Equipos!I372</f>
        <v xml:space="preserve">Drager </v>
      </c>
      <c r="F374" s="33" t="str">
        <f>Equipos!J372</f>
        <v>Infinity Kappa</v>
      </c>
      <c r="G374" s="37" t="str">
        <f>Equipos!K372</f>
        <v>5494307951</v>
      </c>
      <c r="H374" s="33"/>
      <c r="I374" s="50" t="s">
        <v>276</v>
      </c>
      <c r="J374" s="50" t="s">
        <v>275</v>
      </c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3">
        <f t="shared" si="25"/>
        <v>2</v>
      </c>
      <c r="V374" s="33">
        <f t="shared" si="26"/>
        <v>1</v>
      </c>
      <c r="W374" s="33">
        <f t="shared" si="27"/>
        <v>0</v>
      </c>
      <c r="X374" s="33">
        <f t="shared" si="28"/>
        <v>0</v>
      </c>
      <c r="Y374" s="33">
        <f ca="1">SUMPRODUCT((I374:INDEX(I374:T374,MONTH(TODAY()))="X")*1)</f>
        <v>0</v>
      </c>
      <c r="Z374" s="39">
        <f t="shared" si="29"/>
        <v>0.5</v>
      </c>
    </row>
    <row r="375" spans="1:26" x14ac:dyDescent="0.25">
      <c r="A375" s="37" t="str">
        <f>Equipos!C373</f>
        <v>2-013495</v>
      </c>
      <c r="B375" s="33" t="str">
        <f>Equipos!D373</f>
        <v>Monitor Multiparámetros</v>
      </c>
      <c r="C375" s="33" t="str">
        <f>Equipos!E373</f>
        <v>UPC Cardiovascular</v>
      </c>
      <c r="D375" s="33" t="str">
        <f>Equipos!G373</f>
        <v>UTI-CAMA 4</v>
      </c>
      <c r="E375" s="33" t="str">
        <f>Equipos!I373</f>
        <v xml:space="preserve">Drager </v>
      </c>
      <c r="F375" s="33" t="str">
        <f>Equipos!J373</f>
        <v>Infinity Kappa</v>
      </c>
      <c r="G375" s="37" t="str">
        <f>Equipos!K373</f>
        <v>5494306854</v>
      </c>
      <c r="H375" s="33"/>
      <c r="I375" s="50" t="s">
        <v>276</v>
      </c>
      <c r="J375" s="50" t="s">
        <v>275</v>
      </c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3">
        <f t="shared" si="25"/>
        <v>2</v>
      </c>
      <c r="V375" s="33">
        <f t="shared" si="26"/>
        <v>1</v>
      </c>
      <c r="W375" s="33">
        <f t="shared" si="27"/>
        <v>0</v>
      </c>
      <c r="X375" s="33">
        <f t="shared" si="28"/>
        <v>0</v>
      </c>
      <c r="Y375" s="33">
        <f ca="1">SUMPRODUCT((I375:INDEX(I375:T375,MONTH(TODAY()))="X")*1)</f>
        <v>0</v>
      </c>
      <c r="Z375" s="39">
        <f t="shared" si="29"/>
        <v>0.5</v>
      </c>
    </row>
    <row r="376" spans="1:26" x14ac:dyDescent="0.25">
      <c r="A376" s="37" t="str">
        <f>Equipos!C374</f>
        <v>2-003489</v>
      </c>
      <c r="B376" s="33" t="str">
        <f>Equipos!D374</f>
        <v>Monitor Multiparámetros</v>
      </c>
      <c r="C376" s="33" t="str">
        <f>Equipos!E374</f>
        <v>UPC Cardiovascular</v>
      </c>
      <c r="D376" s="33" t="str">
        <f>Equipos!G374</f>
        <v>UTI-CAMA 5</v>
      </c>
      <c r="E376" s="33" t="str">
        <f>Equipos!I374</f>
        <v xml:space="preserve">Drager </v>
      </c>
      <c r="F376" s="33" t="str">
        <f>Equipos!J374</f>
        <v>Infinity Kappa</v>
      </c>
      <c r="G376" s="37" t="str">
        <f>Equipos!K374</f>
        <v>5494269849</v>
      </c>
      <c r="H376" s="33"/>
      <c r="I376" s="50" t="s">
        <v>276</v>
      </c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3">
        <f t="shared" si="25"/>
        <v>1</v>
      </c>
      <c r="V376" s="33">
        <f t="shared" si="26"/>
        <v>0</v>
      </c>
      <c r="W376" s="33">
        <f t="shared" si="27"/>
        <v>0</v>
      </c>
      <c r="X376" s="33">
        <f t="shared" si="28"/>
        <v>0</v>
      </c>
      <c r="Y376" s="33">
        <f ca="1">SUMPRODUCT((I376:INDEX(I376:T376,MONTH(TODAY()))="X")*1)</f>
        <v>0</v>
      </c>
      <c r="Z376" s="39">
        <f t="shared" si="29"/>
        <v>0</v>
      </c>
    </row>
    <row r="377" spans="1:26" x14ac:dyDescent="0.25">
      <c r="A377" s="37" t="str">
        <f>Equipos!C375</f>
        <v>2-013502</v>
      </c>
      <c r="B377" s="33" t="str">
        <f>Equipos!D375</f>
        <v>Monitor Multiparámetros</v>
      </c>
      <c r="C377" s="33" t="str">
        <f>Equipos!E375</f>
        <v>UPC Cardiovascular</v>
      </c>
      <c r="D377" s="33" t="str">
        <f>Equipos!G375</f>
        <v>UCI-CAMA 8</v>
      </c>
      <c r="E377" s="33" t="str">
        <f>Equipos!I375</f>
        <v xml:space="preserve">Drager </v>
      </c>
      <c r="F377" s="33" t="str">
        <f>Equipos!J375</f>
        <v>Infinity Kappa</v>
      </c>
      <c r="G377" s="37" t="str">
        <f>Equipos!K375</f>
        <v>5494279847</v>
      </c>
      <c r="H377" s="33"/>
      <c r="I377" s="50" t="s">
        <v>276</v>
      </c>
      <c r="J377" s="50" t="s">
        <v>275</v>
      </c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3">
        <f t="shared" si="25"/>
        <v>2</v>
      </c>
      <c r="V377" s="33">
        <f t="shared" si="26"/>
        <v>1</v>
      </c>
      <c r="W377" s="33">
        <f t="shared" si="27"/>
        <v>0</v>
      </c>
      <c r="X377" s="33">
        <f t="shared" si="28"/>
        <v>0</v>
      </c>
      <c r="Y377" s="33">
        <f ca="1">SUMPRODUCT((I377:INDEX(I377:T377,MONTH(TODAY()))="X")*1)</f>
        <v>0</v>
      </c>
      <c r="Z377" s="39">
        <f t="shared" si="29"/>
        <v>0.5</v>
      </c>
    </row>
    <row r="378" spans="1:26" x14ac:dyDescent="0.25">
      <c r="A378" s="37" t="str">
        <f>Equipos!C376</f>
        <v>2-013507</v>
      </c>
      <c r="B378" s="33" t="str">
        <f>Equipos!D376</f>
        <v>Monitor Multiparámetros</v>
      </c>
      <c r="C378" s="33" t="str">
        <f>Equipos!E376</f>
        <v>UPC Cardiovascular</v>
      </c>
      <c r="D378" s="33" t="str">
        <f>Equipos!G376</f>
        <v>UTI-CAMA 8</v>
      </c>
      <c r="E378" s="33" t="str">
        <f>Equipos!I376</f>
        <v xml:space="preserve">Drager </v>
      </c>
      <c r="F378" s="33" t="str">
        <f>Equipos!J376</f>
        <v>Infinity Kappa</v>
      </c>
      <c r="G378" s="37" t="str">
        <f>Equipos!K376</f>
        <v>5494305855</v>
      </c>
      <c r="H378" s="33"/>
      <c r="I378" s="50" t="s">
        <v>276</v>
      </c>
      <c r="J378" s="50" t="s">
        <v>275</v>
      </c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3">
        <f t="shared" si="25"/>
        <v>2</v>
      </c>
      <c r="V378" s="33">
        <f t="shared" si="26"/>
        <v>1</v>
      </c>
      <c r="W378" s="33">
        <f t="shared" si="27"/>
        <v>0</v>
      </c>
      <c r="X378" s="33">
        <f t="shared" si="28"/>
        <v>0</v>
      </c>
      <c r="Y378" s="33">
        <f ca="1">SUMPRODUCT((I378:INDEX(I378:T378,MONTH(TODAY()))="X")*1)</f>
        <v>0</v>
      </c>
      <c r="Z378" s="39">
        <f t="shared" si="29"/>
        <v>0.5</v>
      </c>
    </row>
    <row r="379" spans="1:26" x14ac:dyDescent="0.25">
      <c r="A379" s="37" t="str">
        <f>Equipos!C377</f>
        <v>2-126872</v>
      </c>
      <c r="B379" s="33" t="str">
        <f>Equipos!D377</f>
        <v>Monitor Multiparámetros</v>
      </c>
      <c r="C379" s="33" t="str">
        <f>Equipos!E377</f>
        <v>Medicina Física y Rehabilitación</v>
      </c>
      <c r="D379" s="33">
        <f>Equipos!G377</f>
        <v>0</v>
      </c>
      <c r="E379" s="33" t="str">
        <f>Equipos!I377</f>
        <v>Philips</v>
      </c>
      <c r="F379" s="33" t="str">
        <f>Equipos!J377</f>
        <v>CM100</v>
      </c>
      <c r="G379" s="37" t="str">
        <f>Equipos!K377</f>
        <v>CN12099174</v>
      </c>
      <c r="H379" s="33"/>
      <c r="I379" s="38"/>
      <c r="J379" s="38"/>
      <c r="K379" s="38"/>
      <c r="L379" s="38"/>
      <c r="M379" s="50" t="s">
        <v>275</v>
      </c>
      <c r="N379" s="38"/>
      <c r="O379" s="38"/>
      <c r="P379" s="38"/>
      <c r="Q379" s="38"/>
      <c r="R379" s="38"/>
      <c r="S379" s="38"/>
      <c r="T379" s="38"/>
      <c r="U379" s="33">
        <f t="shared" si="25"/>
        <v>1</v>
      </c>
      <c r="V379" s="33">
        <f t="shared" si="26"/>
        <v>1</v>
      </c>
      <c r="W379" s="33">
        <f t="shared" si="27"/>
        <v>0</v>
      </c>
      <c r="X379" s="33">
        <f t="shared" si="28"/>
        <v>0</v>
      </c>
      <c r="Y379" s="33">
        <f ca="1">SUMPRODUCT((I379:INDEX(I379:T379,MONTH(TODAY()))="X")*1)</f>
        <v>0</v>
      </c>
      <c r="Z379" s="39">
        <f t="shared" si="29"/>
        <v>1</v>
      </c>
    </row>
    <row r="380" spans="1:26" x14ac:dyDescent="0.25">
      <c r="A380" s="37" t="str">
        <f>Equipos!C378</f>
        <v>2-116518</v>
      </c>
      <c r="B380" s="33" t="str">
        <f>Equipos!D378</f>
        <v>Monitor Multiparámetros</v>
      </c>
      <c r="C380" s="33" t="str">
        <f>Equipos!E378</f>
        <v>UPC Pediátrica</v>
      </c>
      <c r="D380" s="33" t="str">
        <f>Equipos!G378</f>
        <v>Cama 2</v>
      </c>
      <c r="E380" s="33" t="str">
        <f>Equipos!I378</f>
        <v>SPACELABS HEALTHCARE</v>
      </c>
      <c r="F380" s="33" t="str">
        <f>Equipos!J378</f>
        <v>XPREZZON</v>
      </c>
      <c r="G380" s="37" t="str">
        <f>Equipos!K378</f>
        <v>1393-109323</v>
      </c>
      <c r="H380" s="33"/>
      <c r="I380" s="50" t="s">
        <v>276</v>
      </c>
      <c r="J380" s="50" t="s">
        <v>275</v>
      </c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3">
        <f t="shared" si="25"/>
        <v>2</v>
      </c>
      <c r="V380" s="33">
        <f t="shared" si="26"/>
        <v>1</v>
      </c>
      <c r="W380" s="33">
        <f t="shared" si="27"/>
        <v>0</v>
      </c>
      <c r="X380" s="33">
        <f t="shared" si="28"/>
        <v>0</v>
      </c>
      <c r="Y380" s="33">
        <f ca="1">SUMPRODUCT((I380:INDEX(I380:T380,MONTH(TODAY()))="X")*1)</f>
        <v>0</v>
      </c>
      <c r="Z380" s="39">
        <f t="shared" si="29"/>
        <v>0.5</v>
      </c>
    </row>
    <row r="381" spans="1:26" x14ac:dyDescent="0.25">
      <c r="A381" s="37" t="str">
        <f>Equipos!C379</f>
        <v>200717-011278</v>
      </c>
      <c r="B381" s="33" t="str">
        <f>Equipos!D379</f>
        <v>Monitor Multiparámetros</v>
      </c>
      <c r="C381" s="33" t="str">
        <f>Equipos!E379</f>
        <v>Cardiología (2do piso)</v>
      </c>
      <c r="D381" s="33" t="str">
        <f>Equipos!G379</f>
        <v>Pabellon Hemodinamia 2do piso</v>
      </c>
      <c r="E381" s="33" t="str">
        <f>Equipos!I379</f>
        <v xml:space="preserve">Nihon Kohden </v>
      </c>
      <c r="F381" s="33" t="str">
        <f>Equipos!J379</f>
        <v>BSM-3562</v>
      </c>
      <c r="G381" s="37" t="str">
        <f>Equipos!K379</f>
        <v>33034.</v>
      </c>
      <c r="H381" s="33"/>
      <c r="I381" s="38"/>
      <c r="J381" s="38"/>
      <c r="K381" s="38"/>
      <c r="L381" s="38"/>
      <c r="M381" s="50" t="s">
        <v>275</v>
      </c>
      <c r="N381" s="38"/>
      <c r="O381" s="38"/>
      <c r="P381" s="38"/>
      <c r="Q381" s="38"/>
      <c r="R381" s="38"/>
      <c r="S381" s="38"/>
      <c r="T381" s="38"/>
      <c r="U381" s="33">
        <f t="shared" si="25"/>
        <v>1</v>
      </c>
      <c r="V381" s="33">
        <f t="shared" si="26"/>
        <v>1</v>
      </c>
      <c r="W381" s="33">
        <f t="shared" si="27"/>
        <v>0</v>
      </c>
      <c r="X381" s="33">
        <f t="shared" si="28"/>
        <v>0</v>
      </c>
      <c r="Y381" s="33">
        <f ca="1">SUMPRODUCT((I381:INDEX(I381:T381,MONTH(TODAY()))="X")*1)</f>
        <v>0</v>
      </c>
      <c r="Z381" s="39">
        <f t="shared" si="29"/>
        <v>1</v>
      </c>
    </row>
    <row r="382" spans="1:26" x14ac:dyDescent="0.25">
      <c r="A382" s="37" t="str">
        <f>Equipos!C380</f>
        <v>2-118962</v>
      </c>
      <c r="B382" s="33" t="str">
        <f>Equipos!D380</f>
        <v>Monitor Multiparámetros</v>
      </c>
      <c r="C382" s="33" t="str">
        <f>Equipos!E380</f>
        <v>Pabellón Quirúrgico</v>
      </c>
      <c r="D382" s="33">
        <f>Equipos!G380</f>
        <v>0</v>
      </c>
      <c r="E382" s="33" t="str">
        <f>Equipos!I380</f>
        <v>Mindray</v>
      </c>
      <c r="F382" s="33" t="str">
        <f>Equipos!J380</f>
        <v>EPM 10</v>
      </c>
      <c r="G382" s="37" t="str">
        <f>Equipos!K380</f>
        <v>96000115</v>
      </c>
      <c r="H382" s="33"/>
      <c r="I382" s="38"/>
      <c r="J382" s="38"/>
      <c r="K382" s="38"/>
      <c r="L382" s="50" t="s">
        <v>275</v>
      </c>
      <c r="M382" s="38"/>
      <c r="N382" s="38"/>
      <c r="O382" s="38"/>
      <c r="P382" s="38"/>
      <c r="Q382" s="38"/>
      <c r="R382" s="38"/>
      <c r="S382" s="38"/>
      <c r="T382" s="38"/>
      <c r="U382" s="33">
        <f t="shared" si="25"/>
        <v>1</v>
      </c>
      <c r="V382" s="33">
        <f t="shared" si="26"/>
        <v>1</v>
      </c>
      <c r="W382" s="33">
        <f t="shared" si="27"/>
        <v>0</v>
      </c>
      <c r="X382" s="33">
        <f t="shared" si="28"/>
        <v>0</v>
      </c>
      <c r="Y382" s="33">
        <f ca="1">SUMPRODUCT((I382:INDEX(I382:T382,MONTH(TODAY()))="X")*1)</f>
        <v>0</v>
      </c>
      <c r="Z382" s="39">
        <f t="shared" si="29"/>
        <v>1</v>
      </c>
    </row>
    <row r="383" spans="1:26" x14ac:dyDescent="0.25">
      <c r="A383" s="37" t="str">
        <f>Equipos!C381</f>
        <v>2-118666</v>
      </c>
      <c r="B383" s="33" t="str">
        <f>Equipos!D381</f>
        <v>Monitor Multiparámetros</v>
      </c>
      <c r="C383" s="33" t="str">
        <f>Equipos!E381</f>
        <v>Medicina Materno Fetal</v>
      </c>
      <c r="D383" s="33" t="str">
        <f>Equipos!G381</f>
        <v>P4-TNB</v>
      </c>
      <c r="E383" s="33" t="str">
        <f>Equipos!I381</f>
        <v>Drager</v>
      </c>
      <c r="F383" s="33" t="str">
        <f>Equipos!J381</f>
        <v>Vista 120</v>
      </c>
      <c r="G383" s="37" t="str">
        <f>Equipos!K381</f>
        <v>VGSLN0011</v>
      </c>
      <c r="H383" s="33"/>
      <c r="I383" s="38"/>
      <c r="J383" s="38"/>
      <c r="K383" s="38"/>
      <c r="L383" s="38"/>
      <c r="M383" s="50" t="s">
        <v>275</v>
      </c>
      <c r="N383" s="38"/>
      <c r="O383" s="38"/>
      <c r="P383" s="38"/>
      <c r="Q383" s="38"/>
      <c r="R383" s="38"/>
      <c r="S383" s="38"/>
      <c r="T383" s="38"/>
      <c r="U383" s="33">
        <f t="shared" si="25"/>
        <v>1</v>
      </c>
      <c r="V383" s="33">
        <f t="shared" si="26"/>
        <v>1</v>
      </c>
      <c r="W383" s="33">
        <f t="shared" si="27"/>
        <v>0</v>
      </c>
      <c r="X383" s="33">
        <f t="shared" si="28"/>
        <v>0</v>
      </c>
      <c r="Y383" s="33">
        <f ca="1">SUMPRODUCT((I383:INDEX(I383:T383,MONTH(TODAY()))="X")*1)</f>
        <v>0</v>
      </c>
      <c r="Z383" s="39">
        <f t="shared" si="29"/>
        <v>1</v>
      </c>
    </row>
    <row r="384" spans="1:26" x14ac:dyDescent="0.25">
      <c r="A384" s="37" t="str">
        <f>Equipos!C382</f>
        <v>2-118732</v>
      </c>
      <c r="B384" s="33" t="str">
        <f>Equipos!D382</f>
        <v>Monitor Multiparámetros</v>
      </c>
      <c r="C384" s="33" t="str">
        <f>Equipos!E382</f>
        <v>Pabellón Quirúrgico</v>
      </c>
      <c r="D384" s="33" t="str">
        <f>Equipos!G382</f>
        <v>Pabellón 7</v>
      </c>
      <c r="E384" s="33" t="str">
        <f>Equipos!I382</f>
        <v>Drager</v>
      </c>
      <c r="F384" s="33" t="str">
        <f>Equipos!J382</f>
        <v>M540</v>
      </c>
      <c r="G384" s="37" t="str">
        <f>Equipos!K382</f>
        <v>5613543568</v>
      </c>
      <c r="H384" s="33"/>
      <c r="I384" s="38"/>
      <c r="J384" s="38"/>
      <c r="K384" s="38"/>
      <c r="L384" s="50" t="s">
        <v>275</v>
      </c>
      <c r="M384" s="38"/>
      <c r="N384" s="38"/>
      <c r="O384" s="38"/>
      <c r="P384" s="38"/>
      <c r="Q384" s="38"/>
      <c r="R384" s="38"/>
      <c r="S384" s="38"/>
      <c r="T384" s="38"/>
      <c r="U384" s="33">
        <f t="shared" si="25"/>
        <v>1</v>
      </c>
      <c r="V384" s="33">
        <f t="shared" si="26"/>
        <v>1</v>
      </c>
      <c r="W384" s="33">
        <f t="shared" si="27"/>
        <v>0</v>
      </c>
      <c r="X384" s="33">
        <f t="shared" si="28"/>
        <v>0</v>
      </c>
      <c r="Y384" s="33">
        <f ca="1">SUMPRODUCT((I384:INDEX(I384:T384,MONTH(TODAY()))="X")*1)</f>
        <v>0</v>
      </c>
      <c r="Z384" s="39">
        <f t="shared" si="29"/>
        <v>1</v>
      </c>
    </row>
    <row r="385" spans="1:26" x14ac:dyDescent="0.25">
      <c r="A385" s="37" t="str">
        <f>Equipos!C383</f>
        <v>2-119188</v>
      </c>
      <c r="B385" s="33" t="str">
        <f>Equipos!D383</f>
        <v>Monitor Multiparámetros</v>
      </c>
      <c r="C385" s="33" t="str">
        <f>Equipos!E383</f>
        <v>UPC 3er Piso</v>
      </c>
      <c r="D385" s="33" t="str">
        <f>Equipos!G383</f>
        <v>Sala de equipos</v>
      </c>
      <c r="E385" s="33" t="str">
        <f>Equipos!I383</f>
        <v>General Electric</v>
      </c>
      <c r="F385" s="33" t="str">
        <f>Equipos!J383</f>
        <v>B450</v>
      </c>
      <c r="G385" s="37" t="str">
        <f>Equipos!K383</f>
        <v>SNT19480100HA</v>
      </c>
      <c r="H385" s="33"/>
      <c r="I385" s="38"/>
      <c r="J385" s="38"/>
      <c r="K385" s="38"/>
      <c r="L385" s="38"/>
      <c r="M385" s="50" t="s">
        <v>275</v>
      </c>
      <c r="N385" s="38"/>
      <c r="O385" s="38"/>
      <c r="P385" s="38"/>
      <c r="Q385" s="38"/>
      <c r="R385" s="38"/>
      <c r="S385" s="38"/>
      <c r="T385" s="38"/>
      <c r="U385" s="33">
        <f t="shared" si="25"/>
        <v>1</v>
      </c>
      <c r="V385" s="33">
        <f t="shared" si="26"/>
        <v>1</v>
      </c>
      <c r="W385" s="33">
        <f t="shared" si="27"/>
        <v>0</v>
      </c>
      <c r="X385" s="33">
        <f t="shared" si="28"/>
        <v>0</v>
      </c>
      <c r="Y385" s="33">
        <f ca="1">SUMPRODUCT((I385:INDEX(I385:T385,MONTH(TODAY()))="X")*1)</f>
        <v>0</v>
      </c>
      <c r="Z385" s="39">
        <f t="shared" si="29"/>
        <v>1</v>
      </c>
    </row>
    <row r="386" spans="1:26" x14ac:dyDescent="0.25">
      <c r="A386" s="37" t="str">
        <f>Equipos!C384</f>
        <v>2-119187</v>
      </c>
      <c r="B386" s="33" t="str">
        <f>Equipos!D384</f>
        <v>Monitor Multiparámetros</v>
      </c>
      <c r="C386" s="33" t="str">
        <f>Equipos!E384</f>
        <v>UPC Adulto</v>
      </c>
      <c r="D386" s="33" t="str">
        <f>Equipos!G384</f>
        <v>BODEGA</v>
      </c>
      <c r="E386" s="33" t="str">
        <f>Equipos!I384</f>
        <v>General Electric</v>
      </c>
      <c r="F386" s="33" t="str">
        <f>Equipos!J384</f>
        <v>B450</v>
      </c>
      <c r="G386" s="37" t="str">
        <f>Equipos!K384</f>
        <v>SNT19480103HA</v>
      </c>
      <c r="H386" s="33"/>
      <c r="I386" s="38"/>
      <c r="J386" s="38"/>
      <c r="K386" s="38"/>
      <c r="L386" s="38"/>
      <c r="M386" s="50" t="s">
        <v>275</v>
      </c>
      <c r="N386" s="38"/>
      <c r="O386" s="38"/>
      <c r="P386" s="38"/>
      <c r="Q386" s="38"/>
      <c r="R386" s="38"/>
      <c r="S386" s="38"/>
      <c r="T386" s="38"/>
      <c r="U386" s="33">
        <f t="shared" si="25"/>
        <v>1</v>
      </c>
      <c r="V386" s="33">
        <f t="shared" si="26"/>
        <v>1</v>
      </c>
      <c r="W386" s="33">
        <f t="shared" si="27"/>
        <v>0</v>
      </c>
      <c r="X386" s="33">
        <f t="shared" si="28"/>
        <v>0</v>
      </c>
      <c r="Y386" s="33">
        <f ca="1">SUMPRODUCT((I386:INDEX(I386:T386,MONTH(TODAY()))="X")*1)</f>
        <v>0</v>
      </c>
      <c r="Z386" s="39">
        <f t="shared" si="29"/>
        <v>1</v>
      </c>
    </row>
    <row r="387" spans="1:26" x14ac:dyDescent="0.25">
      <c r="A387" s="37" t="str">
        <f>Equipos!C385</f>
        <v>2-118674</v>
      </c>
      <c r="B387" s="33" t="str">
        <f>Equipos!D385</f>
        <v>Monitor Multiparámetros</v>
      </c>
      <c r="C387" s="33" t="str">
        <f>Equipos!E385</f>
        <v>Imagenología</v>
      </c>
      <c r="D387" s="33">
        <f>Equipos!G385</f>
        <v>0</v>
      </c>
      <c r="E387" s="33" t="str">
        <f>Equipos!I385</f>
        <v>General Electric</v>
      </c>
      <c r="F387" s="33" t="str">
        <f>Equipos!J385</f>
        <v>B105</v>
      </c>
      <c r="G387" s="37" t="str">
        <f>Equipos!K385</f>
        <v>SP318493998WA</v>
      </c>
      <c r="H387" s="33"/>
      <c r="I387" s="38"/>
      <c r="J387" s="50" t="s">
        <v>276</v>
      </c>
      <c r="K387" s="50" t="s">
        <v>275</v>
      </c>
      <c r="L387" s="38"/>
      <c r="M387" s="38"/>
      <c r="N387" s="38"/>
      <c r="O387" s="38"/>
      <c r="P387" s="38"/>
      <c r="Q387" s="38"/>
      <c r="R387" s="38"/>
      <c r="S387" s="38"/>
      <c r="T387" s="38"/>
      <c r="U387" s="33">
        <f t="shared" si="25"/>
        <v>2</v>
      </c>
      <c r="V387" s="33">
        <f t="shared" si="26"/>
        <v>1</v>
      </c>
      <c r="W387" s="33">
        <f t="shared" si="27"/>
        <v>0</v>
      </c>
      <c r="X387" s="33">
        <f t="shared" si="28"/>
        <v>0</v>
      </c>
      <c r="Y387" s="33">
        <f ca="1">SUMPRODUCT((I387:INDEX(I387:T387,MONTH(TODAY()))="X")*1)</f>
        <v>0</v>
      </c>
      <c r="Z387" s="39">
        <f t="shared" si="29"/>
        <v>0.5</v>
      </c>
    </row>
    <row r="388" spans="1:26" x14ac:dyDescent="0.25">
      <c r="A388" s="37" t="str">
        <f>Equipos!C386</f>
        <v>2-118671</v>
      </c>
      <c r="B388" s="33" t="str">
        <f>Equipos!D386</f>
        <v>Monitor Multiparámetros</v>
      </c>
      <c r="C388" s="33" t="str">
        <f>Equipos!E386</f>
        <v>Imagenología</v>
      </c>
      <c r="D388" s="33">
        <f>Equipos!G386</f>
        <v>0</v>
      </c>
      <c r="E388" s="33" t="str">
        <f>Equipos!I386</f>
        <v>General Electric</v>
      </c>
      <c r="F388" s="33" t="str">
        <f>Equipos!J386</f>
        <v>B105</v>
      </c>
      <c r="G388" s="37" t="str">
        <f>Equipos!K386</f>
        <v>SP318493999WA</v>
      </c>
      <c r="H388" s="33"/>
      <c r="I388" s="38"/>
      <c r="J388" s="50" t="s">
        <v>276</v>
      </c>
      <c r="K388" s="50" t="s">
        <v>275</v>
      </c>
      <c r="L388" s="38"/>
      <c r="M388" s="38"/>
      <c r="N388" s="38"/>
      <c r="O388" s="38"/>
      <c r="P388" s="38"/>
      <c r="Q388" s="38"/>
      <c r="R388" s="38"/>
      <c r="S388" s="38"/>
      <c r="T388" s="38"/>
      <c r="U388" s="33">
        <f t="shared" ref="U388:U451" si="30">V388+W388+X388+COUNTIF(I388:T388,"R")</f>
        <v>2</v>
      </c>
      <c r="V388" s="33">
        <f t="shared" ref="V388:V451" si="31">COUNTIF(I388:T388,"E")</f>
        <v>1</v>
      </c>
      <c r="W388" s="33">
        <f t="shared" ref="W388:W451" si="32">COUNTIF(I388:T388,"X")</f>
        <v>0</v>
      </c>
      <c r="X388" s="33">
        <f t="shared" ref="X388:X451" si="33">COUNTIF(I388:T388,"C2")+COUNTIF(I388:T388,"C3")</f>
        <v>0</v>
      </c>
      <c r="Y388" s="33">
        <f ca="1">SUMPRODUCT((I388:INDEX(I388:T388,MONTH(TODAY()))="X")*1)</f>
        <v>0</v>
      </c>
      <c r="Z388" s="39">
        <f t="shared" ref="Z388:Z451" si="34">IFERROR(V388/U388,"")</f>
        <v>0.5</v>
      </c>
    </row>
    <row r="389" spans="1:26" x14ac:dyDescent="0.25">
      <c r="A389" s="37" t="str">
        <f>Equipos!C387</f>
        <v>2-118672</v>
      </c>
      <c r="B389" s="33" t="str">
        <f>Equipos!D387</f>
        <v>Monitor Multiparámetros</v>
      </c>
      <c r="C389" s="33" t="str">
        <f>Equipos!E387</f>
        <v>Imagenología</v>
      </c>
      <c r="D389" s="33">
        <f>Equipos!G387</f>
        <v>0</v>
      </c>
      <c r="E389" s="33" t="str">
        <f>Equipos!I387</f>
        <v>General Electric</v>
      </c>
      <c r="F389" s="33" t="str">
        <f>Equipos!J387</f>
        <v>B105</v>
      </c>
      <c r="G389" s="37" t="str">
        <f>Equipos!K387</f>
        <v>SP318494009WA</v>
      </c>
      <c r="H389" s="33"/>
      <c r="I389" s="38"/>
      <c r="J389" s="50" t="s">
        <v>276</v>
      </c>
      <c r="K389" s="50" t="s">
        <v>275</v>
      </c>
      <c r="L389" s="38"/>
      <c r="M389" s="38"/>
      <c r="N389" s="38"/>
      <c r="O389" s="38"/>
      <c r="P389" s="38"/>
      <c r="Q389" s="38"/>
      <c r="R389" s="38"/>
      <c r="S389" s="38"/>
      <c r="T389" s="38"/>
      <c r="U389" s="33">
        <f t="shared" si="30"/>
        <v>2</v>
      </c>
      <c r="V389" s="33">
        <f t="shared" si="31"/>
        <v>1</v>
      </c>
      <c r="W389" s="33">
        <f t="shared" si="32"/>
        <v>0</v>
      </c>
      <c r="X389" s="33">
        <f t="shared" si="33"/>
        <v>0</v>
      </c>
      <c r="Y389" s="33">
        <f ca="1">SUMPRODUCT((I389:INDEX(I389:T389,MONTH(TODAY()))="X")*1)</f>
        <v>0</v>
      </c>
      <c r="Z389" s="39">
        <f t="shared" si="34"/>
        <v>0.5</v>
      </c>
    </row>
    <row r="390" spans="1:26" x14ac:dyDescent="0.25">
      <c r="A390" s="37" t="str">
        <f>Equipos!C388</f>
        <v>2-118673</v>
      </c>
      <c r="B390" s="33" t="str">
        <f>Equipos!D388</f>
        <v>Monitor Multiparámetros</v>
      </c>
      <c r="C390" s="33" t="str">
        <f>Equipos!E388</f>
        <v>Imagenología</v>
      </c>
      <c r="D390" s="33">
        <f>Equipos!G388</f>
        <v>0</v>
      </c>
      <c r="E390" s="33" t="str">
        <f>Equipos!I388</f>
        <v>General Electric</v>
      </c>
      <c r="F390" s="33" t="str">
        <f>Equipos!J388</f>
        <v>B105</v>
      </c>
      <c r="G390" s="37" t="str">
        <f>Equipos!K388</f>
        <v>SP318494018WA</v>
      </c>
      <c r="H390" s="33"/>
      <c r="I390" s="38"/>
      <c r="J390" s="50" t="s">
        <v>276</v>
      </c>
      <c r="K390" s="50" t="s">
        <v>275</v>
      </c>
      <c r="L390" s="38"/>
      <c r="M390" s="38"/>
      <c r="N390" s="38"/>
      <c r="O390" s="38"/>
      <c r="P390" s="38"/>
      <c r="Q390" s="38"/>
      <c r="R390" s="38"/>
      <c r="S390" s="38"/>
      <c r="T390" s="38"/>
      <c r="U390" s="33">
        <f t="shared" si="30"/>
        <v>2</v>
      </c>
      <c r="V390" s="33">
        <f t="shared" si="31"/>
        <v>1</v>
      </c>
      <c r="W390" s="33">
        <f t="shared" si="32"/>
        <v>0</v>
      </c>
      <c r="X390" s="33">
        <f t="shared" si="33"/>
        <v>0</v>
      </c>
      <c r="Y390" s="33">
        <f ca="1">SUMPRODUCT((I390:INDEX(I390:T390,MONTH(TODAY()))="X")*1)</f>
        <v>0</v>
      </c>
      <c r="Z390" s="39">
        <f t="shared" si="34"/>
        <v>0.5</v>
      </c>
    </row>
    <row r="391" spans="1:26" x14ac:dyDescent="0.25">
      <c r="A391" s="37" t="str">
        <f>Equipos!C389</f>
        <v>2-023555</v>
      </c>
      <c r="B391" s="33" t="str">
        <f>Equipos!D389</f>
        <v>Monitor Multiparámetros</v>
      </c>
      <c r="C391" s="33" t="str">
        <f>Equipos!E389</f>
        <v>Urgencia Adulto</v>
      </c>
      <c r="D391" s="33" t="str">
        <f>Equipos!G389</f>
        <v>SAR 3</v>
      </c>
      <c r="E391" s="33" t="str">
        <f>Equipos!I389</f>
        <v xml:space="preserve">Nihon Kohden </v>
      </c>
      <c r="F391" s="33" t="str">
        <f>Equipos!J389</f>
        <v>PVM-2701K</v>
      </c>
      <c r="G391" s="37" t="str">
        <f>Equipos!K389</f>
        <v>0100645</v>
      </c>
      <c r="H391" s="33"/>
      <c r="I391" s="38"/>
      <c r="J391" s="38"/>
      <c r="K391" s="50" t="s">
        <v>275</v>
      </c>
      <c r="L391" s="38"/>
      <c r="M391" s="38"/>
      <c r="N391" s="38"/>
      <c r="O391" s="38"/>
      <c r="P391" s="38"/>
      <c r="Q391" s="38"/>
      <c r="R391" s="38"/>
      <c r="S391" s="38"/>
      <c r="T391" s="38"/>
      <c r="U391" s="33">
        <f t="shared" si="30"/>
        <v>1</v>
      </c>
      <c r="V391" s="33">
        <f t="shared" si="31"/>
        <v>1</v>
      </c>
      <c r="W391" s="33">
        <f t="shared" si="32"/>
        <v>0</v>
      </c>
      <c r="X391" s="33">
        <f t="shared" si="33"/>
        <v>0</v>
      </c>
      <c r="Y391" s="33">
        <f ca="1">SUMPRODUCT((I391:INDEX(I391:T391,MONTH(TODAY()))="X")*1)</f>
        <v>0</v>
      </c>
      <c r="Z391" s="39">
        <f t="shared" si="34"/>
        <v>1</v>
      </c>
    </row>
    <row r="392" spans="1:26" x14ac:dyDescent="0.25">
      <c r="A392" s="37" t="str">
        <f>Equipos!C390</f>
        <v>2-023573</v>
      </c>
      <c r="B392" s="33" t="str">
        <f>Equipos!D390</f>
        <v>Monitor Multiparámetros</v>
      </c>
      <c r="C392" s="33" t="str">
        <f>Equipos!E390</f>
        <v>Urgencia Infantil</v>
      </c>
      <c r="D392" s="33" t="str">
        <f>Equipos!G390</f>
        <v>Bodega Equipos SUI</v>
      </c>
      <c r="E392" s="33" t="str">
        <f>Equipos!I390</f>
        <v xml:space="preserve">Nihon Kohden </v>
      </c>
      <c r="F392" s="33" t="str">
        <f>Equipos!J390</f>
        <v>PVM-2701K</v>
      </c>
      <c r="G392" s="37" t="str">
        <f>Equipos!K390</f>
        <v>0100638.</v>
      </c>
      <c r="H392" s="33"/>
      <c r="I392" s="38"/>
      <c r="J392" s="38"/>
      <c r="K392" s="50" t="s">
        <v>275</v>
      </c>
      <c r="L392" s="38"/>
      <c r="M392" s="38"/>
      <c r="N392" s="38"/>
      <c r="O392" s="38"/>
      <c r="P392" s="38"/>
      <c r="Q392" s="38"/>
      <c r="R392" s="38"/>
      <c r="S392" s="38"/>
      <c r="T392" s="38"/>
      <c r="U392" s="33">
        <f t="shared" si="30"/>
        <v>1</v>
      </c>
      <c r="V392" s="33">
        <f t="shared" si="31"/>
        <v>1</v>
      </c>
      <c r="W392" s="33">
        <f t="shared" si="32"/>
        <v>0</v>
      </c>
      <c r="X392" s="33">
        <f t="shared" si="33"/>
        <v>0</v>
      </c>
      <c r="Y392" s="33">
        <f ca="1">SUMPRODUCT((I392:INDEX(I392:T392,MONTH(TODAY()))="X")*1)</f>
        <v>0</v>
      </c>
      <c r="Z392" s="39">
        <f t="shared" si="34"/>
        <v>1</v>
      </c>
    </row>
    <row r="393" spans="1:26" x14ac:dyDescent="0.25">
      <c r="A393" s="37" t="str">
        <f>Equipos!C391</f>
        <v>2-112503</v>
      </c>
      <c r="B393" s="33" t="str">
        <f>Equipos!D391</f>
        <v>Monitor Multiparámetros</v>
      </c>
      <c r="C393" s="33" t="str">
        <f>Equipos!E391</f>
        <v>Urgencia Adulto</v>
      </c>
      <c r="D393" s="33" t="str">
        <f>Equipos!G391</f>
        <v>Box baja complejidad SUI</v>
      </c>
      <c r="E393" s="33" t="str">
        <f>Equipos!I391</f>
        <v xml:space="preserve">Nihon Kohden </v>
      </c>
      <c r="F393" s="33" t="str">
        <f>Equipos!J391</f>
        <v>PVM-2701K</v>
      </c>
      <c r="G393" s="37" t="str">
        <f>Equipos!K391</f>
        <v>0100643</v>
      </c>
      <c r="H393" s="33"/>
      <c r="I393" s="38"/>
      <c r="J393" s="38"/>
      <c r="K393" s="50" t="s">
        <v>275</v>
      </c>
      <c r="L393" s="38"/>
      <c r="M393" s="38"/>
      <c r="N393" s="38"/>
      <c r="O393" s="38"/>
      <c r="P393" s="38"/>
      <c r="Q393" s="38"/>
      <c r="R393" s="38"/>
      <c r="S393" s="38"/>
      <c r="T393" s="38"/>
      <c r="U393" s="33">
        <f t="shared" si="30"/>
        <v>1</v>
      </c>
      <c r="V393" s="33">
        <f t="shared" si="31"/>
        <v>1</v>
      </c>
      <c r="W393" s="33">
        <f t="shared" si="32"/>
        <v>0</v>
      </c>
      <c r="X393" s="33">
        <f t="shared" si="33"/>
        <v>0</v>
      </c>
      <c r="Y393" s="33">
        <f ca="1">SUMPRODUCT((I393:INDEX(I393:T393,MONTH(TODAY()))="X")*1)</f>
        <v>0</v>
      </c>
      <c r="Z393" s="39">
        <f t="shared" si="34"/>
        <v>1</v>
      </c>
    </row>
    <row r="394" spans="1:26" x14ac:dyDescent="0.25">
      <c r="A394" s="37" t="str">
        <f>Equipos!C392</f>
        <v>2-112504</v>
      </c>
      <c r="B394" s="33" t="str">
        <f>Equipos!D392</f>
        <v>Monitor Multiparámetros</v>
      </c>
      <c r="C394" s="33" t="str">
        <f>Equipos!E392</f>
        <v>Urgencia Infantil</v>
      </c>
      <c r="D394" s="33" t="str">
        <f>Equipos!G392</f>
        <v>Bodega Equipos SUI</v>
      </c>
      <c r="E394" s="33" t="str">
        <f>Equipos!I392</f>
        <v xml:space="preserve">Nihon Kohden </v>
      </c>
      <c r="F394" s="33" t="str">
        <f>Equipos!J392</f>
        <v>PVM-2701K</v>
      </c>
      <c r="G394" s="37" t="str">
        <f>Equipos!K392</f>
        <v>0100647.</v>
      </c>
      <c r="H394" s="33"/>
      <c r="I394" s="38"/>
      <c r="J394" s="38"/>
      <c r="K394" s="50" t="s">
        <v>275</v>
      </c>
      <c r="L394" s="38"/>
      <c r="M394" s="38"/>
      <c r="N394" s="38"/>
      <c r="O394" s="38"/>
      <c r="P394" s="38"/>
      <c r="Q394" s="38"/>
      <c r="R394" s="38"/>
      <c r="S394" s="38"/>
      <c r="T394" s="38"/>
      <c r="U394" s="33">
        <f t="shared" si="30"/>
        <v>1</v>
      </c>
      <c r="V394" s="33">
        <f t="shared" si="31"/>
        <v>1</v>
      </c>
      <c r="W394" s="33">
        <f t="shared" si="32"/>
        <v>0</v>
      </c>
      <c r="X394" s="33">
        <f t="shared" si="33"/>
        <v>0</v>
      </c>
      <c r="Y394" s="33">
        <f ca="1">SUMPRODUCT((I394:INDEX(I394:T394,MONTH(TODAY()))="X")*1)</f>
        <v>0</v>
      </c>
      <c r="Z394" s="39">
        <f t="shared" si="34"/>
        <v>1</v>
      </c>
    </row>
    <row r="395" spans="1:26" x14ac:dyDescent="0.25">
      <c r="A395" s="37" t="str">
        <f>Equipos!C393</f>
        <v>2-133048</v>
      </c>
      <c r="B395" s="33" t="str">
        <f>Equipos!D393</f>
        <v>Monitor Multiparámetros</v>
      </c>
      <c r="C395" s="33" t="str">
        <f>Equipos!E393</f>
        <v>Pediatría</v>
      </c>
      <c r="D395" s="33" t="str">
        <f>Equipos!G393</f>
        <v>EPC-P6</v>
      </c>
      <c r="E395" s="33" t="str">
        <f>Equipos!I393</f>
        <v>Mindray</v>
      </c>
      <c r="F395" s="33" t="str">
        <f>Equipos!J393</f>
        <v>EPM 15 Compact</v>
      </c>
      <c r="G395" s="37" t="str">
        <f>Equipos!K393</f>
        <v>AC5-43007991</v>
      </c>
      <c r="H395" s="33"/>
      <c r="I395" s="38"/>
      <c r="J395" s="50" t="s">
        <v>276</v>
      </c>
      <c r="K395" s="50" t="s">
        <v>275</v>
      </c>
      <c r="L395" s="38"/>
      <c r="M395" s="38"/>
      <c r="N395" s="38"/>
      <c r="O395" s="38"/>
      <c r="P395" s="38"/>
      <c r="Q395" s="38"/>
      <c r="R395" s="38"/>
      <c r="S395" s="38"/>
      <c r="T395" s="38"/>
      <c r="U395" s="33">
        <f t="shared" si="30"/>
        <v>2</v>
      </c>
      <c r="V395" s="33">
        <f t="shared" si="31"/>
        <v>1</v>
      </c>
      <c r="W395" s="33">
        <f t="shared" si="32"/>
        <v>0</v>
      </c>
      <c r="X395" s="33">
        <f t="shared" si="33"/>
        <v>0</v>
      </c>
      <c r="Y395" s="33">
        <f ca="1">SUMPRODUCT((I395:INDEX(I395:T395,MONTH(TODAY()))="X")*1)</f>
        <v>0</v>
      </c>
      <c r="Z395" s="39">
        <f t="shared" si="34"/>
        <v>0.5</v>
      </c>
    </row>
    <row r="396" spans="1:26" x14ac:dyDescent="0.25">
      <c r="A396" s="37" t="str">
        <f>Equipos!C394</f>
        <v>2-112505</v>
      </c>
      <c r="B396" s="33" t="str">
        <f>Equipos!D394</f>
        <v>Monitor Multiparámetros</v>
      </c>
      <c r="C396" s="33" t="str">
        <f>Equipos!E394</f>
        <v>Urgencia Adulto</v>
      </c>
      <c r="D396" s="33" t="str">
        <f>Equipos!G394</f>
        <v>Box B-4</v>
      </c>
      <c r="E396" s="33" t="str">
        <f>Equipos!I394</f>
        <v xml:space="preserve">Nihon Kohden </v>
      </c>
      <c r="F396" s="33" t="str">
        <f>Equipos!J394</f>
        <v>PVM-2701K</v>
      </c>
      <c r="G396" s="37" t="str">
        <f>Equipos!K394</f>
        <v>0100653</v>
      </c>
      <c r="H396" s="33"/>
      <c r="I396" s="38"/>
      <c r="J396" s="38"/>
      <c r="K396" s="50" t="s">
        <v>275</v>
      </c>
      <c r="L396" s="38"/>
      <c r="M396" s="38"/>
      <c r="N396" s="38"/>
      <c r="O396" s="38"/>
      <c r="P396" s="38"/>
      <c r="Q396" s="38"/>
      <c r="R396" s="38"/>
      <c r="S396" s="38"/>
      <c r="T396" s="38"/>
      <c r="U396" s="33">
        <f t="shared" si="30"/>
        <v>1</v>
      </c>
      <c r="V396" s="33">
        <f t="shared" si="31"/>
        <v>1</v>
      </c>
      <c r="W396" s="33">
        <f t="shared" si="32"/>
        <v>0</v>
      </c>
      <c r="X396" s="33">
        <f t="shared" si="33"/>
        <v>0</v>
      </c>
      <c r="Y396" s="33">
        <f ca="1">SUMPRODUCT((I396:INDEX(I396:T396,MONTH(TODAY()))="X")*1)</f>
        <v>0</v>
      </c>
      <c r="Z396" s="39">
        <f t="shared" si="34"/>
        <v>1</v>
      </c>
    </row>
    <row r="397" spans="1:26" x14ac:dyDescent="0.25">
      <c r="A397" s="37" t="str">
        <f>Equipos!C395</f>
        <v>2-023589</v>
      </c>
      <c r="B397" s="33" t="str">
        <f>Equipos!D395</f>
        <v>Monitor Multiparámetros</v>
      </c>
      <c r="C397" s="33" t="str">
        <f>Equipos!E395</f>
        <v>Urgencia Infantil</v>
      </c>
      <c r="D397" s="33">
        <f>Equipos!G395</f>
        <v>0</v>
      </c>
      <c r="E397" s="33" t="str">
        <f>Equipos!I395</f>
        <v xml:space="preserve">Nihon Kohden </v>
      </c>
      <c r="F397" s="33" t="str">
        <f>Equipos!J395</f>
        <v>PVM-2701K</v>
      </c>
      <c r="G397" s="37" t="str">
        <f>Equipos!K395</f>
        <v>0100659.</v>
      </c>
      <c r="H397" s="33"/>
      <c r="I397" s="38"/>
      <c r="J397" s="38"/>
      <c r="K397" s="50" t="s">
        <v>275</v>
      </c>
      <c r="L397" s="38"/>
      <c r="M397" s="38"/>
      <c r="N397" s="38"/>
      <c r="O397" s="38"/>
      <c r="P397" s="38"/>
      <c r="Q397" s="38"/>
      <c r="R397" s="38"/>
      <c r="S397" s="38"/>
      <c r="T397" s="38"/>
      <c r="U397" s="33">
        <f t="shared" si="30"/>
        <v>1</v>
      </c>
      <c r="V397" s="33">
        <f t="shared" si="31"/>
        <v>1</v>
      </c>
      <c r="W397" s="33">
        <f t="shared" si="32"/>
        <v>0</v>
      </c>
      <c r="X397" s="33">
        <f t="shared" si="33"/>
        <v>0</v>
      </c>
      <c r="Y397" s="33">
        <f ca="1">SUMPRODUCT((I397:INDEX(I397:T397,MONTH(TODAY()))="X")*1)</f>
        <v>0</v>
      </c>
      <c r="Z397" s="39">
        <f t="shared" si="34"/>
        <v>1</v>
      </c>
    </row>
    <row r="398" spans="1:26" x14ac:dyDescent="0.25">
      <c r="A398" s="37" t="str">
        <f>Equipos!C396</f>
        <v>2-112506</v>
      </c>
      <c r="B398" s="33" t="str">
        <f>Equipos!D396</f>
        <v>Monitor Multiparámetros</v>
      </c>
      <c r="C398" s="33" t="str">
        <f>Equipos!E396</f>
        <v>Urgencia Adulto</v>
      </c>
      <c r="D398" s="33" t="str">
        <f>Equipos!G396</f>
        <v>Box 2 SAR</v>
      </c>
      <c r="E398" s="33" t="str">
        <f>Equipos!I396</f>
        <v xml:space="preserve">Nihon Kohden </v>
      </c>
      <c r="F398" s="33" t="str">
        <f>Equipos!J396</f>
        <v>PVM-2701K</v>
      </c>
      <c r="G398" s="37" t="str">
        <f>Equipos!K396</f>
        <v>0100641</v>
      </c>
      <c r="H398" s="33"/>
      <c r="I398" s="38"/>
      <c r="J398" s="38"/>
      <c r="K398" s="50" t="s">
        <v>275</v>
      </c>
      <c r="L398" s="38"/>
      <c r="M398" s="38"/>
      <c r="N398" s="38"/>
      <c r="O398" s="38"/>
      <c r="P398" s="38"/>
      <c r="Q398" s="38"/>
      <c r="R398" s="38"/>
      <c r="S398" s="38"/>
      <c r="T398" s="38"/>
      <c r="U398" s="33">
        <f t="shared" si="30"/>
        <v>1</v>
      </c>
      <c r="V398" s="33">
        <f t="shared" si="31"/>
        <v>1</v>
      </c>
      <c r="W398" s="33">
        <f t="shared" si="32"/>
        <v>0</v>
      </c>
      <c r="X398" s="33">
        <f t="shared" si="33"/>
        <v>0</v>
      </c>
      <c r="Y398" s="33">
        <f ca="1">SUMPRODUCT((I398:INDEX(I398:T398,MONTH(TODAY()))="X")*1)</f>
        <v>0</v>
      </c>
      <c r="Z398" s="39">
        <f t="shared" si="34"/>
        <v>1</v>
      </c>
    </row>
    <row r="399" spans="1:26" x14ac:dyDescent="0.25">
      <c r="A399" s="37" t="str">
        <f>Equipos!C397</f>
        <v>2-112507</v>
      </c>
      <c r="B399" s="33" t="str">
        <f>Equipos!D397</f>
        <v>Monitor Multiparámetros</v>
      </c>
      <c r="C399" s="33" t="str">
        <f>Equipos!E397</f>
        <v>Urgencia Adulto</v>
      </c>
      <c r="D399" s="33" t="str">
        <f>Equipos!G397</f>
        <v>Box A-4</v>
      </c>
      <c r="E399" s="33" t="str">
        <f>Equipos!I397</f>
        <v xml:space="preserve">Nihon Kohden </v>
      </c>
      <c r="F399" s="33" t="str">
        <f>Equipos!J397</f>
        <v>PVM-2701K</v>
      </c>
      <c r="G399" s="37" t="str">
        <f>Equipos!K397</f>
        <v>0100658</v>
      </c>
      <c r="H399" s="33"/>
      <c r="I399" s="50" t="s">
        <v>276</v>
      </c>
      <c r="J399" s="38"/>
      <c r="K399" s="50" t="s">
        <v>278</v>
      </c>
      <c r="L399" s="38"/>
      <c r="M399" s="38"/>
      <c r="N399" s="38"/>
      <c r="O399" s="38"/>
      <c r="P399" s="38"/>
      <c r="Q399" s="38"/>
      <c r="R399" s="38"/>
      <c r="S399" s="38"/>
      <c r="T399" s="38"/>
      <c r="U399" s="33">
        <f t="shared" si="30"/>
        <v>2</v>
      </c>
      <c r="V399" s="33">
        <f t="shared" si="31"/>
        <v>0</v>
      </c>
      <c r="W399" s="33">
        <f t="shared" si="32"/>
        <v>0</v>
      </c>
      <c r="X399" s="33">
        <f t="shared" si="33"/>
        <v>1</v>
      </c>
      <c r="Y399" s="33">
        <f ca="1">SUMPRODUCT((I399:INDEX(I399:T399,MONTH(TODAY()))="X")*1)</f>
        <v>0</v>
      </c>
      <c r="Z399" s="39">
        <f t="shared" si="34"/>
        <v>0</v>
      </c>
    </row>
    <row r="400" spans="1:26" x14ac:dyDescent="0.25">
      <c r="A400" s="37" t="str">
        <f>Equipos!C398</f>
        <v>2-116519</v>
      </c>
      <c r="B400" s="33" t="str">
        <f>Equipos!D398</f>
        <v>Monitor Multiparámetros</v>
      </c>
      <c r="C400" s="33" t="str">
        <f>Equipos!E398</f>
        <v>UPC Pediátrica</v>
      </c>
      <c r="D400" s="33" t="str">
        <f>Equipos!G398</f>
        <v>Cama 3</v>
      </c>
      <c r="E400" s="33" t="str">
        <f>Equipos!I398</f>
        <v>SPACELABS HEALTHCARE</v>
      </c>
      <c r="F400" s="33" t="str">
        <f>Equipos!J398</f>
        <v>XPREZZON</v>
      </c>
      <c r="G400" s="37" t="str">
        <f>Equipos!K398</f>
        <v>1393-109303</v>
      </c>
      <c r="H400" s="33"/>
      <c r="I400" s="50" t="s">
        <v>276</v>
      </c>
      <c r="J400" s="50" t="s">
        <v>275</v>
      </c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3">
        <f t="shared" si="30"/>
        <v>2</v>
      </c>
      <c r="V400" s="33">
        <f t="shared" si="31"/>
        <v>1</v>
      </c>
      <c r="W400" s="33">
        <f t="shared" si="32"/>
        <v>0</v>
      </c>
      <c r="X400" s="33">
        <f t="shared" si="33"/>
        <v>0</v>
      </c>
      <c r="Y400" s="33">
        <f ca="1">SUMPRODUCT((I400:INDEX(I400:T400,MONTH(TODAY()))="X")*1)</f>
        <v>0</v>
      </c>
      <c r="Z400" s="39">
        <f t="shared" si="34"/>
        <v>0.5</v>
      </c>
    </row>
    <row r="401" spans="1:26" x14ac:dyDescent="0.25">
      <c r="A401" s="37" t="str">
        <f>Equipos!C399</f>
        <v>2-022471</v>
      </c>
      <c r="B401" s="33" t="str">
        <f>Equipos!D399</f>
        <v>Monitor Multiparámetros</v>
      </c>
      <c r="C401" s="33" t="str">
        <f>Equipos!E399</f>
        <v>Urgencia Adulto</v>
      </c>
      <c r="D401" s="33" t="str">
        <f>Equipos!G399</f>
        <v>Sala de equipos</v>
      </c>
      <c r="E401" s="33" t="str">
        <f>Equipos!I399</f>
        <v xml:space="preserve">Nihon Kohden </v>
      </c>
      <c r="F401" s="33" t="str">
        <f>Equipos!J399</f>
        <v>PVM-2701K</v>
      </c>
      <c r="G401" s="37" t="str">
        <f>Equipos!K399</f>
        <v>0100650</v>
      </c>
      <c r="H401" s="33"/>
      <c r="I401" s="38"/>
      <c r="J401" s="38"/>
      <c r="K401" s="50" t="s">
        <v>275</v>
      </c>
      <c r="L401" s="38"/>
      <c r="M401" s="38"/>
      <c r="N401" s="38"/>
      <c r="O401" s="38"/>
      <c r="P401" s="38"/>
      <c r="Q401" s="38"/>
      <c r="R401" s="38"/>
      <c r="S401" s="38"/>
      <c r="T401" s="38"/>
      <c r="U401" s="33">
        <f t="shared" si="30"/>
        <v>1</v>
      </c>
      <c r="V401" s="33">
        <f t="shared" si="31"/>
        <v>1</v>
      </c>
      <c r="W401" s="33">
        <f t="shared" si="32"/>
        <v>0</v>
      </c>
      <c r="X401" s="33">
        <f t="shared" si="33"/>
        <v>0</v>
      </c>
      <c r="Y401" s="33">
        <f ca="1">SUMPRODUCT((I401:INDEX(I401:T401,MONTH(TODAY()))="X")*1)</f>
        <v>0</v>
      </c>
      <c r="Z401" s="39">
        <f t="shared" si="34"/>
        <v>1</v>
      </c>
    </row>
    <row r="402" spans="1:26" x14ac:dyDescent="0.25">
      <c r="A402" s="37" t="str">
        <f>Equipos!C400</f>
        <v>2-116520</v>
      </c>
      <c r="B402" s="33" t="str">
        <f>Equipos!D400</f>
        <v>Monitor Multiparámetros</v>
      </c>
      <c r="C402" s="33" t="str">
        <f>Equipos!E400</f>
        <v>UPC Pediátrica</v>
      </c>
      <c r="D402" s="33" t="str">
        <f>Equipos!G400</f>
        <v>Cama 7</v>
      </c>
      <c r="E402" s="33" t="str">
        <f>Equipos!I400</f>
        <v>SPACELABS HEALTHCARE</v>
      </c>
      <c r="F402" s="33" t="str">
        <f>Equipos!J400</f>
        <v>XPREZZON</v>
      </c>
      <c r="G402" s="37" t="str">
        <f>Equipos!K400</f>
        <v>1393-109313</v>
      </c>
      <c r="H402" s="33"/>
      <c r="I402" s="50" t="s">
        <v>276</v>
      </c>
      <c r="J402" s="50" t="s">
        <v>275</v>
      </c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3">
        <f t="shared" si="30"/>
        <v>2</v>
      </c>
      <c r="V402" s="33">
        <f t="shared" si="31"/>
        <v>1</v>
      </c>
      <c r="W402" s="33">
        <f t="shared" si="32"/>
        <v>0</v>
      </c>
      <c r="X402" s="33">
        <f t="shared" si="33"/>
        <v>0</v>
      </c>
      <c r="Y402" s="33">
        <f ca="1">SUMPRODUCT((I402:INDEX(I402:T402,MONTH(TODAY()))="X")*1)</f>
        <v>0</v>
      </c>
      <c r="Z402" s="39">
        <f t="shared" si="34"/>
        <v>0.5</v>
      </c>
    </row>
    <row r="403" spans="1:26" x14ac:dyDescent="0.25">
      <c r="A403" s="37" t="str">
        <f>Equipos!C401</f>
        <v>2-113493</v>
      </c>
      <c r="B403" s="33" t="str">
        <f>Equipos!D401</f>
        <v>Monitor Multiparámetros</v>
      </c>
      <c r="C403" s="33" t="str">
        <f>Equipos!E401</f>
        <v>Pediatría</v>
      </c>
      <c r="D403" s="33" t="str">
        <f>Equipos!G401</f>
        <v>EPC-P6</v>
      </c>
      <c r="E403" s="33" t="str">
        <f>Equipos!I401</f>
        <v xml:space="preserve">Nihon Kohden </v>
      </c>
      <c r="F403" s="33" t="str">
        <f>Equipos!J401</f>
        <v>PVM-2701K</v>
      </c>
      <c r="G403" s="37" t="str">
        <f>Equipos!K401</f>
        <v>0100652</v>
      </c>
      <c r="H403" s="33"/>
      <c r="I403" s="50" t="s">
        <v>276</v>
      </c>
      <c r="J403" s="50" t="s">
        <v>275</v>
      </c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3">
        <f t="shared" si="30"/>
        <v>2</v>
      </c>
      <c r="V403" s="33">
        <f t="shared" si="31"/>
        <v>1</v>
      </c>
      <c r="W403" s="33">
        <f t="shared" si="32"/>
        <v>0</v>
      </c>
      <c r="X403" s="33">
        <f t="shared" si="33"/>
        <v>0</v>
      </c>
      <c r="Y403" s="33">
        <f ca="1">SUMPRODUCT((I403:INDEX(I403:T403,MONTH(TODAY()))="X")*1)</f>
        <v>0</v>
      </c>
      <c r="Z403" s="39">
        <f t="shared" si="34"/>
        <v>0.5</v>
      </c>
    </row>
    <row r="404" spans="1:26" x14ac:dyDescent="0.25">
      <c r="A404" s="37" t="str">
        <f>Equipos!C402</f>
        <v>2-009315</v>
      </c>
      <c r="B404" s="33" t="str">
        <f>Equipos!D402</f>
        <v>Monitor Multiparámetros</v>
      </c>
      <c r="C404" s="33" t="str">
        <f>Equipos!E402</f>
        <v>Imagenología</v>
      </c>
      <c r="D404" s="33" t="str">
        <f>Equipos!G402</f>
        <v>Bodega Angiógrafo</v>
      </c>
      <c r="E404" s="33" t="str">
        <f>Equipos!I402</f>
        <v>Creative Medical</v>
      </c>
      <c r="F404" s="33" t="str">
        <f>Equipos!J402</f>
        <v>UP-7000</v>
      </c>
      <c r="G404" s="37" t="str">
        <f>Equipos!K402</f>
        <v>J3300KB00015</v>
      </c>
      <c r="H404" s="33"/>
      <c r="I404" s="38"/>
      <c r="J404" s="50" t="s">
        <v>276</v>
      </c>
      <c r="K404" s="50" t="s">
        <v>275</v>
      </c>
      <c r="L404" s="38"/>
      <c r="M404" s="38"/>
      <c r="N404" s="38"/>
      <c r="O404" s="38"/>
      <c r="P404" s="38"/>
      <c r="Q404" s="38"/>
      <c r="R404" s="38"/>
      <c r="S404" s="38"/>
      <c r="T404" s="38"/>
      <c r="U404" s="33">
        <f t="shared" si="30"/>
        <v>2</v>
      </c>
      <c r="V404" s="33">
        <f t="shared" si="31"/>
        <v>1</v>
      </c>
      <c r="W404" s="33">
        <f t="shared" si="32"/>
        <v>0</v>
      </c>
      <c r="X404" s="33">
        <f t="shared" si="33"/>
        <v>0</v>
      </c>
      <c r="Y404" s="33">
        <f ca="1">SUMPRODUCT((I404:INDEX(I404:T404,MONTH(TODAY()))="X")*1)</f>
        <v>0</v>
      </c>
      <c r="Z404" s="39">
        <f t="shared" si="34"/>
        <v>0.5</v>
      </c>
    </row>
    <row r="405" spans="1:26" x14ac:dyDescent="0.25">
      <c r="A405" s="37" t="str">
        <f>Equipos!C403</f>
        <v>2-118799</v>
      </c>
      <c r="B405" s="33" t="str">
        <f>Equipos!D403</f>
        <v>Monitor Multiparámetros</v>
      </c>
      <c r="C405" s="33" t="str">
        <f>Equipos!E403</f>
        <v>Pabellón Quirúrgico</v>
      </c>
      <c r="D405" s="33" t="str">
        <f>Equipos!G403</f>
        <v>Pabellón 9</v>
      </c>
      <c r="E405" s="33" t="str">
        <f>Equipos!I403</f>
        <v>Drager</v>
      </c>
      <c r="F405" s="33" t="str">
        <f>Equipos!J403</f>
        <v>M540</v>
      </c>
      <c r="G405" s="37" t="str">
        <f>Equipos!K403</f>
        <v>5613541766</v>
      </c>
      <c r="H405" s="33"/>
      <c r="I405" s="38"/>
      <c r="J405" s="38"/>
      <c r="K405" s="38"/>
      <c r="L405" s="50" t="s">
        <v>275</v>
      </c>
      <c r="M405" s="38"/>
      <c r="N405" s="38"/>
      <c r="O405" s="38"/>
      <c r="P405" s="38"/>
      <c r="Q405" s="38"/>
      <c r="R405" s="38"/>
      <c r="S405" s="38"/>
      <c r="T405" s="38"/>
      <c r="U405" s="33">
        <f t="shared" si="30"/>
        <v>1</v>
      </c>
      <c r="V405" s="33">
        <f t="shared" si="31"/>
        <v>1</v>
      </c>
      <c r="W405" s="33">
        <f t="shared" si="32"/>
        <v>0</v>
      </c>
      <c r="X405" s="33">
        <f t="shared" si="33"/>
        <v>0</v>
      </c>
      <c r="Y405" s="33">
        <f ca="1">SUMPRODUCT((I405:INDEX(I405:T405,MONTH(TODAY()))="X")*1)</f>
        <v>0</v>
      </c>
      <c r="Z405" s="39">
        <f t="shared" si="34"/>
        <v>1</v>
      </c>
    </row>
    <row r="406" spans="1:26" x14ac:dyDescent="0.25">
      <c r="A406" s="37" t="str">
        <f>Equipos!C404</f>
        <v>2-116521</v>
      </c>
      <c r="B406" s="33" t="str">
        <f>Equipos!D404</f>
        <v>Monitor Multiparámetros</v>
      </c>
      <c r="C406" s="33" t="str">
        <f>Equipos!E404</f>
        <v>UPC Pediátrica</v>
      </c>
      <c r="D406" s="33" t="str">
        <f>Equipos!G404</f>
        <v>UCI-Sala 5</v>
      </c>
      <c r="E406" s="33" t="str">
        <f>Equipos!I404</f>
        <v>SPACELABS HEALTHCARE</v>
      </c>
      <c r="F406" s="33" t="str">
        <f>Equipos!J404</f>
        <v>XPREZZON</v>
      </c>
      <c r="G406" s="37" t="str">
        <f>Equipos!K404</f>
        <v>1393-109324</v>
      </c>
      <c r="H406" s="33"/>
      <c r="I406" s="50" t="s">
        <v>276</v>
      </c>
      <c r="J406" s="50" t="s">
        <v>275</v>
      </c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3">
        <f t="shared" si="30"/>
        <v>2</v>
      </c>
      <c r="V406" s="33">
        <f t="shared" si="31"/>
        <v>1</v>
      </c>
      <c r="W406" s="33">
        <f t="shared" si="32"/>
        <v>0</v>
      </c>
      <c r="X406" s="33">
        <f t="shared" si="33"/>
        <v>0</v>
      </c>
      <c r="Y406" s="33">
        <f ca="1">SUMPRODUCT((I406:INDEX(I406:T406,MONTH(TODAY()))="X")*1)</f>
        <v>0</v>
      </c>
      <c r="Z406" s="39">
        <f t="shared" si="34"/>
        <v>0.5</v>
      </c>
    </row>
    <row r="407" spans="1:26" x14ac:dyDescent="0.25">
      <c r="A407" s="37" t="str">
        <f>Equipos!C405</f>
        <v>2-135917</v>
      </c>
      <c r="B407" s="33" t="str">
        <f>Equipos!D405</f>
        <v>Monitor Multiparámetros</v>
      </c>
      <c r="C407" s="33" t="str">
        <f>Equipos!E405</f>
        <v>TROI</v>
      </c>
      <c r="D407" s="33">
        <f>Equipos!G405</f>
        <v>0</v>
      </c>
      <c r="E407" s="33" t="str">
        <f>Equipos!I405</f>
        <v>Drager</v>
      </c>
      <c r="F407" s="33" t="str">
        <f>Equipos!J405</f>
        <v>Vista 300</v>
      </c>
      <c r="G407" s="37" t="str">
        <f>Equipos!K405</f>
        <v>VSSUC0199</v>
      </c>
      <c r="H407" s="33"/>
      <c r="I407" s="38"/>
      <c r="J407" s="38"/>
      <c r="K407" s="38"/>
      <c r="L407" s="50" t="s">
        <v>275</v>
      </c>
      <c r="M407" s="38"/>
      <c r="N407" s="38"/>
      <c r="O407" s="38"/>
      <c r="P407" s="38"/>
      <c r="Q407" s="38"/>
      <c r="R407" s="38"/>
      <c r="S407" s="38"/>
      <c r="T407" s="38"/>
      <c r="U407" s="33">
        <f t="shared" si="30"/>
        <v>1</v>
      </c>
      <c r="V407" s="33">
        <f t="shared" si="31"/>
        <v>1</v>
      </c>
      <c r="W407" s="33">
        <f t="shared" si="32"/>
        <v>0</v>
      </c>
      <c r="X407" s="33">
        <f t="shared" si="33"/>
        <v>0</v>
      </c>
      <c r="Y407" s="33">
        <f ca="1">SUMPRODUCT((I407:INDEX(I407:T407,MONTH(TODAY()))="X")*1)</f>
        <v>0</v>
      </c>
      <c r="Z407" s="39">
        <f t="shared" si="34"/>
        <v>1</v>
      </c>
    </row>
    <row r="408" spans="1:26" x14ac:dyDescent="0.25">
      <c r="A408" s="37" t="str">
        <f>Equipos!C406</f>
        <v>2-013601</v>
      </c>
      <c r="B408" s="33" t="str">
        <f>Equipos!D406</f>
        <v>Monitor Multiparámetros</v>
      </c>
      <c r="C408" s="33" t="str">
        <f>Equipos!E406</f>
        <v>Imagenología</v>
      </c>
      <c r="D408" s="33" t="str">
        <f>Equipos!G406</f>
        <v>Recuperación</v>
      </c>
      <c r="E408" s="33" t="str">
        <f>Equipos!I406</f>
        <v xml:space="preserve">Drager </v>
      </c>
      <c r="F408" s="33" t="str">
        <f>Equipos!J406</f>
        <v>Infinity Vista</v>
      </c>
      <c r="G408" s="37" t="str">
        <f>Equipos!K406</f>
        <v>5514423368</v>
      </c>
      <c r="H408" s="33"/>
      <c r="I408" s="38"/>
      <c r="J408" s="50" t="s">
        <v>276</v>
      </c>
      <c r="K408" s="50" t="s">
        <v>275</v>
      </c>
      <c r="L408" s="38"/>
      <c r="M408" s="38"/>
      <c r="N408" s="38"/>
      <c r="O408" s="38"/>
      <c r="P408" s="38"/>
      <c r="Q408" s="38"/>
      <c r="R408" s="38"/>
      <c r="S408" s="38"/>
      <c r="T408" s="38"/>
      <c r="U408" s="33">
        <f t="shared" si="30"/>
        <v>2</v>
      </c>
      <c r="V408" s="33">
        <f t="shared" si="31"/>
        <v>1</v>
      </c>
      <c r="W408" s="33">
        <f t="shared" si="32"/>
        <v>0</v>
      </c>
      <c r="X408" s="33">
        <f t="shared" si="33"/>
        <v>0</v>
      </c>
      <c r="Y408" s="33">
        <f ca="1">SUMPRODUCT((I408:INDEX(I408:T408,MONTH(TODAY()))="X")*1)</f>
        <v>0</v>
      </c>
      <c r="Z408" s="39">
        <f t="shared" si="34"/>
        <v>0.5</v>
      </c>
    </row>
    <row r="409" spans="1:26" x14ac:dyDescent="0.25">
      <c r="A409" s="37" t="str">
        <f>Equipos!C407</f>
        <v>2-023255</v>
      </c>
      <c r="B409" s="33" t="str">
        <f>Equipos!D407</f>
        <v>Monitor Multiparámetros</v>
      </c>
      <c r="C409" s="33" t="str">
        <f>Equipos!E407</f>
        <v>Pediatría</v>
      </c>
      <c r="D409" s="33" t="str">
        <f>Equipos!G407</f>
        <v>EPC-P6</v>
      </c>
      <c r="E409" s="33" t="str">
        <f>Equipos!I407</f>
        <v xml:space="preserve">Nihon Kohden </v>
      </c>
      <c r="F409" s="33" t="str">
        <f>Equipos!J407</f>
        <v>BSM-6301K</v>
      </c>
      <c r="G409" s="37" t="str">
        <f>Equipos!K407</f>
        <v>01060</v>
      </c>
      <c r="H409" s="33"/>
      <c r="I409" s="50" t="s">
        <v>276</v>
      </c>
      <c r="J409" s="50" t="s">
        <v>275</v>
      </c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3">
        <f t="shared" si="30"/>
        <v>2</v>
      </c>
      <c r="V409" s="33">
        <f t="shared" si="31"/>
        <v>1</v>
      </c>
      <c r="W409" s="33">
        <f t="shared" si="32"/>
        <v>0</v>
      </c>
      <c r="X409" s="33">
        <f t="shared" si="33"/>
        <v>0</v>
      </c>
      <c r="Y409" s="33">
        <f ca="1">SUMPRODUCT((I409:INDEX(I409:T409,MONTH(TODAY()))="X")*1)</f>
        <v>0</v>
      </c>
      <c r="Z409" s="39">
        <f t="shared" si="34"/>
        <v>0.5</v>
      </c>
    </row>
    <row r="410" spans="1:26" x14ac:dyDescent="0.25">
      <c r="A410" s="37" t="str">
        <f>Equipos!C408</f>
        <v>2-112497</v>
      </c>
      <c r="B410" s="33" t="str">
        <f>Equipos!D408</f>
        <v>Monitor Multiparámetros</v>
      </c>
      <c r="C410" s="33" t="str">
        <f>Equipos!E408</f>
        <v>Pediatría</v>
      </c>
      <c r="D410" s="33" t="str">
        <f>Equipos!G408</f>
        <v>Segunda infancia</v>
      </c>
      <c r="E410" s="33" t="str">
        <f>Equipos!I408</f>
        <v xml:space="preserve">Nihon Kohden </v>
      </c>
      <c r="F410" s="33" t="str">
        <f>Equipos!J408</f>
        <v>PVM-2701K</v>
      </c>
      <c r="G410" s="37" t="str">
        <f>Equipos!K408</f>
        <v>0100648</v>
      </c>
      <c r="H410" s="33"/>
      <c r="I410" s="50" t="s">
        <v>276</v>
      </c>
      <c r="J410" s="50" t="s">
        <v>275</v>
      </c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3">
        <f t="shared" si="30"/>
        <v>2</v>
      </c>
      <c r="V410" s="33">
        <f t="shared" si="31"/>
        <v>1</v>
      </c>
      <c r="W410" s="33">
        <f t="shared" si="32"/>
        <v>0</v>
      </c>
      <c r="X410" s="33">
        <f t="shared" si="33"/>
        <v>0</v>
      </c>
      <c r="Y410" s="33">
        <f ca="1">SUMPRODUCT((I410:INDEX(I410:T410,MONTH(TODAY()))="X")*1)</f>
        <v>0</v>
      </c>
      <c r="Z410" s="39">
        <f t="shared" si="34"/>
        <v>0.5</v>
      </c>
    </row>
    <row r="411" spans="1:26" x14ac:dyDescent="0.25">
      <c r="A411" s="37" t="str">
        <f>Equipos!C409</f>
        <v>2-116522</v>
      </c>
      <c r="B411" s="33" t="str">
        <f>Equipos!D409</f>
        <v>Monitor Multiparámetros</v>
      </c>
      <c r="C411" s="33" t="str">
        <f>Equipos!E409</f>
        <v>UPC Pediátrica</v>
      </c>
      <c r="D411" s="33" t="str">
        <f>Equipos!G409</f>
        <v>Cama 5</v>
      </c>
      <c r="E411" s="33" t="str">
        <f>Equipos!I409</f>
        <v>SPACELABS HEALTHCARE</v>
      </c>
      <c r="F411" s="33" t="str">
        <f>Equipos!J409</f>
        <v>XPREZZON</v>
      </c>
      <c r="G411" s="37" t="str">
        <f>Equipos!K409</f>
        <v>1393-109302</v>
      </c>
      <c r="H411" s="33"/>
      <c r="I411" s="50" t="s">
        <v>276</v>
      </c>
      <c r="J411" s="50" t="s">
        <v>275</v>
      </c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3">
        <f t="shared" si="30"/>
        <v>2</v>
      </c>
      <c r="V411" s="33">
        <f t="shared" si="31"/>
        <v>1</v>
      </c>
      <c r="W411" s="33">
        <f t="shared" si="32"/>
        <v>0</v>
      </c>
      <c r="X411" s="33">
        <f t="shared" si="33"/>
        <v>0</v>
      </c>
      <c r="Y411" s="33">
        <f ca="1">SUMPRODUCT((I411:INDEX(I411:T411,MONTH(TODAY()))="X")*1)</f>
        <v>0</v>
      </c>
      <c r="Z411" s="39">
        <f t="shared" si="34"/>
        <v>0.5</v>
      </c>
    </row>
    <row r="412" spans="1:26" x14ac:dyDescent="0.25">
      <c r="A412" s="37" t="str">
        <f>Equipos!C410</f>
        <v>2-112655</v>
      </c>
      <c r="B412" s="33" t="str">
        <f>Equipos!D410</f>
        <v>Monitor Multiparámetros</v>
      </c>
      <c r="C412" s="33" t="str">
        <f>Equipos!E410</f>
        <v>Pediatría</v>
      </c>
      <c r="D412" s="33" t="str">
        <f>Equipos!G410</f>
        <v>Sala de equipos</v>
      </c>
      <c r="E412" s="33" t="str">
        <f>Equipos!I410</f>
        <v xml:space="preserve">Nihon Kohden </v>
      </c>
      <c r="F412" s="33" t="str">
        <f>Equipos!J410</f>
        <v>PVM-2701K</v>
      </c>
      <c r="G412" s="37" t="str">
        <f>Equipos!K410</f>
        <v>0100655</v>
      </c>
      <c r="H412" s="33"/>
      <c r="I412" s="50" t="s">
        <v>276</v>
      </c>
      <c r="J412" s="50" t="s">
        <v>275</v>
      </c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3">
        <f t="shared" si="30"/>
        <v>2</v>
      </c>
      <c r="V412" s="33">
        <f t="shared" si="31"/>
        <v>1</v>
      </c>
      <c r="W412" s="33">
        <f t="shared" si="32"/>
        <v>0</v>
      </c>
      <c r="X412" s="33">
        <f t="shared" si="33"/>
        <v>0</v>
      </c>
      <c r="Y412" s="33">
        <f ca="1">SUMPRODUCT((I412:INDEX(I412:T412,MONTH(TODAY()))="X")*1)</f>
        <v>0</v>
      </c>
      <c r="Z412" s="39">
        <f t="shared" si="34"/>
        <v>0.5</v>
      </c>
    </row>
    <row r="413" spans="1:26" x14ac:dyDescent="0.25">
      <c r="A413" s="37" t="str">
        <f>Equipos!C411</f>
        <v>2-120577</v>
      </c>
      <c r="B413" s="33" t="str">
        <f>Equipos!D411</f>
        <v>Monitor Multiparámetros</v>
      </c>
      <c r="C413" s="33" t="str">
        <f>Equipos!E411</f>
        <v>UPC 3er Piso</v>
      </c>
      <c r="D413" s="33" t="str">
        <f>Equipos!G411</f>
        <v>UTI 1</v>
      </c>
      <c r="E413" s="33" t="str">
        <f>Equipos!I411</f>
        <v>SPACELABS HEALTHCARE</v>
      </c>
      <c r="F413" s="33" t="str">
        <f>Equipos!J411</f>
        <v>XPREZZON</v>
      </c>
      <c r="G413" s="37" t="str">
        <f>Equipos!K411</f>
        <v>1393-114594</v>
      </c>
      <c r="H413" s="33"/>
      <c r="I413" s="38"/>
      <c r="J413" s="38"/>
      <c r="K413" s="38"/>
      <c r="L413" s="38"/>
      <c r="M413" s="50" t="s">
        <v>275</v>
      </c>
      <c r="N413" s="38"/>
      <c r="O413" s="38"/>
      <c r="P413" s="38"/>
      <c r="Q413" s="38"/>
      <c r="R413" s="38"/>
      <c r="S413" s="38"/>
      <c r="T413" s="38"/>
      <c r="U413" s="33">
        <f t="shared" si="30"/>
        <v>1</v>
      </c>
      <c r="V413" s="33">
        <f t="shared" si="31"/>
        <v>1</v>
      </c>
      <c r="W413" s="33">
        <f t="shared" si="32"/>
        <v>0</v>
      </c>
      <c r="X413" s="33">
        <f t="shared" si="33"/>
        <v>0</v>
      </c>
      <c r="Y413" s="33">
        <f ca="1">SUMPRODUCT((I413:INDEX(I413:T413,MONTH(TODAY()))="X")*1)</f>
        <v>0</v>
      </c>
      <c r="Z413" s="39">
        <f t="shared" si="34"/>
        <v>1</v>
      </c>
    </row>
    <row r="414" spans="1:26" x14ac:dyDescent="0.25">
      <c r="A414" s="37" t="str">
        <f>Equipos!C412</f>
        <v>2-121185</v>
      </c>
      <c r="B414" s="33" t="str">
        <f>Equipos!D412</f>
        <v>Monitor Multiparámetros</v>
      </c>
      <c r="C414" s="33" t="str">
        <f>Equipos!E412</f>
        <v>Medicina</v>
      </c>
      <c r="D414" s="33" t="str">
        <f>Equipos!G412</f>
        <v>502-2E</v>
      </c>
      <c r="E414" s="33" t="str">
        <f>Equipos!I412</f>
        <v xml:space="preserve">Nihon Kohden </v>
      </c>
      <c r="F414" s="33" t="str">
        <f>Equipos!J412</f>
        <v>BSM-3562K</v>
      </c>
      <c r="G414" s="37" t="str">
        <f>Equipos!K412</f>
        <v>29676</v>
      </c>
      <c r="H414" s="33"/>
      <c r="I414" s="38"/>
      <c r="J414" s="50" t="s">
        <v>275</v>
      </c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3">
        <f t="shared" si="30"/>
        <v>1</v>
      </c>
      <c r="V414" s="33">
        <f t="shared" si="31"/>
        <v>1</v>
      </c>
      <c r="W414" s="33">
        <f t="shared" si="32"/>
        <v>0</v>
      </c>
      <c r="X414" s="33">
        <f t="shared" si="33"/>
        <v>0</v>
      </c>
      <c r="Y414" s="33">
        <f ca="1">SUMPRODUCT((I414:INDEX(I414:T414,MONTH(TODAY()))="X")*1)</f>
        <v>0</v>
      </c>
      <c r="Z414" s="39">
        <f t="shared" si="34"/>
        <v>1</v>
      </c>
    </row>
    <row r="415" spans="1:26" x14ac:dyDescent="0.25">
      <c r="A415" s="37" t="str">
        <f>Equipos!C413</f>
        <v>2-121186</v>
      </c>
      <c r="B415" s="33" t="str">
        <f>Equipos!D413</f>
        <v>Monitor Multiparámetros</v>
      </c>
      <c r="C415" s="33" t="str">
        <f>Equipos!E413</f>
        <v>Medicina</v>
      </c>
      <c r="D415" s="33" t="str">
        <f>Equipos!G413</f>
        <v>Sala 598</v>
      </c>
      <c r="E415" s="33" t="str">
        <f>Equipos!I413</f>
        <v xml:space="preserve">Nihon Kohden </v>
      </c>
      <c r="F415" s="33" t="str">
        <f>Equipos!J413</f>
        <v>BSM-3562K</v>
      </c>
      <c r="G415" s="37" t="str">
        <f>Equipos!K413</f>
        <v>29695</v>
      </c>
      <c r="H415" s="33"/>
      <c r="I415" s="38"/>
      <c r="J415" s="50" t="s">
        <v>275</v>
      </c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3">
        <f t="shared" si="30"/>
        <v>1</v>
      </c>
      <c r="V415" s="33">
        <f t="shared" si="31"/>
        <v>1</v>
      </c>
      <c r="W415" s="33">
        <f t="shared" si="32"/>
        <v>0</v>
      </c>
      <c r="X415" s="33">
        <f t="shared" si="33"/>
        <v>0</v>
      </c>
      <c r="Y415" s="33">
        <f ca="1">SUMPRODUCT((I415:INDEX(I415:T415,MONTH(TODAY()))="X")*1)</f>
        <v>0</v>
      </c>
      <c r="Z415" s="39">
        <f t="shared" si="34"/>
        <v>1</v>
      </c>
    </row>
    <row r="416" spans="1:26" x14ac:dyDescent="0.25">
      <c r="A416" s="37" t="str">
        <f>Equipos!C414</f>
        <v>2-116523</v>
      </c>
      <c r="B416" s="33" t="str">
        <f>Equipos!D414</f>
        <v>Monitor Multiparámetros</v>
      </c>
      <c r="C416" s="33" t="str">
        <f>Equipos!E414</f>
        <v>UPC Pediátrica</v>
      </c>
      <c r="D416" s="33" t="str">
        <f>Equipos!G414</f>
        <v>Cama 6</v>
      </c>
      <c r="E416" s="33" t="str">
        <f>Equipos!I414</f>
        <v>SPACELABS HEALTHCARE</v>
      </c>
      <c r="F416" s="33" t="str">
        <f>Equipos!J414</f>
        <v>XPREZZON</v>
      </c>
      <c r="G416" s="37" t="str">
        <f>Equipos!K414</f>
        <v>1393-109321</v>
      </c>
      <c r="H416" s="33"/>
      <c r="I416" s="50" t="s">
        <v>276</v>
      </c>
      <c r="J416" s="50" t="s">
        <v>275</v>
      </c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3">
        <f t="shared" si="30"/>
        <v>2</v>
      </c>
      <c r="V416" s="33">
        <f t="shared" si="31"/>
        <v>1</v>
      </c>
      <c r="W416" s="33">
        <f t="shared" si="32"/>
        <v>0</v>
      </c>
      <c r="X416" s="33">
        <f t="shared" si="33"/>
        <v>0</v>
      </c>
      <c r="Y416" s="33">
        <f ca="1">SUMPRODUCT((I416:INDEX(I416:T416,MONTH(TODAY()))="X")*1)</f>
        <v>0</v>
      </c>
      <c r="Z416" s="39">
        <f t="shared" si="34"/>
        <v>0.5</v>
      </c>
    </row>
    <row r="417" spans="1:26" x14ac:dyDescent="0.25">
      <c r="A417" s="37" t="str">
        <f>Equipos!C415</f>
        <v>2-023258</v>
      </c>
      <c r="B417" s="33" t="str">
        <f>Equipos!D415</f>
        <v>Monitor Multiparámetros</v>
      </c>
      <c r="C417" s="33" t="str">
        <f>Equipos!E415</f>
        <v>Pediatría</v>
      </c>
      <c r="D417" s="33">
        <f>Equipos!G415</f>
        <v>0</v>
      </c>
      <c r="E417" s="33" t="str">
        <f>Equipos!I415</f>
        <v xml:space="preserve">Nihon Kohden </v>
      </c>
      <c r="F417" s="33" t="str">
        <f>Equipos!J415</f>
        <v>PVM-2701K</v>
      </c>
      <c r="G417" s="37" t="str">
        <f>Equipos!K415</f>
        <v>0100654</v>
      </c>
      <c r="H417" s="33"/>
      <c r="I417" s="50" t="s">
        <v>276</v>
      </c>
      <c r="J417" s="50" t="s">
        <v>275</v>
      </c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3">
        <f t="shared" si="30"/>
        <v>2</v>
      </c>
      <c r="V417" s="33">
        <f t="shared" si="31"/>
        <v>1</v>
      </c>
      <c r="W417" s="33">
        <f t="shared" si="32"/>
        <v>0</v>
      </c>
      <c r="X417" s="33">
        <f t="shared" si="33"/>
        <v>0</v>
      </c>
      <c r="Y417" s="33">
        <f ca="1">SUMPRODUCT((I417:INDEX(I417:T417,MONTH(TODAY()))="X")*1)</f>
        <v>0</v>
      </c>
      <c r="Z417" s="39">
        <f t="shared" si="34"/>
        <v>0.5</v>
      </c>
    </row>
    <row r="418" spans="1:26" x14ac:dyDescent="0.25">
      <c r="A418" s="37" t="str">
        <f>Equipos!C416</f>
        <v>2-112498</v>
      </c>
      <c r="B418" s="33" t="str">
        <f>Equipos!D416</f>
        <v>Monitor Multiparámetros</v>
      </c>
      <c r="C418" s="33" t="str">
        <f>Equipos!E416</f>
        <v>Pediatría</v>
      </c>
      <c r="D418" s="33" t="str">
        <f>Equipos!G416</f>
        <v>Sala de equipos</v>
      </c>
      <c r="E418" s="33" t="str">
        <f>Equipos!I416</f>
        <v xml:space="preserve">Nihon Kohden </v>
      </c>
      <c r="F418" s="33" t="str">
        <f>Equipos!J416</f>
        <v>BSM-1763K</v>
      </c>
      <c r="G418" s="37" t="str">
        <f>Equipos!K416</f>
        <v>00570</v>
      </c>
      <c r="H418" s="33"/>
      <c r="I418" s="50" t="s">
        <v>276</v>
      </c>
      <c r="J418" s="50" t="s">
        <v>275</v>
      </c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3">
        <f t="shared" si="30"/>
        <v>2</v>
      </c>
      <c r="V418" s="33">
        <f t="shared" si="31"/>
        <v>1</v>
      </c>
      <c r="W418" s="33">
        <f t="shared" si="32"/>
        <v>0</v>
      </c>
      <c r="X418" s="33">
        <f t="shared" si="33"/>
        <v>0</v>
      </c>
      <c r="Y418" s="33">
        <f ca="1">SUMPRODUCT((I418:INDEX(I418:T418,MONTH(TODAY()))="X")*1)</f>
        <v>0</v>
      </c>
      <c r="Z418" s="39">
        <f t="shared" si="34"/>
        <v>0.5</v>
      </c>
    </row>
    <row r="419" spans="1:26" x14ac:dyDescent="0.25">
      <c r="A419" s="37" t="str">
        <f>Equipos!C417</f>
        <v>2-016151</v>
      </c>
      <c r="B419" s="33" t="str">
        <f>Equipos!D417</f>
        <v>Monitor Multiparámetros</v>
      </c>
      <c r="C419" s="33" t="str">
        <f>Equipos!E417</f>
        <v>Pabellón CMA</v>
      </c>
      <c r="D419" s="33">
        <f>Equipos!G417</f>
        <v>0</v>
      </c>
      <c r="E419" s="33" t="str">
        <f>Equipos!I417</f>
        <v xml:space="preserve">Nihon Kohden </v>
      </c>
      <c r="F419" s="33" t="str">
        <f>Equipos!J417</f>
        <v>PVM-2701K</v>
      </c>
      <c r="G419" s="37" t="str">
        <f>Equipos!K417</f>
        <v>0100651</v>
      </c>
      <c r="H419" s="33"/>
      <c r="I419" s="38"/>
      <c r="J419" s="38"/>
      <c r="K419" s="38"/>
      <c r="L419" s="38"/>
      <c r="M419" s="50" t="s">
        <v>275</v>
      </c>
      <c r="N419" s="38"/>
      <c r="O419" s="38"/>
      <c r="P419" s="38"/>
      <c r="Q419" s="38"/>
      <c r="R419" s="38"/>
      <c r="S419" s="38"/>
      <c r="T419" s="38"/>
      <c r="U419" s="33">
        <f t="shared" si="30"/>
        <v>1</v>
      </c>
      <c r="V419" s="33">
        <f t="shared" si="31"/>
        <v>1</v>
      </c>
      <c r="W419" s="33">
        <f t="shared" si="32"/>
        <v>0</v>
      </c>
      <c r="X419" s="33">
        <f t="shared" si="33"/>
        <v>0</v>
      </c>
      <c r="Y419" s="33">
        <f ca="1">SUMPRODUCT((I419:INDEX(I419:T419,MONTH(TODAY()))="X")*1)</f>
        <v>0</v>
      </c>
      <c r="Z419" s="39">
        <f t="shared" si="34"/>
        <v>1</v>
      </c>
    </row>
    <row r="420" spans="1:26" x14ac:dyDescent="0.25">
      <c r="A420" s="37" t="str">
        <f>Equipos!C418</f>
        <v>2-015904</v>
      </c>
      <c r="B420" s="33" t="str">
        <f>Equipos!D418</f>
        <v>Monitor Multiparámetros</v>
      </c>
      <c r="C420" s="33" t="str">
        <f>Equipos!E418</f>
        <v>Urgencias Gineco-Obstétricas</v>
      </c>
      <c r="D420" s="33" t="str">
        <f>Equipos!G418</f>
        <v>Preparto 2</v>
      </c>
      <c r="E420" s="33" t="str">
        <f>Equipos!I418</f>
        <v>General Electric</v>
      </c>
      <c r="F420" s="33" t="str">
        <f>Equipos!J418</f>
        <v>Dash 4000</v>
      </c>
      <c r="G420" s="37" t="str">
        <f>Equipos!K418</f>
        <v>D3DJ7839G</v>
      </c>
      <c r="H420" s="33"/>
      <c r="I420" s="38"/>
      <c r="J420" s="50" t="s">
        <v>279</v>
      </c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3">
        <f t="shared" si="30"/>
        <v>0</v>
      </c>
      <c r="V420" s="33">
        <f t="shared" si="31"/>
        <v>0</v>
      </c>
      <c r="W420" s="33">
        <f t="shared" si="32"/>
        <v>0</v>
      </c>
      <c r="X420" s="33">
        <f t="shared" si="33"/>
        <v>0</v>
      </c>
      <c r="Y420" s="33">
        <f ca="1">SUMPRODUCT((I420:INDEX(I420:T420,MONTH(TODAY()))="X")*1)</f>
        <v>0</v>
      </c>
      <c r="Z420" s="39" t="str">
        <f t="shared" si="34"/>
        <v/>
      </c>
    </row>
    <row r="421" spans="1:26" x14ac:dyDescent="0.25">
      <c r="A421" s="37" t="str">
        <f>Equipos!C419</f>
        <v>2-121187</v>
      </c>
      <c r="B421" s="33" t="str">
        <f>Equipos!D419</f>
        <v>Monitor Multiparámetros</v>
      </c>
      <c r="C421" s="33" t="str">
        <f>Equipos!E419</f>
        <v>Medicina</v>
      </c>
      <c r="D421" s="33" t="str">
        <f>Equipos!G419</f>
        <v>501-2</v>
      </c>
      <c r="E421" s="33" t="str">
        <f>Equipos!I419</f>
        <v xml:space="preserve">Nihon Kohden </v>
      </c>
      <c r="F421" s="33" t="str">
        <f>Equipos!J419</f>
        <v>BSM-3562K</v>
      </c>
      <c r="G421" s="37" t="str">
        <f>Equipos!K419</f>
        <v>29751</v>
      </c>
      <c r="H421" s="33"/>
      <c r="I421" s="38"/>
      <c r="J421" s="50" t="s">
        <v>275</v>
      </c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3">
        <f t="shared" si="30"/>
        <v>1</v>
      </c>
      <c r="V421" s="33">
        <f t="shared" si="31"/>
        <v>1</v>
      </c>
      <c r="W421" s="33">
        <f t="shared" si="32"/>
        <v>0</v>
      </c>
      <c r="X421" s="33">
        <f t="shared" si="33"/>
        <v>0</v>
      </c>
      <c r="Y421" s="33">
        <f ca="1">SUMPRODUCT((I421:INDEX(I421:T421,MONTH(TODAY()))="X")*1)</f>
        <v>0</v>
      </c>
      <c r="Z421" s="39">
        <f t="shared" si="34"/>
        <v>1</v>
      </c>
    </row>
    <row r="422" spans="1:26" x14ac:dyDescent="0.25">
      <c r="A422" s="37" t="str">
        <f>Equipos!C420</f>
        <v>2-135918</v>
      </c>
      <c r="B422" s="33" t="str">
        <f>Equipos!D420</f>
        <v>Monitor Multiparámetros</v>
      </c>
      <c r="C422" s="33" t="str">
        <f>Equipos!E420</f>
        <v>TROI</v>
      </c>
      <c r="D422" s="33">
        <f>Equipos!G420</f>
        <v>0</v>
      </c>
      <c r="E422" s="33" t="str">
        <f>Equipos!I420</f>
        <v>Drager</v>
      </c>
      <c r="F422" s="33" t="str">
        <f>Equipos!J420</f>
        <v>Vista 300</v>
      </c>
      <c r="G422" s="37" t="str">
        <f>Equipos!K420</f>
        <v>VSSUM0041</v>
      </c>
      <c r="H422" s="33"/>
      <c r="I422" s="38"/>
      <c r="J422" s="38"/>
      <c r="K422" s="38"/>
      <c r="L422" s="50" t="s">
        <v>275</v>
      </c>
      <c r="M422" s="38"/>
      <c r="N422" s="38"/>
      <c r="O422" s="38"/>
      <c r="P422" s="38"/>
      <c r="Q422" s="38"/>
      <c r="R422" s="38"/>
      <c r="S422" s="38"/>
      <c r="T422" s="38"/>
      <c r="U422" s="33">
        <f t="shared" si="30"/>
        <v>1</v>
      </c>
      <c r="V422" s="33">
        <f t="shared" si="31"/>
        <v>1</v>
      </c>
      <c r="W422" s="33">
        <f t="shared" si="32"/>
        <v>0</v>
      </c>
      <c r="X422" s="33">
        <f t="shared" si="33"/>
        <v>0</v>
      </c>
      <c r="Y422" s="33">
        <f ca="1">SUMPRODUCT((I422:INDEX(I422:T422,MONTH(TODAY()))="X")*1)</f>
        <v>0</v>
      </c>
      <c r="Z422" s="39">
        <f t="shared" si="34"/>
        <v>1</v>
      </c>
    </row>
    <row r="423" spans="1:26" x14ac:dyDescent="0.25">
      <c r="A423" s="37" t="str">
        <f>Equipos!C421</f>
        <v>2-118814</v>
      </c>
      <c r="B423" s="33" t="str">
        <f>Equipos!D421</f>
        <v>Monitor Multiparámetros</v>
      </c>
      <c r="C423" s="33" t="str">
        <f>Equipos!E421</f>
        <v>Pabellón Quirúrgico</v>
      </c>
      <c r="D423" s="33" t="str">
        <f>Equipos!G421</f>
        <v>Pabellón 2</v>
      </c>
      <c r="E423" s="33" t="str">
        <f>Equipos!I421</f>
        <v>Drager</v>
      </c>
      <c r="F423" s="33" t="str">
        <f>Equipos!J421</f>
        <v>M540</v>
      </c>
      <c r="G423" s="37" t="str">
        <f>Equipos!K421</f>
        <v>5613541864</v>
      </c>
      <c r="H423" s="33"/>
      <c r="I423" s="38"/>
      <c r="J423" s="38"/>
      <c r="K423" s="38"/>
      <c r="L423" s="50" t="s">
        <v>275</v>
      </c>
      <c r="M423" s="38"/>
      <c r="N423" s="38"/>
      <c r="O423" s="38"/>
      <c r="P423" s="38"/>
      <c r="Q423" s="38"/>
      <c r="R423" s="38"/>
      <c r="S423" s="38"/>
      <c r="T423" s="38"/>
      <c r="U423" s="33">
        <f t="shared" si="30"/>
        <v>1</v>
      </c>
      <c r="V423" s="33">
        <f t="shared" si="31"/>
        <v>1</v>
      </c>
      <c r="W423" s="33">
        <f t="shared" si="32"/>
        <v>0</v>
      </c>
      <c r="X423" s="33">
        <f t="shared" si="33"/>
        <v>0</v>
      </c>
      <c r="Y423" s="33">
        <f ca="1">SUMPRODUCT((I423:INDEX(I423:T423,MONTH(TODAY()))="X")*1)</f>
        <v>0</v>
      </c>
      <c r="Z423" s="39">
        <f t="shared" si="34"/>
        <v>1</v>
      </c>
    </row>
    <row r="424" spans="1:26" x14ac:dyDescent="0.25">
      <c r="A424" s="37" t="str">
        <f>Equipos!C422</f>
        <v>2-112722</v>
      </c>
      <c r="B424" s="33" t="str">
        <f>Equipos!D422</f>
        <v>Monitor Multiparámetros</v>
      </c>
      <c r="C424" s="33" t="str">
        <f>Equipos!E422</f>
        <v>Urgencias Gineco-Obstétricas</v>
      </c>
      <c r="D424" s="33" t="str">
        <f>Equipos!G422</f>
        <v>Preparto 2</v>
      </c>
      <c r="E424" s="33" t="str">
        <f>Equipos!I422</f>
        <v>Philips</v>
      </c>
      <c r="F424" s="33" t="str">
        <f>Equipos!J422</f>
        <v>VM6</v>
      </c>
      <c r="G424" s="37" t="str">
        <f>Equipos!K422</f>
        <v>US74915948</v>
      </c>
      <c r="H424" s="33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3">
        <f t="shared" si="30"/>
        <v>0</v>
      </c>
      <c r="V424" s="33">
        <f t="shared" si="31"/>
        <v>0</v>
      </c>
      <c r="W424" s="33">
        <f t="shared" si="32"/>
        <v>0</v>
      </c>
      <c r="X424" s="33">
        <f t="shared" si="33"/>
        <v>0</v>
      </c>
      <c r="Y424" s="33">
        <f ca="1">SUMPRODUCT((I424:INDEX(I424:T424,MONTH(TODAY()))="X")*1)</f>
        <v>0</v>
      </c>
      <c r="Z424" s="39" t="str">
        <f t="shared" si="34"/>
        <v/>
      </c>
    </row>
    <row r="425" spans="1:26" x14ac:dyDescent="0.25">
      <c r="A425" s="37" t="str">
        <f>Equipos!C423</f>
        <v>2-015901</v>
      </c>
      <c r="B425" s="33" t="str">
        <f>Equipos!D423</f>
        <v>Monitor Multiparámetros</v>
      </c>
      <c r="C425" s="33" t="str">
        <f>Equipos!E423</f>
        <v>Urgencias Gineco-Obstétricas</v>
      </c>
      <c r="D425" s="33" t="str">
        <f>Equipos!G423</f>
        <v>Preparto 1</v>
      </c>
      <c r="E425" s="33" t="str">
        <f>Equipos!I423</f>
        <v>Philips</v>
      </c>
      <c r="F425" s="33" t="str">
        <f>Equipos!J423</f>
        <v>VM6</v>
      </c>
      <c r="G425" s="37" t="str">
        <f>Equipos!K423</f>
        <v>US74915942</v>
      </c>
      <c r="H425" s="33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3">
        <f t="shared" si="30"/>
        <v>0</v>
      </c>
      <c r="V425" s="33">
        <f t="shared" si="31"/>
        <v>0</v>
      </c>
      <c r="W425" s="33">
        <f t="shared" si="32"/>
        <v>0</v>
      </c>
      <c r="X425" s="33">
        <f t="shared" si="33"/>
        <v>0</v>
      </c>
      <c r="Y425" s="33">
        <f ca="1">SUMPRODUCT((I425:INDEX(I425:T425,MONTH(TODAY()))="X")*1)</f>
        <v>0</v>
      </c>
      <c r="Z425" s="39" t="str">
        <f t="shared" si="34"/>
        <v/>
      </c>
    </row>
    <row r="426" spans="1:26" x14ac:dyDescent="0.25">
      <c r="A426" s="37" t="str">
        <f>Equipos!C424</f>
        <v>2-125217</v>
      </c>
      <c r="B426" s="33" t="str">
        <f>Equipos!D424</f>
        <v>Monitor Multiparámetros</v>
      </c>
      <c r="C426" s="33" t="str">
        <f>Equipos!E424</f>
        <v>SAMU</v>
      </c>
      <c r="D426" s="33" t="str">
        <f>Equipos!G424</f>
        <v>Base 1</v>
      </c>
      <c r="E426" s="33" t="str">
        <f>Equipos!I424</f>
        <v xml:space="preserve">Nihon Kohden </v>
      </c>
      <c r="F426" s="33" t="str">
        <f>Equipos!J424</f>
        <v>BSM-1763</v>
      </c>
      <c r="G426" s="37" t="str">
        <f>Equipos!K424</f>
        <v>10912</v>
      </c>
      <c r="H426" s="33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3">
        <f t="shared" si="30"/>
        <v>0</v>
      </c>
      <c r="V426" s="33">
        <f t="shared" si="31"/>
        <v>0</v>
      </c>
      <c r="W426" s="33">
        <f t="shared" si="32"/>
        <v>0</v>
      </c>
      <c r="X426" s="33">
        <f t="shared" si="33"/>
        <v>0</v>
      </c>
      <c r="Y426" s="33">
        <f ca="1">SUMPRODUCT((I426:INDEX(I426:T426,MONTH(TODAY()))="X")*1)</f>
        <v>0</v>
      </c>
      <c r="Z426" s="39" t="str">
        <f t="shared" si="34"/>
        <v/>
      </c>
    </row>
    <row r="427" spans="1:26" x14ac:dyDescent="0.25">
      <c r="A427" s="37" t="str">
        <f>Equipos!C425</f>
        <v>2-125218</v>
      </c>
      <c r="B427" s="33" t="str">
        <f>Equipos!D425</f>
        <v>Monitor Multiparámetros</v>
      </c>
      <c r="C427" s="33" t="str">
        <f>Equipos!E425</f>
        <v>SAMU</v>
      </c>
      <c r="D427" s="33" t="str">
        <f>Equipos!G425</f>
        <v>Base 1</v>
      </c>
      <c r="E427" s="33" t="str">
        <f>Equipos!I425</f>
        <v xml:space="preserve">Nihon Kohden </v>
      </c>
      <c r="F427" s="33" t="str">
        <f>Equipos!J425</f>
        <v>BSM-1763</v>
      </c>
      <c r="G427" s="37" t="str">
        <f>Equipos!K425</f>
        <v>10919</v>
      </c>
      <c r="H427" s="33"/>
      <c r="I427" s="38"/>
      <c r="J427" s="38"/>
      <c r="K427" s="38"/>
      <c r="L427" s="50" t="s">
        <v>275</v>
      </c>
      <c r="M427" s="38"/>
      <c r="N427" s="38"/>
      <c r="O427" s="38"/>
      <c r="P427" s="38"/>
      <c r="Q427" s="38"/>
      <c r="R427" s="38"/>
      <c r="S427" s="38"/>
      <c r="T427" s="38"/>
      <c r="U427" s="33">
        <f t="shared" si="30"/>
        <v>1</v>
      </c>
      <c r="V427" s="33">
        <f t="shared" si="31"/>
        <v>1</v>
      </c>
      <c r="W427" s="33">
        <f t="shared" si="32"/>
        <v>0</v>
      </c>
      <c r="X427" s="33">
        <f t="shared" si="33"/>
        <v>0</v>
      </c>
      <c r="Y427" s="33">
        <f ca="1">SUMPRODUCT((I427:INDEX(I427:T427,MONTH(TODAY()))="X")*1)</f>
        <v>0</v>
      </c>
      <c r="Z427" s="39">
        <f t="shared" si="34"/>
        <v>1</v>
      </c>
    </row>
    <row r="428" spans="1:26" x14ac:dyDescent="0.25">
      <c r="A428" s="37" t="str">
        <f>Equipos!C426</f>
        <v>2-133062</v>
      </c>
      <c r="B428" s="33" t="str">
        <f>Equipos!D426</f>
        <v>Monitor Multiparámetros</v>
      </c>
      <c r="C428" s="33" t="str">
        <f>Equipos!E426</f>
        <v>Hemato Oncología Adulto</v>
      </c>
      <c r="D428" s="33">
        <f>Equipos!G426</f>
        <v>0</v>
      </c>
      <c r="E428" s="33" t="str">
        <f>Equipos!I426</f>
        <v>Drager</v>
      </c>
      <c r="F428" s="33" t="str">
        <f>Equipos!J426</f>
        <v>Vista 120 S</v>
      </c>
      <c r="G428" s="37" t="str">
        <f>Equipos!K426</f>
        <v>S2SRF0982</v>
      </c>
      <c r="H428" s="33"/>
      <c r="I428" s="38"/>
      <c r="J428" s="38"/>
      <c r="K428" s="50" t="s">
        <v>276</v>
      </c>
      <c r="L428" s="38"/>
      <c r="M428" s="38"/>
      <c r="N428" s="38"/>
      <c r="O428" s="38"/>
      <c r="P428" s="38"/>
      <c r="Q428" s="38"/>
      <c r="R428" s="38"/>
      <c r="S428" s="38"/>
      <c r="T428" s="38"/>
      <c r="U428" s="33">
        <f t="shared" si="30"/>
        <v>1</v>
      </c>
      <c r="V428" s="33">
        <f t="shared" si="31"/>
        <v>0</v>
      </c>
      <c r="W428" s="33">
        <f t="shared" si="32"/>
        <v>0</v>
      </c>
      <c r="X428" s="33">
        <f t="shared" si="33"/>
        <v>0</v>
      </c>
      <c r="Y428" s="33">
        <f ca="1">SUMPRODUCT((I428:INDEX(I428:T428,MONTH(TODAY()))="X")*1)</f>
        <v>0</v>
      </c>
      <c r="Z428" s="39">
        <f t="shared" si="34"/>
        <v>0</v>
      </c>
    </row>
    <row r="429" spans="1:26" x14ac:dyDescent="0.25">
      <c r="A429" s="37" t="str">
        <f>Equipos!C427</f>
        <v>2-133063</v>
      </c>
      <c r="B429" s="33" t="str">
        <f>Equipos!D427</f>
        <v>Monitor Multiparámetros</v>
      </c>
      <c r="C429" s="33" t="str">
        <f>Equipos!E427</f>
        <v>Hemato Oncología Adulto</v>
      </c>
      <c r="D429" s="33">
        <f>Equipos!G427</f>
        <v>0</v>
      </c>
      <c r="E429" s="33" t="str">
        <f>Equipos!I427</f>
        <v>Drager</v>
      </c>
      <c r="F429" s="33" t="str">
        <f>Equipos!J427</f>
        <v>Vista 120 S</v>
      </c>
      <c r="G429" s="37" t="str">
        <f>Equipos!K427</f>
        <v>S2SRF0969</v>
      </c>
      <c r="H429" s="33"/>
      <c r="I429" s="38"/>
      <c r="J429" s="38"/>
      <c r="K429" s="50" t="s">
        <v>276</v>
      </c>
      <c r="L429" s="50" t="s">
        <v>275</v>
      </c>
      <c r="M429" s="38"/>
      <c r="N429" s="38"/>
      <c r="O429" s="38"/>
      <c r="P429" s="38"/>
      <c r="Q429" s="38"/>
      <c r="R429" s="38"/>
      <c r="S429" s="38"/>
      <c r="T429" s="38"/>
      <c r="U429" s="33">
        <f t="shared" si="30"/>
        <v>2</v>
      </c>
      <c r="V429" s="33">
        <f t="shared" si="31"/>
        <v>1</v>
      </c>
      <c r="W429" s="33">
        <f t="shared" si="32"/>
        <v>0</v>
      </c>
      <c r="X429" s="33">
        <f t="shared" si="33"/>
        <v>0</v>
      </c>
      <c r="Y429" s="33">
        <f ca="1">SUMPRODUCT((I429:INDEX(I429:T429,MONTH(TODAY()))="X")*1)</f>
        <v>0</v>
      </c>
      <c r="Z429" s="39">
        <f t="shared" si="34"/>
        <v>0.5</v>
      </c>
    </row>
    <row r="430" spans="1:26" x14ac:dyDescent="0.25">
      <c r="A430" s="37" t="str">
        <f>Equipos!C428</f>
        <v>2-134896</v>
      </c>
      <c r="B430" s="33" t="str">
        <f>Equipos!D428</f>
        <v>Monitor Multiparámetros</v>
      </c>
      <c r="C430" s="33" t="str">
        <f>Equipos!E428</f>
        <v>CR ONCOLOGICO AMBULATORIO</v>
      </c>
      <c r="D430" s="33" t="str">
        <f>Equipos!G428</f>
        <v>MODLULO ZD CTD</v>
      </c>
      <c r="E430" s="33" t="str">
        <f>Equipos!I428</f>
        <v>NORTHERN</v>
      </c>
      <c r="F430" s="33" t="str">
        <f>Equipos!J428</f>
        <v>Aquarius ECG</v>
      </c>
      <c r="G430" s="37" t="str">
        <f>Equipos!K428</f>
        <v>JH01B910030</v>
      </c>
      <c r="H430" s="33"/>
      <c r="I430" s="38"/>
      <c r="J430" s="50" t="s">
        <v>276</v>
      </c>
      <c r="K430" s="50" t="s">
        <v>275</v>
      </c>
      <c r="L430" s="38"/>
      <c r="M430" s="38"/>
      <c r="N430" s="38"/>
      <c r="O430" s="38"/>
      <c r="P430" s="38"/>
      <c r="Q430" s="38"/>
      <c r="R430" s="38"/>
      <c r="S430" s="38"/>
      <c r="T430" s="38"/>
      <c r="U430" s="33">
        <f t="shared" si="30"/>
        <v>2</v>
      </c>
      <c r="V430" s="33">
        <f t="shared" si="31"/>
        <v>1</v>
      </c>
      <c r="W430" s="33">
        <f t="shared" si="32"/>
        <v>0</v>
      </c>
      <c r="X430" s="33">
        <f t="shared" si="33"/>
        <v>0</v>
      </c>
      <c r="Y430" s="33">
        <f ca="1">SUMPRODUCT((I430:INDEX(I430:T430,MONTH(TODAY()))="X")*1)</f>
        <v>0</v>
      </c>
      <c r="Z430" s="39">
        <f t="shared" si="34"/>
        <v>0.5</v>
      </c>
    </row>
    <row r="431" spans="1:26" x14ac:dyDescent="0.25">
      <c r="A431" s="37" t="str">
        <f>Equipos!C429</f>
        <v>2-133064</v>
      </c>
      <c r="B431" s="33" t="str">
        <f>Equipos!D429</f>
        <v>Monitor Multiparámetros</v>
      </c>
      <c r="C431" s="33" t="str">
        <f>Equipos!E429</f>
        <v>Hemato Oncología Adulto</v>
      </c>
      <c r="D431" s="33">
        <f>Equipos!G429</f>
        <v>0</v>
      </c>
      <c r="E431" s="33" t="str">
        <f>Equipos!I429</f>
        <v>Drager</v>
      </c>
      <c r="F431" s="33" t="str">
        <f>Equipos!J429</f>
        <v>Vista 120 S</v>
      </c>
      <c r="G431" s="37" t="str">
        <f>Equipos!K429</f>
        <v>S2SRF0978</v>
      </c>
      <c r="H431" s="33"/>
      <c r="I431" s="38"/>
      <c r="J431" s="38"/>
      <c r="K431" s="50" t="s">
        <v>276</v>
      </c>
      <c r="L431" s="50" t="s">
        <v>277</v>
      </c>
      <c r="M431" s="38"/>
      <c r="N431" s="38"/>
      <c r="O431" s="38"/>
      <c r="P431" s="38"/>
      <c r="Q431" s="38"/>
      <c r="R431" s="38"/>
      <c r="S431" s="38"/>
      <c r="T431" s="38"/>
      <c r="U431" s="33">
        <f t="shared" si="30"/>
        <v>2</v>
      </c>
      <c r="V431" s="33">
        <f t="shared" si="31"/>
        <v>0</v>
      </c>
      <c r="W431" s="33">
        <f t="shared" si="32"/>
        <v>0</v>
      </c>
      <c r="X431" s="33">
        <f t="shared" si="33"/>
        <v>1</v>
      </c>
      <c r="Y431" s="33">
        <f ca="1">SUMPRODUCT((I431:INDEX(I431:T431,MONTH(TODAY()))="X")*1)</f>
        <v>0</v>
      </c>
      <c r="Z431" s="39">
        <f t="shared" si="34"/>
        <v>0</v>
      </c>
    </row>
    <row r="432" spans="1:26" x14ac:dyDescent="0.25">
      <c r="A432" s="37" t="str">
        <f>Equipos!C430</f>
        <v>2-116524</v>
      </c>
      <c r="B432" s="33" t="str">
        <f>Equipos!D430</f>
        <v>Monitor Multiparámetros</v>
      </c>
      <c r="C432" s="33" t="str">
        <f>Equipos!E430</f>
        <v>UPC Pediátrica</v>
      </c>
      <c r="D432" s="33" t="str">
        <f>Equipos!G430</f>
        <v>Cama 1</v>
      </c>
      <c r="E432" s="33" t="str">
        <f>Equipos!I430</f>
        <v>SPACELABS HEALTHCARE</v>
      </c>
      <c r="F432" s="33" t="str">
        <f>Equipos!J430</f>
        <v>XPREZZON</v>
      </c>
      <c r="G432" s="37" t="str">
        <f>Equipos!K430</f>
        <v>1393-109326</v>
      </c>
      <c r="H432" s="33"/>
      <c r="I432" s="50" t="s">
        <v>276</v>
      </c>
      <c r="J432" s="50" t="s">
        <v>275</v>
      </c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3">
        <f t="shared" si="30"/>
        <v>2</v>
      </c>
      <c r="V432" s="33">
        <f t="shared" si="31"/>
        <v>1</v>
      </c>
      <c r="W432" s="33">
        <f t="shared" si="32"/>
        <v>0</v>
      </c>
      <c r="X432" s="33">
        <f t="shared" si="33"/>
        <v>0</v>
      </c>
      <c r="Y432" s="33">
        <f ca="1">SUMPRODUCT((I432:INDEX(I432:T432,MONTH(TODAY()))="X")*1)</f>
        <v>0</v>
      </c>
      <c r="Z432" s="39">
        <f t="shared" si="34"/>
        <v>0.5</v>
      </c>
    </row>
    <row r="433" spans="1:26" x14ac:dyDescent="0.25">
      <c r="A433" s="37" t="str">
        <f>Equipos!C431</f>
        <v>2-133065</v>
      </c>
      <c r="B433" s="33" t="str">
        <f>Equipos!D431</f>
        <v>Monitor Multiparámetros</v>
      </c>
      <c r="C433" s="33" t="str">
        <f>Equipos!E431</f>
        <v>Hemato Oncología Adulto</v>
      </c>
      <c r="D433" s="33">
        <f>Equipos!G431</f>
        <v>0</v>
      </c>
      <c r="E433" s="33" t="str">
        <f>Equipos!I431</f>
        <v>Drager</v>
      </c>
      <c r="F433" s="33" t="str">
        <f>Equipos!J431</f>
        <v>Vista 120 S</v>
      </c>
      <c r="G433" s="37" t="str">
        <f>Equipos!K431</f>
        <v>S2SRF0975</v>
      </c>
      <c r="H433" s="33"/>
      <c r="I433" s="38"/>
      <c r="J433" s="38"/>
      <c r="K433" s="50" t="s">
        <v>276</v>
      </c>
      <c r="L433" s="50" t="s">
        <v>277</v>
      </c>
      <c r="M433" s="38"/>
      <c r="N433" s="38"/>
      <c r="O433" s="38"/>
      <c r="P433" s="38"/>
      <c r="Q433" s="38"/>
      <c r="R433" s="38"/>
      <c r="S433" s="38"/>
      <c r="T433" s="38"/>
      <c r="U433" s="33">
        <f t="shared" si="30"/>
        <v>2</v>
      </c>
      <c r="V433" s="33">
        <f t="shared" si="31"/>
        <v>0</v>
      </c>
      <c r="W433" s="33">
        <f t="shared" si="32"/>
        <v>0</v>
      </c>
      <c r="X433" s="33">
        <f t="shared" si="33"/>
        <v>1</v>
      </c>
      <c r="Y433" s="33">
        <f ca="1">SUMPRODUCT((I433:INDEX(I433:T433,MONTH(TODAY()))="X")*1)</f>
        <v>0</v>
      </c>
      <c r="Z433" s="39">
        <f t="shared" si="34"/>
        <v>0</v>
      </c>
    </row>
    <row r="434" spans="1:26" x14ac:dyDescent="0.25">
      <c r="A434" s="37" t="str">
        <f>Equipos!C432</f>
        <v>2-017381</v>
      </c>
      <c r="B434" s="33" t="str">
        <f>Equipos!D432</f>
        <v>Monitor Multiparámetros</v>
      </c>
      <c r="C434" s="33" t="str">
        <f>Equipos!E432</f>
        <v>Pabellón Quirúrgico (Prestado a Imagenología)</v>
      </c>
      <c r="D434" s="33" t="str">
        <f>Equipos!G432</f>
        <v>Angiógrafo zócalo</v>
      </c>
      <c r="E434" s="33" t="str">
        <f>Equipos!I432</f>
        <v xml:space="preserve">Drager </v>
      </c>
      <c r="F434" s="33" t="str">
        <f>Equipos!J432</f>
        <v>Infinity Kappa</v>
      </c>
      <c r="G434" s="37" t="str">
        <f>Equipos!K432</f>
        <v>5494757898</v>
      </c>
      <c r="H434" s="33"/>
      <c r="I434" s="38"/>
      <c r="J434" s="38"/>
      <c r="K434" s="38"/>
      <c r="L434" s="50" t="s">
        <v>275</v>
      </c>
      <c r="M434" s="38"/>
      <c r="N434" s="38"/>
      <c r="O434" s="38"/>
      <c r="P434" s="38"/>
      <c r="Q434" s="38"/>
      <c r="R434" s="38"/>
      <c r="S434" s="38"/>
      <c r="T434" s="38"/>
      <c r="U434" s="33">
        <f t="shared" si="30"/>
        <v>1</v>
      </c>
      <c r="V434" s="33">
        <f t="shared" si="31"/>
        <v>1</v>
      </c>
      <c r="W434" s="33">
        <f t="shared" si="32"/>
        <v>0</v>
      </c>
      <c r="X434" s="33">
        <f t="shared" si="33"/>
        <v>0</v>
      </c>
      <c r="Y434" s="33">
        <f ca="1">SUMPRODUCT((I434:INDEX(I434:T434,MONTH(TODAY()))="X")*1)</f>
        <v>0</v>
      </c>
      <c r="Z434" s="39">
        <f t="shared" si="34"/>
        <v>1</v>
      </c>
    </row>
    <row r="435" spans="1:26" x14ac:dyDescent="0.25">
      <c r="A435" s="37" t="str">
        <f>Equipos!C433</f>
        <v>2-112531</v>
      </c>
      <c r="B435" s="33" t="str">
        <f>Equipos!D433</f>
        <v>Monitor Multiparámetros</v>
      </c>
      <c r="C435" s="33" t="str">
        <f>Equipos!E433</f>
        <v>Pabellones Gineco-Obstétricos</v>
      </c>
      <c r="D435" s="33">
        <f>Equipos!G433</f>
        <v>0</v>
      </c>
      <c r="E435" s="33" t="str">
        <f>Equipos!I433</f>
        <v xml:space="preserve">Drager </v>
      </c>
      <c r="F435" s="33" t="str">
        <f>Equipos!J433</f>
        <v>Infinity Kappa</v>
      </c>
      <c r="G435" s="37" t="str">
        <f>Equipos!K433</f>
        <v>5494770058</v>
      </c>
      <c r="H435" s="33"/>
      <c r="I435" s="38"/>
      <c r="J435" s="38"/>
      <c r="K435" s="38"/>
      <c r="L435" s="38"/>
      <c r="M435" s="50" t="s">
        <v>275</v>
      </c>
      <c r="N435" s="38"/>
      <c r="O435" s="38"/>
      <c r="P435" s="38"/>
      <c r="Q435" s="38"/>
      <c r="R435" s="38"/>
      <c r="S435" s="38"/>
      <c r="T435" s="38"/>
      <c r="U435" s="33">
        <f t="shared" si="30"/>
        <v>1</v>
      </c>
      <c r="V435" s="33">
        <f t="shared" si="31"/>
        <v>1</v>
      </c>
      <c r="W435" s="33">
        <f t="shared" si="32"/>
        <v>0</v>
      </c>
      <c r="X435" s="33">
        <f t="shared" si="33"/>
        <v>0</v>
      </c>
      <c r="Y435" s="33">
        <f ca="1">SUMPRODUCT((I435:INDEX(I435:T435,MONTH(TODAY()))="X")*1)</f>
        <v>0</v>
      </c>
      <c r="Z435" s="39">
        <f t="shared" si="34"/>
        <v>1</v>
      </c>
    </row>
    <row r="436" spans="1:26" x14ac:dyDescent="0.25">
      <c r="A436" s="37" t="str">
        <f>Equipos!C434</f>
        <v>2-024460</v>
      </c>
      <c r="B436" s="33" t="str">
        <f>Equipos!D434</f>
        <v>Monitor Multiparámetros</v>
      </c>
      <c r="C436" s="33" t="str">
        <f>Equipos!E434</f>
        <v>Pabellón Quirúrgico</v>
      </c>
      <c r="D436" s="33">
        <f>Equipos!G434</f>
        <v>0</v>
      </c>
      <c r="E436" s="33" t="str">
        <f>Equipos!I434</f>
        <v xml:space="preserve">Drager </v>
      </c>
      <c r="F436" s="33" t="str">
        <f>Equipos!J434</f>
        <v>Infinity Kappa</v>
      </c>
      <c r="G436" s="37" t="str">
        <f>Equipos!K434</f>
        <v>5494537845</v>
      </c>
      <c r="H436" s="33"/>
      <c r="I436" s="38"/>
      <c r="J436" s="38"/>
      <c r="K436" s="38"/>
      <c r="L436" s="50" t="s">
        <v>275</v>
      </c>
      <c r="M436" s="38"/>
      <c r="N436" s="38"/>
      <c r="O436" s="38"/>
      <c r="P436" s="38"/>
      <c r="Q436" s="38"/>
      <c r="R436" s="38"/>
      <c r="S436" s="38"/>
      <c r="T436" s="38"/>
      <c r="U436" s="33">
        <f t="shared" si="30"/>
        <v>1</v>
      </c>
      <c r="V436" s="33">
        <f t="shared" si="31"/>
        <v>1</v>
      </c>
      <c r="W436" s="33">
        <f t="shared" si="32"/>
        <v>0</v>
      </c>
      <c r="X436" s="33">
        <f t="shared" si="33"/>
        <v>0</v>
      </c>
      <c r="Y436" s="33">
        <f ca="1">SUMPRODUCT((I436:INDEX(I436:T436,MONTH(TODAY()))="X")*1)</f>
        <v>0</v>
      </c>
      <c r="Z436" s="39">
        <f t="shared" si="34"/>
        <v>1</v>
      </c>
    </row>
    <row r="437" spans="1:26" x14ac:dyDescent="0.25">
      <c r="A437" s="37" t="str">
        <f>Equipos!C435</f>
        <v>2-121188</v>
      </c>
      <c r="B437" s="33" t="str">
        <f>Equipos!D435</f>
        <v>Monitor Multiparámetros</v>
      </c>
      <c r="C437" s="33" t="str">
        <f>Equipos!E435</f>
        <v>Medicina</v>
      </c>
      <c r="D437" s="33" t="str">
        <f>Equipos!G435</f>
        <v>510-2E</v>
      </c>
      <c r="E437" s="33" t="str">
        <f>Equipos!I435</f>
        <v xml:space="preserve">Nihon Kohden </v>
      </c>
      <c r="F437" s="33" t="str">
        <f>Equipos!J435</f>
        <v>BSM-3562K</v>
      </c>
      <c r="G437" s="37" t="str">
        <f>Equipos!K435</f>
        <v>29761</v>
      </c>
      <c r="H437" s="33"/>
      <c r="I437" s="38"/>
      <c r="J437" s="50" t="s">
        <v>275</v>
      </c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3">
        <f t="shared" si="30"/>
        <v>1</v>
      </c>
      <c r="V437" s="33">
        <f t="shared" si="31"/>
        <v>1</v>
      </c>
      <c r="W437" s="33">
        <f t="shared" si="32"/>
        <v>0</v>
      </c>
      <c r="X437" s="33">
        <f t="shared" si="33"/>
        <v>0</v>
      </c>
      <c r="Y437" s="33">
        <f ca="1">SUMPRODUCT((I437:INDEX(I437:T437,MONTH(TODAY()))="X")*1)</f>
        <v>0</v>
      </c>
      <c r="Z437" s="39">
        <f t="shared" si="34"/>
        <v>1</v>
      </c>
    </row>
    <row r="438" spans="1:26" x14ac:dyDescent="0.25">
      <c r="A438" s="37" t="str">
        <f>Equipos!C436</f>
        <v>2-017347</v>
      </c>
      <c r="B438" s="33" t="str">
        <f>Equipos!D436</f>
        <v>Monitor Multiparámetros</v>
      </c>
      <c r="C438" s="33" t="str">
        <f>Equipos!E436</f>
        <v>Pabellón Quirúrgico</v>
      </c>
      <c r="D438" s="33" t="str">
        <f>Equipos!G436</f>
        <v>Angiógrafo FD20</v>
      </c>
      <c r="E438" s="33" t="str">
        <f>Equipos!I436</f>
        <v xml:space="preserve">Drager </v>
      </c>
      <c r="F438" s="33" t="str">
        <f>Equipos!J436</f>
        <v>Infinity Kappa</v>
      </c>
      <c r="G438" s="37" t="str">
        <f>Equipos!K436</f>
        <v>5493645944</v>
      </c>
      <c r="H438" s="33"/>
      <c r="I438" s="38"/>
      <c r="J438" s="38"/>
      <c r="K438" s="38"/>
      <c r="L438" s="50" t="s">
        <v>275</v>
      </c>
      <c r="M438" s="38"/>
      <c r="N438" s="38"/>
      <c r="O438" s="38"/>
      <c r="P438" s="38"/>
      <c r="Q438" s="38"/>
      <c r="R438" s="38"/>
      <c r="S438" s="38"/>
      <c r="T438" s="38"/>
      <c r="U438" s="33">
        <f t="shared" si="30"/>
        <v>1</v>
      </c>
      <c r="V438" s="33">
        <f t="shared" si="31"/>
        <v>1</v>
      </c>
      <c r="W438" s="33">
        <f t="shared" si="32"/>
        <v>0</v>
      </c>
      <c r="X438" s="33">
        <f t="shared" si="33"/>
        <v>0</v>
      </c>
      <c r="Y438" s="33">
        <f ca="1">SUMPRODUCT((I438:INDEX(I438:T438,MONTH(TODAY()))="X")*1)</f>
        <v>0</v>
      </c>
      <c r="Z438" s="39">
        <f t="shared" si="34"/>
        <v>1</v>
      </c>
    </row>
    <row r="439" spans="1:26" x14ac:dyDescent="0.25">
      <c r="A439" s="37" t="str">
        <f>Equipos!C437</f>
        <v>2-022637</v>
      </c>
      <c r="B439" s="33" t="str">
        <f>Equipos!D437</f>
        <v>Monitor Multiparámetros</v>
      </c>
      <c r="C439" s="33" t="str">
        <f>Equipos!E437</f>
        <v>Pabellones Gineco-Obstétricos</v>
      </c>
      <c r="D439" s="33" t="str">
        <f>Equipos!G437</f>
        <v>Pasillo</v>
      </c>
      <c r="E439" s="33" t="str">
        <f>Equipos!I437</f>
        <v xml:space="preserve">Drager </v>
      </c>
      <c r="F439" s="33" t="str">
        <f>Equipos!J437</f>
        <v>Infinity Kappa</v>
      </c>
      <c r="G439" s="37" t="str">
        <f>Equipos!K437</f>
        <v>5494286652</v>
      </c>
      <c r="H439" s="33"/>
      <c r="I439" s="38"/>
      <c r="J439" s="38"/>
      <c r="K439" s="38"/>
      <c r="L439" s="38"/>
      <c r="M439" s="50" t="s">
        <v>275</v>
      </c>
      <c r="N439" s="38"/>
      <c r="O439" s="38"/>
      <c r="P439" s="38"/>
      <c r="Q439" s="38"/>
      <c r="R439" s="38"/>
      <c r="S439" s="38"/>
      <c r="T439" s="38"/>
      <c r="U439" s="33">
        <f t="shared" si="30"/>
        <v>1</v>
      </c>
      <c r="V439" s="33">
        <f t="shared" si="31"/>
        <v>1</v>
      </c>
      <c r="W439" s="33">
        <f t="shared" si="32"/>
        <v>0</v>
      </c>
      <c r="X439" s="33">
        <f t="shared" si="33"/>
        <v>0</v>
      </c>
      <c r="Y439" s="33">
        <f ca="1">SUMPRODUCT((I439:INDEX(I439:T439,MONTH(TODAY()))="X")*1)</f>
        <v>0</v>
      </c>
      <c r="Z439" s="39">
        <f t="shared" si="34"/>
        <v>1</v>
      </c>
    </row>
    <row r="440" spans="1:26" x14ac:dyDescent="0.25">
      <c r="A440" s="37" t="str">
        <f>Equipos!C438</f>
        <v>2-016196</v>
      </c>
      <c r="B440" s="33" t="str">
        <f>Equipos!D438</f>
        <v>Monitor Multiparámetros</v>
      </c>
      <c r="C440" s="33" t="str">
        <f>Equipos!E438</f>
        <v>Pabellón Quirúrgico</v>
      </c>
      <c r="D440" s="33" t="str">
        <f>Equipos!G438</f>
        <v>Pre Anestesia</v>
      </c>
      <c r="E440" s="33" t="str">
        <f>Equipos!I438</f>
        <v xml:space="preserve">Drager </v>
      </c>
      <c r="F440" s="33" t="str">
        <f>Equipos!J438</f>
        <v>Infinity Kappa</v>
      </c>
      <c r="G440" s="37" t="str">
        <f>Equipos!K438</f>
        <v>5493642252</v>
      </c>
      <c r="H440" s="33"/>
      <c r="I440" s="38"/>
      <c r="J440" s="38"/>
      <c r="K440" s="38"/>
      <c r="L440" s="50" t="s">
        <v>275</v>
      </c>
      <c r="M440" s="38"/>
      <c r="N440" s="38"/>
      <c r="O440" s="38"/>
      <c r="P440" s="38"/>
      <c r="Q440" s="38"/>
      <c r="R440" s="38"/>
      <c r="S440" s="38"/>
      <c r="T440" s="38"/>
      <c r="U440" s="33">
        <f t="shared" si="30"/>
        <v>1</v>
      </c>
      <c r="V440" s="33">
        <f t="shared" si="31"/>
        <v>1</v>
      </c>
      <c r="W440" s="33">
        <f t="shared" si="32"/>
        <v>0</v>
      </c>
      <c r="X440" s="33">
        <f t="shared" si="33"/>
        <v>0</v>
      </c>
      <c r="Y440" s="33">
        <f ca="1">SUMPRODUCT((I440:INDEX(I440:T440,MONTH(TODAY()))="X")*1)</f>
        <v>0</v>
      </c>
      <c r="Z440" s="39">
        <f t="shared" si="34"/>
        <v>1</v>
      </c>
    </row>
    <row r="441" spans="1:26" x14ac:dyDescent="0.25">
      <c r="A441" s="37" t="str">
        <f>Equipos!C439</f>
        <v>2-116503</v>
      </c>
      <c r="B441" s="33" t="str">
        <f>Equipos!D439</f>
        <v>Monitor Multiparámetros</v>
      </c>
      <c r="C441" s="33" t="str">
        <f>Equipos!E439</f>
        <v>UPC Pediátrica</v>
      </c>
      <c r="D441" s="33" t="str">
        <f>Equipos!G439</f>
        <v>Cama 1</v>
      </c>
      <c r="E441" s="33" t="str">
        <f>Equipos!I439</f>
        <v>SPACELABS HEALTHCARE</v>
      </c>
      <c r="F441" s="33" t="str">
        <f>Equipos!J439</f>
        <v>XPREZZON</v>
      </c>
      <c r="G441" s="37" t="str">
        <f>Equipos!K439</f>
        <v>1393-109311</v>
      </c>
      <c r="H441" s="33"/>
      <c r="I441" s="50" t="s">
        <v>276</v>
      </c>
      <c r="J441" s="50" t="s">
        <v>275</v>
      </c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3">
        <f t="shared" si="30"/>
        <v>2</v>
      </c>
      <c r="V441" s="33">
        <f t="shared" si="31"/>
        <v>1</v>
      </c>
      <c r="W441" s="33">
        <f t="shared" si="32"/>
        <v>0</v>
      </c>
      <c r="X441" s="33">
        <f t="shared" si="33"/>
        <v>0</v>
      </c>
      <c r="Y441" s="33">
        <f ca="1">SUMPRODUCT((I441:INDEX(I441:T441,MONTH(TODAY()))="X")*1)</f>
        <v>0</v>
      </c>
      <c r="Z441" s="39">
        <f t="shared" si="34"/>
        <v>0.5</v>
      </c>
    </row>
    <row r="442" spans="1:26" x14ac:dyDescent="0.25">
      <c r="A442" s="37" t="str">
        <f>Equipos!C440</f>
        <v>2-112502</v>
      </c>
      <c r="B442" s="33" t="str">
        <f>Equipos!D440</f>
        <v>Monitor Multiparámetros</v>
      </c>
      <c r="C442" s="33" t="str">
        <f>Equipos!E440</f>
        <v>Cardiología</v>
      </c>
      <c r="D442" s="33" t="str">
        <f>Equipos!G440</f>
        <v>Modulo C box Eco</v>
      </c>
      <c r="E442" s="33" t="str">
        <f>Equipos!I440</f>
        <v xml:space="preserve">Drager </v>
      </c>
      <c r="F442" s="33" t="str">
        <f>Equipos!J440</f>
        <v>Infinity Vista</v>
      </c>
      <c r="G442" s="37" t="str">
        <f>Equipos!K440</f>
        <v>5395660070</v>
      </c>
      <c r="H442" s="33"/>
      <c r="I442" s="38"/>
      <c r="J442" s="38"/>
      <c r="K442" s="50" t="s">
        <v>276</v>
      </c>
      <c r="L442" s="50" t="s">
        <v>275</v>
      </c>
      <c r="M442" s="38"/>
      <c r="N442" s="38"/>
      <c r="O442" s="38"/>
      <c r="P442" s="38"/>
      <c r="Q442" s="38"/>
      <c r="R442" s="38"/>
      <c r="S442" s="38"/>
      <c r="T442" s="38"/>
      <c r="U442" s="33">
        <f t="shared" si="30"/>
        <v>2</v>
      </c>
      <c r="V442" s="33">
        <f t="shared" si="31"/>
        <v>1</v>
      </c>
      <c r="W442" s="33">
        <f t="shared" si="32"/>
        <v>0</v>
      </c>
      <c r="X442" s="33">
        <f t="shared" si="33"/>
        <v>0</v>
      </c>
      <c r="Y442" s="33">
        <f ca="1">SUMPRODUCT((I442:INDEX(I442:T442,MONTH(TODAY()))="X")*1)</f>
        <v>0</v>
      </c>
      <c r="Z442" s="39">
        <f t="shared" si="34"/>
        <v>0.5</v>
      </c>
    </row>
    <row r="443" spans="1:26" x14ac:dyDescent="0.25">
      <c r="A443" s="37" t="str">
        <f>Equipos!C441</f>
        <v>2-112572</v>
      </c>
      <c r="B443" s="33" t="str">
        <f>Equipos!D441</f>
        <v>Monitor Multiparámetros</v>
      </c>
      <c r="C443" s="33" t="str">
        <f>Equipos!E441</f>
        <v>Imagenología (Prestado a Pabellón Quirúrgico)</v>
      </c>
      <c r="D443" s="33" t="str">
        <f>Equipos!G441</f>
        <v>Pabellón 2</v>
      </c>
      <c r="E443" s="33" t="str">
        <f>Equipos!I441</f>
        <v xml:space="preserve">Drager </v>
      </c>
      <c r="F443" s="33" t="str">
        <f>Equipos!J441</f>
        <v>Infinity Kappa</v>
      </c>
      <c r="G443" s="37" t="str">
        <f>Equipos!K441</f>
        <v>5494287054</v>
      </c>
      <c r="H443" s="33"/>
      <c r="I443" s="38"/>
      <c r="J443" s="38"/>
      <c r="K443" s="38"/>
      <c r="L443" s="50" t="s">
        <v>275</v>
      </c>
      <c r="M443" s="38"/>
      <c r="N443" s="38"/>
      <c r="O443" s="38"/>
      <c r="P443" s="38"/>
      <c r="Q443" s="38"/>
      <c r="R443" s="38"/>
      <c r="S443" s="38"/>
      <c r="T443" s="38"/>
      <c r="U443" s="33">
        <f t="shared" si="30"/>
        <v>1</v>
      </c>
      <c r="V443" s="33">
        <f t="shared" si="31"/>
        <v>1</v>
      </c>
      <c r="W443" s="33">
        <f t="shared" si="32"/>
        <v>0</v>
      </c>
      <c r="X443" s="33">
        <f t="shared" si="33"/>
        <v>0</v>
      </c>
      <c r="Y443" s="33">
        <f ca="1">SUMPRODUCT((I443:INDEX(I443:T443,MONTH(TODAY()))="X")*1)</f>
        <v>0</v>
      </c>
      <c r="Z443" s="39">
        <f t="shared" si="34"/>
        <v>1</v>
      </c>
    </row>
    <row r="444" spans="1:26" x14ac:dyDescent="0.25">
      <c r="A444" s="37" t="str">
        <f>Equipos!C442</f>
        <v>2-116504</v>
      </c>
      <c r="B444" s="33" t="str">
        <f>Equipos!D442</f>
        <v>Monitor Multiparámetros</v>
      </c>
      <c r="C444" s="33" t="str">
        <f>Equipos!E442</f>
        <v>UPC Pediátrica</v>
      </c>
      <c r="D444" s="33" t="str">
        <f>Equipos!G442</f>
        <v>Cama 2</v>
      </c>
      <c r="E444" s="33" t="str">
        <f>Equipos!I442</f>
        <v>SPACELABS HEALTHCARE</v>
      </c>
      <c r="F444" s="33" t="str">
        <f>Equipos!J442</f>
        <v>XPREZZON</v>
      </c>
      <c r="G444" s="37" t="str">
        <f>Equipos!K442</f>
        <v>1393-109319</v>
      </c>
      <c r="H444" s="33"/>
      <c r="I444" s="50" t="s">
        <v>276</v>
      </c>
      <c r="J444" s="50" t="s">
        <v>275</v>
      </c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3">
        <f t="shared" si="30"/>
        <v>2</v>
      </c>
      <c r="V444" s="33">
        <f t="shared" si="31"/>
        <v>1</v>
      </c>
      <c r="W444" s="33">
        <f t="shared" si="32"/>
        <v>0</v>
      </c>
      <c r="X444" s="33">
        <f t="shared" si="33"/>
        <v>0</v>
      </c>
      <c r="Y444" s="33">
        <f ca="1">SUMPRODUCT((I444:INDEX(I444:T444,MONTH(TODAY()))="X")*1)</f>
        <v>0</v>
      </c>
      <c r="Z444" s="39">
        <f t="shared" si="34"/>
        <v>0.5</v>
      </c>
    </row>
    <row r="445" spans="1:26" x14ac:dyDescent="0.25">
      <c r="A445" s="37" t="str">
        <f>Equipos!C443</f>
        <v>2-024433</v>
      </c>
      <c r="B445" s="33" t="str">
        <f>Equipos!D443</f>
        <v>Monitor Multiparámetros</v>
      </c>
      <c r="C445" s="33" t="str">
        <f>Equipos!E443</f>
        <v>Pabellón Quirúrgico</v>
      </c>
      <c r="D445" s="33" t="str">
        <f>Equipos!G443</f>
        <v>CDT-P2-QF07</v>
      </c>
      <c r="E445" s="33" t="str">
        <f>Equipos!I443</f>
        <v xml:space="preserve">Drager </v>
      </c>
      <c r="F445" s="33" t="str">
        <f>Equipos!J443</f>
        <v>Infinity Kappa</v>
      </c>
      <c r="G445" s="37" t="str">
        <f>Equipos!K443</f>
        <v>5493757948</v>
      </c>
      <c r="H445" s="33"/>
      <c r="I445" s="38"/>
      <c r="J445" s="38"/>
      <c r="K445" s="38"/>
      <c r="L445" s="50" t="s">
        <v>275</v>
      </c>
      <c r="M445" s="38"/>
      <c r="N445" s="38"/>
      <c r="O445" s="38"/>
      <c r="P445" s="38"/>
      <c r="Q445" s="38"/>
      <c r="R445" s="38"/>
      <c r="S445" s="38"/>
      <c r="T445" s="38"/>
      <c r="U445" s="33">
        <f t="shared" si="30"/>
        <v>1</v>
      </c>
      <c r="V445" s="33">
        <f t="shared" si="31"/>
        <v>1</v>
      </c>
      <c r="W445" s="33">
        <f t="shared" si="32"/>
        <v>0</v>
      </c>
      <c r="X445" s="33">
        <f t="shared" si="33"/>
        <v>0</v>
      </c>
      <c r="Y445" s="33">
        <f ca="1">SUMPRODUCT((I445:INDEX(I445:T445,MONTH(TODAY()))="X")*1)</f>
        <v>0</v>
      </c>
      <c r="Z445" s="39">
        <f t="shared" si="34"/>
        <v>1</v>
      </c>
    </row>
    <row r="446" spans="1:26" x14ac:dyDescent="0.25">
      <c r="A446" s="37" t="str">
        <f>Equipos!C444</f>
        <v>2-133447</v>
      </c>
      <c r="B446" s="33" t="str">
        <f>Equipos!D444</f>
        <v>Monitor Multiparámetros</v>
      </c>
      <c r="C446" s="33" t="str">
        <f>Equipos!E444</f>
        <v>Ginecología</v>
      </c>
      <c r="D446" s="33" t="str">
        <f>Equipos!G444</f>
        <v>EPA-P4-SA06</v>
      </c>
      <c r="E446" s="33" t="str">
        <f>Equipos!I444</f>
        <v xml:space="preserve">Drager </v>
      </c>
      <c r="F446" s="33" t="str">
        <f>Equipos!J444</f>
        <v>Vista 300</v>
      </c>
      <c r="G446" s="37" t="str">
        <f>Equipos!K444</f>
        <v>VSSTB0049</v>
      </c>
      <c r="H446" s="33"/>
      <c r="I446" s="38"/>
      <c r="J446" s="38"/>
      <c r="K446" s="38"/>
      <c r="L446" s="38"/>
      <c r="M446" s="50" t="s">
        <v>275</v>
      </c>
      <c r="N446" s="38"/>
      <c r="O446" s="38"/>
      <c r="P446" s="38"/>
      <c r="Q446" s="38"/>
      <c r="R446" s="38"/>
      <c r="S446" s="38"/>
      <c r="T446" s="38"/>
      <c r="U446" s="33">
        <f t="shared" si="30"/>
        <v>1</v>
      </c>
      <c r="V446" s="33">
        <f t="shared" si="31"/>
        <v>1</v>
      </c>
      <c r="W446" s="33">
        <f t="shared" si="32"/>
        <v>0</v>
      </c>
      <c r="X446" s="33">
        <f t="shared" si="33"/>
        <v>0</v>
      </c>
      <c r="Y446" s="33">
        <f ca="1">SUMPRODUCT((I446:INDEX(I446:T446,MONTH(TODAY()))="X")*1)</f>
        <v>0</v>
      </c>
      <c r="Z446" s="39">
        <f t="shared" si="34"/>
        <v>1</v>
      </c>
    </row>
    <row r="447" spans="1:26" x14ac:dyDescent="0.25">
      <c r="A447" s="37" t="str">
        <f>Equipos!C445</f>
        <v>2-116507</v>
      </c>
      <c r="B447" s="33" t="str">
        <f>Equipos!D445</f>
        <v>Monitor Multiparámetros</v>
      </c>
      <c r="C447" s="33" t="str">
        <f>Equipos!E445</f>
        <v>UPC Pediátrica</v>
      </c>
      <c r="D447" s="33" t="str">
        <f>Equipos!G445</f>
        <v>Cama 3</v>
      </c>
      <c r="E447" s="33" t="str">
        <f>Equipos!I445</f>
        <v>SPACELABS HEALTHCARE</v>
      </c>
      <c r="F447" s="33" t="str">
        <f>Equipos!J445</f>
        <v>XPREZZON</v>
      </c>
      <c r="G447" s="37" t="str">
        <f>Equipos!K445</f>
        <v>1393-109304</v>
      </c>
      <c r="H447" s="33"/>
      <c r="I447" s="50" t="s">
        <v>276</v>
      </c>
      <c r="J447" s="50" t="s">
        <v>275</v>
      </c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3">
        <f t="shared" si="30"/>
        <v>2</v>
      </c>
      <c r="V447" s="33">
        <f t="shared" si="31"/>
        <v>1</v>
      </c>
      <c r="W447" s="33">
        <f t="shared" si="32"/>
        <v>0</v>
      </c>
      <c r="X447" s="33">
        <f t="shared" si="33"/>
        <v>0</v>
      </c>
      <c r="Y447" s="33">
        <f ca="1">SUMPRODUCT((I447:INDEX(I447:T447,MONTH(TODAY()))="X")*1)</f>
        <v>0</v>
      </c>
      <c r="Z447" s="39">
        <f t="shared" si="34"/>
        <v>0.5</v>
      </c>
    </row>
    <row r="448" spans="1:26" x14ac:dyDescent="0.25">
      <c r="A448" s="37" t="str">
        <f>Equipos!C446</f>
        <v>2-133448</v>
      </c>
      <c r="B448" s="33" t="str">
        <f>Equipos!D446</f>
        <v>Monitor Multiparámetros</v>
      </c>
      <c r="C448" s="33" t="str">
        <f>Equipos!E446</f>
        <v>Ginecología</v>
      </c>
      <c r="D448" s="33" t="str">
        <f>Equipos!G446</f>
        <v>EPA-P4-SA06</v>
      </c>
      <c r="E448" s="33" t="str">
        <f>Equipos!I446</f>
        <v xml:space="preserve">Drager </v>
      </c>
      <c r="F448" s="33" t="str">
        <f>Equipos!J446</f>
        <v>Vista 300</v>
      </c>
      <c r="G448" s="37" t="str">
        <f>Equipos!K446</f>
        <v>VSSTB0059</v>
      </c>
      <c r="H448" s="33"/>
      <c r="I448" s="38"/>
      <c r="J448" s="38"/>
      <c r="K448" s="38"/>
      <c r="L448" s="38"/>
      <c r="M448" s="50" t="s">
        <v>275</v>
      </c>
      <c r="N448" s="38"/>
      <c r="O448" s="38"/>
      <c r="P448" s="38"/>
      <c r="Q448" s="38"/>
      <c r="R448" s="38"/>
      <c r="S448" s="38"/>
      <c r="T448" s="38"/>
      <c r="U448" s="33">
        <f t="shared" si="30"/>
        <v>1</v>
      </c>
      <c r="V448" s="33">
        <f t="shared" si="31"/>
        <v>1</v>
      </c>
      <c r="W448" s="33">
        <f t="shared" si="32"/>
        <v>0</v>
      </c>
      <c r="X448" s="33">
        <f t="shared" si="33"/>
        <v>0</v>
      </c>
      <c r="Y448" s="33">
        <f ca="1">SUMPRODUCT((I448:INDEX(I448:T448,MONTH(TODAY()))="X")*1)</f>
        <v>0</v>
      </c>
      <c r="Z448" s="39">
        <f t="shared" si="34"/>
        <v>1</v>
      </c>
    </row>
    <row r="449" spans="1:26" x14ac:dyDescent="0.25">
      <c r="A449" s="37" t="str">
        <f>Equipos!C447</f>
        <v>2-116506</v>
      </c>
      <c r="B449" s="33" t="str">
        <f>Equipos!D447</f>
        <v>Monitor Multiparámetros</v>
      </c>
      <c r="C449" s="33" t="str">
        <f>Equipos!E447</f>
        <v>UPC Pediátrica</v>
      </c>
      <c r="D449" s="33" t="str">
        <f>Equipos!G447</f>
        <v>Cama 9</v>
      </c>
      <c r="E449" s="33" t="str">
        <f>Equipos!I447</f>
        <v>SPACELABS HEALTHCARE</v>
      </c>
      <c r="F449" s="33" t="str">
        <f>Equipos!J447</f>
        <v>XPREZZON</v>
      </c>
      <c r="G449" s="37" t="str">
        <f>Equipos!K447</f>
        <v>1393-109320</v>
      </c>
      <c r="H449" s="33"/>
      <c r="I449" s="50" t="s">
        <v>276</v>
      </c>
      <c r="J449" s="50" t="s">
        <v>275</v>
      </c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3">
        <f t="shared" si="30"/>
        <v>2</v>
      </c>
      <c r="V449" s="33">
        <f t="shared" si="31"/>
        <v>1</v>
      </c>
      <c r="W449" s="33">
        <f t="shared" si="32"/>
        <v>0</v>
      </c>
      <c r="X449" s="33">
        <f t="shared" si="33"/>
        <v>0</v>
      </c>
      <c r="Y449" s="33">
        <f ca="1">SUMPRODUCT((I449:INDEX(I449:T449,MONTH(TODAY()))="X")*1)</f>
        <v>0</v>
      </c>
      <c r="Z449" s="39">
        <f t="shared" si="34"/>
        <v>0.5</v>
      </c>
    </row>
    <row r="450" spans="1:26" x14ac:dyDescent="0.25">
      <c r="A450" s="37" t="str">
        <f>Equipos!C448</f>
        <v>2-135919</v>
      </c>
      <c r="B450" s="33" t="str">
        <f>Equipos!D448</f>
        <v>Monitor Multiparámetros</v>
      </c>
      <c r="C450" s="33" t="str">
        <f>Equipos!E448</f>
        <v>TROI</v>
      </c>
      <c r="D450" s="33">
        <f>Equipos!G448</f>
        <v>0</v>
      </c>
      <c r="E450" s="33" t="str">
        <f>Equipos!I448</f>
        <v>Drager</v>
      </c>
      <c r="F450" s="33" t="str">
        <f>Equipos!J448</f>
        <v>Vista 300</v>
      </c>
      <c r="G450" s="37" t="str">
        <f>Equipos!K448</f>
        <v>VSSUM0044</v>
      </c>
      <c r="H450" s="33"/>
      <c r="I450" s="38"/>
      <c r="J450" s="38"/>
      <c r="K450" s="38"/>
      <c r="L450" s="50" t="s">
        <v>275</v>
      </c>
      <c r="M450" s="38"/>
      <c r="N450" s="38"/>
      <c r="O450" s="38"/>
      <c r="P450" s="38"/>
      <c r="Q450" s="38"/>
      <c r="R450" s="38"/>
      <c r="S450" s="38"/>
      <c r="T450" s="38"/>
      <c r="U450" s="33">
        <f t="shared" si="30"/>
        <v>1</v>
      </c>
      <c r="V450" s="33">
        <f t="shared" si="31"/>
        <v>1</v>
      </c>
      <c r="W450" s="33">
        <f t="shared" si="32"/>
        <v>0</v>
      </c>
      <c r="X450" s="33">
        <f t="shared" si="33"/>
        <v>0</v>
      </c>
      <c r="Y450" s="33">
        <f ca="1">SUMPRODUCT((I450:INDEX(I450:T450,MONTH(TODAY()))="X")*1)</f>
        <v>0</v>
      </c>
      <c r="Z450" s="39">
        <f t="shared" si="34"/>
        <v>1</v>
      </c>
    </row>
    <row r="451" spans="1:26" x14ac:dyDescent="0.25">
      <c r="A451" s="37" t="str">
        <f>Equipos!C449</f>
        <v>2-134895</v>
      </c>
      <c r="B451" s="33" t="str">
        <f>Equipos!D449</f>
        <v>Monitor Multiparámetros</v>
      </c>
      <c r="C451" s="33" t="str">
        <f>Equipos!E449</f>
        <v>CR ONCOLOGICO AMBULATORIO</v>
      </c>
      <c r="D451" s="33" t="str">
        <f>Equipos!G449</f>
        <v>MODULO ZD CDT</v>
      </c>
      <c r="E451" s="33" t="str">
        <f>Equipos!I449</f>
        <v>NORTHERN</v>
      </c>
      <c r="F451" s="33" t="str">
        <f>Equipos!J449</f>
        <v>Aquarius ECG</v>
      </c>
      <c r="G451" s="37" t="str">
        <f>Equipos!K449</f>
        <v>JB01B910013</v>
      </c>
      <c r="H451" s="33"/>
      <c r="I451" s="38"/>
      <c r="J451" s="50" t="s">
        <v>276</v>
      </c>
      <c r="K451" s="50" t="s">
        <v>275</v>
      </c>
      <c r="L451" s="38"/>
      <c r="M451" s="38"/>
      <c r="N451" s="38"/>
      <c r="O451" s="38"/>
      <c r="P451" s="38"/>
      <c r="Q451" s="38"/>
      <c r="R451" s="38"/>
      <c r="S451" s="38"/>
      <c r="T451" s="38"/>
      <c r="U451" s="33">
        <f t="shared" si="30"/>
        <v>2</v>
      </c>
      <c r="V451" s="33">
        <f t="shared" si="31"/>
        <v>1</v>
      </c>
      <c r="W451" s="33">
        <f t="shared" si="32"/>
        <v>0</v>
      </c>
      <c r="X451" s="33">
        <f t="shared" si="33"/>
        <v>0</v>
      </c>
      <c r="Y451" s="33">
        <f ca="1">SUMPRODUCT((I451:INDEX(I451:T451,MONTH(TODAY()))="X")*1)</f>
        <v>0</v>
      </c>
      <c r="Z451" s="39">
        <f t="shared" si="34"/>
        <v>0.5</v>
      </c>
    </row>
    <row r="452" spans="1:26" x14ac:dyDescent="0.25">
      <c r="A452" s="37" t="str">
        <f>Equipos!C450</f>
        <v>2-119651</v>
      </c>
      <c r="B452" s="33" t="str">
        <f>Equipos!D450</f>
        <v>Monitor Multiparámetros</v>
      </c>
      <c r="C452" s="33" t="str">
        <f>Equipos!E450</f>
        <v>Medicina (Prestado a Psiquiatria)</v>
      </c>
      <c r="D452" s="33" t="str">
        <f>Equipos!G450</f>
        <v>Salud Mental</v>
      </c>
      <c r="E452" s="33" t="str">
        <f>Equipos!I450</f>
        <v>General Electric</v>
      </c>
      <c r="F452" s="33" t="str">
        <f>Equipos!J450</f>
        <v>B105</v>
      </c>
      <c r="G452" s="37" t="str">
        <f>Equipos!K450</f>
        <v>SQE19510002SA</v>
      </c>
      <c r="H452" s="33"/>
      <c r="I452" s="38"/>
      <c r="J452" s="50" t="s">
        <v>276</v>
      </c>
      <c r="K452" s="50" t="s">
        <v>275</v>
      </c>
      <c r="L452" s="38"/>
      <c r="M452" s="38"/>
      <c r="N452" s="38"/>
      <c r="O452" s="38"/>
      <c r="P452" s="38"/>
      <c r="Q452" s="38"/>
      <c r="R452" s="38"/>
      <c r="S452" s="38"/>
      <c r="T452" s="38"/>
      <c r="U452" s="33">
        <f t="shared" ref="U452:U515" si="35">V452+W452+X452+COUNTIF(I452:T452,"R")</f>
        <v>2</v>
      </c>
      <c r="V452" s="33">
        <f t="shared" ref="V452:V515" si="36">COUNTIF(I452:T452,"E")</f>
        <v>1</v>
      </c>
      <c r="W452" s="33">
        <f t="shared" ref="W452:W515" si="37">COUNTIF(I452:T452,"X")</f>
        <v>0</v>
      </c>
      <c r="X452" s="33">
        <f t="shared" ref="X452:X515" si="38">COUNTIF(I452:T452,"C2")+COUNTIF(I452:T452,"C3")</f>
        <v>0</v>
      </c>
      <c r="Y452" s="33">
        <f ca="1">SUMPRODUCT((I452:INDEX(I452:T452,MONTH(TODAY()))="X")*1)</f>
        <v>0</v>
      </c>
      <c r="Z452" s="39">
        <f t="shared" ref="Z452:Z515" si="39">IFERROR(V452/U452,"")</f>
        <v>0.5</v>
      </c>
    </row>
    <row r="453" spans="1:26" x14ac:dyDescent="0.25">
      <c r="A453" s="37" t="str">
        <f>Equipos!C451</f>
        <v>2-133532</v>
      </c>
      <c r="B453" s="33" t="str">
        <f>Equipos!D451</f>
        <v>Monitor Multiparámetros</v>
      </c>
      <c r="C453" s="33" t="str">
        <f>Equipos!E451</f>
        <v>Pabellones Gineco-Obstétricos</v>
      </c>
      <c r="D453" s="33">
        <f>Equipos!G451</f>
        <v>0</v>
      </c>
      <c r="E453" s="33" t="str">
        <f>Equipos!I451</f>
        <v xml:space="preserve">Drager </v>
      </c>
      <c r="F453" s="33" t="str">
        <f>Equipos!J451</f>
        <v>Vista 300</v>
      </c>
      <c r="G453" s="37" t="str">
        <f>Equipos!K451</f>
        <v>VSSTA0230</v>
      </c>
      <c r="H453" s="33"/>
      <c r="I453" s="38"/>
      <c r="J453" s="38"/>
      <c r="K453" s="38"/>
      <c r="L453" s="38"/>
      <c r="M453" s="50" t="s">
        <v>275</v>
      </c>
      <c r="N453" s="38"/>
      <c r="O453" s="38"/>
      <c r="P453" s="38"/>
      <c r="Q453" s="38"/>
      <c r="R453" s="38"/>
      <c r="S453" s="38"/>
      <c r="T453" s="38"/>
      <c r="U453" s="33">
        <f t="shared" si="35"/>
        <v>1</v>
      </c>
      <c r="V453" s="33">
        <f t="shared" si="36"/>
        <v>1</v>
      </c>
      <c r="W453" s="33">
        <f t="shared" si="37"/>
        <v>0</v>
      </c>
      <c r="X453" s="33">
        <f t="shared" si="38"/>
        <v>0</v>
      </c>
      <c r="Y453" s="33">
        <f ca="1">SUMPRODUCT((I453:INDEX(I453:T453,MONTH(TODAY()))="X")*1)</f>
        <v>0</v>
      </c>
      <c r="Z453" s="39">
        <f t="shared" si="39"/>
        <v>1</v>
      </c>
    </row>
    <row r="454" spans="1:26" x14ac:dyDescent="0.25">
      <c r="A454" s="37" t="str">
        <f>Equipos!C452</f>
        <v>2-116505</v>
      </c>
      <c r="B454" s="33" t="str">
        <f>Equipos!D452</f>
        <v>Monitor Multiparámetros</v>
      </c>
      <c r="C454" s="33" t="str">
        <f>Equipos!E452</f>
        <v>UPC Pediátrica</v>
      </c>
      <c r="D454" s="33" t="str">
        <f>Equipos!G452</f>
        <v>Cama 5</v>
      </c>
      <c r="E454" s="33" t="str">
        <f>Equipos!I452</f>
        <v>SPACELABS HEALTHCARE</v>
      </c>
      <c r="F454" s="33" t="str">
        <f>Equipos!J452</f>
        <v>XPREZZON</v>
      </c>
      <c r="G454" s="37" t="str">
        <f>Equipos!K452</f>
        <v>1393-109322</v>
      </c>
      <c r="H454" s="33"/>
      <c r="I454" s="50" t="s">
        <v>276</v>
      </c>
      <c r="J454" s="50" t="s">
        <v>275</v>
      </c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3">
        <f t="shared" si="35"/>
        <v>2</v>
      </c>
      <c r="V454" s="33">
        <f t="shared" si="36"/>
        <v>1</v>
      </c>
      <c r="W454" s="33">
        <f t="shared" si="37"/>
        <v>0</v>
      </c>
      <c r="X454" s="33">
        <f t="shared" si="38"/>
        <v>0</v>
      </c>
      <c r="Y454" s="33">
        <f ca="1">SUMPRODUCT((I454:INDEX(I454:T454,MONTH(TODAY()))="X")*1)</f>
        <v>0</v>
      </c>
      <c r="Z454" s="39">
        <f t="shared" si="39"/>
        <v>0.5</v>
      </c>
    </row>
    <row r="455" spans="1:26" x14ac:dyDescent="0.25">
      <c r="A455" s="37" t="str">
        <f>Equipos!C453</f>
        <v>2-113494</v>
      </c>
      <c r="B455" s="33" t="str">
        <f>Equipos!D453</f>
        <v>Monitor Multiparámetros</v>
      </c>
      <c r="C455" s="33" t="str">
        <f>Equipos!E453</f>
        <v>Pabellón CMA</v>
      </c>
      <c r="D455" s="33">
        <f>Equipos!G453</f>
        <v>0</v>
      </c>
      <c r="E455" s="33" t="str">
        <f>Equipos!I453</f>
        <v>SPACELABS HEALTHCARE</v>
      </c>
      <c r="F455" s="33" t="str">
        <f>Equipos!J453</f>
        <v>Elance 2.0</v>
      </c>
      <c r="G455" s="37" t="str">
        <f>Equipos!K453</f>
        <v>3300-004914</v>
      </c>
      <c r="H455" s="33"/>
      <c r="I455" s="38"/>
      <c r="J455" s="38"/>
      <c r="K455" s="38"/>
      <c r="L455" s="38"/>
      <c r="M455" s="50" t="s">
        <v>275</v>
      </c>
      <c r="N455" s="38"/>
      <c r="O455" s="38"/>
      <c r="P455" s="38"/>
      <c r="Q455" s="38"/>
      <c r="R455" s="38"/>
      <c r="S455" s="38"/>
      <c r="T455" s="38"/>
      <c r="U455" s="33">
        <f t="shared" si="35"/>
        <v>1</v>
      </c>
      <c r="V455" s="33">
        <f t="shared" si="36"/>
        <v>1</v>
      </c>
      <c r="W455" s="33">
        <f t="shared" si="37"/>
        <v>0</v>
      </c>
      <c r="X455" s="33">
        <f t="shared" si="38"/>
        <v>0</v>
      </c>
      <c r="Y455" s="33">
        <f ca="1">SUMPRODUCT((I455:INDEX(I455:T455,MONTH(TODAY()))="X")*1)</f>
        <v>0</v>
      </c>
      <c r="Z455" s="39">
        <f t="shared" si="39"/>
        <v>1</v>
      </c>
    </row>
    <row r="456" spans="1:26" x14ac:dyDescent="0.25">
      <c r="A456" s="37" t="str">
        <f>Equipos!C454</f>
        <v>121010-024574</v>
      </c>
      <c r="B456" s="33" t="str">
        <f>Equipos!D454</f>
        <v>Monitor Multiparámetros</v>
      </c>
      <c r="C456" s="33" t="str">
        <f>Equipos!E454</f>
        <v>Unidad Evaluación Paciente Imputado</v>
      </c>
      <c r="D456" s="33" t="str">
        <f>Equipos!G454</f>
        <v>UEPI-103</v>
      </c>
      <c r="E456" s="33" t="str">
        <f>Equipos!I454</f>
        <v xml:space="preserve">Nihon Kohden </v>
      </c>
      <c r="F456" s="33" t="str">
        <f>Equipos!J454</f>
        <v>Vismo 2701K</v>
      </c>
      <c r="G456" s="37" t="str">
        <f>Equipos!K454</f>
        <v>0131641</v>
      </c>
      <c r="H456" s="33"/>
      <c r="I456" s="38"/>
      <c r="J456" s="38"/>
      <c r="K456" s="38"/>
      <c r="L456" s="38"/>
      <c r="M456" s="50" t="s">
        <v>275</v>
      </c>
      <c r="N456" s="38"/>
      <c r="O456" s="38"/>
      <c r="P456" s="38"/>
      <c r="Q456" s="38"/>
      <c r="R456" s="38"/>
      <c r="S456" s="38"/>
      <c r="T456" s="38"/>
      <c r="U456" s="33">
        <f t="shared" si="35"/>
        <v>1</v>
      </c>
      <c r="V456" s="33">
        <f t="shared" si="36"/>
        <v>1</v>
      </c>
      <c r="W456" s="33">
        <f t="shared" si="37"/>
        <v>0</v>
      </c>
      <c r="X456" s="33">
        <f t="shared" si="38"/>
        <v>0</v>
      </c>
      <c r="Y456" s="33">
        <f ca="1">SUMPRODUCT((I456:INDEX(I456:T456,MONTH(TODAY()))="X")*1)</f>
        <v>0</v>
      </c>
      <c r="Z456" s="39">
        <f t="shared" si="39"/>
        <v>1</v>
      </c>
    </row>
    <row r="457" spans="1:26" x14ac:dyDescent="0.25">
      <c r="A457" s="37" t="str">
        <f>Equipos!C455</f>
        <v>2-116508</v>
      </c>
      <c r="B457" s="33" t="str">
        <f>Equipos!D455</f>
        <v>Monitor Multiparámetros</v>
      </c>
      <c r="C457" s="33" t="str">
        <f>Equipos!E455</f>
        <v>UPC Pediátrica</v>
      </c>
      <c r="D457" s="33" t="str">
        <f>Equipos!G455</f>
        <v>Cama 6</v>
      </c>
      <c r="E457" s="33" t="str">
        <f>Equipos!I455</f>
        <v>SPACELABS HEALTHCARE</v>
      </c>
      <c r="F457" s="33" t="str">
        <f>Equipos!J455</f>
        <v>XPREZZON</v>
      </c>
      <c r="G457" s="37" t="str">
        <f>Equipos!K455</f>
        <v>1393-109327</v>
      </c>
      <c r="H457" s="33"/>
      <c r="I457" s="50" t="s">
        <v>276</v>
      </c>
      <c r="J457" s="50" t="s">
        <v>275</v>
      </c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3">
        <f t="shared" si="35"/>
        <v>2</v>
      </c>
      <c r="V457" s="33">
        <f t="shared" si="36"/>
        <v>1</v>
      </c>
      <c r="W457" s="33">
        <f t="shared" si="37"/>
        <v>0</v>
      </c>
      <c r="X457" s="33">
        <f t="shared" si="38"/>
        <v>0</v>
      </c>
      <c r="Y457" s="33">
        <f ca="1">SUMPRODUCT((I457:INDEX(I457:T457,MONTH(TODAY()))="X")*1)</f>
        <v>0</v>
      </c>
      <c r="Z457" s="39">
        <f t="shared" si="39"/>
        <v>0.5</v>
      </c>
    </row>
    <row r="458" spans="1:26" x14ac:dyDescent="0.25">
      <c r="A458" s="37" t="str">
        <f>Equipos!C456</f>
        <v>2-118854</v>
      </c>
      <c r="B458" s="33" t="str">
        <f>Equipos!D456</f>
        <v>Monitor Multiparámetros</v>
      </c>
      <c r="C458" s="33" t="str">
        <f>Equipos!E456</f>
        <v>Pabellón Quirúrgico</v>
      </c>
      <c r="D458" s="33" t="str">
        <f>Equipos!G456</f>
        <v>Pabellón 9</v>
      </c>
      <c r="E458" s="33" t="str">
        <f>Equipos!I456</f>
        <v>Drager</v>
      </c>
      <c r="F458" s="33" t="str">
        <f>Equipos!J456</f>
        <v>M540</v>
      </c>
      <c r="G458" s="37" t="str">
        <f>Equipos!K456</f>
        <v>5613541169</v>
      </c>
      <c r="H458" s="33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3">
        <f t="shared" si="35"/>
        <v>0</v>
      </c>
      <c r="V458" s="33">
        <f t="shared" si="36"/>
        <v>0</v>
      </c>
      <c r="W458" s="33">
        <f t="shared" si="37"/>
        <v>0</v>
      </c>
      <c r="X458" s="33">
        <f t="shared" si="38"/>
        <v>0</v>
      </c>
      <c r="Y458" s="33">
        <f ca="1">SUMPRODUCT((I458:INDEX(I458:T458,MONTH(TODAY()))="X")*1)</f>
        <v>0</v>
      </c>
      <c r="Z458" s="39" t="str">
        <f t="shared" si="39"/>
        <v/>
      </c>
    </row>
    <row r="459" spans="1:26" x14ac:dyDescent="0.25">
      <c r="A459" s="37" t="str">
        <f>Equipos!C457</f>
        <v>2-116510</v>
      </c>
      <c r="B459" s="33" t="str">
        <f>Equipos!D457</f>
        <v>Monitor Multiparámetros</v>
      </c>
      <c r="C459" s="33" t="str">
        <f>Equipos!E457</f>
        <v>UPC Pediátrica</v>
      </c>
      <c r="D459" s="33" t="str">
        <f>Equipos!G457</f>
        <v>Cama 7</v>
      </c>
      <c r="E459" s="33" t="str">
        <f>Equipos!I457</f>
        <v>SPACELABS HEALTHCARE</v>
      </c>
      <c r="F459" s="33" t="str">
        <f>Equipos!J457</f>
        <v>XPREZZON</v>
      </c>
      <c r="G459" s="37" t="str">
        <f>Equipos!K457</f>
        <v>1393-109328</v>
      </c>
      <c r="H459" s="33"/>
      <c r="I459" s="50" t="s">
        <v>276</v>
      </c>
      <c r="J459" s="50" t="s">
        <v>275</v>
      </c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3">
        <f t="shared" si="35"/>
        <v>2</v>
      </c>
      <c r="V459" s="33">
        <f t="shared" si="36"/>
        <v>1</v>
      </c>
      <c r="W459" s="33">
        <f t="shared" si="37"/>
        <v>0</v>
      </c>
      <c r="X459" s="33">
        <f t="shared" si="38"/>
        <v>0</v>
      </c>
      <c r="Y459" s="33">
        <f ca="1">SUMPRODUCT((I459:INDEX(I459:T459,MONTH(TODAY()))="X")*1)</f>
        <v>0</v>
      </c>
      <c r="Z459" s="39">
        <f t="shared" si="39"/>
        <v>0.5</v>
      </c>
    </row>
    <row r="460" spans="1:26" x14ac:dyDescent="0.25">
      <c r="A460" s="37" t="str">
        <f>Equipos!C458</f>
        <v>2-016560</v>
      </c>
      <c r="B460" s="33" t="str">
        <f>Equipos!D458</f>
        <v>Monitor Multiparámetros</v>
      </c>
      <c r="C460" s="33" t="str">
        <f>Equipos!E458</f>
        <v>Pediatría</v>
      </c>
      <c r="D460" s="33" t="str">
        <f>Equipos!G458</f>
        <v>Sala de equipos</v>
      </c>
      <c r="E460" s="33" t="str">
        <f>Equipos!I458</f>
        <v xml:space="preserve">Drager </v>
      </c>
      <c r="F460" s="33" t="str">
        <f>Equipos!J458</f>
        <v xml:space="preserve">Infinity Vista </v>
      </c>
      <c r="G460" s="37" t="str">
        <f>Equipos!K458</f>
        <v>5514429166</v>
      </c>
      <c r="H460" s="33"/>
      <c r="I460" s="50" t="s">
        <v>276</v>
      </c>
      <c r="J460" s="50" t="s">
        <v>275</v>
      </c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3">
        <f t="shared" si="35"/>
        <v>2</v>
      </c>
      <c r="V460" s="33">
        <f t="shared" si="36"/>
        <v>1</v>
      </c>
      <c r="W460" s="33">
        <f t="shared" si="37"/>
        <v>0</v>
      </c>
      <c r="X460" s="33">
        <f t="shared" si="38"/>
        <v>0</v>
      </c>
      <c r="Y460" s="33">
        <f ca="1">SUMPRODUCT((I460:INDEX(I460:T460,MONTH(TODAY()))="X")*1)</f>
        <v>0</v>
      </c>
      <c r="Z460" s="39">
        <f t="shared" si="39"/>
        <v>0.5</v>
      </c>
    </row>
    <row r="461" spans="1:26" x14ac:dyDescent="0.25">
      <c r="A461" s="37" t="str">
        <f>Equipos!C459</f>
        <v>2-124788</v>
      </c>
      <c r="B461" s="33" t="str">
        <f>Equipos!D459</f>
        <v>Monitor Multiparámetros</v>
      </c>
      <c r="C461" s="33" t="str">
        <f>Equipos!E459</f>
        <v>Quimioterapia Ambulatoria Adulto</v>
      </c>
      <c r="D461" s="33" t="str">
        <f>Equipos!G459</f>
        <v>EPC-P2</v>
      </c>
      <c r="E461" s="33" t="str">
        <f>Equipos!I459</f>
        <v>Mindray</v>
      </c>
      <c r="F461" s="33" t="str">
        <f>Equipos!J459</f>
        <v>UMEC10</v>
      </c>
      <c r="G461" s="37" t="str">
        <f>Equipos!K459</f>
        <v>KN-25140948</v>
      </c>
      <c r="H461" s="33"/>
      <c r="I461" s="38"/>
      <c r="J461" s="38"/>
      <c r="K461" s="50" t="s">
        <v>276</v>
      </c>
      <c r="L461" s="50" t="s">
        <v>275</v>
      </c>
      <c r="M461" s="38"/>
      <c r="N461" s="38"/>
      <c r="O461" s="38"/>
      <c r="P461" s="38"/>
      <c r="Q461" s="38"/>
      <c r="R461" s="38"/>
      <c r="S461" s="38"/>
      <c r="T461" s="38"/>
      <c r="U461" s="33">
        <f t="shared" si="35"/>
        <v>2</v>
      </c>
      <c r="V461" s="33">
        <f t="shared" si="36"/>
        <v>1</v>
      </c>
      <c r="W461" s="33">
        <f t="shared" si="37"/>
        <v>0</v>
      </c>
      <c r="X461" s="33">
        <f t="shared" si="38"/>
        <v>0</v>
      </c>
      <c r="Y461" s="33">
        <f ca="1">SUMPRODUCT((I461:INDEX(I461:T461,MONTH(TODAY()))="X")*1)</f>
        <v>0</v>
      </c>
      <c r="Z461" s="39">
        <f t="shared" si="39"/>
        <v>0.5</v>
      </c>
    </row>
    <row r="462" spans="1:26" x14ac:dyDescent="0.25">
      <c r="A462" s="37" t="str">
        <f>Equipos!C460</f>
        <v>2-023497</v>
      </c>
      <c r="B462" s="33" t="str">
        <f>Equipos!D460</f>
        <v>Monitor Multiparámetros</v>
      </c>
      <c r="C462" s="33" t="str">
        <f>Equipos!E460</f>
        <v>Neonatología</v>
      </c>
      <c r="D462" s="33">
        <f>Equipos!G460</f>
        <v>0</v>
      </c>
      <c r="E462" s="33" t="str">
        <f>Equipos!I460</f>
        <v>Philips</v>
      </c>
      <c r="F462" s="33" t="str">
        <f>Equipos!J460</f>
        <v>M8003A</v>
      </c>
      <c r="G462" s="37" t="str">
        <f>Equipos!K460</f>
        <v>DE82025973</v>
      </c>
      <c r="H462" s="33"/>
      <c r="I462" s="50" t="s">
        <v>277</v>
      </c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3">
        <f t="shared" si="35"/>
        <v>1</v>
      </c>
      <c r="V462" s="33">
        <f t="shared" si="36"/>
        <v>0</v>
      </c>
      <c r="W462" s="33">
        <f t="shared" si="37"/>
        <v>0</v>
      </c>
      <c r="X462" s="33">
        <f t="shared" si="38"/>
        <v>1</v>
      </c>
      <c r="Y462" s="33">
        <f ca="1">SUMPRODUCT((I462:INDEX(I462:T462,MONTH(TODAY()))="X")*1)</f>
        <v>0</v>
      </c>
      <c r="Z462" s="39">
        <f t="shared" si="39"/>
        <v>0</v>
      </c>
    </row>
    <row r="463" spans="1:26" x14ac:dyDescent="0.25">
      <c r="A463" s="37" t="str">
        <f>Equipos!C461</f>
        <v>2-027939</v>
      </c>
      <c r="B463" s="33" t="str">
        <f>Equipos!D461</f>
        <v>Monitor Multiparámetros</v>
      </c>
      <c r="C463" s="33" t="str">
        <f>Equipos!E461</f>
        <v>Neonatología</v>
      </c>
      <c r="D463" s="33">
        <f>Equipos!G461</f>
        <v>0</v>
      </c>
      <c r="E463" s="33" t="str">
        <f>Equipos!I461</f>
        <v>Philips</v>
      </c>
      <c r="F463" s="33" t="str">
        <f>Equipos!J461</f>
        <v>M8003A</v>
      </c>
      <c r="G463" s="37" t="str">
        <f>Equipos!K461</f>
        <v>DE82025965</v>
      </c>
      <c r="H463" s="33"/>
      <c r="I463" s="50" t="s">
        <v>276</v>
      </c>
      <c r="J463" s="50" t="s">
        <v>275</v>
      </c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3">
        <f t="shared" si="35"/>
        <v>2</v>
      </c>
      <c r="V463" s="33">
        <f t="shared" si="36"/>
        <v>1</v>
      </c>
      <c r="W463" s="33">
        <f t="shared" si="37"/>
        <v>0</v>
      </c>
      <c r="X463" s="33">
        <f t="shared" si="38"/>
        <v>0</v>
      </c>
      <c r="Y463" s="33">
        <f ca="1">SUMPRODUCT((I463:INDEX(I463:T463,MONTH(TODAY()))="X")*1)</f>
        <v>0</v>
      </c>
      <c r="Z463" s="39">
        <f t="shared" si="39"/>
        <v>0.5</v>
      </c>
    </row>
    <row r="464" spans="1:26" x14ac:dyDescent="0.25">
      <c r="A464" s="37" t="str">
        <f>Equipos!C462</f>
        <v>2-134990</v>
      </c>
      <c r="B464" s="33" t="str">
        <f>Equipos!D462</f>
        <v>Monitor Multiparámetros</v>
      </c>
      <c r="C464" s="33" t="str">
        <f>Equipos!E462</f>
        <v>Quimioterapia Ambulatoria Adulto</v>
      </c>
      <c r="D464" s="33">
        <f>Equipos!G462</f>
        <v>0</v>
      </c>
      <c r="E464" s="33" t="str">
        <f>Equipos!I462</f>
        <v>Drager</v>
      </c>
      <c r="F464" s="33" t="str">
        <f>Equipos!J462</f>
        <v>Vista 120</v>
      </c>
      <c r="G464" s="37" t="str">
        <f>Equipos!K462</f>
        <v>VSSTE0203</v>
      </c>
      <c r="H464" s="33"/>
      <c r="I464" s="38"/>
      <c r="J464" s="50" t="s">
        <v>276</v>
      </c>
      <c r="K464" s="50" t="s">
        <v>275</v>
      </c>
      <c r="L464" s="38"/>
      <c r="M464" s="38"/>
      <c r="N464" s="38"/>
      <c r="O464" s="38"/>
      <c r="P464" s="38"/>
      <c r="Q464" s="38"/>
      <c r="R464" s="38"/>
      <c r="S464" s="38"/>
      <c r="T464" s="38"/>
      <c r="U464" s="33">
        <f t="shared" si="35"/>
        <v>2</v>
      </c>
      <c r="V464" s="33">
        <f t="shared" si="36"/>
        <v>1</v>
      </c>
      <c r="W464" s="33">
        <f t="shared" si="37"/>
        <v>0</v>
      </c>
      <c r="X464" s="33">
        <f t="shared" si="38"/>
        <v>0</v>
      </c>
      <c r="Y464" s="33">
        <f ca="1">SUMPRODUCT((I464:INDEX(I464:T464,MONTH(TODAY()))="X")*1)</f>
        <v>0</v>
      </c>
      <c r="Z464" s="39">
        <f t="shared" si="39"/>
        <v>0.5</v>
      </c>
    </row>
    <row r="465" spans="1:26" x14ac:dyDescent="0.25">
      <c r="A465" s="37" t="str">
        <f>Equipos!C463</f>
        <v>2-119259</v>
      </c>
      <c r="B465" s="33" t="str">
        <f>Equipos!D463</f>
        <v>Oxímetro</v>
      </c>
      <c r="C465" s="33" t="str">
        <f>Equipos!E463</f>
        <v>Neonatología</v>
      </c>
      <c r="D465" s="33">
        <f>Equipos!G463</f>
        <v>0</v>
      </c>
      <c r="E465" s="33" t="str">
        <f>Equipos!I463</f>
        <v>SOMANETICS</v>
      </c>
      <c r="F465" s="33" t="str">
        <f>Equipos!J463</f>
        <v>5100C</v>
      </c>
      <c r="G465" s="37" t="str">
        <f>Equipos!K463</f>
        <v>(21)17G11325X</v>
      </c>
      <c r="H465" s="33"/>
      <c r="I465" s="38"/>
      <c r="J465" s="38"/>
      <c r="K465" s="38"/>
      <c r="L465" s="38"/>
      <c r="M465" s="50" t="s">
        <v>275</v>
      </c>
      <c r="N465" s="38"/>
      <c r="O465" s="38"/>
      <c r="P465" s="38"/>
      <c r="Q465" s="38"/>
      <c r="R465" s="38"/>
      <c r="S465" s="38"/>
      <c r="T465" s="38"/>
      <c r="U465" s="33">
        <f t="shared" si="35"/>
        <v>1</v>
      </c>
      <c r="V465" s="33">
        <f t="shared" si="36"/>
        <v>1</v>
      </c>
      <c r="W465" s="33">
        <f t="shared" si="37"/>
        <v>0</v>
      </c>
      <c r="X465" s="33">
        <f t="shared" si="38"/>
        <v>0</v>
      </c>
      <c r="Y465" s="33">
        <f ca="1">SUMPRODUCT((I465:INDEX(I465:T465,MONTH(TODAY()))="X")*1)</f>
        <v>0</v>
      </c>
      <c r="Z465" s="39">
        <f t="shared" si="39"/>
        <v>1</v>
      </c>
    </row>
    <row r="466" spans="1:26" x14ac:dyDescent="0.25">
      <c r="A466" s="37" t="str">
        <f>Equipos!C464</f>
        <v>2-119260</v>
      </c>
      <c r="B466" s="33" t="str">
        <f>Equipos!D464</f>
        <v>Oxímetro</v>
      </c>
      <c r="C466" s="33" t="str">
        <f>Equipos!E464</f>
        <v>Neonatología</v>
      </c>
      <c r="D466" s="33">
        <f>Equipos!G464</f>
        <v>0</v>
      </c>
      <c r="E466" s="33" t="str">
        <f>Equipos!I464</f>
        <v>SOMANETICS</v>
      </c>
      <c r="F466" s="33" t="str">
        <f>Equipos!J464</f>
        <v>5100C</v>
      </c>
      <c r="G466" s="37" t="str">
        <f>Equipos!K464</f>
        <v>(21)18G10312X</v>
      </c>
      <c r="H466" s="33"/>
      <c r="I466" s="38"/>
      <c r="J466" s="38"/>
      <c r="K466" s="38"/>
      <c r="L466" s="38"/>
      <c r="M466" s="50" t="s">
        <v>275</v>
      </c>
      <c r="N466" s="38"/>
      <c r="O466" s="38"/>
      <c r="P466" s="38"/>
      <c r="Q466" s="38"/>
      <c r="R466" s="38"/>
      <c r="S466" s="38"/>
      <c r="T466" s="38"/>
      <c r="U466" s="33">
        <f t="shared" si="35"/>
        <v>1</v>
      </c>
      <c r="V466" s="33">
        <f t="shared" si="36"/>
        <v>1</v>
      </c>
      <c r="W466" s="33">
        <f t="shared" si="37"/>
        <v>0</v>
      </c>
      <c r="X466" s="33">
        <f t="shared" si="38"/>
        <v>0</v>
      </c>
      <c r="Y466" s="33">
        <f ca="1">SUMPRODUCT((I466:INDEX(I466:T466,MONTH(TODAY()))="X")*1)</f>
        <v>0</v>
      </c>
      <c r="Z466" s="39">
        <f t="shared" si="39"/>
        <v>1</v>
      </c>
    </row>
    <row r="467" spans="1:26" x14ac:dyDescent="0.25">
      <c r="A467" s="37" t="str">
        <f>Equipos!C465</f>
        <v>2-119363</v>
      </c>
      <c r="B467" s="33" t="str">
        <f>Equipos!D465</f>
        <v>Monitor Multiparámetros</v>
      </c>
      <c r="C467" s="33" t="str">
        <f>Equipos!E465</f>
        <v>Pabellón (Recuperación)</v>
      </c>
      <c r="D467" s="33" t="str">
        <f>Equipos!G465</f>
        <v>Cama N° 17</v>
      </c>
      <c r="E467" s="33" t="str">
        <f>Equipos!I465</f>
        <v>Drager</v>
      </c>
      <c r="F467" s="33" t="str">
        <f>Equipos!J465</f>
        <v>Vista 120</v>
      </c>
      <c r="G467" s="37" t="str">
        <f>Equipos!K465</f>
        <v>VGSML0046</v>
      </c>
      <c r="H467" s="33"/>
      <c r="I467" s="38"/>
      <c r="J467" s="50" t="s">
        <v>275</v>
      </c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3">
        <f t="shared" si="35"/>
        <v>1</v>
      </c>
      <c r="V467" s="33">
        <f t="shared" si="36"/>
        <v>1</v>
      </c>
      <c r="W467" s="33">
        <f t="shared" si="37"/>
        <v>0</v>
      </c>
      <c r="X467" s="33">
        <f t="shared" si="38"/>
        <v>0</v>
      </c>
      <c r="Y467" s="33">
        <f ca="1">SUMPRODUCT((I467:INDEX(I467:T467,MONTH(TODAY()))="X")*1)</f>
        <v>0</v>
      </c>
      <c r="Z467" s="39">
        <f t="shared" si="39"/>
        <v>1</v>
      </c>
    </row>
    <row r="468" spans="1:26" x14ac:dyDescent="0.25">
      <c r="A468" s="37" t="str">
        <f>Equipos!C466</f>
        <v>2-119364</v>
      </c>
      <c r="B468" s="33" t="str">
        <f>Equipos!D466</f>
        <v>Monitor Multiparámetros</v>
      </c>
      <c r="C468" s="33" t="str">
        <f>Equipos!E466</f>
        <v>Pabellón (Recuperación)</v>
      </c>
      <c r="D468" s="33" t="str">
        <f>Equipos!G466</f>
        <v>Unidad N° 11</v>
      </c>
      <c r="E468" s="33" t="str">
        <f>Equipos!I466</f>
        <v>Drager</v>
      </c>
      <c r="F468" s="33" t="str">
        <f>Equipos!J466</f>
        <v>Vista 120</v>
      </c>
      <c r="G468" s="37" t="str">
        <f>Equipos!K466</f>
        <v>VGSML0057</v>
      </c>
      <c r="H468" s="33"/>
      <c r="I468" s="38"/>
      <c r="J468" s="50" t="s">
        <v>275</v>
      </c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3">
        <f t="shared" si="35"/>
        <v>1</v>
      </c>
      <c r="V468" s="33">
        <f t="shared" si="36"/>
        <v>1</v>
      </c>
      <c r="W468" s="33">
        <f t="shared" si="37"/>
        <v>0</v>
      </c>
      <c r="X468" s="33">
        <f t="shared" si="38"/>
        <v>0</v>
      </c>
      <c r="Y468" s="33">
        <f ca="1">SUMPRODUCT((I468:INDEX(I468:T468,MONTH(TODAY()))="X")*1)</f>
        <v>0</v>
      </c>
      <c r="Z468" s="39">
        <f t="shared" si="39"/>
        <v>1</v>
      </c>
    </row>
    <row r="469" spans="1:26" x14ac:dyDescent="0.25">
      <c r="A469" s="37" t="str">
        <f>Equipos!C467</f>
        <v>2-119365</v>
      </c>
      <c r="B469" s="33" t="str">
        <f>Equipos!D467</f>
        <v>Monitor Multiparámetros</v>
      </c>
      <c r="C469" s="33" t="str">
        <f>Equipos!E467</f>
        <v>Pabellón (Recuperación)</v>
      </c>
      <c r="D469" s="33" t="str">
        <f>Equipos!G467</f>
        <v>Cama 14</v>
      </c>
      <c r="E469" s="33" t="str">
        <f>Equipos!I467</f>
        <v>Drager</v>
      </c>
      <c r="F469" s="33" t="str">
        <f>Equipos!J467</f>
        <v>Vista 120</v>
      </c>
      <c r="G469" s="37" t="str">
        <f>Equipos!K467</f>
        <v>VGSML0043</v>
      </c>
      <c r="H469" s="33"/>
      <c r="I469" s="38"/>
      <c r="J469" s="50" t="s">
        <v>275</v>
      </c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3">
        <f t="shared" si="35"/>
        <v>1</v>
      </c>
      <c r="V469" s="33">
        <f t="shared" si="36"/>
        <v>1</v>
      </c>
      <c r="W469" s="33">
        <f t="shared" si="37"/>
        <v>0</v>
      </c>
      <c r="X469" s="33">
        <f t="shared" si="38"/>
        <v>0</v>
      </c>
      <c r="Y469" s="33">
        <f ca="1">SUMPRODUCT((I469:INDEX(I469:T469,MONTH(TODAY()))="X")*1)</f>
        <v>0</v>
      </c>
      <c r="Z469" s="39">
        <f t="shared" si="39"/>
        <v>1</v>
      </c>
    </row>
    <row r="470" spans="1:26" x14ac:dyDescent="0.25">
      <c r="A470" s="37" t="str">
        <f>Equipos!C468</f>
        <v>2-119366</v>
      </c>
      <c r="B470" s="33" t="str">
        <f>Equipos!D468</f>
        <v>Monitor Multiparámetros</v>
      </c>
      <c r="C470" s="33" t="str">
        <f>Equipos!E468</f>
        <v>Pabellón (Recuperación)</v>
      </c>
      <c r="D470" s="33" t="str">
        <f>Equipos!G468</f>
        <v>Unidad N° 03</v>
      </c>
      <c r="E470" s="33" t="str">
        <f>Equipos!I468</f>
        <v>Drager</v>
      </c>
      <c r="F470" s="33" t="str">
        <f>Equipos!J468</f>
        <v>Vista 120</v>
      </c>
      <c r="G470" s="37" t="str">
        <f>Equipos!K468</f>
        <v>VGSML0044</v>
      </c>
      <c r="H470" s="33"/>
      <c r="I470" s="38"/>
      <c r="J470" s="50" t="s">
        <v>275</v>
      </c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3">
        <f t="shared" si="35"/>
        <v>1</v>
      </c>
      <c r="V470" s="33">
        <f t="shared" si="36"/>
        <v>1</v>
      </c>
      <c r="W470" s="33">
        <f t="shared" si="37"/>
        <v>0</v>
      </c>
      <c r="X470" s="33">
        <f t="shared" si="38"/>
        <v>0</v>
      </c>
      <c r="Y470" s="33">
        <f ca="1">SUMPRODUCT((I470:INDEX(I470:T470,MONTH(TODAY()))="X")*1)</f>
        <v>0</v>
      </c>
      <c r="Z470" s="39">
        <f t="shared" si="39"/>
        <v>1</v>
      </c>
    </row>
    <row r="471" spans="1:26" x14ac:dyDescent="0.25">
      <c r="A471" s="37" t="str">
        <f>Equipos!C469</f>
        <v>2-119367</v>
      </c>
      <c r="B471" s="33" t="str">
        <f>Equipos!D469</f>
        <v>Monitor Multiparámetros</v>
      </c>
      <c r="C471" s="33" t="str">
        <f>Equipos!E469</f>
        <v>Pabellón (Recuperación) prestado a UPC Adulto</v>
      </c>
      <c r="D471" s="33" t="str">
        <f>Equipos!G469</f>
        <v>Oficina Supervisora</v>
      </c>
      <c r="E471" s="33" t="str">
        <f>Equipos!I469</f>
        <v>Drager</v>
      </c>
      <c r="F471" s="33" t="str">
        <f>Equipos!J469</f>
        <v>Vista 120</v>
      </c>
      <c r="G471" s="37" t="str">
        <f>Equipos!K469</f>
        <v>VGSML0047</v>
      </c>
      <c r="H471" s="33"/>
      <c r="I471" s="38"/>
      <c r="J471" s="50" t="s">
        <v>276</v>
      </c>
      <c r="K471" s="50" t="s">
        <v>275</v>
      </c>
      <c r="L471" s="38"/>
      <c r="M471" s="38"/>
      <c r="N471" s="38"/>
      <c r="O471" s="38"/>
      <c r="P471" s="38"/>
      <c r="Q471" s="38"/>
      <c r="R471" s="38"/>
      <c r="S471" s="38"/>
      <c r="T471" s="38"/>
      <c r="U471" s="33">
        <f t="shared" si="35"/>
        <v>2</v>
      </c>
      <c r="V471" s="33">
        <f t="shared" si="36"/>
        <v>1</v>
      </c>
      <c r="W471" s="33">
        <f t="shared" si="37"/>
        <v>0</v>
      </c>
      <c r="X471" s="33">
        <f t="shared" si="38"/>
        <v>0</v>
      </c>
      <c r="Y471" s="33">
        <f ca="1">SUMPRODUCT((I471:INDEX(I471:T471,MONTH(TODAY()))="X")*1)</f>
        <v>0</v>
      </c>
      <c r="Z471" s="39">
        <f t="shared" si="39"/>
        <v>0.5</v>
      </c>
    </row>
    <row r="472" spans="1:26" x14ac:dyDescent="0.25">
      <c r="A472" s="37" t="str">
        <f>Equipos!C470</f>
        <v>2-119368</v>
      </c>
      <c r="B472" s="33" t="str">
        <f>Equipos!D470</f>
        <v>Monitor Multiparámetros</v>
      </c>
      <c r="C472" s="33" t="str">
        <f>Equipos!E470</f>
        <v>Pabellón (Recuperación)</v>
      </c>
      <c r="D472" s="33" t="str">
        <f>Equipos!G470</f>
        <v>Unidad N° 10</v>
      </c>
      <c r="E472" s="33" t="str">
        <f>Equipos!I470</f>
        <v>Drager</v>
      </c>
      <c r="F472" s="33" t="str">
        <f>Equipos!J470</f>
        <v>Vista 120</v>
      </c>
      <c r="G472" s="37" t="str">
        <f>Equipos!K470</f>
        <v>VGSML0049</v>
      </c>
      <c r="H472" s="33"/>
      <c r="I472" s="38"/>
      <c r="J472" s="50" t="s">
        <v>275</v>
      </c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3">
        <f t="shared" si="35"/>
        <v>1</v>
      </c>
      <c r="V472" s="33">
        <f t="shared" si="36"/>
        <v>1</v>
      </c>
      <c r="W472" s="33">
        <f t="shared" si="37"/>
        <v>0</v>
      </c>
      <c r="X472" s="33">
        <f t="shared" si="38"/>
        <v>0</v>
      </c>
      <c r="Y472" s="33">
        <f ca="1">SUMPRODUCT((I472:INDEX(I472:T472,MONTH(TODAY()))="X")*1)</f>
        <v>0</v>
      </c>
      <c r="Z472" s="39">
        <f t="shared" si="39"/>
        <v>1</v>
      </c>
    </row>
    <row r="473" spans="1:26" x14ac:dyDescent="0.25">
      <c r="A473" s="37" t="str">
        <f>Equipos!C471</f>
        <v>2-119369</v>
      </c>
      <c r="B473" s="33" t="str">
        <f>Equipos!D471</f>
        <v>Monitor Multiparámetros</v>
      </c>
      <c r="C473" s="33" t="str">
        <f>Equipos!E471</f>
        <v>Pabellón (Recuperación)</v>
      </c>
      <c r="D473" s="33" t="str">
        <f>Equipos!G471</f>
        <v>Cama 15</v>
      </c>
      <c r="E473" s="33" t="str">
        <f>Equipos!I471</f>
        <v>Drager</v>
      </c>
      <c r="F473" s="33" t="str">
        <f>Equipos!J471</f>
        <v>Vista 120</v>
      </c>
      <c r="G473" s="37" t="str">
        <f>Equipos!K471</f>
        <v>VGSML0050</v>
      </c>
      <c r="H473" s="33"/>
      <c r="I473" s="38"/>
      <c r="J473" s="50" t="s">
        <v>275</v>
      </c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3">
        <f t="shared" si="35"/>
        <v>1</v>
      </c>
      <c r="V473" s="33">
        <f t="shared" si="36"/>
        <v>1</v>
      </c>
      <c r="W473" s="33">
        <f t="shared" si="37"/>
        <v>0</v>
      </c>
      <c r="X473" s="33">
        <f t="shared" si="38"/>
        <v>0</v>
      </c>
      <c r="Y473" s="33">
        <f ca="1">SUMPRODUCT((I473:INDEX(I473:T473,MONTH(TODAY()))="X")*1)</f>
        <v>0</v>
      </c>
      <c r="Z473" s="39">
        <f t="shared" si="39"/>
        <v>1</v>
      </c>
    </row>
    <row r="474" spans="1:26" x14ac:dyDescent="0.25">
      <c r="A474" s="37" t="str">
        <f>Equipos!C472</f>
        <v>2-119370</v>
      </c>
      <c r="B474" s="33" t="str">
        <f>Equipos!D472</f>
        <v>Monitor Multiparámetros</v>
      </c>
      <c r="C474" s="33" t="str">
        <f>Equipos!E472</f>
        <v>Pabellón (Recuperación)</v>
      </c>
      <c r="D474" s="33" t="str">
        <f>Equipos!G472</f>
        <v>Cama N° 12</v>
      </c>
      <c r="E474" s="33" t="str">
        <f>Equipos!I472</f>
        <v>Drager</v>
      </c>
      <c r="F474" s="33" t="str">
        <f>Equipos!J472</f>
        <v>Vista 120</v>
      </c>
      <c r="G474" s="37" t="str">
        <f>Equipos!K472</f>
        <v>VGSML0062</v>
      </c>
      <c r="H474" s="33"/>
      <c r="I474" s="38"/>
      <c r="J474" s="50" t="s">
        <v>275</v>
      </c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3">
        <f t="shared" si="35"/>
        <v>1</v>
      </c>
      <c r="V474" s="33">
        <f t="shared" si="36"/>
        <v>1</v>
      </c>
      <c r="W474" s="33">
        <f t="shared" si="37"/>
        <v>0</v>
      </c>
      <c r="X474" s="33">
        <f t="shared" si="38"/>
        <v>0</v>
      </c>
      <c r="Y474" s="33">
        <f ca="1">SUMPRODUCT((I474:INDEX(I474:T474,MONTH(TODAY()))="X")*1)</f>
        <v>0</v>
      </c>
      <c r="Z474" s="39">
        <f t="shared" si="39"/>
        <v>1</v>
      </c>
    </row>
    <row r="475" spans="1:26" x14ac:dyDescent="0.25">
      <c r="A475" s="37" t="str">
        <f>Equipos!C473</f>
        <v>2-119371</v>
      </c>
      <c r="B475" s="33" t="str">
        <f>Equipos!D473</f>
        <v>Monitor Multiparámetros</v>
      </c>
      <c r="C475" s="33" t="str">
        <f>Equipos!E473</f>
        <v>Pabellón (Recuperación)</v>
      </c>
      <c r="D475" s="33" t="str">
        <f>Equipos!G473</f>
        <v>Cama N° 16</v>
      </c>
      <c r="E475" s="33" t="str">
        <f>Equipos!I473</f>
        <v>Drager</v>
      </c>
      <c r="F475" s="33" t="str">
        <f>Equipos!J473</f>
        <v>Vista 120</v>
      </c>
      <c r="G475" s="37" t="str">
        <f>Equipos!K473</f>
        <v>VGSML0065</v>
      </c>
      <c r="H475" s="33"/>
      <c r="I475" s="38"/>
      <c r="J475" s="50" t="s">
        <v>275</v>
      </c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3">
        <f t="shared" si="35"/>
        <v>1</v>
      </c>
      <c r="V475" s="33">
        <f t="shared" si="36"/>
        <v>1</v>
      </c>
      <c r="W475" s="33">
        <f t="shared" si="37"/>
        <v>0</v>
      </c>
      <c r="X475" s="33">
        <f t="shared" si="38"/>
        <v>0</v>
      </c>
      <c r="Y475" s="33">
        <f ca="1">SUMPRODUCT((I475:INDEX(I475:T475,MONTH(TODAY()))="X")*1)</f>
        <v>0</v>
      </c>
      <c r="Z475" s="39">
        <f t="shared" si="39"/>
        <v>1</v>
      </c>
    </row>
    <row r="476" spans="1:26" x14ac:dyDescent="0.25">
      <c r="A476" s="37" t="str">
        <f>Equipos!C474</f>
        <v>2-027911</v>
      </c>
      <c r="B476" s="33" t="str">
        <f>Equipos!D474</f>
        <v>Monitor Multiparámetros</v>
      </c>
      <c r="C476" s="33" t="str">
        <f>Equipos!E474</f>
        <v>Neonatología</v>
      </c>
      <c r="D476" s="33">
        <f>Equipos!G474</f>
        <v>0</v>
      </c>
      <c r="E476" s="33" t="str">
        <f>Equipos!I474</f>
        <v xml:space="preserve">Nihon Kohden </v>
      </c>
      <c r="F476" s="33" t="str">
        <f>Equipos!J474</f>
        <v>PVM-2701K</v>
      </c>
      <c r="G476" s="37" t="str">
        <f>Equipos!K474</f>
        <v>0100639</v>
      </c>
      <c r="H476" s="33"/>
      <c r="I476" s="50" t="s">
        <v>276</v>
      </c>
      <c r="J476" s="50" t="s">
        <v>275</v>
      </c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3">
        <f t="shared" si="35"/>
        <v>2</v>
      </c>
      <c r="V476" s="33">
        <f t="shared" si="36"/>
        <v>1</v>
      </c>
      <c r="W476" s="33">
        <f t="shared" si="37"/>
        <v>0</v>
      </c>
      <c r="X476" s="33">
        <f t="shared" si="38"/>
        <v>0</v>
      </c>
      <c r="Y476" s="33">
        <f ca="1">SUMPRODUCT((I476:INDEX(I476:T476,MONTH(TODAY()))="X")*1)</f>
        <v>0</v>
      </c>
      <c r="Z476" s="39">
        <f t="shared" si="39"/>
        <v>0.5</v>
      </c>
    </row>
    <row r="477" spans="1:26" x14ac:dyDescent="0.25">
      <c r="A477" s="37" t="str">
        <f>Equipos!C475</f>
        <v>2-027888</v>
      </c>
      <c r="B477" s="33" t="str">
        <f>Equipos!D475</f>
        <v>Monitor Multiparámetros</v>
      </c>
      <c r="C477" s="33" t="str">
        <f>Equipos!E475</f>
        <v>Neonatología</v>
      </c>
      <c r="D477" s="33">
        <f>Equipos!G475</f>
        <v>0</v>
      </c>
      <c r="E477" s="33" t="str">
        <f>Equipos!I475</f>
        <v xml:space="preserve">Nihon Kohden </v>
      </c>
      <c r="F477" s="33" t="str">
        <f>Equipos!J475</f>
        <v>BSM-6301K</v>
      </c>
      <c r="G477" s="37" t="str">
        <f>Equipos!K475</f>
        <v>01070</v>
      </c>
      <c r="H477" s="33"/>
      <c r="I477" s="50" t="s">
        <v>278</v>
      </c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3">
        <f t="shared" si="35"/>
        <v>1</v>
      </c>
      <c r="V477" s="33">
        <f t="shared" si="36"/>
        <v>0</v>
      </c>
      <c r="W477" s="33">
        <f t="shared" si="37"/>
        <v>0</v>
      </c>
      <c r="X477" s="33">
        <f t="shared" si="38"/>
        <v>1</v>
      </c>
      <c r="Y477" s="33">
        <f ca="1">SUMPRODUCT((I477:INDEX(I477:T477,MONTH(TODAY()))="X")*1)</f>
        <v>0</v>
      </c>
      <c r="Z477" s="39">
        <f t="shared" si="39"/>
        <v>0</v>
      </c>
    </row>
    <row r="478" spans="1:26" x14ac:dyDescent="0.25">
      <c r="A478" s="37" t="str">
        <f>Equipos!C476</f>
        <v>2-016546</v>
      </c>
      <c r="B478" s="33" t="str">
        <f>Equipos!D476</f>
        <v>Monitor Multiparámetros</v>
      </c>
      <c r="C478" s="33" t="str">
        <f>Equipos!E476</f>
        <v>Neonatología</v>
      </c>
      <c r="D478" s="33">
        <f>Equipos!G476</f>
        <v>0</v>
      </c>
      <c r="E478" s="33" t="str">
        <f>Equipos!I476</f>
        <v xml:space="preserve">Nihon Kohden </v>
      </c>
      <c r="F478" s="33" t="str">
        <f>Equipos!J476</f>
        <v>BSM-6301K</v>
      </c>
      <c r="G478" s="37" t="str">
        <f>Equipos!K476</f>
        <v>01033</v>
      </c>
      <c r="H478" s="33"/>
      <c r="I478" s="50" t="s">
        <v>276</v>
      </c>
      <c r="J478" s="50" t="s">
        <v>275</v>
      </c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3">
        <f t="shared" si="35"/>
        <v>2</v>
      </c>
      <c r="V478" s="33">
        <f t="shared" si="36"/>
        <v>1</v>
      </c>
      <c r="W478" s="33">
        <f t="shared" si="37"/>
        <v>0</v>
      </c>
      <c r="X478" s="33">
        <f t="shared" si="38"/>
        <v>0</v>
      </c>
      <c r="Y478" s="33">
        <f ca="1">SUMPRODUCT((I478:INDEX(I478:T478,MONTH(TODAY()))="X")*1)</f>
        <v>0</v>
      </c>
      <c r="Z478" s="39">
        <f t="shared" si="39"/>
        <v>0.5</v>
      </c>
    </row>
    <row r="479" spans="1:26" x14ac:dyDescent="0.25">
      <c r="A479" s="37" t="str">
        <f>Equipos!C477</f>
        <v>2-027912</v>
      </c>
      <c r="B479" s="33" t="str">
        <f>Equipos!D477</f>
        <v>Monitor Multiparámetros</v>
      </c>
      <c r="C479" s="33" t="str">
        <f>Equipos!E477</f>
        <v>Neonatología</v>
      </c>
      <c r="D479" s="33">
        <f>Equipos!G477</f>
        <v>0</v>
      </c>
      <c r="E479" s="33" t="str">
        <f>Equipos!I477</f>
        <v xml:space="preserve">Nihon Kohden </v>
      </c>
      <c r="F479" s="33" t="str">
        <f>Equipos!J477</f>
        <v>BSM-6301K</v>
      </c>
      <c r="G479" s="37" t="str">
        <f>Equipos!K477</f>
        <v>01044</v>
      </c>
      <c r="H479" s="33"/>
      <c r="I479" s="50" t="s">
        <v>276</v>
      </c>
      <c r="J479" s="50" t="s">
        <v>275</v>
      </c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3">
        <f t="shared" si="35"/>
        <v>2</v>
      </c>
      <c r="V479" s="33">
        <f t="shared" si="36"/>
        <v>1</v>
      </c>
      <c r="W479" s="33">
        <f t="shared" si="37"/>
        <v>0</v>
      </c>
      <c r="X479" s="33">
        <f t="shared" si="38"/>
        <v>0</v>
      </c>
      <c r="Y479" s="33">
        <f ca="1">SUMPRODUCT((I479:INDEX(I479:T479,MONTH(TODAY()))="X")*1)</f>
        <v>0</v>
      </c>
      <c r="Z479" s="39">
        <f t="shared" si="39"/>
        <v>0.5</v>
      </c>
    </row>
    <row r="480" spans="1:26" x14ac:dyDescent="0.25">
      <c r="A480" s="37" t="str">
        <f>Equipos!C478</f>
        <v>2-027891</v>
      </c>
      <c r="B480" s="33" t="str">
        <f>Equipos!D478</f>
        <v>Monitor Multiparámetros</v>
      </c>
      <c r="C480" s="33" t="str">
        <f>Equipos!E478</f>
        <v>Neonatología</v>
      </c>
      <c r="D480" s="33">
        <f>Equipos!G478</f>
        <v>0</v>
      </c>
      <c r="E480" s="33" t="str">
        <f>Equipos!I478</f>
        <v xml:space="preserve">Nihon Kohden </v>
      </c>
      <c r="F480" s="33" t="str">
        <f>Equipos!J478</f>
        <v>BSM-6301K</v>
      </c>
      <c r="G480" s="37" t="str">
        <f>Equipos!K478</f>
        <v>01071</v>
      </c>
      <c r="H480" s="33"/>
      <c r="I480" s="50" t="s">
        <v>276</v>
      </c>
      <c r="J480" s="50" t="s">
        <v>275</v>
      </c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3">
        <f t="shared" si="35"/>
        <v>2</v>
      </c>
      <c r="V480" s="33">
        <f t="shared" si="36"/>
        <v>1</v>
      </c>
      <c r="W480" s="33">
        <f t="shared" si="37"/>
        <v>0</v>
      </c>
      <c r="X480" s="33">
        <f t="shared" si="38"/>
        <v>0</v>
      </c>
      <c r="Y480" s="33">
        <f ca="1">SUMPRODUCT((I480:INDEX(I480:T480,MONTH(TODAY()))="X")*1)</f>
        <v>0</v>
      </c>
      <c r="Z480" s="39">
        <f t="shared" si="39"/>
        <v>0.5</v>
      </c>
    </row>
    <row r="481" spans="1:26" x14ac:dyDescent="0.25">
      <c r="A481" s="37" t="str">
        <f>Equipos!C479</f>
        <v>2-016561</v>
      </c>
      <c r="B481" s="33" t="str">
        <f>Equipos!D479</f>
        <v>Monitor Multiparámetros</v>
      </c>
      <c r="C481" s="33" t="str">
        <f>Equipos!E479</f>
        <v>UPC Pediátrica</v>
      </c>
      <c r="D481" s="33" t="str">
        <f>Equipos!G479</f>
        <v>Bodega</v>
      </c>
      <c r="E481" s="33" t="str">
        <f>Equipos!I479</f>
        <v xml:space="preserve">Drager </v>
      </c>
      <c r="F481" s="33" t="str">
        <f>Equipos!J479</f>
        <v xml:space="preserve">Infinity Vista </v>
      </c>
      <c r="G481" s="37" t="str">
        <f>Equipos!K479</f>
        <v>5516412180</v>
      </c>
      <c r="H481" s="33"/>
      <c r="I481" s="50" t="s">
        <v>276</v>
      </c>
      <c r="J481" s="50" t="s">
        <v>275</v>
      </c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3">
        <f t="shared" si="35"/>
        <v>2</v>
      </c>
      <c r="V481" s="33">
        <f t="shared" si="36"/>
        <v>1</v>
      </c>
      <c r="W481" s="33">
        <f t="shared" si="37"/>
        <v>0</v>
      </c>
      <c r="X481" s="33">
        <f t="shared" si="38"/>
        <v>0</v>
      </c>
      <c r="Y481" s="33">
        <f ca="1">SUMPRODUCT((I481:INDEX(I481:T481,MONTH(TODAY()))="X")*1)</f>
        <v>0</v>
      </c>
      <c r="Z481" s="39">
        <f t="shared" si="39"/>
        <v>0.5</v>
      </c>
    </row>
    <row r="482" spans="1:26" x14ac:dyDescent="0.25">
      <c r="A482" s="37" t="str">
        <f>Equipos!C480</f>
        <v>2-112499</v>
      </c>
      <c r="B482" s="33" t="str">
        <f>Equipos!D480</f>
        <v>Monitor Multiparámetros</v>
      </c>
      <c r="C482" s="33" t="str">
        <f>Equipos!E480</f>
        <v>Pediatría</v>
      </c>
      <c r="D482" s="33" t="str">
        <f>Equipos!G480</f>
        <v>Sala de equipos</v>
      </c>
      <c r="E482" s="33" t="str">
        <f>Equipos!I480</f>
        <v xml:space="preserve">Drager </v>
      </c>
      <c r="F482" s="33" t="str">
        <f>Equipos!J480</f>
        <v xml:space="preserve">Infinity Vista </v>
      </c>
      <c r="G482" s="37" t="str">
        <f>Equipos!K480</f>
        <v>5516412278</v>
      </c>
      <c r="H482" s="33"/>
      <c r="I482" s="50" t="s">
        <v>276</v>
      </c>
      <c r="J482" s="50" t="s">
        <v>275</v>
      </c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3">
        <f t="shared" si="35"/>
        <v>2</v>
      </c>
      <c r="V482" s="33">
        <f t="shared" si="36"/>
        <v>1</v>
      </c>
      <c r="W482" s="33">
        <f t="shared" si="37"/>
        <v>0</v>
      </c>
      <c r="X482" s="33">
        <f t="shared" si="38"/>
        <v>0</v>
      </c>
      <c r="Y482" s="33">
        <f ca="1">SUMPRODUCT((I482:INDEX(I482:T482,MONTH(TODAY()))="X")*1)</f>
        <v>0</v>
      </c>
      <c r="Z482" s="39">
        <f t="shared" si="39"/>
        <v>0.5</v>
      </c>
    </row>
    <row r="483" spans="1:26" x14ac:dyDescent="0.25">
      <c r="A483" s="37" t="str">
        <f>Equipos!C481</f>
        <v>2-027889</v>
      </c>
      <c r="B483" s="33" t="str">
        <f>Equipos!D481</f>
        <v>Monitor Multiparámetros</v>
      </c>
      <c r="C483" s="33" t="str">
        <f>Equipos!E481</f>
        <v>Neonatología</v>
      </c>
      <c r="D483" s="33">
        <f>Equipos!G481</f>
        <v>0</v>
      </c>
      <c r="E483" s="33" t="str">
        <f>Equipos!I481</f>
        <v xml:space="preserve">Nihon Kohden </v>
      </c>
      <c r="F483" s="33" t="str">
        <f>Equipos!J481</f>
        <v>BSM-6301K</v>
      </c>
      <c r="G483" s="37" t="str">
        <f>Equipos!K481</f>
        <v>01051</v>
      </c>
      <c r="H483" s="33"/>
      <c r="I483" s="50" t="s">
        <v>276</v>
      </c>
      <c r="J483" s="50" t="s">
        <v>275</v>
      </c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3">
        <f t="shared" si="35"/>
        <v>2</v>
      </c>
      <c r="V483" s="33">
        <f t="shared" si="36"/>
        <v>1</v>
      </c>
      <c r="W483" s="33">
        <f t="shared" si="37"/>
        <v>0</v>
      </c>
      <c r="X483" s="33">
        <f t="shared" si="38"/>
        <v>0</v>
      </c>
      <c r="Y483" s="33">
        <f ca="1">SUMPRODUCT((I483:INDEX(I483:T483,MONTH(TODAY()))="X")*1)</f>
        <v>0</v>
      </c>
      <c r="Z483" s="39">
        <f t="shared" si="39"/>
        <v>0.5</v>
      </c>
    </row>
    <row r="484" spans="1:26" x14ac:dyDescent="0.25">
      <c r="A484" s="37" t="str">
        <f>Equipos!C482</f>
        <v>2-112659</v>
      </c>
      <c r="B484" s="33" t="str">
        <f>Equipos!D482</f>
        <v>Monitor Multiparámetros</v>
      </c>
      <c r="C484" s="33" t="str">
        <f>Equipos!E482</f>
        <v>Neonatología</v>
      </c>
      <c r="D484" s="33">
        <f>Equipos!G482</f>
        <v>0</v>
      </c>
      <c r="E484" s="33" t="str">
        <f>Equipos!I482</f>
        <v xml:space="preserve">Nihon Kohden </v>
      </c>
      <c r="F484" s="33" t="str">
        <f>Equipos!J482</f>
        <v>PVM-2701K</v>
      </c>
      <c r="G484" s="37" t="str">
        <f>Equipos!K482</f>
        <v>0100657</v>
      </c>
      <c r="H484" s="33"/>
      <c r="I484" s="50" t="s">
        <v>276</v>
      </c>
      <c r="J484" s="50" t="s">
        <v>275</v>
      </c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3">
        <f t="shared" si="35"/>
        <v>2</v>
      </c>
      <c r="V484" s="33">
        <f t="shared" si="36"/>
        <v>1</v>
      </c>
      <c r="W484" s="33">
        <f t="shared" si="37"/>
        <v>0</v>
      </c>
      <c r="X484" s="33">
        <f t="shared" si="38"/>
        <v>0</v>
      </c>
      <c r="Y484" s="33">
        <f ca="1">SUMPRODUCT((I484:INDEX(I484:T484,MONTH(TODAY()))="X")*1)</f>
        <v>0</v>
      </c>
      <c r="Z484" s="39">
        <f t="shared" si="39"/>
        <v>0.5</v>
      </c>
    </row>
    <row r="485" spans="1:26" x14ac:dyDescent="0.25">
      <c r="A485" s="37" t="str">
        <f>Equipos!C483</f>
        <v>2-027887</v>
      </c>
      <c r="B485" s="33" t="str">
        <f>Equipos!D483</f>
        <v>Monitor Multiparámetros</v>
      </c>
      <c r="C485" s="33" t="str">
        <f>Equipos!E483</f>
        <v>Pediatría</v>
      </c>
      <c r="D485" s="33" t="str">
        <f>Equipos!G483</f>
        <v>Sala de equipos</v>
      </c>
      <c r="E485" s="33" t="str">
        <f>Equipos!I483</f>
        <v xml:space="preserve">Drager </v>
      </c>
      <c r="F485" s="33" t="str">
        <f>Equipos!J483</f>
        <v xml:space="preserve">Infinity Vista </v>
      </c>
      <c r="G485" s="37" t="str">
        <f>Equipos!K483</f>
        <v>5514422672</v>
      </c>
      <c r="H485" s="33"/>
      <c r="I485" s="50" t="s">
        <v>276</v>
      </c>
      <c r="J485" s="50" t="s">
        <v>275</v>
      </c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3">
        <f t="shared" si="35"/>
        <v>2</v>
      </c>
      <c r="V485" s="33">
        <f t="shared" si="36"/>
        <v>1</v>
      </c>
      <c r="W485" s="33">
        <f t="shared" si="37"/>
        <v>0</v>
      </c>
      <c r="X485" s="33">
        <f t="shared" si="38"/>
        <v>0</v>
      </c>
      <c r="Y485" s="33">
        <f ca="1">SUMPRODUCT((I485:INDEX(I485:T485,MONTH(TODAY()))="X")*1)</f>
        <v>0</v>
      </c>
      <c r="Z485" s="39">
        <f t="shared" si="39"/>
        <v>0.5</v>
      </c>
    </row>
    <row r="486" spans="1:26" x14ac:dyDescent="0.25">
      <c r="A486" s="37" t="str">
        <f>Equipos!C484</f>
        <v>2-027890</v>
      </c>
      <c r="B486" s="33" t="str">
        <f>Equipos!D484</f>
        <v>Monitor Multiparámetros</v>
      </c>
      <c r="C486" s="33" t="str">
        <f>Equipos!E484</f>
        <v>Neonatología</v>
      </c>
      <c r="D486" s="33">
        <f>Equipos!G484</f>
        <v>0</v>
      </c>
      <c r="E486" s="33" t="str">
        <f>Equipos!I484</f>
        <v xml:space="preserve">Nihon Kohden </v>
      </c>
      <c r="F486" s="33" t="str">
        <f>Equipos!J484</f>
        <v>BSM-6301K</v>
      </c>
      <c r="G486" s="37" t="str">
        <f>Equipos!K484</f>
        <v>01037</v>
      </c>
      <c r="H486" s="33"/>
      <c r="I486" s="50" t="s">
        <v>276</v>
      </c>
      <c r="J486" s="50" t="s">
        <v>275</v>
      </c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3">
        <f t="shared" si="35"/>
        <v>2</v>
      </c>
      <c r="V486" s="33">
        <f t="shared" si="36"/>
        <v>1</v>
      </c>
      <c r="W486" s="33">
        <f t="shared" si="37"/>
        <v>0</v>
      </c>
      <c r="X486" s="33">
        <f t="shared" si="38"/>
        <v>0</v>
      </c>
      <c r="Y486" s="33">
        <f ca="1">SUMPRODUCT((I486:INDEX(I486:T486,MONTH(TODAY()))="X")*1)</f>
        <v>0</v>
      </c>
      <c r="Z486" s="39">
        <f t="shared" si="39"/>
        <v>0.5</v>
      </c>
    </row>
    <row r="487" spans="1:26" x14ac:dyDescent="0.25">
      <c r="A487" s="37" t="str">
        <f>Equipos!C485</f>
        <v>2-023484</v>
      </c>
      <c r="B487" s="33" t="str">
        <f>Equipos!D485</f>
        <v>Monitor Multiparámetros</v>
      </c>
      <c r="C487" s="33" t="str">
        <f>Equipos!E485</f>
        <v>Pediatría</v>
      </c>
      <c r="D487" s="33" t="str">
        <f>Equipos!G485</f>
        <v>Sala de equipos</v>
      </c>
      <c r="E487" s="33" t="str">
        <f>Equipos!I485</f>
        <v xml:space="preserve">Drager </v>
      </c>
      <c r="F487" s="33" t="str">
        <f>Equipos!J485</f>
        <v xml:space="preserve">Infinity Vista </v>
      </c>
      <c r="G487" s="37" t="str">
        <f>Equipos!K485</f>
        <v>5516414472</v>
      </c>
      <c r="H487" s="33"/>
      <c r="I487" s="50" t="s">
        <v>276</v>
      </c>
      <c r="J487" s="50" t="s">
        <v>275</v>
      </c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3">
        <f t="shared" si="35"/>
        <v>2</v>
      </c>
      <c r="V487" s="33">
        <f t="shared" si="36"/>
        <v>1</v>
      </c>
      <c r="W487" s="33">
        <f t="shared" si="37"/>
        <v>0</v>
      </c>
      <c r="X487" s="33">
        <f t="shared" si="38"/>
        <v>0</v>
      </c>
      <c r="Y487" s="33">
        <f ca="1">SUMPRODUCT((I487:INDEX(I487:T487,MONTH(TODAY()))="X")*1)</f>
        <v>0</v>
      </c>
      <c r="Z487" s="39">
        <f t="shared" si="39"/>
        <v>0.5</v>
      </c>
    </row>
    <row r="488" spans="1:26" x14ac:dyDescent="0.25">
      <c r="A488" s="37" t="str">
        <f>Equipos!C486</f>
        <v>2-016545</v>
      </c>
      <c r="B488" s="33" t="str">
        <f>Equipos!D486</f>
        <v>Monitor Multiparámetros</v>
      </c>
      <c r="C488" s="33" t="str">
        <f>Equipos!E486</f>
        <v>Pediatría</v>
      </c>
      <c r="D488" s="33" t="str">
        <f>Equipos!G486</f>
        <v>Sala de equipos</v>
      </c>
      <c r="E488" s="33" t="str">
        <f>Equipos!I486</f>
        <v xml:space="preserve">Nihon Kohden </v>
      </c>
      <c r="F488" s="33" t="str">
        <f>Equipos!J486</f>
        <v>PVM-2701K</v>
      </c>
      <c r="G488" s="37" t="str">
        <f>Equipos!K486</f>
        <v>0100649</v>
      </c>
      <c r="H488" s="33"/>
      <c r="I488" s="50" t="s">
        <v>276</v>
      </c>
      <c r="J488" s="50" t="s">
        <v>275</v>
      </c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3">
        <f t="shared" si="35"/>
        <v>2</v>
      </c>
      <c r="V488" s="33">
        <f t="shared" si="36"/>
        <v>1</v>
      </c>
      <c r="W488" s="33">
        <f t="shared" si="37"/>
        <v>0</v>
      </c>
      <c r="X488" s="33">
        <f t="shared" si="38"/>
        <v>0</v>
      </c>
      <c r="Y488" s="33">
        <f ca="1">SUMPRODUCT((I488:INDEX(I488:T488,MONTH(TODAY()))="X")*1)</f>
        <v>0</v>
      </c>
      <c r="Z488" s="39">
        <f t="shared" si="39"/>
        <v>0.5</v>
      </c>
    </row>
    <row r="489" spans="1:26" x14ac:dyDescent="0.25">
      <c r="A489" s="37" t="str">
        <f>Equipos!C487</f>
        <v>2-023483</v>
      </c>
      <c r="B489" s="33" t="str">
        <f>Equipos!D487</f>
        <v>Monitor Multiparámetros</v>
      </c>
      <c r="C489" s="33" t="str">
        <f>Equipos!E487</f>
        <v>Pediatría</v>
      </c>
      <c r="D489" s="33" t="str">
        <f>Equipos!G487</f>
        <v>Segunda infancia</v>
      </c>
      <c r="E489" s="33" t="str">
        <f>Equipos!I487</f>
        <v xml:space="preserve">Nihon Kohden </v>
      </c>
      <c r="F489" s="33" t="str">
        <f>Equipos!J487</f>
        <v>PVM-2701K</v>
      </c>
      <c r="G489" s="37" t="str">
        <f>Equipos!K487</f>
        <v>0100640</v>
      </c>
      <c r="H489" s="33"/>
      <c r="I489" s="50" t="s">
        <v>276</v>
      </c>
      <c r="J489" s="50" t="s">
        <v>275</v>
      </c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3">
        <f t="shared" si="35"/>
        <v>2</v>
      </c>
      <c r="V489" s="33">
        <f t="shared" si="36"/>
        <v>1</v>
      </c>
      <c r="W489" s="33">
        <f t="shared" si="37"/>
        <v>0</v>
      </c>
      <c r="X489" s="33">
        <f t="shared" si="38"/>
        <v>0</v>
      </c>
      <c r="Y489" s="33">
        <f ca="1">SUMPRODUCT((I489:INDEX(I489:T489,MONTH(TODAY()))="X")*1)</f>
        <v>0</v>
      </c>
      <c r="Z489" s="39">
        <f t="shared" si="39"/>
        <v>0.5</v>
      </c>
    </row>
    <row r="490" spans="1:26" x14ac:dyDescent="0.25">
      <c r="A490" s="37" t="str">
        <f>Equipos!C488</f>
        <v>2-017324</v>
      </c>
      <c r="B490" s="33" t="str">
        <f>Equipos!D488</f>
        <v>Monitor Multiparámetros</v>
      </c>
      <c r="C490" s="33" t="str">
        <f>Equipos!E488</f>
        <v>Pabellón Quirúrgico</v>
      </c>
      <c r="D490" s="33" t="str">
        <f>Equipos!G488</f>
        <v>CDT-P2-QF08</v>
      </c>
      <c r="E490" s="33" t="str">
        <f>Equipos!I488</f>
        <v xml:space="preserve">Drager </v>
      </c>
      <c r="F490" s="33" t="str">
        <f>Equipos!J488</f>
        <v>Infinity Kappa</v>
      </c>
      <c r="G490" s="37" t="str">
        <f>Equipos!K488</f>
        <v>5494782651</v>
      </c>
      <c r="H490" s="33"/>
      <c r="I490" s="38"/>
      <c r="J490" s="38"/>
      <c r="K490" s="38"/>
      <c r="L490" s="50" t="s">
        <v>275</v>
      </c>
      <c r="M490" s="38"/>
      <c r="N490" s="38"/>
      <c r="O490" s="38"/>
      <c r="P490" s="38"/>
      <c r="Q490" s="38"/>
      <c r="R490" s="38"/>
      <c r="S490" s="38"/>
      <c r="T490" s="38"/>
      <c r="U490" s="33">
        <f t="shared" si="35"/>
        <v>1</v>
      </c>
      <c r="V490" s="33">
        <f t="shared" si="36"/>
        <v>1</v>
      </c>
      <c r="W490" s="33">
        <f t="shared" si="37"/>
        <v>0</v>
      </c>
      <c r="X490" s="33">
        <f t="shared" si="38"/>
        <v>0</v>
      </c>
      <c r="Y490" s="33">
        <f ca="1">SUMPRODUCT((I490:INDEX(I490:T490,MONTH(TODAY()))="X")*1)</f>
        <v>0</v>
      </c>
      <c r="Z490" s="39">
        <f t="shared" si="39"/>
        <v>1</v>
      </c>
    </row>
    <row r="491" spans="1:26" x14ac:dyDescent="0.25">
      <c r="A491" s="37" t="str">
        <f>Equipos!C489</f>
        <v>2-002719</v>
      </c>
      <c r="B491" s="33" t="str">
        <f>Equipos!D489</f>
        <v>Monitor Multiparámetros</v>
      </c>
      <c r="C491" s="33" t="str">
        <f>Equipos!E489</f>
        <v>Traumatología</v>
      </c>
      <c r="D491" s="33" t="str">
        <f>Equipos!G489</f>
        <v>Cirugía Trauma</v>
      </c>
      <c r="E491" s="33" t="str">
        <f>Equipos!I489</f>
        <v xml:space="preserve">Nihon Kohden </v>
      </c>
      <c r="F491" s="33" t="str">
        <f>Equipos!J489</f>
        <v>BSM-6301K</v>
      </c>
      <c r="G491" s="37" t="str">
        <f>Equipos!K489</f>
        <v>01035.</v>
      </c>
      <c r="H491" s="33"/>
      <c r="I491" s="38"/>
      <c r="J491" s="38"/>
      <c r="K491" s="50" t="s">
        <v>276</v>
      </c>
      <c r="L491" s="50" t="s">
        <v>275</v>
      </c>
      <c r="M491" s="38"/>
      <c r="N491" s="38"/>
      <c r="O491" s="38"/>
      <c r="P491" s="38"/>
      <c r="Q491" s="38"/>
      <c r="R491" s="38"/>
      <c r="S491" s="38"/>
      <c r="T491" s="38"/>
      <c r="U491" s="33">
        <f t="shared" si="35"/>
        <v>2</v>
      </c>
      <c r="V491" s="33">
        <f t="shared" si="36"/>
        <v>1</v>
      </c>
      <c r="W491" s="33">
        <f t="shared" si="37"/>
        <v>0</v>
      </c>
      <c r="X491" s="33">
        <f t="shared" si="38"/>
        <v>0</v>
      </c>
      <c r="Y491" s="33">
        <f ca="1">SUMPRODUCT((I491:INDEX(I491:T491,MONTH(TODAY()))="X")*1)</f>
        <v>0</v>
      </c>
      <c r="Z491" s="39">
        <f t="shared" si="39"/>
        <v>0.5</v>
      </c>
    </row>
    <row r="492" spans="1:26" x14ac:dyDescent="0.25">
      <c r="A492" s="37" t="str">
        <f>Equipos!C490</f>
        <v>2-002681</v>
      </c>
      <c r="B492" s="33" t="str">
        <f>Equipos!D490</f>
        <v>Monitor Multiparámetros</v>
      </c>
      <c r="C492" s="33" t="str">
        <f>Equipos!E490</f>
        <v>Traumatología</v>
      </c>
      <c r="D492" s="33" t="str">
        <f>Equipos!G490</f>
        <v>Pasillo</v>
      </c>
      <c r="E492" s="33" t="str">
        <f>Equipos!I490</f>
        <v xml:space="preserve">Nihon Kohden </v>
      </c>
      <c r="F492" s="33" t="str">
        <f>Equipos!J490</f>
        <v>BSM-6301K</v>
      </c>
      <c r="G492" s="37" t="str">
        <f>Equipos!K490</f>
        <v>01036.</v>
      </c>
      <c r="H492" s="33"/>
      <c r="I492" s="38"/>
      <c r="J492" s="38"/>
      <c r="K492" s="50" t="s">
        <v>276</v>
      </c>
      <c r="L492" s="50" t="s">
        <v>275</v>
      </c>
      <c r="M492" s="38"/>
      <c r="N492" s="38"/>
      <c r="O492" s="38"/>
      <c r="P492" s="38"/>
      <c r="Q492" s="38"/>
      <c r="R492" s="38"/>
      <c r="S492" s="38"/>
      <c r="T492" s="38"/>
      <c r="U492" s="33">
        <f t="shared" si="35"/>
        <v>2</v>
      </c>
      <c r="V492" s="33">
        <f t="shared" si="36"/>
        <v>1</v>
      </c>
      <c r="W492" s="33">
        <f t="shared" si="37"/>
        <v>0</v>
      </c>
      <c r="X492" s="33">
        <f t="shared" si="38"/>
        <v>0</v>
      </c>
      <c r="Y492" s="33">
        <f ca="1">SUMPRODUCT((I492:INDEX(I492:T492,MONTH(TODAY()))="X")*1)</f>
        <v>0</v>
      </c>
      <c r="Z492" s="39">
        <f t="shared" si="39"/>
        <v>0.5</v>
      </c>
    </row>
    <row r="493" spans="1:26" x14ac:dyDescent="0.25">
      <c r="A493" s="37" t="str">
        <f>Equipos!C491</f>
        <v>2-111918</v>
      </c>
      <c r="B493" s="33" t="str">
        <f>Equipos!D491</f>
        <v>Monitor Multiparámetros</v>
      </c>
      <c r="C493" s="33" t="str">
        <f>Equipos!E491</f>
        <v>Hemato Oncología Adulto</v>
      </c>
      <c r="D493" s="33" t="str">
        <f>Equipos!G491</f>
        <v>EPB-P5-SA11</v>
      </c>
      <c r="E493" s="33" t="str">
        <f>Equipos!I491</f>
        <v xml:space="preserve">Nihon Kohden </v>
      </c>
      <c r="F493" s="33" t="str">
        <f>Equipos!J491</f>
        <v>BSM-6301K</v>
      </c>
      <c r="G493" s="37" t="str">
        <f>Equipos!K491</f>
        <v>01039</v>
      </c>
      <c r="H493" s="33"/>
      <c r="I493" s="38"/>
      <c r="J493" s="38"/>
      <c r="K493" s="50" t="s">
        <v>276</v>
      </c>
      <c r="L493" s="50" t="s">
        <v>275</v>
      </c>
      <c r="M493" s="38"/>
      <c r="N493" s="38"/>
      <c r="O493" s="38"/>
      <c r="P493" s="38"/>
      <c r="Q493" s="38"/>
      <c r="R493" s="38"/>
      <c r="S493" s="38"/>
      <c r="T493" s="38"/>
      <c r="U493" s="33">
        <f t="shared" si="35"/>
        <v>2</v>
      </c>
      <c r="V493" s="33">
        <f t="shared" si="36"/>
        <v>1</v>
      </c>
      <c r="W493" s="33">
        <f t="shared" si="37"/>
        <v>0</v>
      </c>
      <c r="X493" s="33">
        <f t="shared" si="38"/>
        <v>0</v>
      </c>
      <c r="Y493" s="33">
        <f ca="1">SUMPRODUCT((I493:INDEX(I493:T493,MONTH(TODAY()))="X")*1)</f>
        <v>0</v>
      </c>
      <c r="Z493" s="39">
        <f t="shared" si="39"/>
        <v>0.5</v>
      </c>
    </row>
    <row r="494" spans="1:26" x14ac:dyDescent="0.25">
      <c r="A494" s="37" t="str">
        <f>Equipos!C492</f>
        <v>2-111913</v>
      </c>
      <c r="B494" s="33" t="str">
        <f>Equipos!D492</f>
        <v>Monitor Multiparámetros</v>
      </c>
      <c r="C494" s="33" t="str">
        <f>Equipos!E492</f>
        <v>Hemato Oncología Adulto</v>
      </c>
      <c r="D494" s="33" t="str">
        <f>Equipos!G492</f>
        <v>EPB-P5-SA12</v>
      </c>
      <c r="E494" s="33" t="str">
        <f>Equipos!I492</f>
        <v xml:space="preserve">Criticare </v>
      </c>
      <c r="F494" s="33" t="str">
        <f>Equipos!J492</f>
        <v>8100E-S</v>
      </c>
      <c r="G494" s="37" t="str">
        <f>Equipos!K492</f>
        <v>212726171</v>
      </c>
      <c r="H494" s="33"/>
      <c r="I494" s="38"/>
      <c r="J494" s="38"/>
      <c r="K494" s="50" t="s">
        <v>276</v>
      </c>
      <c r="L494" s="50" t="s">
        <v>275</v>
      </c>
      <c r="M494" s="38"/>
      <c r="N494" s="38"/>
      <c r="O494" s="38"/>
      <c r="P494" s="38"/>
      <c r="Q494" s="38"/>
      <c r="R494" s="38"/>
      <c r="S494" s="38"/>
      <c r="T494" s="38"/>
      <c r="U494" s="33">
        <f t="shared" si="35"/>
        <v>2</v>
      </c>
      <c r="V494" s="33">
        <f t="shared" si="36"/>
        <v>1</v>
      </c>
      <c r="W494" s="33">
        <f t="shared" si="37"/>
        <v>0</v>
      </c>
      <c r="X494" s="33">
        <f t="shared" si="38"/>
        <v>0</v>
      </c>
      <c r="Y494" s="33">
        <f ca="1">SUMPRODUCT((I494:INDEX(I494:T494,MONTH(TODAY()))="X")*1)</f>
        <v>0</v>
      </c>
      <c r="Z494" s="39">
        <f t="shared" si="39"/>
        <v>0.5</v>
      </c>
    </row>
    <row r="495" spans="1:26" x14ac:dyDescent="0.25">
      <c r="A495" s="37" t="str">
        <f>Equipos!C493</f>
        <v>2-002869</v>
      </c>
      <c r="B495" s="33" t="str">
        <f>Equipos!D493</f>
        <v>Monitor Multiparámetros</v>
      </c>
      <c r="C495" s="33" t="str">
        <f>Equipos!E493</f>
        <v>Hemato Oncología Adulto</v>
      </c>
      <c r="D495" s="33" t="str">
        <f>Equipos!G493</f>
        <v>EPB-P5-SA08</v>
      </c>
      <c r="E495" s="33" t="str">
        <f>Equipos!I493</f>
        <v xml:space="preserve">Nihon Kohden </v>
      </c>
      <c r="F495" s="33" t="str">
        <f>Equipos!J493</f>
        <v>BSM-6301K</v>
      </c>
      <c r="G495" s="37" t="str">
        <f>Equipos!K493</f>
        <v>01074</v>
      </c>
      <c r="H495" s="33"/>
      <c r="I495" s="38"/>
      <c r="J495" s="38"/>
      <c r="K495" s="50" t="s">
        <v>276</v>
      </c>
      <c r="L495" s="50" t="s">
        <v>275</v>
      </c>
      <c r="M495" s="38"/>
      <c r="N495" s="38"/>
      <c r="O495" s="38"/>
      <c r="P495" s="38"/>
      <c r="Q495" s="38"/>
      <c r="R495" s="38"/>
      <c r="S495" s="38"/>
      <c r="T495" s="38"/>
      <c r="U495" s="33">
        <f t="shared" si="35"/>
        <v>2</v>
      </c>
      <c r="V495" s="33">
        <f t="shared" si="36"/>
        <v>1</v>
      </c>
      <c r="W495" s="33">
        <f t="shared" si="37"/>
        <v>0</v>
      </c>
      <c r="X495" s="33">
        <f t="shared" si="38"/>
        <v>0</v>
      </c>
      <c r="Y495" s="33">
        <f ca="1">SUMPRODUCT((I495:INDEX(I495:T495,MONTH(TODAY()))="X")*1)</f>
        <v>0</v>
      </c>
      <c r="Z495" s="39">
        <f t="shared" si="39"/>
        <v>0.5</v>
      </c>
    </row>
    <row r="496" spans="1:26" x14ac:dyDescent="0.25">
      <c r="A496" s="37" t="str">
        <f>Equipos!C494</f>
        <v>2-111945</v>
      </c>
      <c r="B496" s="33" t="str">
        <f>Equipos!D494</f>
        <v>Monitor Multiparámetros</v>
      </c>
      <c r="C496" s="33" t="str">
        <f>Equipos!E494</f>
        <v>Hemato Oncología Adulto</v>
      </c>
      <c r="D496" s="33" t="str">
        <f>Equipos!G494</f>
        <v>EPB-P5-SA10</v>
      </c>
      <c r="E496" s="33" t="str">
        <f>Equipos!I494</f>
        <v xml:space="preserve">Nihon Kohden </v>
      </c>
      <c r="F496" s="33" t="str">
        <f>Equipos!J494</f>
        <v>BSM-6301K</v>
      </c>
      <c r="G496" s="37" t="str">
        <f>Equipos!K494</f>
        <v>01063</v>
      </c>
      <c r="H496" s="33"/>
      <c r="I496" s="38"/>
      <c r="J496" s="38"/>
      <c r="K496" s="50" t="s">
        <v>276</v>
      </c>
      <c r="L496" s="50" t="s">
        <v>275</v>
      </c>
      <c r="M496" s="38"/>
      <c r="N496" s="38"/>
      <c r="O496" s="38"/>
      <c r="P496" s="38"/>
      <c r="Q496" s="38"/>
      <c r="R496" s="38"/>
      <c r="S496" s="38"/>
      <c r="T496" s="38"/>
      <c r="U496" s="33">
        <f t="shared" si="35"/>
        <v>2</v>
      </c>
      <c r="V496" s="33">
        <f t="shared" si="36"/>
        <v>1</v>
      </c>
      <c r="W496" s="33">
        <f t="shared" si="37"/>
        <v>0</v>
      </c>
      <c r="X496" s="33">
        <f t="shared" si="38"/>
        <v>0</v>
      </c>
      <c r="Y496" s="33">
        <f ca="1">SUMPRODUCT((I496:INDEX(I496:T496,MONTH(TODAY()))="X")*1)</f>
        <v>0</v>
      </c>
      <c r="Z496" s="39">
        <f t="shared" si="39"/>
        <v>0.5</v>
      </c>
    </row>
    <row r="497" spans="1:26" x14ac:dyDescent="0.25">
      <c r="A497" s="37" t="str">
        <f>Equipos!C495</f>
        <v>2-002849</v>
      </c>
      <c r="B497" s="33" t="str">
        <f>Equipos!D495</f>
        <v>Monitor Multiparámetros</v>
      </c>
      <c r="C497" s="33" t="str">
        <f>Equipos!E495</f>
        <v>Hemato Oncología Adulto</v>
      </c>
      <c r="D497" s="33" t="str">
        <f>Equipos!G495</f>
        <v>EPB-P5-SA13</v>
      </c>
      <c r="E497" s="33" t="str">
        <f>Equipos!I495</f>
        <v xml:space="preserve">Nihon Kohden </v>
      </c>
      <c r="F497" s="33" t="str">
        <f>Equipos!J495</f>
        <v>BSM-6301K</v>
      </c>
      <c r="G497" s="37" t="str">
        <f>Equipos!K495</f>
        <v>01043</v>
      </c>
      <c r="H497" s="33"/>
      <c r="I497" s="38"/>
      <c r="J497" s="38"/>
      <c r="K497" s="50" t="s">
        <v>276</v>
      </c>
      <c r="L497" s="50" t="s">
        <v>275</v>
      </c>
      <c r="M497" s="38"/>
      <c r="N497" s="38"/>
      <c r="O497" s="38"/>
      <c r="P497" s="38"/>
      <c r="Q497" s="38"/>
      <c r="R497" s="38"/>
      <c r="S497" s="38"/>
      <c r="T497" s="38"/>
      <c r="U497" s="33">
        <f t="shared" si="35"/>
        <v>2</v>
      </c>
      <c r="V497" s="33">
        <f t="shared" si="36"/>
        <v>1</v>
      </c>
      <c r="W497" s="33">
        <f t="shared" si="37"/>
        <v>0</v>
      </c>
      <c r="X497" s="33">
        <f t="shared" si="38"/>
        <v>0</v>
      </c>
      <c r="Y497" s="33">
        <f ca="1">SUMPRODUCT((I497:INDEX(I497:T497,MONTH(TODAY()))="X")*1)</f>
        <v>0</v>
      </c>
      <c r="Z497" s="39">
        <f t="shared" si="39"/>
        <v>0.5</v>
      </c>
    </row>
    <row r="498" spans="1:26" x14ac:dyDescent="0.25">
      <c r="A498" s="37" t="str">
        <f>Equipos!C496</f>
        <v>2-111950</v>
      </c>
      <c r="B498" s="33" t="str">
        <f>Equipos!D496</f>
        <v>Monitor Multiparámetros</v>
      </c>
      <c r="C498" s="33" t="str">
        <f>Equipos!E496</f>
        <v>Quimioterapia Ambulatoria Adulto</v>
      </c>
      <c r="D498" s="33" t="str">
        <f>Equipos!G496</f>
        <v>Sala de Procedimientos</v>
      </c>
      <c r="E498" s="33" t="str">
        <f>Equipos!I496</f>
        <v xml:space="preserve">Criticare </v>
      </c>
      <c r="F498" s="33" t="str">
        <f>Equipos!J496</f>
        <v>8100E-S</v>
      </c>
      <c r="G498" s="37" t="str">
        <f>Equipos!K496</f>
        <v>212726117</v>
      </c>
      <c r="H498" s="33"/>
      <c r="I498" s="38"/>
      <c r="J498" s="38"/>
      <c r="K498" s="50" t="s">
        <v>276</v>
      </c>
      <c r="L498" s="50" t="s">
        <v>275</v>
      </c>
      <c r="M498" s="38"/>
      <c r="N498" s="38"/>
      <c r="O498" s="38"/>
      <c r="P498" s="38"/>
      <c r="Q498" s="38"/>
      <c r="R498" s="38"/>
      <c r="S498" s="38"/>
      <c r="T498" s="38"/>
      <c r="U498" s="33">
        <f t="shared" si="35"/>
        <v>2</v>
      </c>
      <c r="V498" s="33">
        <f t="shared" si="36"/>
        <v>1</v>
      </c>
      <c r="W498" s="33">
        <f t="shared" si="37"/>
        <v>0</v>
      </c>
      <c r="X498" s="33">
        <f t="shared" si="38"/>
        <v>0</v>
      </c>
      <c r="Y498" s="33">
        <f ca="1">SUMPRODUCT((I498:INDEX(I498:T498,MONTH(TODAY()))="X")*1)</f>
        <v>0</v>
      </c>
      <c r="Z498" s="39">
        <f t="shared" si="39"/>
        <v>0.5</v>
      </c>
    </row>
    <row r="499" spans="1:26" x14ac:dyDescent="0.25">
      <c r="A499" s="37" t="str">
        <f>Equipos!C497</f>
        <v>2-013337</v>
      </c>
      <c r="B499" s="33" t="str">
        <f>Equipos!D497</f>
        <v>Monitor Multiparámetros</v>
      </c>
      <c r="C499" s="33" t="str">
        <f>Equipos!E497</f>
        <v>Neurocirugía</v>
      </c>
      <c r="D499" s="33" t="str">
        <f>Equipos!G497</f>
        <v>Cama 298-2</v>
      </c>
      <c r="E499" s="33" t="str">
        <f>Equipos!I497</f>
        <v xml:space="preserve">Drager </v>
      </c>
      <c r="F499" s="33" t="str">
        <f>Equipos!J497</f>
        <v xml:space="preserve">Infinity Vista XL </v>
      </c>
      <c r="G499" s="37" t="str">
        <f>Equipos!K497</f>
        <v>6001128079</v>
      </c>
      <c r="H499" s="33"/>
      <c r="I499" s="38"/>
      <c r="J499" s="38"/>
      <c r="K499" s="50" t="s">
        <v>276</v>
      </c>
      <c r="L499" s="50" t="s">
        <v>275</v>
      </c>
      <c r="M499" s="38"/>
      <c r="N499" s="38"/>
      <c r="O499" s="38"/>
      <c r="P499" s="38"/>
      <c r="Q499" s="38"/>
      <c r="R499" s="38"/>
      <c r="S499" s="38"/>
      <c r="T499" s="38"/>
      <c r="U499" s="33">
        <f t="shared" si="35"/>
        <v>2</v>
      </c>
      <c r="V499" s="33">
        <f t="shared" si="36"/>
        <v>1</v>
      </c>
      <c r="W499" s="33">
        <f t="shared" si="37"/>
        <v>0</v>
      </c>
      <c r="X499" s="33">
        <f t="shared" si="38"/>
        <v>0</v>
      </c>
      <c r="Y499" s="33">
        <f ca="1">SUMPRODUCT((I499:INDEX(I499:T499,MONTH(TODAY()))="X")*1)</f>
        <v>0</v>
      </c>
      <c r="Z499" s="39">
        <f t="shared" si="39"/>
        <v>0.5</v>
      </c>
    </row>
    <row r="500" spans="1:26" x14ac:dyDescent="0.25">
      <c r="A500" s="37" t="str">
        <f>Equipos!C498</f>
        <v>2-013336</v>
      </c>
      <c r="B500" s="33" t="str">
        <f>Equipos!D498</f>
        <v>Monitor Multiparámetros</v>
      </c>
      <c r="C500" s="33" t="str">
        <f>Equipos!E498</f>
        <v>Neurocirugía</v>
      </c>
      <c r="D500" s="33" t="str">
        <f>Equipos!G498</f>
        <v>Cama 298-1</v>
      </c>
      <c r="E500" s="33" t="str">
        <f>Equipos!I498</f>
        <v xml:space="preserve">Drager </v>
      </c>
      <c r="F500" s="33" t="str">
        <f>Equipos!J498</f>
        <v xml:space="preserve">Infinity Vista XL </v>
      </c>
      <c r="G500" s="37" t="str">
        <f>Equipos!K498</f>
        <v>6001029471</v>
      </c>
      <c r="H500" s="33"/>
      <c r="I500" s="38"/>
      <c r="J500" s="38"/>
      <c r="K500" s="50" t="s">
        <v>276</v>
      </c>
      <c r="L500" s="50" t="s">
        <v>275</v>
      </c>
      <c r="M500" s="38"/>
      <c r="N500" s="38"/>
      <c r="O500" s="38"/>
      <c r="P500" s="38"/>
      <c r="Q500" s="38"/>
      <c r="R500" s="38"/>
      <c r="S500" s="38"/>
      <c r="T500" s="38"/>
      <c r="U500" s="33">
        <f t="shared" si="35"/>
        <v>2</v>
      </c>
      <c r="V500" s="33">
        <f t="shared" si="36"/>
        <v>1</v>
      </c>
      <c r="W500" s="33">
        <f t="shared" si="37"/>
        <v>0</v>
      </c>
      <c r="X500" s="33">
        <f t="shared" si="38"/>
        <v>0</v>
      </c>
      <c r="Y500" s="33">
        <f ca="1">SUMPRODUCT((I500:INDEX(I500:T500,MONTH(TODAY()))="X")*1)</f>
        <v>0</v>
      </c>
      <c r="Z500" s="39">
        <f t="shared" si="39"/>
        <v>0.5</v>
      </c>
    </row>
    <row r="501" spans="1:26" x14ac:dyDescent="0.25">
      <c r="A501" s="37" t="str">
        <f>Equipos!C499</f>
        <v>2-013338</v>
      </c>
      <c r="B501" s="33" t="str">
        <f>Equipos!D499</f>
        <v>Monitor Multiparámetros</v>
      </c>
      <c r="C501" s="33" t="str">
        <f>Equipos!E499</f>
        <v>Neurocirugía</v>
      </c>
      <c r="D501" s="33" t="str">
        <f>Equipos!G499</f>
        <v>Cama 298-3</v>
      </c>
      <c r="E501" s="33" t="str">
        <f>Equipos!I499</f>
        <v xml:space="preserve">Drager </v>
      </c>
      <c r="F501" s="33" t="str">
        <f>Equipos!J499</f>
        <v xml:space="preserve">Infinity Vista XL </v>
      </c>
      <c r="G501" s="37" t="str">
        <f>Equipos!K499</f>
        <v>6001111685</v>
      </c>
      <c r="H501" s="33"/>
      <c r="I501" s="38"/>
      <c r="J501" s="38"/>
      <c r="K501" s="50" t="s">
        <v>275</v>
      </c>
      <c r="L501" s="38"/>
      <c r="M501" s="38"/>
      <c r="N501" s="38"/>
      <c r="O501" s="38"/>
      <c r="P501" s="38"/>
      <c r="Q501" s="38"/>
      <c r="R501" s="38"/>
      <c r="S501" s="38"/>
      <c r="T501" s="38"/>
      <c r="U501" s="33">
        <f t="shared" si="35"/>
        <v>1</v>
      </c>
      <c r="V501" s="33">
        <f t="shared" si="36"/>
        <v>1</v>
      </c>
      <c r="W501" s="33">
        <f t="shared" si="37"/>
        <v>0</v>
      </c>
      <c r="X501" s="33">
        <f t="shared" si="38"/>
        <v>0</v>
      </c>
      <c r="Y501" s="33">
        <f ca="1">SUMPRODUCT((I501:INDEX(I501:T501,MONTH(TODAY()))="X")*1)</f>
        <v>0</v>
      </c>
      <c r="Z501" s="39">
        <f t="shared" si="39"/>
        <v>1</v>
      </c>
    </row>
    <row r="502" spans="1:26" x14ac:dyDescent="0.25">
      <c r="A502" s="37" t="str">
        <f>Equipos!C500</f>
        <v>2-135920</v>
      </c>
      <c r="B502" s="33" t="str">
        <f>Equipos!D500</f>
        <v>Monitor Multiparámetros</v>
      </c>
      <c r="C502" s="33" t="str">
        <f>Equipos!E500</f>
        <v>TROI</v>
      </c>
      <c r="D502" s="33">
        <f>Equipos!G500</f>
        <v>0</v>
      </c>
      <c r="E502" s="33" t="str">
        <f>Equipos!I500</f>
        <v>Drager</v>
      </c>
      <c r="F502" s="33" t="str">
        <f>Equipos!J500</f>
        <v>Vista 300</v>
      </c>
      <c r="G502" s="37" t="str">
        <f>Equipos!K500</f>
        <v>VSSUM0046</v>
      </c>
      <c r="H502" s="33"/>
      <c r="I502" s="38"/>
      <c r="J502" s="38"/>
      <c r="K502" s="38"/>
      <c r="L502" s="50" t="s">
        <v>275</v>
      </c>
      <c r="M502" s="38"/>
      <c r="N502" s="38"/>
      <c r="O502" s="38"/>
      <c r="P502" s="38"/>
      <c r="Q502" s="38"/>
      <c r="R502" s="38"/>
      <c r="S502" s="38"/>
      <c r="T502" s="38"/>
      <c r="U502" s="33">
        <f t="shared" si="35"/>
        <v>1</v>
      </c>
      <c r="V502" s="33">
        <f t="shared" si="36"/>
        <v>1</v>
      </c>
      <c r="W502" s="33">
        <f t="shared" si="37"/>
        <v>0</v>
      </c>
      <c r="X502" s="33">
        <f t="shared" si="38"/>
        <v>0</v>
      </c>
      <c r="Y502" s="33">
        <f ca="1">SUMPRODUCT((I502:INDEX(I502:T502,MONTH(TODAY()))="X")*1)</f>
        <v>0</v>
      </c>
      <c r="Z502" s="39">
        <f t="shared" si="39"/>
        <v>1</v>
      </c>
    </row>
    <row r="503" spans="1:26" x14ac:dyDescent="0.25">
      <c r="A503" s="37" t="str">
        <f>Equipos!C501</f>
        <v>2-013334</v>
      </c>
      <c r="B503" s="33" t="str">
        <f>Equipos!D501</f>
        <v>Monitor Multiparámetros</v>
      </c>
      <c r="C503" s="33" t="str">
        <f>Equipos!E501</f>
        <v>Neurocirugía</v>
      </c>
      <c r="D503" s="33" t="str">
        <f>Equipos!G501</f>
        <v>Cama 299-2</v>
      </c>
      <c r="E503" s="33" t="str">
        <f>Equipos!I501</f>
        <v xml:space="preserve">Drager </v>
      </c>
      <c r="F503" s="33" t="str">
        <f>Equipos!J501</f>
        <v xml:space="preserve">Infinity Vista </v>
      </c>
      <c r="G503" s="37" t="str">
        <f>Equipos!K501</f>
        <v>6001123877</v>
      </c>
      <c r="H503" s="33"/>
      <c r="I503" s="38"/>
      <c r="J503" s="38"/>
      <c r="K503" s="50" t="s">
        <v>275</v>
      </c>
      <c r="L503" s="38"/>
      <c r="M503" s="38"/>
      <c r="N503" s="38"/>
      <c r="O503" s="38"/>
      <c r="P503" s="38"/>
      <c r="Q503" s="38"/>
      <c r="R503" s="38"/>
      <c r="S503" s="38"/>
      <c r="T503" s="38"/>
      <c r="U503" s="33">
        <f t="shared" si="35"/>
        <v>1</v>
      </c>
      <c r="V503" s="33">
        <f t="shared" si="36"/>
        <v>1</v>
      </c>
      <c r="W503" s="33">
        <f t="shared" si="37"/>
        <v>0</v>
      </c>
      <c r="X503" s="33">
        <f t="shared" si="38"/>
        <v>0</v>
      </c>
      <c r="Y503" s="33">
        <f ca="1">SUMPRODUCT((I503:INDEX(I503:T503,MONTH(TODAY()))="X")*1)</f>
        <v>0</v>
      </c>
      <c r="Z503" s="39">
        <f t="shared" si="39"/>
        <v>1</v>
      </c>
    </row>
    <row r="504" spans="1:26" x14ac:dyDescent="0.25">
      <c r="A504" s="37" t="str">
        <f>Equipos!C502</f>
        <v>2-116509</v>
      </c>
      <c r="B504" s="33" t="str">
        <f>Equipos!D502</f>
        <v>Monitor Multiparámetros</v>
      </c>
      <c r="C504" s="33" t="str">
        <f>Equipos!E502</f>
        <v>UPC Pediátrica</v>
      </c>
      <c r="D504" s="33" t="str">
        <f>Equipos!G502</f>
        <v>Cama 8</v>
      </c>
      <c r="E504" s="33" t="str">
        <f>Equipos!I502</f>
        <v>SPACELABS HEALTHCARE</v>
      </c>
      <c r="F504" s="33" t="str">
        <f>Equipos!J502</f>
        <v>XPREZZON</v>
      </c>
      <c r="G504" s="37" t="str">
        <f>Equipos!K502</f>
        <v>1393-109300</v>
      </c>
      <c r="H504" s="33"/>
      <c r="I504" s="50" t="s">
        <v>276</v>
      </c>
      <c r="J504" s="50" t="s">
        <v>275</v>
      </c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3">
        <f t="shared" si="35"/>
        <v>2</v>
      </c>
      <c r="V504" s="33">
        <f t="shared" si="36"/>
        <v>1</v>
      </c>
      <c r="W504" s="33">
        <f t="shared" si="37"/>
        <v>0</v>
      </c>
      <c r="X504" s="33">
        <f t="shared" si="38"/>
        <v>0</v>
      </c>
      <c r="Y504" s="33">
        <f ca="1">SUMPRODUCT((I504:INDEX(I504:T504,MONTH(TODAY()))="X")*1)</f>
        <v>0</v>
      </c>
      <c r="Z504" s="39">
        <f t="shared" si="39"/>
        <v>0.5</v>
      </c>
    </row>
    <row r="505" spans="1:26" x14ac:dyDescent="0.25">
      <c r="A505" s="37" t="str">
        <f>Equipos!C503</f>
        <v>2-007695</v>
      </c>
      <c r="B505" s="33" t="str">
        <f>Equipos!D503</f>
        <v>Monitor Multiparámetros</v>
      </c>
      <c r="C505" s="33" t="str">
        <f>Equipos!E503</f>
        <v>Cirugía Adulto</v>
      </c>
      <c r="D505" s="33" t="str">
        <f>Equipos!G503</f>
        <v>EPC</v>
      </c>
      <c r="E505" s="33" t="str">
        <f>Equipos!I503</f>
        <v xml:space="preserve">Nihon Kohden </v>
      </c>
      <c r="F505" s="33" t="str">
        <f>Equipos!J503</f>
        <v>BSM-6301K</v>
      </c>
      <c r="G505" s="37" t="str">
        <f>Equipos!K503</f>
        <v>01041</v>
      </c>
      <c r="H505" s="33"/>
      <c r="I505" s="38"/>
      <c r="J505" s="38"/>
      <c r="K505" s="38"/>
      <c r="L505" s="38"/>
      <c r="M505" s="50" t="s">
        <v>275</v>
      </c>
      <c r="N505" s="38"/>
      <c r="O505" s="38"/>
      <c r="P505" s="38"/>
      <c r="Q505" s="38"/>
      <c r="R505" s="38"/>
      <c r="S505" s="38"/>
      <c r="T505" s="38"/>
      <c r="U505" s="33">
        <f t="shared" si="35"/>
        <v>1</v>
      </c>
      <c r="V505" s="33">
        <f t="shared" si="36"/>
        <v>1</v>
      </c>
      <c r="W505" s="33">
        <f t="shared" si="37"/>
        <v>0</v>
      </c>
      <c r="X505" s="33">
        <f t="shared" si="38"/>
        <v>0</v>
      </c>
      <c r="Y505" s="33">
        <f ca="1">SUMPRODUCT((I505:INDEX(I505:T505,MONTH(TODAY()))="X")*1)</f>
        <v>0</v>
      </c>
      <c r="Z505" s="39">
        <f t="shared" si="39"/>
        <v>1</v>
      </c>
    </row>
    <row r="506" spans="1:26" x14ac:dyDescent="0.25">
      <c r="A506" s="37" t="str">
        <f>Equipos!C504</f>
        <v>2-003579</v>
      </c>
      <c r="B506" s="33" t="str">
        <f>Equipos!D504</f>
        <v>Monitor Multiparámetros</v>
      </c>
      <c r="C506" s="33" t="str">
        <f>Equipos!E504</f>
        <v>Cirugía Adulto</v>
      </c>
      <c r="D506" s="33" t="str">
        <f>Equipos!G504</f>
        <v>EPC</v>
      </c>
      <c r="E506" s="33" t="str">
        <f>Equipos!I504</f>
        <v xml:space="preserve">Nihon Kohden </v>
      </c>
      <c r="F506" s="33" t="str">
        <f>Equipos!J504</f>
        <v>BSM-6301K</v>
      </c>
      <c r="G506" s="37" t="str">
        <f>Equipos!K504</f>
        <v>01049</v>
      </c>
      <c r="H506" s="33"/>
      <c r="I506" s="38"/>
      <c r="J506" s="38"/>
      <c r="K506" s="38"/>
      <c r="L506" s="38"/>
      <c r="M506" s="50" t="s">
        <v>275</v>
      </c>
      <c r="N506" s="38"/>
      <c r="O506" s="38"/>
      <c r="P506" s="38"/>
      <c r="Q506" s="38"/>
      <c r="R506" s="38"/>
      <c r="S506" s="38"/>
      <c r="T506" s="38"/>
      <c r="U506" s="33">
        <f t="shared" si="35"/>
        <v>1</v>
      </c>
      <c r="V506" s="33">
        <f t="shared" si="36"/>
        <v>1</v>
      </c>
      <c r="W506" s="33">
        <f t="shared" si="37"/>
        <v>0</v>
      </c>
      <c r="X506" s="33">
        <f t="shared" si="38"/>
        <v>0</v>
      </c>
      <c r="Y506" s="33">
        <f ca="1">SUMPRODUCT((I506:INDEX(I506:T506,MONTH(TODAY()))="X")*1)</f>
        <v>0</v>
      </c>
      <c r="Z506" s="39">
        <f t="shared" si="39"/>
        <v>1</v>
      </c>
    </row>
    <row r="507" spans="1:26" x14ac:dyDescent="0.25">
      <c r="A507" s="37" t="str">
        <f>Equipos!C505</f>
        <v>2-003577</v>
      </c>
      <c r="B507" s="33" t="str">
        <f>Equipos!D505</f>
        <v>Monitor Multiparámetros</v>
      </c>
      <c r="C507" s="33" t="str">
        <f>Equipos!E505</f>
        <v>Cirugía Adulto</v>
      </c>
      <c r="D507" s="33" t="str">
        <f>Equipos!G505</f>
        <v>EPC</v>
      </c>
      <c r="E507" s="33" t="str">
        <f>Equipos!I505</f>
        <v xml:space="preserve">Nihon Kohden </v>
      </c>
      <c r="F507" s="33" t="str">
        <f>Equipos!J505</f>
        <v>BSM-6301K</v>
      </c>
      <c r="G507" s="37" t="str">
        <f>Equipos!K505</f>
        <v>01055</v>
      </c>
      <c r="H507" s="33"/>
      <c r="I507" s="38"/>
      <c r="J507" s="38"/>
      <c r="K507" s="38"/>
      <c r="L507" s="38"/>
      <c r="M507" s="50" t="s">
        <v>275</v>
      </c>
      <c r="N507" s="38"/>
      <c r="O507" s="38"/>
      <c r="P507" s="38"/>
      <c r="Q507" s="38"/>
      <c r="R507" s="38"/>
      <c r="S507" s="38"/>
      <c r="T507" s="38"/>
      <c r="U507" s="33">
        <f t="shared" si="35"/>
        <v>1</v>
      </c>
      <c r="V507" s="33">
        <f t="shared" si="36"/>
        <v>1</v>
      </c>
      <c r="W507" s="33">
        <f t="shared" si="37"/>
        <v>0</v>
      </c>
      <c r="X507" s="33">
        <f t="shared" si="38"/>
        <v>0</v>
      </c>
      <c r="Y507" s="33">
        <f ca="1">SUMPRODUCT((I507:INDEX(I507:T507,MONTH(TODAY()))="X")*1)</f>
        <v>0</v>
      </c>
      <c r="Z507" s="39">
        <f t="shared" si="39"/>
        <v>1</v>
      </c>
    </row>
    <row r="508" spans="1:26" x14ac:dyDescent="0.25">
      <c r="A508" s="37" t="str">
        <f>Equipos!C506</f>
        <v>2-007631</v>
      </c>
      <c r="B508" s="33" t="str">
        <f>Equipos!D506</f>
        <v>Monitor Multiparámetros</v>
      </c>
      <c r="C508" s="33" t="str">
        <f>Equipos!E506</f>
        <v>Cirugía Adulto</v>
      </c>
      <c r="D508" s="33" t="str">
        <f>Equipos!G506</f>
        <v>EPB</v>
      </c>
      <c r="E508" s="33" t="str">
        <f>Equipos!I506</f>
        <v xml:space="preserve">Nihon Kohden </v>
      </c>
      <c r="F508" s="33" t="str">
        <f>Equipos!J506</f>
        <v>BSM-6301K</v>
      </c>
      <c r="G508" s="37" t="str">
        <f>Equipos!K506</f>
        <v>01057</v>
      </c>
      <c r="H508" s="33"/>
      <c r="I508" s="38"/>
      <c r="J508" s="38"/>
      <c r="K508" s="38"/>
      <c r="L508" s="38"/>
      <c r="M508" s="50" t="s">
        <v>275</v>
      </c>
      <c r="N508" s="38"/>
      <c r="O508" s="38"/>
      <c r="P508" s="38"/>
      <c r="Q508" s="38"/>
      <c r="R508" s="38"/>
      <c r="S508" s="38"/>
      <c r="T508" s="38"/>
      <c r="U508" s="33">
        <f t="shared" si="35"/>
        <v>1</v>
      </c>
      <c r="V508" s="33">
        <f t="shared" si="36"/>
        <v>1</v>
      </c>
      <c r="W508" s="33">
        <f t="shared" si="37"/>
        <v>0</v>
      </c>
      <c r="X508" s="33">
        <f t="shared" si="38"/>
        <v>0</v>
      </c>
      <c r="Y508" s="33">
        <f ca="1">SUMPRODUCT((I508:INDEX(I508:T508,MONTH(TODAY()))="X")*1)</f>
        <v>0</v>
      </c>
      <c r="Z508" s="39">
        <f t="shared" si="39"/>
        <v>1</v>
      </c>
    </row>
    <row r="509" spans="1:26" x14ac:dyDescent="0.25">
      <c r="A509" s="37" t="str">
        <f>Equipos!C507</f>
        <v>2-007632</v>
      </c>
      <c r="B509" s="33" t="str">
        <f>Equipos!D507</f>
        <v>Monitor Multiparámetros</v>
      </c>
      <c r="C509" s="33" t="str">
        <f>Equipos!E507</f>
        <v>Cirugía Adulto</v>
      </c>
      <c r="D509" s="33" t="str">
        <f>Equipos!G507</f>
        <v>EPB</v>
      </c>
      <c r="E509" s="33" t="str">
        <f>Equipos!I507</f>
        <v xml:space="preserve">Nihon Kohden </v>
      </c>
      <c r="F509" s="33" t="str">
        <f>Equipos!J507</f>
        <v>BSM-6301K</v>
      </c>
      <c r="G509" s="37" t="str">
        <f>Equipos!K507</f>
        <v>01065</v>
      </c>
      <c r="H509" s="33"/>
      <c r="I509" s="38"/>
      <c r="J509" s="38"/>
      <c r="K509" s="38"/>
      <c r="L509" s="38"/>
      <c r="M509" s="50" t="s">
        <v>275</v>
      </c>
      <c r="N509" s="38"/>
      <c r="O509" s="38"/>
      <c r="P509" s="38"/>
      <c r="Q509" s="38"/>
      <c r="R509" s="38"/>
      <c r="S509" s="38"/>
      <c r="T509" s="38"/>
      <c r="U509" s="33">
        <f t="shared" si="35"/>
        <v>1</v>
      </c>
      <c r="V509" s="33">
        <f t="shared" si="36"/>
        <v>1</v>
      </c>
      <c r="W509" s="33">
        <f t="shared" si="37"/>
        <v>0</v>
      </c>
      <c r="X509" s="33">
        <f t="shared" si="38"/>
        <v>0</v>
      </c>
      <c r="Y509" s="33">
        <f ca="1">SUMPRODUCT((I509:INDEX(I509:T509,MONTH(TODAY()))="X")*1)</f>
        <v>0</v>
      </c>
      <c r="Z509" s="39">
        <f t="shared" si="39"/>
        <v>1</v>
      </c>
    </row>
    <row r="510" spans="1:26" x14ac:dyDescent="0.25">
      <c r="A510" s="37" t="str">
        <f>Equipos!C508</f>
        <v>2-003601</v>
      </c>
      <c r="B510" s="33" t="str">
        <f>Equipos!D508</f>
        <v>Monitor Multiparámetros</v>
      </c>
      <c r="C510" s="33" t="str">
        <f>Equipos!E508</f>
        <v>Cirugía Adulto</v>
      </c>
      <c r="D510" s="33" t="str">
        <f>Equipos!G508</f>
        <v>TNB 705</v>
      </c>
      <c r="E510" s="33" t="str">
        <f>Equipos!I508</f>
        <v xml:space="preserve">Nihon Kohden </v>
      </c>
      <c r="F510" s="33" t="str">
        <f>Equipos!J508</f>
        <v>BSM-6301K</v>
      </c>
      <c r="G510" s="37" t="str">
        <f>Equipos!K508</f>
        <v>01032</v>
      </c>
      <c r="H510" s="33"/>
      <c r="I510" s="38"/>
      <c r="J510" s="38"/>
      <c r="K510" s="38"/>
      <c r="L510" s="38"/>
      <c r="M510" s="50" t="s">
        <v>275</v>
      </c>
      <c r="N510" s="38"/>
      <c r="O510" s="38"/>
      <c r="P510" s="38"/>
      <c r="Q510" s="38"/>
      <c r="R510" s="38"/>
      <c r="S510" s="38"/>
      <c r="T510" s="38"/>
      <c r="U510" s="33">
        <f t="shared" si="35"/>
        <v>1</v>
      </c>
      <c r="V510" s="33">
        <f t="shared" si="36"/>
        <v>1</v>
      </c>
      <c r="W510" s="33">
        <f t="shared" si="37"/>
        <v>0</v>
      </c>
      <c r="X510" s="33">
        <f t="shared" si="38"/>
        <v>0</v>
      </c>
      <c r="Y510" s="33">
        <f ca="1">SUMPRODUCT((I510:INDEX(I510:T510,MONTH(TODAY()))="X")*1)</f>
        <v>0</v>
      </c>
      <c r="Z510" s="39">
        <f t="shared" si="39"/>
        <v>1</v>
      </c>
    </row>
    <row r="511" spans="1:26" x14ac:dyDescent="0.25">
      <c r="A511" s="37" t="str">
        <f>Equipos!C509</f>
        <v>2-112423</v>
      </c>
      <c r="B511" s="33" t="str">
        <f>Equipos!D509</f>
        <v>Monitor Multiparámetros</v>
      </c>
      <c r="C511" s="33" t="str">
        <f>Equipos!E509</f>
        <v>Cirugía Adulto</v>
      </c>
      <c r="D511" s="33" t="str">
        <f>Equipos!G509</f>
        <v>TNB 709</v>
      </c>
      <c r="E511" s="33" t="str">
        <f>Equipos!I509</f>
        <v xml:space="preserve">Nihon Kohden </v>
      </c>
      <c r="F511" s="33" t="str">
        <f>Equipos!J509</f>
        <v>BSM-6301K</v>
      </c>
      <c r="G511" s="37" t="str">
        <f>Equipos!K509</f>
        <v>01053</v>
      </c>
      <c r="H511" s="33"/>
      <c r="I511" s="38"/>
      <c r="J511" s="38"/>
      <c r="K511" s="38"/>
      <c r="L511" s="38"/>
      <c r="M511" s="50" t="s">
        <v>275</v>
      </c>
      <c r="N511" s="38"/>
      <c r="O511" s="38"/>
      <c r="P511" s="38"/>
      <c r="Q511" s="38"/>
      <c r="R511" s="38"/>
      <c r="S511" s="38"/>
      <c r="T511" s="38"/>
      <c r="U511" s="33">
        <f t="shared" si="35"/>
        <v>1</v>
      </c>
      <c r="V511" s="33">
        <f t="shared" si="36"/>
        <v>1</v>
      </c>
      <c r="W511" s="33">
        <f t="shared" si="37"/>
        <v>0</v>
      </c>
      <c r="X511" s="33">
        <f t="shared" si="38"/>
        <v>0</v>
      </c>
      <c r="Y511" s="33">
        <f ca="1">SUMPRODUCT((I511:INDEX(I511:T511,MONTH(TODAY()))="X")*1)</f>
        <v>0</v>
      </c>
      <c r="Z511" s="39">
        <f t="shared" si="39"/>
        <v>1</v>
      </c>
    </row>
    <row r="512" spans="1:26" x14ac:dyDescent="0.25">
      <c r="A512" s="37" t="str">
        <f>Equipos!C510</f>
        <v>2-007992</v>
      </c>
      <c r="B512" s="33" t="str">
        <f>Equipos!D510</f>
        <v>Monitor Multiparámetros</v>
      </c>
      <c r="C512" s="33" t="str">
        <f>Equipos!E510</f>
        <v>Ginecología</v>
      </c>
      <c r="D512" s="33">
        <f>Equipos!G510</f>
        <v>0</v>
      </c>
      <c r="E512" s="33" t="str">
        <f>Equipos!I510</f>
        <v xml:space="preserve">Nihon Kohden </v>
      </c>
      <c r="F512" s="33" t="str">
        <f>Equipos!J510</f>
        <v>BSM-6301K</v>
      </c>
      <c r="G512" s="37" t="str">
        <f>Equipos!K510</f>
        <v>01034</v>
      </c>
      <c r="H512" s="33"/>
      <c r="I512" s="38"/>
      <c r="J512" s="38"/>
      <c r="K512" s="38"/>
      <c r="L512" s="38"/>
      <c r="M512" s="50" t="s">
        <v>275</v>
      </c>
      <c r="N512" s="38"/>
      <c r="O512" s="38"/>
      <c r="P512" s="38"/>
      <c r="Q512" s="38"/>
      <c r="R512" s="38"/>
      <c r="S512" s="38"/>
      <c r="T512" s="38"/>
      <c r="U512" s="33">
        <f t="shared" si="35"/>
        <v>1</v>
      </c>
      <c r="V512" s="33">
        <f t="shared" si="36"/>
        <v>1</v>
      </c>
      <c r="W512" s="33">
        <f t="shared" si="37"/>
        <v>0</v>
      </c>
      <c r="X512" s="33">
        <f t="shared" si="38"/>
        <v>0</v>
      </c>
      <c r="Y512" s="33">
        <f ca="1">SUMPRODUCT((I512:INDEX(I512:T512,MONTH(TODAY()))="X")*1)</f>
        <v>0</v>
      </c>
      <c r="Z512" s="39">
        <f t="shared" si="39"/>
        <v>1</v>
      </c>
    </row>
    <row r="513" spans="1:26" x14ac:dyDescent="0.25">
      <c r="A513" s="37" t="str">
        <f>Equipos!C511</f>
        <v>2-007991</v>
      </c>
      <c r="B513" s="33" t="str">
        <f>Equipos!D511</f>
        <v>Monitor Multiparámetros</v>
      </c>
      <c r="C513" s="33" t="str">
        <f>Equipos!E511</f>
        <v>Ginecología</v>
      </c>
      <c r="D513" s="33">
        <f>Equipos!G511</f>
        <v>0</v>
      </c>
      <c r="E513" s="33" t="str">
        <f>Equipos!I511</f>
        <v xml:space="preserve">Nihon Kohden </v>
      </c>
      <c r="F513" s="33" t="str">
        <f>Equipos!J511</f>
        <v>BSM-6301K</v>
      </c>
      <c r="G513" s="37" t="str">
        <f>Equipos!K511</f>
        <v>01050</v>
      </c>
      <c r="H513" s="33"/>
      <c r="I513" s="38"/>
      <c r="J513" s="38"/>
      <c r="K513" s="38"/>
      <c r="L513" s="38"/>
      <c r="M513" s="50" t="s">
        <v>275</v>
      </c>
      <c r="N513" s="38"/>
      <c r="O513" s="38"/>
      <c r="P513" s="38"/>
      <c r="Q513" s="38"/>
      <c r="R513" s="38"/>
      <c r="S513" s="38"/>
      <c r="T513" s="38"/>
      <c r="U513" s="33">
        <f t="shared" si="35"/>
        <v>1</v>
      </c>
      <c r="V513" s="33">
        <f t="shared" si="36"/>
        <v>1</v>
      </c>
      <c r="W513" s="33">
        <f t="shared" si="37"/>
        <v>0</v>
      </c>
      <c r="X513" s="33">
        <f t="shared" si="38"/>
        <v>0</v>
      </c>
      <c r="Y513" s="33">
        <f ca="1">SUMPRODUCT((I513:INDEX(I513:T513,MONTH(TODAY()))="X")*1)</f>
        <v>0</v>
      </c>
      <c r="Z513" s="39">
        <f t="shared" si="39"/>
        <v>1</v>
      </c>
    </row>
    <row r="514" spans="1:26" x14ac:dyDescent="0.25">
      <c r="A514" s="37" t="str">
        <f>Equipos!C512</f>
        <v>2-007993</v>
      </c>
      <c r="B514" s="33" t="str">
        <f>Equipos!D512</f>
        <v>Monitor Multiparámetros</v>
      </c>
      <c r="C514" s="33" t="str">
        <f>Equipos!E512</f>
        <v>Ginecología</v>
      </c>
      <c r="D514" s="33">
        <f>Equipos!G512</f>
        <v>0</v>
      </c>
      <c r="E514" s="33" t="str">
        <f>Equipos!I512</f>
        <v xml:space="preserve">Nihon Kohden </v>
      </c>
      <c r="F514" s="33" t="str">
        <f>Equipos!J512</f>
        <v>BSM-6301K</v>
      </c>
      <c r="G514" s="37" t="str">
        <f>Equipos!K512</f>
        <v>01038</v>
      </c>
      <c r="H514" s="33"/>
      <c r="I514" s="38"/>
      <c r="J514" s="38"/>
      <c r="K514" s="38"/>
      <c r="L514" s="38"/>
      <c r="M514" s="50" t="s">
        <v>275</v>
      </c>
      <c r="N514" s="38"/>
      <c r="O514" s="38"/>
      <c r="P514" s="38"/>
      <c r="Q514" s="38"/>
      <c r="R514" s="38"/>
      <c r="S514" s="38"/>
      <c r="T514" s="38"/>
      <c r="U514" s="33">
        <f t="shared" si="35"/>
        <v>1</v>
      </c>
      <c r="V514" s="33">
        <f t="shared" si="36"/>
        <v>1</v>
      </c>
      <c r="W514" s="33">
        <f t="shared" si="37"/>
        <v>0</v>
      </c>
      <c r="X514" s="33">
        <f t="shared" si="38"/>
        <v>0</v>
      </c>
      <c r="Y514" s="33">
        <f ca="1">SUMPRODUCT((I514:INDEX(I514:T514,MONTH(TODAY()))="X")*1)</f>
        <v>0</v>
      </c>
      <c r="Z514" s="39">
        <f t="shared" si="39"/>
        <v>1</v>
      </c>
    </row>
    <row r="515" spans="1:26" x14ac:dyDescent="0.25">
      <c r="A515" s="37">
        <f>Equipos!C513</f>
        <v>0</v>
      </c>
      <c r="B515" s="33" t="str">
        <f>Equipos!D513</f>
        <v>0</v>
      </c>
      <c r="C515" s="33" t="str">
        <f>Equipos!E513</f>
        <v>0</v>
      </c>
      <c r="D515" s="33">
        <f>Equipos!G513</f>
        <v>0</v>
      </c>
      <c r="E515" s="33" t="str">
        <f>Equipos!I513</f>
        <v>0</v>
      </c>
      <c r="F515" s="33" t="str">
        <f>Equipos!J513</f>
        <v>0</v>
      </c>
      <c r="G515" s="37">
        <f>Equipos!K513</f>
        <v>0</v>
      </c>
      <c r="H515" s="33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3">
        <f t="shared" si="35"/>
        <v>0</v>
      </c>
      <c r="V515" s="33">
        <f t="shared" si="36"/>
        <v>0</v>
      </c>
      <c r="W515" s="33">
        <f t="shared" si="37"/>
        <v>0</v>
      </c>
      <c r="X515" s="33">
        <f t="shared" si="38"/>
        <v>0</v>
      </c>
      <c r="Y515" s="33">
        <f ca="1">SUMPRODUCT((I515:INDEX(I515:T515,MONTH(TODAY()))="X")*1)</f>
        <v>0</v>
      </c>
      <c r="Z515" s="39" t="str">
        <f t="shared" si="39"/>
        <v/>
      </c>
    </row>
    <row r="516" spans="1:26" x14ac:dyDescent="0.25">
      <c r="A516" s="37" t="str">
        <f>Equipos!C514</f>
        <v>2-022179</v>
      </c>
      <c r="B516" s="33" t="str">
        <f>Equipos!D514</f>
        <v>Monitor Multiparámetros</v>
      </c>
      <c r="C516" s="33" t="str">
        <f>Equipos!E514</f>
        <v>Quimioterapia Ambulatoria Adulto</v>
      </c>
      <c r="D516" s="33" t="str">
        <f>Equipos!G514</f>
        <v>EPC-P2</v>
      </c>
      <c r="E516" s="33" t="str">
        <f>Equipos!I514</f>
        <v xml:space="preserve">Nihon Kohden </v>
      </c>
      <c r="F516" s="33" t="str">
        <f>Equipos!J514</f>
        <v>BSM-6301K</v>
      </c>
      <c r="G516" s="37" t="str">
        <f>Equipos!K514</f>
        <v>01072</v>
      </c>
      <c r="H516" s="33"/>
      <c r="I516" s="38"/>
      <c r="J516" s="38"/>
      <c r="K516" s="50" t="s">
        <v>276</v>
      </c>
      <c r="L516" s="50" t="s">
        <v>275</v>
      </c>
      <c r="M516" s="38"/>
      <c r="N516" s="38"/>
      <c r="O516" s="38"/>
      <c r="P516" s="38"/>
      <c r="Q516" s="38"/>
      <c r="R516" s="38"/>
      <c r="S516" s="38"/>
      <c r="T516" s="38"/>
      <c r="U516" s="33">
        <f t="shared" ref="U516:U579" si="40">V516+W516+X516+COUNTIF(I516:T516,"R")</f>
        <v>2</v>
      </c>
      <c r="V516" s="33">
        <f t="shared" ref="V516:V579" si="41">COUNTIF(I516:T516,"E")</f>
        <v>1</v>
      </c>
      <c r="W516" s="33">
        <f t="shared" ref="W516:W579" si="42">COUNTIF(I516:T516,"X")</f>
        <v>0</v>
      </c>
      <c r="X516" s="33">
        <f t="shared" ref="X516:X579" si="43">COUNTIF(I516:T516,"C2")+COUNTIF(I516:T516,"C3")</f>
        <v>0</v>
      </c>
      <c r="Y516" s="33">
        <f ca="1">SUMPRODUCT((I516:INDEX(I516:T516,MONTH(TODAY()))="X")*1)</f>
        <v>0</v>
      </c>
      <c r="Z516" s="39">
        <f t="shared" ref="Z516:Z579" si="44">IFERROR(V516/U516,"")</f>
        <v>0.5</v>
      </c>
    </row>
    <row r="517" spans="1:26" x14ac:dyDescent="0.25">
      <c r="A517" s="37" t="str">
        <f>Equipos!C515</f>
        <v>2-004857</v>
      </c>
      <c r="B517" s="33" t="str">
        <f>Equipos!D515</f>
        <v>Monitor Multiparámetros</v>
      </c>
      <c r="C517" s="33" t="str">
        <f>Equipos!E515</f>
        <v>Pediatría</v>
      </c>
      <c r="D517" s="33" t="str">
        <f>Equipos!G515</f>
        <v>Segunda infancia</v>
      </c>
      <c r="E517" s="33" t="str">
        <f>Equipos!I515</f>
        <v xml:space="preserve">Criticare </v>
      </c>
      <c r="F517" s="33" t="str">
        <f>Equipos!J515</f>
        <v>8100E-S</v>
      </c>
      <c r="G517" s="37" t="str">
        <f>Equipos!K515</f>
        <v>212726139</v>
      </c>
      <c r="H517" s="33"/>
      <c r="I517" s="50" t="s">
        <v>276</v>
      </c>
      <c r="J517" s="50" t="s">
        <v>275</v>
      </c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3">
        <f t="shared" si="40"/>
        <v>2</v>
      </c>
      <c r="V517" s="33">
        <f t="shared" si="41"/>
        <v>1</v>
      </c>
      <c r="W517" s="33">
        <f t="shared" si="42"/>
        <v>0</v>
      </c>
      <c r="X517" s="33">
        <f t="shared" si="43"/>
        <v>0</v>
      </c>
      <c r="Y517" s="33">
        <f ca="1">SUMPRODUCT((I517:INDEX(I517:T517,MONTH(TODAY()))="X")*1)</f>
        <v>0</v>
      </c>
      <c r="Z517" s="39">
        <f t="shared" si="44"/>
        <v>0.5</v>
      </c>
    </row>
    <row r="518" spans="1:26" x14ac:dyDescent="0.25">
      <c r="A518" s="37" t="str">
        <f>Equipos!C516</f>
        <v>2-014911</v>
      </c>
      <c r="B518" s="33" t="str">
        <f>Equipos!D516</f>
        <v>Monitor Multiparámetros</v>
      </c>
      <c r="C518" s="33" t="str">
        <f>Equipos!E516</f>
        <v>Pediatría</v>
      </c>
      <c r="D518" s="33" t="str">
        <f>Equipos!G516</f>
        <v>Lactantes</v>
      </c>
      <c r="E518" s="33" t="str">
        <f>Equipos!I516</f>
        <v xml:space="preserve">Criticare </v>
      </c>
      <c r="F518" s="33" t="str">
        <f>Equipos!J516</f>
        <v>8100E-S</v>
      </c>
      <c r="G518" s="37" t="str">
        <f>Equipos!K516</f>
        <v>212726134</v>
      </c>
      <c r="H518" s="33"/>
      <c r="I518" s="50" t="s">
        <v>276</v>
      </c>
      <c r="J518" s="50" t="s">
        <v>275</v>
      </c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3">
        <f t="shared" si="40"/>
        <v>2</v>
      </c>
      <c r="V518" s="33">
        <f t="shared" si="41"/>
        <v>1</v>
      </c>
      <c r="W518" s="33">
        <f t="shared" si="42"/>
        <v>0</v>
      </c>
      <c r="X518" s="33">
        <f t="shared" si="43"/>
        <v>0</v>
      </c>
      <c r="Y518" s="33">
        <f ca="1">SUMPRODUCT((I518:INDEX(I518:T518,MONTH(TODAY()))="X")*1)</f>
        <v>0</v>
      </c>
      <c r="Z518" s="39">
        <f t="shared" si="44"/>
        <v>0.5</v>
      </c>
    </row>
    <row r="519" spans="1:26" x14ac:dyDescent="0.25">
      <c r="A519" s="37" t="str">
        <f>Equipos!C517</f>
        <v>2-014718</v>
      </c>
      <c r="B519" s="33" t="str">
        <f>Equipos!D517</f>
        <v>Monitor Multiparámetros</v>
      </c>
      <c r="C519" s="33" t="str">
        <f>Equipos!E517</f>
        <v>Pediatría</v>
      </c>
      <c r="D519" s="33" t="str">
        <f>Equipos!G517</f>
        <v>Segunda infancia</v>
      </c>
      <c r="E519" s="33" t="str">
        <f>Equipos!I517</f>
        <v xml:space="preserve">Nihon Kohden </v>
      </c>
      <c r="F519" s="33" t="str">
        <f>Equipos!J517</f>
        <v>BSM-6301K</v>
      </c>
      <c r="G519" s="37" t="str">
        <f>Equipos!K517</f>
        <v>01062</v>
      </c>
      <c r="H519" s="33"/>
      <c r="I519" s="50" t="s">
        <v>276</v>
      </c>
      <c r="J519" s="50" t="s">
        <v>275</v>
      </c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3">
        <f t="shared" si="40"/>
        <v>2</v>
      </c>
      <c r="V519" s="33">
        <f t="shared" si="41"/>
        <v>1</v>
      </c>
      <c r="W519" s="33">
        <f t="shared" si="42"/>
        <v>0</v>
      </c>
      <c r="X519" s="33">
        <f t="shared" si="43"/>
        <v>0</v>
      </c>
      <c r="Y519" s="33">
        <f ca="1">SUMPRODUCT((I519:INDEX(I519:T519,MONTH(TODAY()))="X")*1)</f>
        <v>0</v>
      </c>
      <c r="Z519" s="39">
        <f t="shared" si="44"/>
        <v>0.5</v>
      </c>
    </row>
    <row r="520" spans="1:26" x14ac:dyDescent="0.25">
      <c r="A520" s="37" t="str">
        <f>Equipos!C518</f>
        <v>2-004772</v>
      </c>
      <c r="B520" s="33" t="str">
        <f>Equipos!D518</f>
        <v>Monitor Multiparámetros</v>
      </c>
      <c r="C520" s="33" t="str">
        <f>Equipos!E518</f>
        <v>Pediatría</v>
      </c>
      <c r="D520" s="33" t="str">
        <f>Equipos!G518</f>
        <v>Oncología Pediátrica</v>
      </c>
      <c r="E520" s="33" t="str">
        <f>Equipos!I518</f>
        <v xml:space="preserve">Criticare </v>
      </c>
      <c r="F520" s="33" t="str">
        <f>Equipos!J518</f>
        <v>8100E-S</v>
      </c>
      <c r="G520" s="37" t="str">
        <f>Equipos!K518</f>
        <v>212726126</v>
      </c>
      <c r="H520" s="33"/>
      <c r="I520" s="50" t="s">
        <v>276</v>
      </c>
      <c r="J520" s="50" t="s">
        <v>275</v>
      </c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3">
        <f t="shared" si="40"/>
        <v>2</v>
      </c>
      <c r="V520" s="33">
        <f t="shared" si="41"/>
        <v>1</v>
      </c>
      <c r="W520" s="33">
        <f t="shared" si="42"/>
        <v>0</v>
      </c>
      <c r="X520" s="33">
        <f t="shared" si="43"/>
        <v>0</v>
      </c>
      <c r="Y520" s="33">
        <f ca="1">SUMPRODUCT((I520:INDEX(I520:T520,MONTH(TODAY()))="X")*1)</f>
        <v>0</v>
      </c>
      <c r="Z520" s="39">
        <f t="shared" si="44"/>
        <v>0.5</v>
      </c>
    </row>
    <row r="521" spans="1:26" x14ac:dyDescent="0.25">
      <c r="A521" s="37" t="str">
        <f>Equipos!C519</f>
        <v>2-014981</v>
      </c>
      <c r="B521" s="33" t="str">
        <f>Equipos!D519</f>
        <v>Monitor Multiparámetros</v>
      </c>
      <c r="C521" s="33" t="str">
        <f>Equipos!E519</f>
        <v>Cirugía Infantil</v>
      </c>
      <c r="D521" s="33" t="str">
        <f>Equipos!G519</f>
        <v>Cirugía infantil 624-628</v>
      </c>
      <c r="E521" s="33" t="str">
        <f>Equipos!I519</f>
        <v xml:space="preserve">Nihon Kohden </v>
      </c>
      <c r="F521" s="33" t="str">
        <f>Equipos!J519</f>
        <v>BSM-6301K</v>
      </c>
      <c r="G521" s="37" t="str">
        <f>Equipos!K519</f>
        <v>01030</v>
      </c>
      <c r="H521" s="33"/>
      <c r="I521" s="50" t="s">
        <v>276</v>
      </c>
      <c r="J521" s="50" t="s">
        <v>275</v>
      </c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3">
        <f t="shared" si="40"/>
        <v>2</v>
      </c>
      <c r="V521" s="33">
        <f t="shared" si="41"/>
        <v>1</v>
      </c>
      <c r="W521" s="33">
        <f t="shared" si="42"/>
        <v>0</v>
      </c>
      <c r="X521" s="33">
        <f t="shared" si="43"/>
        <v>0</v>
      </c>
      <c r="Y521" s="33">
        <f ca="1">SUMPRODUCT((I521:INDEX(I521:T521,MONTH(TODAY()))="X")*1)</f>
        <v>0</v>
      </c>
      <c r="Z521" s="39">
        <f t="shared" si="44"/>
        <v>0.5</v>
      </c>
    </row>
    <row r="522" spans="1:26" x14ac:dyDescent="0.25">
      <c r="A522" s="37" t="str">
        <f>Equipos!C520</f>
        <v>2-004356</v>
      </c>
      <c r="B522" s="33" t="str">
        <f>Equipos!D520</f>
        <v>Monitor Multiparámetros</v>
      </c>
      <c r="C522" s="33" t="str">
        <f>Equipos!E520</f>
        <v>Medicina</v>
      </c>
      <c r="D522" s="33" t="str">
        <f>Equipos!G520</f>
        <v>509-2</v>
      </c>
      <c r="E522" s="33" t="str">
        <f>Equipos!I520</f>
        <v xml:space="preserve">Nihon Kohden </v>
      </c>
      <c r="F522" s="33" t="str">
        <f>Equipos!J520</f>
        <v>BSM-6301K</v>
      </c>
      <c r="G522" s="37" t="str">
        <f>Equipos!K520</f>
        <v>01064</v>
      </c>
      <c r="H522" s="33"/>
      <c r="I522" s="38"/>
      <c r="J522" s="50" t="s">
        <v>276</v>
      </c>
      <c r="K522" s="50" t="s">
        <v>275</v>
      </c>
      <c r="L522" s="38"/>
      <c r="M522" s="38"/>
      <c r="N522" s="38"/>
      <c r="O522" s="38"/>
      <c r="P522" s="38"/>
      <c r="Q522" s="38"/>
      <c r="R522" s="38"/>
      <c r="S522" s="38"/>
      <c r="T522" s="38"/>
      <c r="U522" s="33">
        <f t="shared" si="40"/>
        <v>2</v>
      </c>
      <c r="V522" s="33">
        <f t="shared" si="41"/>
        <v>1</v>
      </c>
      <c r="W522" s="33">
        <f t="shared" si="42"/>
        <v>0</v>
      </c>
      <c r="X522" s="33">
        <f t="shared" si="43"/>
        <v>0</v>
      </c>
      <c r="Y522" s="33">
        <f ca="1">SUMPRODUCT((I522:INDEX(I522:T522,MONTH(TODAY()))="X")*1)</f>
        <v>0</v>
      </c>
      <c r="Z522" s="39">
        <f t="shared" si="44"/>
        <v>0.5</v>
      </c>
    </row>
    <row r="523" spans="1:26" x14ac:dyDescent="0.25">
      <c r="A523" s="37" t="str">
        <f>Equipos!C521</f>
        <v>2-008498</v>
      </c>
      <c r="B523" s="33" t="str">
        <f>Equipos!D521</f>
        <v>Monitor Multiparámetros</v>
      </c>
      <c r="C523" s="33" t="str">
        <f>Equipos!E521</f>
        <v>Quimioterapia Ambulatoria Adulto</v>
      </c>
      <c r="D523" s="33" t="str">
        <f>Equipos!G521</f>
        <v>EPC-P2</v>
      </c>
      <c r="E523" s="33" t="str">
        <f>Equipos!I521</f>
        <v xml:space="preserve">Nihon Kohden </v>
      </c>
      <c r="F523" s="33" t="str">
        <f>Equipos!J521</f>
        <v>BSM-6301K</v>
      </c>
      <c r="G523" s="37" t="str">
        <f>Equipos!K521</f>
        <v>01056</v>
      </c>
      <c r="H523" s="33"/>
      <c r="I523" s="38"/>
      <c r="J523" s="38"/>
      <c r="K523" s="50" t="s">
        <v>276</v>
      </c>
      <c r="L523" s="50" t="s">
        <v>275</v>
      </c>
      <c r="M523" s="38"/>
      <c r="N523" s="38"/>
      <c r="O523" s="38"/>
      <c r="P523" s="38"/>
      <c r="Q523" s="38"/>
      <c r="R523" s="38"/>
      <c r="S523" s="38"/>
      <c r="T523" s="38"/>
      <c r="U523" s="33">
        <f t="shared" si="40"/>
        <v>2</v>
      </c>
      <c r="V523" s="33">
        <f t="shared" si="41"/>
        <v>1</v>
      </c>
      <c r="W523" s="33">
        <f t="shared" si="42"/>
        <v>0</v>
      </c>
      <c r="X523" s="33">
        <f t="shared" si="43"/>
        <v>0</v>
      </c>
      <c r="Y523" s="33">
        <f ca="1">SUMPRODUCT((I523:INDEX(I523:T523,MONTH(TODAY()))="X")*1)</f>
        <v>0</v>
      </c>
      <c r="Z523" s="39">
        <f t="shared" si="44"/>
        <v>0.5</v>
      </c>
    </row>
    <row r="524" spans="1:26" x14ac:dyDescent="0.25">
      <c r="A524" s="37" t="str">
        <f>Equipos!C522</f>
        <v>2-008452</v>
      </c>
      <c r="B524" s="33" t="str">
        <f>Equipos!D522</f>
        <v>Monitor Multiparámetros</v>
      </c>
      <c r="C524" s="33" t="str">
        <f>Equipos!E522</f>
        <v>Medicina</v>
      </c>
      <c r="D524" s="33" t="str">
        <f>Equipos!G522</f>
        <v>Sala 599</v>
      </c>
      <c r="E524" s="33" t="str">
        <f>Equipos!I522</f>
        <v xml:space="preserve">Nihon Kohden </v>
      </c>
      <c r="F524" s="33" t="str">
        <f>Equipos!J522</f>
        <v>BSM-6301K</v>
      </c>
      <c r="G524" s="37" t="str">
        <f>Equipos!K522</f>
        <v>01073</v>
      </c>
      <c r="H524" s="33"/>
      <c r="I524" s="38"/>
      <c r="J524" s="50" t="s">
        <v>275</v>
      </c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3">
        <f t="shared" si="40"/>
        <v>1</v>
      </c>
      <c r="V524" s="33">
        <f t="shared" si="41"/>
        <v>1</v>
      </c>
      <c r="W524" s="33">
        <f t="shared" si="42"/>
        <v>0</v>
      </c>
      <c r="X524" s="33">
        <f t="shared" si="43"/>
        <v>0</v>
      </c>
      <c r="Y524" s="33">
        <f ca="1">SUMPRODUCT((I524:INDEX(I524:T524,MONTH(TODAY()))="X")*1)</f>
        <v>0</v>
      </c>
      <c r="Z524" s="39">
        <f t="shared" si="44"/>
        <v>1</v>
      </c>
    </row>
    <row r="525" spans="1:26" x14ac:dyDescent="0.25">
      <c r="A525" s="37" t="str">
        <f>Equipos!C523</f>
        <v>2-008450</v>
      </c>
      <c r="B525" s="33" t="str">
        <f>Equipos!D523</f>
        <v>Monitor Multiparámetros</v>
      </c>
      <c r="C525" s="33" t="str">
        <f>Equipos!E523</f>
        <v>Medicina</v>
      </c>
      <c r="D525" s="33" t="str">
        <f>Equipos!G523</f>
        <v>503-2E</v>
      </c>
      <c r="E525" s="33" t="str">
        <f>Equipos!I523</f>
        <v xml:space="preserve">Nihon Kohden </v>
      </c>
      <c r="F525" s="33" t="str">
        <f>Equipos!J523</f>
        <v>BSM-6301K</v>
      </c>
      <c r="G525" s="37" t="str">
        <f>Equipos!K523</f>
        <v>01061</v>
      </c>
      <c r="H525" s="33"/>
      <c r="I525" s="38"/>
      <c r="J525" s="50" t="s">
        <v>275</v>
      </c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3">
        <f t="shared" si="40"/>
        <v>1</v>
      </c>
      <c r="V525" s="33">
        <f t="shared" si="41"/>
        <v>1</v>
      </c>
      <c r="W525" s="33">
        <f t="shared" si="42"/>
        <v>0</v>
      </c>
      <c r="X525" s="33">
        <f t="shared" si="43"/>
        <v>0</v>
      </c>
      <c r="Y525" s="33">
        <f ca="1">SUMPRODUCT((I525:INDEX(I525:T525,MONTH(TODAY()))="X")*1)</f>
        <v>0</v>
      </c>
      <c r="Z525" s="39">
        <f t="shared" si="44"/>
        <v>1</v>
      </c>
    </row>
    <row r="526" spans="1:26" x14ac:dyDescent="0.25">
      <c r="A526" s="37" t="str">
        <f>Equipos!C524</f>
        <v>2-008659</v>
      </c>
      <c r="B526" s="33" t="str">
        <f>Equipos!D524</f>
        <v>Monitor Multiparámetros</v>
      </c>
      <c r="C526" s="33" t="str">
        <f>Equipos!E524</f>
        <v>SAMU</v>
      </c>
      <c r="D526" s="33" t="str">
        <f>Equipos!G524</f>
        <v>Base 1</v>
      </c>
      <c r="E526" s="33" t="str">
        <f>Equipos!I524</f>
        <v xml:space="preserve">Nihon Kohden </v>
      </c>
      <c r="F526" s="33" t="str">
        <f>Equipos!J524</f>
        <v>BSM-6301K</v>
      </c>
      <c r="G526" s="37" t="str">
        <f>Equipos!K524</f>
        <v>01048</v>
      </c>
      <c r="H526" s="33"/>
      <c r="I526" s="38"/>
      <c r="J526" s="38"/>
      <c r="K526" s="38"/>
      <c r="L526" s="50" t="s">
        <v>275</v>
      </c>
      <c r="M526" s="38"/>
      <c r="N526" s="38"/>
      <c r="O526" s="38"/>
      <c r="P526" s="38"/>
      <c r="Q526" s="38"/>
      <c r="R526" s="38"/>
      <c r="S526" s="38"/>
      <c r="T526" s="38"/>
      <c r="U526" s="33">
        <f t="shared" si="40"/>
        <v>1</v>
      </c>
      <c r="V526" s="33">
        <f t="shared" si="41"/>
        <v>1</v>
      </c>
      <c r="W526" s="33">
        <f t="shared" si="42"/>
        <v>0</v>
      </c>
      <c r="X526" s="33">
        <f t="shared" si="43"/>
        <v>0</v>
      </c>
      <c r="Y526" s="33">
        <f ca="1">SUMPRODUCT((I526:INDEX(I526:T526,MONTH(TODAY()))="X")*1)</f>
        <v>0</v>
      </c>
      <c r="Z526" s="39">
        <f t="shared" si="44"/>
        <v>1</v>
      </c>
    </row>
    <row r="527" spans="1:26" x14ac:dyDescent="0.25">
      <c r="A527" s="37" t="str">
        <f>Equipos!C525</f>
        <v>2-008465</v>
      </c>
      <c r="B527" s="33" t="str">
        <f>Equipos!D525</f>
        <v>Monitor Multiparámetros</v>
      </c>
      <c r="C527" s="33" t="str">
        <f>Equipos!E525</f>
        <v>SAMU</v>
      </c>
      <c r="D527" s="33" t="str">
        <f>Equipos!G525</f>
        <v>Base 13</v>
      </c>
      <c r="E527" s="33" t="str">
        <f>Equipos!I525</f>
        <v xml:space="preserve">Nihon Kohden </v>
      </c>
      <c r="F527" s="33" t="str">
        <f>Equipos!J525</f>
        <v>BSM-6301K</v>
      </c>
      <c r="G527" s="37" t="str">
        <f>Equipos!K525</f>
        <v>01040</v>
      </c>
      <c r="H527" s="33"/>
      <c r="I527" s="38"/>
      <c r="J527" s="38"/>
      <c r="K527" s="38"/>
      <c r="L527" s="50" t="s">
        <v>275</v>
      </c>
      <c r="M527" s="38"/>
      <c r="N527" s="38"/>
      <c r="O527" s="38"/>
      <c r="P527" s="38"/>
      <c r="Q527" s="38"/>
      <c r="R527" s="38"/>
      <c r="S527" s="38"/>
      <c r="T527" s="38"/>
      <c r="U527" s="33">
        <f t="shared" si="40"/>
        <v>1</v>
      </c>
      <c r="V527" s="33">
        <f t="shared" si="41"/>
        <v>1</v>
      </c>
      <c r="W527" s="33">
        <f t="shared" si="42"/>
        <v>0</v>
      </c>
      <c r="X527" s="33">
        <f t="shared" si="43"/>
        <v>0</v>
      </c>
      <c r="Y527" s="33">
        <f ca="1">SUMPRODUCT((I527:INDEX(I527:T527,MONTH(TODAY()))="X")*1)</f>
        <v>0</v>
      </c>
      <c r="Z527" s="39">
        <f t="shared" si="44"/>
        <v>1</v>
      </c>
    </row>
    <row r="528" spans="1:26" x14ac:dyDescent="0.25">
      <c r="A528" s="37" t="str">
        <f>Equipos!C526</f>
        <v>2-008497</v>
      </c>
      <c r="B528" s="33" t="str">
        <f>Equipos!D526</f>
        <v>Monitor Multiparámetros</v>
      </c>
      <c r="C528" s="33" t="str">
        <f>Equipos!E526</f>
        <v>Medicina (Prestado a medicina cardiovascular)</v>
      </c>
      <c r="D528" s="33" t="str">
        <f>Equipos!G526</f>
        <v>514-3</v>
      </c>
      <c r="E528" s="33" t="str">
        <f>Equipos!I526</f>
        <v xml:space="preserve">Nihon Kohden </v>
      </c>
      <c r="F528" s="33" t="str">
        <f>Equipos!J526</f>
        <v>BSM-6301K</v>
      </c>
      <c r="G528" s="37" t="str">
        <f>Equipos!K526</f>
        <v>01068</v>
      </c>
      <c r="H528" s="33"/>
      <c r="I528" s="38"/>
      <c r="J528" s="50" t="s">
        <v>276</v>
      </c>
      <c r="K528" s="50" t="s">
        <v>275</v>
      </c>
      <c r="L528" s="38"/>
      <c r="M528" s="38"/>
      <c r="N528" s="38"/>
      <c r="O528" s="38"/>
      <c r="P528" s="38"/>
      <c r="Q528" s="38"/>
      <c r="R528" s="38"/>
      <c r="S528" s="38"/>
      <c r="T528" s="38"/>
      <c r="U528" s="33">
        <f t="shared" si="40"/>
        <v>2</v>
      </c>
      <c r="V528" s="33">
        <f t="shared" si="41"/>
        <v>1</v>
      </c>
      <c r="W528" s="33">
        <f t="shared" si="42"/>
        <v>0</v>
      </c>
      <c r="X528" s="33">
        <f t="shared" si="43"/>
        <v>0</v>
      </c>
      <c r="Y528" s="33">
        <f ca="1">SUMPRODUCT((I528:INDEX(I528:T528,MONTH(TODAY()))="X")*1)</f>
        <v>0</v>
      </c>
      <c r="Z528" s="39">
        <f t="shared" si="44"/>
        <v>0.5</v>
      </c>
    </row>
    <row r="529" spans="1:26" x14ac:dyDescent="0.25">
      <c r="A529" s="37" t="str">
        <f>Equipos!C527</f>
        <v>2-004583</v>
      </c>
      <c r="B529" s="33" t="str">
        <f>Equipos!D527</f>
        <v>Monitor Multiparámetros</v>
      </c>
      <c r="C529" s="33" t="str">
        <f>Equipos!E527</f>
        <v>Medicina</v>
      </c>
      <c r="D529" s="33" t="str">
        <f>Equipos!G527</f>
        <v>514-3</v>
      </c>
      <c r="E529" s="33" t="str">
        <f>Equipos!I527</f>
        <v xml:space="preserve">Nihon Kohden </v>
      </c>
      <c r="F529" s="33" t="str">
        <f>Equipos!J527</f>
        <v>BSM-6301K</v>
      </c>
      <c r="G529" s="37" t="str">
        <f>Equipos!K527</f>
        <v>01067</v>
      </c>
      <c r="H529" s="33"/>
      <c r="I529" s="38"/>
      <c r="J529" s="50" t="s">
        <v>275</v>
      </c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3">
        <f t="shared" si="40"/>
        <v>1</v>
      </c>
      <c r="V529" s="33">
        <f t="shared" si="41"/>
        <v>1</v>
      </c>
      <c r="W529" s="33">
        <f t="shared" si="42"/>
        <v>0</v>
      </c>
      <c r="X529" s="33">
        <f t="shared" si="43"/>
        <v>0</v>
      </c>
      <c r="Y529" s="33">
        <f ca="1">SUMPRODUCT((I529:INDEX(I529:T529,MONTH(TODAY()))="X")*1)</f>
        <v>0</v>
      </c>
      <c r="Z529" s="39">
        <f t="shared" si="44"/>
        <v>1</v>
      </c>
    </row>
    <row r="530" spans="1:26" x14ac:dyDescent="0.25">
      <c r="A530" s="37" t="str">
        <f>Equipos!C528</f>
        <v>2-008485</v>
      </c>
      <c r="B530" s="33" t="str">
        <f>Equipos!D528</f>
        <v>Monitor Multiparámetros</v>
      </c>
      <c r="C530" s="33" t="str">
        <f>Equipos!E528</f>
        <v>Medicina</v>
      </c>
      <c r="D530" s="33" t="str">
        <f>Equipos!G528</f>
        <v>526-3</v>
      </c>
      <c r="E530" s="33" t="str">
        <f>Equipos!I528</f>
        <v xml:space="preserve">Nihon Kohden </v>
      </c>
      <c r="F530" s="33" t="str">
        <f>Equipos!J528</f>
        <v>BSM-6301K</v>
      </c>
      <c r="G530" s="37" t="str">
        <f>Equipos!K528</f>
        <v>01042</v>
      </c>
      <c r="H530" s="33"/>
      <c r="I530" s="38"/>
      <c r="J530" s="50" t="s">
        <v>275</v>
      </c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3">
        <f t="shared" si="40"/>
        <v>1</v>
      </c>
      <c r="V530" s="33">
        <f t="shared" si="41"/>
        <v>1</v>
      </c>
      <c r="W530" s="33">
        <f t="shared" si="42"/>
        <v>0</v>
      </c>
      <c r="X530" s="33">
        <f t="shared" si="43"/>
        <v>0</v>
      </c>
      <c r="Y530" s="33">
        <f ca="1">SUMPRODUCT((I530:INDEX(I530:T530,MONTH(TODAY()))="X")*1)</f>
        <v>0</v>
      </c>
      <c r="Z530" s="39">
        <f t="shared" si="44"/>
        <v>1</v>
      </c>
    </row>
    <row r="531" spans="1:26" x14ac:dyDescent="0.25">
      <c r="A531" s="37" t="str">
        <f>Equipos!C529</f>
        <v>2-004503</v>
      </c>
      <c r="B531" s="33" t="str">
        <f>Equipos!D529</f>
        <v>Monitor Multiparámetros</v>
      </c>
      <c r="C531" s="33" t="str">
        <f>Equipos!E529</f>
        <v>Medicina (Prestado a medicina cardiovascular)</v>
      </c>
      <c r="D531" s="33" t="str">
        <f>Equipos!G529</f>
        <v>517-2</v>
      </c>
      <c r="E531" s="33" t="str">
        <f>Equipos!I529</f>
        <v xml:space="preserve">Nihon Kohden </v>
      </c>
      <c r="F531" s="33" t="str">
        <f>Equipos!J529</f>
        <v>BSM-6301K</v>
      </c>
      <c r="G531" s="37" t="str">
        <f>Equipos!K529</f>
        <v>01058</v>
      </c>
      <c r="H531" s="33"/>
      <c r="I531" s="38"/>
      <c r="J531" s="50" t="s">
        <v>276</v>
      </c>
      <c r="K531" s="50" t="s">
        <v>275</v>
      </c>
      <c r="L531" s="38"/>
      <c r="M531" s="38"/>
      <c r="N531" s="38"/>
      <c r="O531" s="38"/>
      <c r="P531" s="38"/>
      <c r="Q531" s="38"/>
      <c r="R531" s="38"/>
      <c r="S531" s="38"/>
      <c r="T531" s="38"/>
      <c r="U531" s="33">
        <f t="shared" si="40"/>
        <v>2</v>
      </c>
      <c r="V531" s="33">
        <f t="shared" si="41"/>
        <v>1</v>
      </c>
      <c r="W531" s="33">
        <f t="shared" si="42"/>
        <v>0</v>
      </c>
      <c r="X531" s="33">
        <f t="shared" si="43"/>
        <v>0</v>
      </c>
      <c r="Y531" s="33">
        <f ca="1">SUMPRODUCT((I531:INDEX(I531:T531,MONTH(TODAY()))="X")*1)</f>
        <v>0</v>
      </c>
      <c r="Z531" s="39">
        <f t="shared" si="44"/>
        <v>0.5</v>
      </c>
    </row>
    <row r="532" spans="1:26" x14ac:dyDescent="0.25">
      <c r="A532" s="37" t="str">
        <f>Equipos!C530</f>
        <v>2-004584</v>
      </c>
      <c r="B532" s="33" t="str">
        <f>Equipos!D530</f>
        <v>Monitor Multiparámetros</v>
      </c>
      <c r="C532" s="33" t="str">
        <f>Equipos!E530</f>
        <v>Medicina</v>
      </c>
      <c r="D532" s="33" t="str">
        <f>Equipos!G530</f>
        <v>526-3</v>
      </c>
      <c r="E532" s="33" t="str">
        <f>Equipos!I530</f>
        <v xml:space="preserve">Nihon Kohden </v>
      </c>
      <c r="F532" s="33" t="str">
        <f>Equipos!J530</f>
        <v>BSM-6301K</v>
      </c>
      <c r="G532" s="37" t="str">
        <f>Equipos!K530</f>
        <v>01045</v>
      </c>
      <c r="H532" s="33"/>
      <c r="I532" s="38"/>
      <c r="J532" s="50" t="s">
        <v>278</v>
      </c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3">
        <f t="shared" si="40"/>
        <v>1</v>
      </c>
      <c r="V532" s="33">
        <f t="shared" si="41"/>
        <v>0</v>
      </c>
      <c r="W532" s="33">
        <f t="shared" si="42"/>
        <v>0</v>
      </c>
      <c r="X532" s="33">
        <f t="shared" si="43"/>
        <v>1</v>
      </c>
      <c r="Y532" s="33">
        <f ca="1">SUMPRODUCT((I532:INDEX(I532:T532,MONTH(TODAY()))="X")*1)</f>
        <v>0</v>
      </c>
      <c r="Z532" s="39">
        <f t="shared" si="44"/>
        <v>0</v>
      </c>
    </row>
    <row r="533" spans="1:26" x14ac:dyDescent="0.25">
      <c r="A533" s="37" t="str">
        <f>Equipos!C531</f>
        <v>2-116511</v>
      </c>
      <c r="B533" s="33" t="str">
        <f>Equipos!D531</f>
        <v>Monitor Multiparámetros</v>
      </c>
      <c r="C533" s="33" t="str">
        <f>Equipos!E531</f>
        <v>UPC Pediátrica</v>
      </c>
      <c r="D533" s="33" t="str">
        <f>Equipos!G531</f>
        <v>Cama 4</v>
      </c>
      <c r="E533" s="33" t="str">
        <f>Equipos!I531</f>
        <v>SPACELABS HEALTHCARE</v>
      </c>
      <c r="F533" s="33" t="str">
        <f>Equipos!J531</f>
        <v>XPREZZON</v>
      </c>
      <c r="G533" s="37" t="str">
        <f>Equipos!K531</f>
        <v>1393-109309</v>
      </c>
      <c r="H533" s="33"/>
      <c r="I533" s="50" t="s">
        <v>276</v>
      </c>
      <c r="J533" s="50" t="s">
        <v>275</v>
      </c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3">
        <f t="shared" si="40"/>
        <v>2</v>
      </c>
      <c r="V533" s="33">
        <f t="shared" si="41"/>
        <v>1</v>
      </c>
      <c r="W533" s="33">
        <f t="shared" si="42"/>
        <v>0</v>
      </c>
      <c r="X533" s="33">
        <f t="shared" si="43"/>
        <v>0</v>
      </c>
      <c r="Y533" s="33">
        <f ca="1">SUMPRODUCT((I533:INDEX(I533:T533,MONTH(TODAY()))="X")*1)</f>
        <v>0</v>
      </c>
      <c r="Z533" s="39">
        <f t="shared" si="44"/>
        <v>0.5</v>
      </c>
    </row>
    <row r="534" spans="1:26" x14ac:dyDescent="0.25">
      <c r="A534" s="37" t="str">
        <f>Equipos!C532</f>
        <v>2-008451</v>
      </c>
      <c r="B534" s="33" t="str">
        <f>Equipos!D532</f>
        <v>Monitor Multiparámetros</v>
      </c>
      <c r="C534" s="33" t="str">
        <f>Equipos!E532</f>
        <v>CDT</v>
      </c>
      <c r="D534" s="33" t="str">
        <f>Equipos!G532</f>
        <v>Pabellón Procedimiento</v>
      </c>
      <c r="E534" s="33" t="str">
        <f>Equipos!I532</f>
        <v xml:space="preserve">Nihon Kohden </v>
      </c>
      <c r="F534" s="33" t="str">
        <f>Equipos!J532</f>
        <v>BSM-6301K</v>
      </c>
      <c r="G534" s="37" t="str">
        <f>Equipos!K532</f>
        <v>01029</v>
      </c>
      <c r="H534" s="33"/>
      <c r="I534" s="38"/>
      <c r="J534" s="38"/>
      <c r="K534" s="50" t="s">
        <v>276</v>
      </c>
      <c r="L534" s="50" t="s">
        <v>275</v>
      </c>
      <c r="M534" s="38"/>
      <c r="N534" s="38"/>
      <c r="O534" s="38"/>
      <c r="P534" s="38"/>
      <c r="Q534" s="38"/>
      <c r="R534" s="38"/>
      <c r="S534" s="38"/>
      <c r="T534" s="38"/>
      <c r="U534" s="33">
        <f t="shared" si="40"/>
        <v>2</v>
      </c>
      <c r="V534" s="33">
        <f t="shared" si="41"/>
        <v>1</v>
      </c>
      <c r="W534" s="33">
        <f t="shared" si="42"/>
        <v>0</v>
      </c>
      <c r="X534" s="33">
        <f t="shared" si="43"/>
        <v>0</v>
      </c>
      <c r="Y534" s="33">
        <f ca="1">SUMPRODUCT((I534:INDEX(I534:T534,MONTH(TODAY()))="X")*1)</f>
        <v>0</v>
      </c>
      <c r="Z534" s="39">
        <f t="shared" si="44"/>
        <v>0.5</v>
      </c>
    </row>
    <row r="535" spans="1:26" x14ac:dyDescent="0.25">
      <c r="A535" s="37" t="str">
        <f>Equipos!C533</f>
        <v>2-116513</v>
      </c>
      <c r="B535" s="33" t="str">
        <f>Equipos!D533</f>
        <v>Monitor Multiparámetros</v>
      </c>
      <c r="C535" s="33" t="str">
        <f>Equipos!E533</f>
        <v>UPC Pediátrica</v>
      </c>
      <c r="D535" s="33" t="str">
        <f>Equipos!G533</f>
        <v>Cama 10</v>
      </c>
      <c r="E535" s="33" t="str">
        <f>Equipos!I533</f>
        <v>SPACELABS HEALTHCARE</v>
      </c>
      <c r="F535" s="33" t="str">
        <f>Equipos!J533</f>
        <v>XPREZZON</v>
      </c>
      <c r="G535" s="37" t="str">
        <f>Equipos!K533</f>
        <v>1393-109310</v>
      </c>
      <c r="H535" s="33"/>
      <c r="I535" s="50" t="s">
        <v>276</v>
      </c>
      <c r="J535" s="50" t="s">
        <v>275</v>
      </c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3">
        <f t="shared" si="40"/>
        <v>2</v>
      </c>
      <c r="V535" s="33">
        <f t="shared" si="41"/>
        <v>1</v>
      </c>
      <c r="W535" s="33">
        <f t="shared" si="42"/>
        <v>0</v>
      </c>
      <c r="X535" s="33">
        <f t="shared" si="43"/>
        <v>0</v>
      </c>
      <c r="Y535" s="33">
        <f ca="1">SUMPRODUCT((I535:INDEX(I535:T535,MONTH(TODAY()))="X")*1)</f>
        <v>0</v>
      </c>
      <c r="Z535" s="39">
        <f t="shared" si="44"/>
        <v>0.5</v>
      </c>
    </row>
    <row r="536" spans="1:26" x14ac:dyDescent="0.25">
      <c r="A536" s="37" t="str">
        <f>Equipos!C534</f>
        <v>2-008466</v>
      </c>
      <c r="B536" s="33" t="str">
        <f>Equipos!D534</f>
        <v>Monitor Multiparámetros</v>
      </c>
      <c r="C536" s="33" t="str">
        <f>Equipos!E534</f>
        <v>Medicina</v>
      </c>
      <c r="D536" s="33" t="str">
        <f>Equipos!G534</f>
        <v>510-1</v>
      </c>
      <c r="E536" s="33" t="str">
        <f>Equipos!I534</f>
        <v xml:space="preserve">Nihon Kohden </v>
      </c>
      <c r="F536" s="33" t="str">
        <f>Equipos!J534</f>
        <v>BSM-6301K</v>
      </c>
      <c r="G536" s="37" t="str">
        <f>Equipos!K534</f>
        <v>01069</v>
      </c>
      <c r="H536" s="33"/>
      <c r="I536" s="38"/>
      <c r="J536" s="50" t="s">
        <v>276</v>
      </c>
      <c r="K536" s="50" t="s">
        <v>275</v>
      </c>
      <c r="L536" s="38"/>
      <c r="M536" s="38"/>
      <c r="N536" s="38"/>
      <c r="O536" s="38"/>
      <c r="P536" s="38"/>
      <c r="Q536" s="38"/>
      <c r="R536" s="38"/>
      <c r="S536" s="38"/>
      <c r="T536" s="38"/>
      <c r="U536" s="33">
        <f t="shared" si="40"/>
        <v>2</v>
      </c>
      <c r="V536" s="33">
        <f t="shared" si="41"/>
        <v>1</v>
      </c>
      <c r="W536" s="33">
        <f t="shared" si="42"/>
        <v>0</v>
      </c>
      <c r="X536" s="33">
        <f t="shared" si="43"/>
        <v>0</v>
      </c>
      <c r="Y536" s="33">
        <f ca="1">SUMPRODUCT((I536:INDEX(I536:T536,MONTH(TODAY()))="X")*1)</f>
        <v>0</v>
      </c>
      <c r="Z536" s="39">
        <f t="shared" si="44"/>
        <v>0.5</v>
      </c>
    </row>
    <row r="537" spans="1:26" x14ac:dyDescent="0.25">
      <c r="A537" s="37" t="str">
        <f>Equipos!C535</f>
        <v>2-121189</v>
      </c>
      <c r="B537" s="33" t="str">
        <f>Equipos!D535</f>
        <v>Monitor Multiparámetros</v>
      </c>
      <c r="C537" s="33" t="str">
        <f>Equipos!E535</f>
        <v>Medicina</v>
      </c>
      <c r="D537" s="33" t="str">
        <f>Equipos!G535</f>
        <v>503-3E</v>
      </c>
      <c r="E537" s="33" t="str">
        <f>Equipos!I535</f>
        <v xml:space="preserve">Nihon Kohden </v>
      </c>
      <c r="F537" s="33" t="str">
        <f>Equipos!J535</f>
        <v>BSM-3562K</v>
      </c>
      <c r="G537" s="37" t="str">
        <f>Equipos!K535</f>
        <v>29789</v>
      </c>
      <c r="H537" s="33"/>
      <c r="I537" s="38"/>
      <c r="J537" s="50" t="s">
        <v>275</v>
      </c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3">
        <f t="shared" si="40"/>
        <v>1</v>
      </c>
      <c r="V537" s="33">
        <f t="shared" si="41"/>
        <v>1</v>
      </c>
      <c r="W537" s="33">
        <f t="shared" si="42"/>
        <v>0</v>
      </c>
      <c r="X537" s="33">
        <f t="shared" si="43"/>
        <v>0</v>
      </c>
      <c r="Y537" s="33">
        <f ca="1">SUMPRODUCT((I537:INDEX(I537:T537,MONTH(TODAY()))="X")*1)</f>
        <v>0</v>
      </c>
      <c r="Z537" s="39">
        <f t="shared" si="44"/>
        <v>1</v>
      </c>
    </row>
    <row r="538" spans="1:26" x14ac:dyDescent="0.25">
      <c r="A538" s="37" t="str">
        <f>Equipos!C536</f>
        <v>2-008660</v>
      </c>
      <c r="B538" s="33" t="str">
        <f>Equipos!D536</f>
        <v>Monitor Multiparámetros</v>
      </c>
      <c r="C538" s="33" t="str">
        <f>Equipos!E536</f>
        <v>Medicina</v>
      </c>
      <c r="D538" s="33" t="str">
        <f>Equipos!G536</f>
        <v>511-2</v>
      </c>
      <c r="E538" s="33" t="str">
        <f>Equipos!I536</f>
        <v xml:space="preserve">Nihon Kohden </v>
      </c>
      <c r="F538" s="33" t="str">
        <f>Equipos!J536</f>
        <v>BSM-6301K</v>
      </c>
      <c r="G538" s="37" t="str">
        <f>Equipos!K536</f>
        <v>01054</v>
      </c>
      <c r="H538" s="33"/>
      <c r="I538" s="38"/>
      <c r="J538" s="50" t="s">
        <v>276</v>
      </c>
      <c r="K538" s="50" t="s">
        <v>275</v>
      </c>
      <c r="L538" s="38"/>
      <c r="M538" s="38"/>
      <c r="N538" s="38"/>
      <c r="O538" s="38"/>
      <c r="P538" s="38"/>
      <c r="Q538" s="38"/>
      <c r="R538" s="38"/>
      <c r="S538" s="38"/>
      <c r="T538" s="38"/>
      <c r="U538" s="33">
        <f t="shared" si="40"/>
        <v>2</v>
      </c>
      <c r="V538" s="33">
        <f t="shared" si="41"/>
        <v>1</v>
      </c>
      <c r="W538" s="33">
        <f t="shared" si="42"/>
        <v>0</v>
      </c>
      <c r="X538" s="33">
        <f t="shared" si="43"/>
        <v>0</v>
      </c>
      <c r="Y538" s="33">
        <f ca="1">SUMPRODUCT((I538:INDEX(I538:T538,MONTH(TODAY()))="X")*1)</f>
        <v>0</v>
      </c>
      <c r="Z538" s="39">
        <f t="shared" si="44"/>
        <v>0.5</v>
      </c>
    </row>
    <row r="539" spans="1:26" x14ac:dyDescent="0.25">
      <c r="A539" s="37" t="str">
        <f>Equipos!C537</f>
        <v>2-116512</v>
      </c>
      <c r="B539" s="33" t="str">
        <f>Equipos!D537</f>
        <v>Monitor Multiparámetros</v>
      </c>
      <c r="C539" s="33" t="str">
        <f>Equipos!E537</f>
        <v>UPC Pediátrica</v>
      </c>
      <c r="D539" s="33" t="str">
        <f>Equipos!G537</f>
        <v>Cama 11</v>
      </c>
      <c r="E539" s="33" t="str">
        <f>Equipos!I537</f>
        <v>SPACELABS HEALTHCARE</v>
      </c>
      <c r="F539" s="33" t="str">
        <f>Equipos!J537</f>
        <v>XPREZZON</v>
      </c>
      <c r="G539" s="37" t="str">
        <f>Equipos!K537</f>
        <v>1393-109301</v>
      </c>
      <c r="H539" s="33"/>
      <c r="I539" s="50" t="s">
        <v>276</v>
      </c>
      <c r="J539" s="50" t="s">
        <v>275</v>
      </c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3">
        <f t="shared" si="40"/>
        <v>2</v>
      </c>
      <c r="V539" s="33">
        <f t="shared" si="41"/>
        <v>1</v>
      </c>
      <c r="W539" s="33">
        <f t="shared" si="42"/>
        <v>0</v>
      </c>
      <c r="X539" s="33">
        <f t="shared" si="43"/>
        <v>0</v>
      </c>
      <c r="Y539" s="33">
        <f ca="1">SUMPRODUCT((I539:INDEX(I539:T539,MONTH(TODAY()))="X")*1)</f>
        <v>0</v>
      </c>
      <c r="Z539" s="39">
        <f t="shared" si="44"/>
        <v>0.5</v>
      </c>
    </row>
    <row r="540" spans="1:26" x14ac:dyDescent="0.25">
      <c r="A540" s="37" t="str">
        <f>Equipos!C538</f>
        <v>2-112424</v>
      </c>
      <c r="B540" s="33" t="str">
        <f>Equipos!D538</f>
        <v>Monitor Multiparámetros</v>
      </c>
      <c r="C540" s="33" t="str">
        <f>Equipos!E538</f>
        <v>Cirugía Adulto</v>
      </c>
      <c r="D540" s="33" t="str">
        <f>Equipos!G538</f>
        <v>EPC (Clinica)</v>
      </c>
      <c r="E540" s="33" t="str">
        <f>Equipos!I538</f>
        <v xml:space="preserve">Nihon Kohden </v>
      </c>
      <c r="F540" s="33" t="str">
        <f>Equipos!J538</f>
        <v>BSM-2351K</v>
      </c>
      <c r="G540" s="37" t="str">
        <f>Equipos!K538</f>
        <v>03643</v>
      </c>
      <c r="H540" s="33"/>
      <c r="I540" s="38"/>
      <c r="J540" s="50" t="s">
        <v>279</v>
      </c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3">
        <f t="shared" si="40"/>
        <v>0</v>
      </c>
      <c r="V540" s="33">
        <f t="shared" si="41"/>
        <v>0</v>
      </c>
      <c r="W540" s="33">
        <f t="shared" si="42"/>
        <v>0</v>
      </c>
      <c r="X540" s="33">
        <f t="shared" si="43"/>
        <v>0</v>
      </c>
      <c r="Y540" s="33">
        <f ca="1">SUMPRODUCT((I540:INDEX(I540:T540,MONTH(TODAY()))="X")*1)</f>
        <v>0</v>
      </c>
      <c r="Z540" s="39" t="str">
        <f t="shared" si="44"/>
        <v/>
      </c>
    </row>
    <row r="541" spans="1:26" x14ac:dyDescent="0.25">
      <c r="A541" s="37" t="str">
        <f>Equipos!C539</f>
        <v>2-112501</v>
      </c>
      <c r="B541" s="33" t="str">
        <f>Equipos!D539</f>
        <v>Monitor Multiparámetros</v>
      </c>
      <c r="C541" s="33" t="str">
        <f>Equipos!E539</f>
        <v>Traumatología</v>
      </c>
      <c r="D541" s="33" t="str">
        <f>Equipos!G539</f>
        <v>Cirugía Trauma</v>
      </c>
      <c r="E541" s="33" t="str">
        <f>Equipos!I539</f>
        <v xml:space="preserve">Nihon Kohden </v>
      </c>
      <c r="F541" s="33" t="str">
        <f>Equipos!J539</f>
        <v>BSM-6301K</v>
      </c>
      <c r="G541" s="37" t="str">
        <f>Equipos!K539</f>
        <v>01052.</v>
      </c>
      <c r="H541" s="33"/>
      <c r="I541" s="38"/>
      <c r="J541" s="38"/>
      <c r="K541" s="50" t="s">
        <v>276</v>
      </c>
      <c r="L541" s="50" t="s">
        <v>275</v>
      </c>
      <c r="M541" s="38"/>
      <c r="N541" s="38"/>
      <c r="O541" s="38"/>
      <c r="P541" s="38"/>
      <c r="Q541" s="38"/>
      <c r="R541" s="38"/>
      <c r="S541" s="38"/>
      <c r="T541" s="38"/>
      <c r="U541" s="33">
        <f t="shared" si="40"/>
        <v>2</v>
      </c>
      <c r="V541" s="33">
        <f t="shared" si="41"/>
        <v>1</v>
      </c>
      <c r="W541" s="33">
        <f t="shared" si="42"/>
        <v>0</v>
      </c>
      <c r="X541" s="33">
        <f t="shared" si="43"/>
        <v>0</v>
      </c>
      <c r="Y541" s="33">
        <f ca="1">SUMPRODUCT((I541:INDEX(I541:T541,MONTH(TODAY()))="X")*1)</f>
        <v>0</v>
      </c>
      <c r="Z541" s="39">
        <f t="shared" si="44"/>
        <v>0.5</v>
      </c>
    </row>
    <row r="542" spans="1:26" x14ac:dyDescent="0.25">
      <c r="A542" s="37" t="str">
        <f>Equipos!C540</f>
        <v>2-012781</v>
      </c>
      <c r="B542" s="33" t="str">
        <f>Equipos!D540</f>
        <v>Monitor Multiparámetros</v>
      </c>
      <c r="C542" s="33" t="str">
        <f>Equipos!E540</f>
        <v>Traumatología</v>
      </c>
      <c r="D542" s="33" t="str">
        <f>Equipos!G540</f>
        <v>Cirugía Trauma</v>
      </c>
      <c r="E542" s="33" t="str">
        <f>Equipos!I540</f>
        <v xml:space="preserve">Nihon Kohden </v>
      </c>
      <c r="F542" s="33" t="str">
        <f>Equipos!J540</f>
        <v>BSM-6301K</v>
      </c>
      <c r="G542" s="37" t="str">
        <f>Equipos!K540</f>
        <v>01046.</v>
      </c>
      <c r="H542" s="33"/>
      <c r="I542" s="38"/>
      <c r="J542" s="38"/>
      <c r="K542" s="50" t="s">
        <v>276</v>
      </c>
      <c r="L542" s="50" t="s">
        <v>275</v>
      </c>
      <c r="M542" s="38"/>
      <c r="N542" s="38"/>
      <c r="O542" s="38"/>
      <c r="P542" s="38"/>
      <c r="Q542" s="38"/>
      <c r="R542" s="38"/>
      <c r="S542" s="38"/>
      <c r="T542" s="38"/>
      <c r="U542" s="33">
        <f t="shared" si="40"/>
        <v>2</v>
      </c>
      <c r="V542" s="33">
        <f t="shared" si="41"/>
        <v>1</v>
      </c>
      <c r="W542" s="33">
        <f t="shared" si="42"/>
        <v>0</v>
      </c>
      <c r="X542" s="33">
        <f t="shared" si="43"/>
        <v>0</v>
      </c>
      <c r="Y542" s="33">
        <f ca="1">SUMPRODUCT((I542:INDEX(I542:T542,MONTH(TODAY()))="X")*1)</f>
        <v>0</v>
      </c>
      <c r="Z542" s="39">
        <f t="shared" si="44"/>
        <v>0.5</v>
      </c>
    </row>
    <row r="543" spans="1:26" x14ac:dyDescent="0.25">
      <c r="A543" s="37" t="str">
        <f>Equipos!C541</f>
        <v>2-003578</v>
      </c>
      <c r="B543" s="33" t="str">
        <f>Equipos!D541</f>
        <v>Monitor Multiparámetros</v>
      </c>
      <c r="C543" s="33" t="str">
        <f>Equipos!E541</f>
        <v>Cirugía Adulto</v>
      </c>
      <c r="D543" s="33" t="str">
        <f>Equipos!G541</f>
        <v>EPB</v>
      </c>
      <c r="E543" s="33" t="str">
        <f>Equipos!I541</f>
        <v xml:space="preserve">Nihon Kohden </v>
      </c>
      <c r="F543" s="33" t="str">
        <f>Equipos!J541</f>
        <v>BSM-6301K</v>
      </c>
      <c r="G543" s="37" t="str">
        <f>Equipos!K541</f>
        <v>01047</v>
      </c>
      <c r="H543" s="33"/>
      <c r="I543" s="38"/>
      <c r="J543" s="38"/>
      <c r="K543" s="38"/>
      <c r="L543" s="38"/>
      <c r="M543" s="50" t="s">
        <v>275</v>
      </c>
      <c r="N543" s="38"/>
      <c r="O543" s="38"/>
      <c r="P543" s="38"/>
      <c r="Q543" s="38"/>
      <c r="R543" s="38"/>
      <c r="S543" s="38"/>
      <c r="T543" s="38"/>
      <c r="U543" s="33">
        <f t="shared" si="40"/>
        <v>1</v>
      </c>
      <c r="V543" s="33">
        <f t="shared" si="41"/>
        <v>1</v>
      </c>
      <c r="W543" s="33">
        <f t="shared" si="42"/>
        <v>0</v>
      </c>
      <c r="X543" s="33">
        <f t="shared" si="43"/>
        <v>0</v>
      </c>
      <c r="Y543" s="33">
        <f ca="1">SUMPRODUCT((I543:INDEX(I543:T543,MONTH(TODAY()))="X")*1)</f>
        <v>0</v>
      </c>
      <c r="Z543" s="39">
        <f t="shared" si="44"/>
        <v>1</v>
      </c>
    </row>
    <row r="544" spans="1:26" x14ac:dyDescent="0.25">
      <c r="A544" s="37" t="str">
        <f>Equipos!C542</f>
        <v>2-002733</v>
      </c>
      <c r="B544" s="33" t="str">
        <f>Equipos!D542</f>
        <v>Monitor Multiparámetros</v>
      </c>
      <c r="C544" s="33" t="str">
        <f>Equipos!E542</f>
        <v>Traumatología</v>
      </c>
      <c r="D544" s="33" t="str">
        <f>Equipos!G542</f>
        <v>Cirugía Trauma</v>
      </c>
      <c r="E544" s="33" t="str">
        <f>Equipos!I542</f>
        <v xml:space="preserve">Nihon Kohden </v>
      </c>
      <c r="F544" s="33" t="str">
        <f>Equipos!J542</f>
        <v>BSM-6301K</v>
      </c>
      <c r="G544" s="37" t="str">
        <f>Equipos!K542</f>
        <v>01059.</v>
      </c>
      <c r="H544" s="33"/>
      <c r="I544" s="38"/>
      <c r="J544" s="38"/>
      <c r="K544" s="50" t="s">
        <v>276</v>
      </c>
      <c r="L544" s="50" t="s">
        <v>275</v>
      </c>
      <c r="M544" s="38"/>
      <c r="N544" s="38"/>
      <c r="O544" s="38"/>
      <c r="P544" s="38"/>
      <c r="Q544" s="38"/>
      <c r="R544" s="38"/>
      <c r="S544" s="38"/>
      <c r="T544" s="38"/>
      <c r="U544" s="33">
        <f t="shared" si="40"/>
        <v>2</v>
      </c>
      <c r="V544" s="33">
        <f t="shared" si="41"/>
        <v>1</v>
      </c>
      <c r="W544" s="33">
        <f t="shared" si="42"/>
        <v>0</v>
      </c>
      <c r="X544" s="33">
        <f t="shared" si="43"/>
        <v>0</v>
      </c>
      <c r="Y544" s="33">
        <f ca="1">SUMPRODUCT((I544:INDEX(I544:T544,MONTH(TODAY()))="X")*1)</f>
        <v>0</v>
      </c>
      <c r="Z544" s="39">
        <f t="shared" si="44"/>
        <v>0.5</v>
      </c>
    </row>
    <row r="545" spans="1:26" x14ac:dyDescent="0.25">
      <c r="A545" s="37" t="str">
        <f>Equipos!C543</f>
        <v>2-119372</v>
      </c>
      <c r="B545" s="33" t="str">
        <f>Equipos!D543</f>
        <v>Monitor Multiparámetros</v>
      </c>
      <c r="C545" s="33" t="str">
        <f>Equipos!E543</f>
        <v>Pabellón (Recuperación)</v>
      </c>
      <c r="D545" s="33" t="str">
        <f>Equipos!G543</f>
        <v>Unidad N° 02</v>
      </c>
      <c r="E545" s="33" t="str">
        <f>Equipos!I543</f>
        <v>Drager</v>
      </c>
      <c r="F545" s="33" t="str">
        <f>Equipos!J543</f>
        <v>Vista 120</v>
      </c>
      <c r="G545" s="37" t="str">
        <f>Equipos!K543</f>
        <v>VGSML0069</v>
      </c>
      <c r="H545" s="33"/>
      <c r="I545" s="38"/>
      <c r="J545" s="50" t="s">
        <v>275</v>
      </c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3">
        <f t="shared" si="40"/>
        <v>1</v>
      </c>
      <c r="V545" s="33">
        <f t="shared" si="41"/>
        <v>1</v>
      </c>
      <c r="W545" s="33">
        <f t="shared" si="42"/>
        <v>0</v>
      </c>
      <c r="X545" s="33">
        <f t="shared" si="43"/>
        <v>0</v>
      </c>
      <c r="Y545" s="33">
        <f ca="1">SUMPRODUCT((I545:INDEX(I545:T545,MONTH(TODAY()))="X")*1)</f>
        <v>0</v>
      </c>
      <c r="Z545" s="39">
        <f t="shared" si="44"/>
        <v>1</v>
      </c>
    </row>
    <row r="546" spans="1:26" x14ac:dyDescent="0.25">
      <c r="A546" s="37" t="str">
        <f>Equipos!C544</f>
        <v>2-116514</v>
      </c>
      <c r="B546" s="33" t="str">
        <f>Equipos!D544</f>
        <v>Monitor Multiparámetros</v>
      </c>
      <c r="C546" s="33" t="str">
        <f>Equipos!E544</f>
        <v>UPC Pediátrica</v>
      </c>
      <c r="D546" s="33" t="str">
        <f>Equipos!G544</f>
        <v>Cama 12</v>
      </c>
      <c r="E546" s="33" t="str">
        <f>Equipos!I544</f>
        <v>SPACELABS HEALTHCARE</v>
      </c>
      <c r="F546" s="33" t="str">
        <f>Equipos!J544</f>
        <v>XPREZZON</v>
      </c>
      <c r="G546" s="37" t="str">
        <f>Equipos!K544</f>
        <v>1393-109325</v>
      </c>
      <c r="H546" s="33"/>
      <c r="I546" s="50" t="s">
        <v>276</v>
      </c>
      <c r="J546" s="50" t="s">
        <v>275</v>
      </c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3">
        <f t="shared" si="40"/>
        <v>2</v>
      </c>
      <c r="V546" s="33">
        <f t="shared" si="41"/>
        <v>1</v>
      </c>
      <c r="W546" s="33">
        <f t="shared" si="42"/>
        <v>0</v>
      </c>
      <c r="X546" s="33">
        <f t="shared" si="43"/>
        <v>0</v>
      </c>
      <c r="Y546" s="33">
        <f ca="1">SUMPRODUCT((I546:INDEX(I546:T546,MONTH(TODAY()))="X")*1)</f>
        <v>0</v>
      </c>
      <c r="Z546" s="39">
        <f t="shared" si="44"/>
        <v>0.5</v>
      </c>
    </row>
    <row r="547" spans="1:26" x14ac:dyDescent="0.25">
      <c r="A547" s="37" t="str">
        <f>Equipos!C545</f>
        <v>2-116515</v>
      </c>
      <c r="B547" s="33" t="str">
        <f>Equipos!D545</f>
        <v>Monitor Multiparámetros</v>
      </c>
      <c r="C547" s="33" t="str">
        <f>Equipos!E545</f>
        <v>UPC Pediátrica</v>
      </c>
      <c r="D547" s="33" t="str">
        <f>Equipos!G545</f>
        <v>Cama 13</v>
      </c>
      <c r="E547" s="33" t="str">
        <f>Equipos!I545</f>
        <v>SPACELABS HEALTHCARE</v>
      </c>
      <c r="F547" s="33" t="str">
        <f>Equipos!J545</f>
        <v>XPREZZON</v>
      </c>
      <c r="G547" s="37" t="str">
        <f>Equipos!K545</f>
        <v>1393-109314</v>
      </c>
      <c r="H547" s="33"/>
      <c r="I547" s="50" t="s">
        <v>276</v>
      </c>
      <c r="J547" s="50" t="s">
        <v>275</v>
      </c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3">
        <f t="shared" si="40"/>
        <v>2</v>
      </c>
      <c r="V547" s="33">
        <f t="shared" si="41"/>
        <v>1</v>
      </c>
      <c r="W547" s="33">
        <f t="shared" si="42"/>
        <v>0</v>
      </c>
      <c r="X547" s="33">
        <f t="shared" si="43"/>
        <v>0</v>
      </c>
      <c r="Y547" s="33">
        <f ca="1">SUMPRODUCT((I547:INDEX(I547:T547,MONTH(TODAY()))="X")*1)</f>
        <v>0</v>
      </c>
      <c r="Z547" s="39">
        <f t="shared" si="44"/>
        <v>0.5</v>
      </c>
    </row>
    <row r="548" spans="1:26" x14ac:dyDescent="0.25">
      <c r="A548" s="37" t="str">
        <f>Equipos!C546</f>
        <v>2-119373</v>
      </c>
      <c r="B548" s="33" t="str">
        <f>Equipos!D546</f>
        <v>Monitor Multiparámetros</v>
      </c>
      <c r="C548" s="33" t="str">
        <f>Equipos!E546</f>
        <v>Pabellón Quirúrgico (Prestado a Endoscopía)</v>
      </c>
      <c r="D548" s="33" t="str">
        <f>Equipos!G546</f>
        <v>1º Piso</v>
      </c>
      <c r="E548" s="33" t="str">
        <f>Equipos!I546</f>
        <v>Drager</v>
      </c>
      <c r="F548" s="33" t="str">
        <f>Equipos!J546</f>
        <v>Vista 120</v>
      </c>
      <c r="G548" s="37" t="str">
        <f>Equipos!K546</f>
        <v>VGSML0070</v>
      </c>
      <c r="H548" s="33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3">
        <f t="shared" si="40"/>
        <v>0</v>
      </c>
      <c r="V548" s="33">
        <f t="shared" si="41"/>
        <v>0</v>
      </c>
      <c r="W548" s="33">
        <f t="shared" si="42"/>
        <v>0</v>
      </c>
      <c r="X548" s="33">
        <f t="shared" si="43"/>
        <v>0</v>
      </c>
      <c r="Y548" s="33">
        <f ca="1">SUMPRODUCT((I548:INDEX(I548:T548,MONTH(TODAY()))="X")*1)</f>
        <v>0</v>
      </c>
      <c r="Z548" s="39" t="str">
        <f t="shared" si="44"/>
        <v/>
      </c>
    </row>
    <row r="549" spans="1:26" x14ac:dyDescent="0.25">
      <c r="A549" s="37" t="str">
        <f>Equipos!C547</f>
        <v>2-013525</v>
      </c>
      <c r="B549" s="33" t="str">
        <f>Equipos!D547</f>
        <v>Monitor Multiparámetros</v>
      </c>
      <c r="C549" s="33" t="str">
        <f>Equipos!E547</f>
        <v>UPC Cardiovascular</v>
      </c>
      <c r="D549" s="33" t="str">
        <f>Equipos!G547</f>
        <v>BODEGA</v>
      </c>
      <c r="E549" s="33" t="str">
        <f>Equipos!I547</f>
        <v xml:space="preserve">Drager </v>
      </c>
      <c r="F549" s="33" t="str">
        <f>Equipos!J547</f>
        <v xml:space="preserve">Infinity Vista XL </v>
      </c>
      <c r="G549" s="37" t="str">
        <f>Equipos!K547</f>
        <v>6000874576</v>
      </c>
      <c r="H549" s="33"/>
      <c r="I549" s="50" t="s">
        <v>276</v>
      </c>
      <c r="J549" s="50" t="s">
        <v>275</v>
      </c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3">
        <f t="shared" si="40"/>
        <v>2</v>
      </c>
      <c r="V549" s="33">
        <f t="shared" si="41"/>
        <v>1</v>
      </c>
      <c r="W549" s="33">
        <f t="shared" si="42"/>
        <v>0</v>
      </c>
      <c r="X549" s="33">
        <f t="shared" si="43"/>
        <v>0</v>
      </c>
      <c r="Y549" s="33">
        <f ca="1">SUMPRODUCT((I549:INDEX(I549:T549,MONTH(TODAY()))="X")*1)</f>
        <v>0</v>
      </c>
      <c r="Z549" s="39">
        <f t="shared" si="44"/>
        <v>0.5</v>
      </c>
    </row>
    <row r="550" spans="1:26" x14ac:dyDescent="0.25">
      <c r="A550" s="37" t="str">
        <f>Equipos!C548</f>
        <v>2-013523</v>
      </c>
      <c r="B550" s="33" t="str">
        <f>Equipos!D548</f>
        <v>Monitor Multiparámetros</v>
      </c>
      <c r="C550" s="33" t="str">
        <f>Equipos!E548</f>
        <v>UPC Cardiovascular</v>
      </c>
      <c r="D550" s="33" t="str">
        <f>Equipos!G548</f>
        <v>BODEGA</v>
      </c>
      <c r="E550" s="33" t="str">
        <f>Equipos!I548</f>
        <v xml:space="preserve">Drager </v>
      </c>
      <c r="F550" s="33" t="str">
        <f>Equipos!J548</f>
        <v xml:space="preserve">Infinity Vista XL </v>
      </c>
      <c r="G550" s="37" t="str">
        <f>Equipos!K548</f>
        <v>6000907871</v>
      </c>
      <c r="H550" s="33"/>
      <c r="I550" s="50" t="s">
        <v>278</v>
      </c>
      <c r="J550" s="38"/>
      <c r="K550" s="50" t="s">
        <v>275</v>
      </c>
      <c r="L550" s="38"/>
      <c r="M550" s="38"/>
      <c r="N550" s="38"/>
      <c r="O550" s="38"/>
      <c r="P550" s="38"/>
      <c r="Q550" s="38"/>
      <c r="R550" s="38"/>
      <c r="S550" s="38"/>
      <c r="T550" s="38"/>
      <c r="U550" s="33">
        <f t="shared" si="40"/>
        <v>2</v>
      </c>
      <c r="V550" s="33">
        <f t="shared" si="41"/>
        <v>1</v>
      </c>
      <c r="W550" s="33">
        <f t="shared" si="42"/>
        <v>0</v>
      </c>
      <c r="X550" s="33">
        <f t="shared" si="43"/>
        <v>1</v>
      </c>
      <c r="Y550" s="33">
        <f ca="1">SUMPRODUCT((I550:INDEX(I550:T550,MONTH(TODAY()))="X")*1)</f>
        <v>0</v>
      </c>
      <c r="Z550" s="39">
        <f t="shared" si="44"/>
        <v>0.5</v>
      </c>
    </row>
    <row r="551" spans="1:26" x14ac:dyDescent="0.25">
      <c r="A551" s="37" t="str">
        <f>Equipos!C549</f>
        <v>2-013524</v>
      </c>
      <c r="B551" s="33" t="str">
        <f>Equipos!D549</f>
        <v>Monitor Multiparámetros</v>
      </c>
      <c r="C551" s="33" t="str">
        <f>Equipos!E549</f>
        <v>UPC Cardiovascular (Prestado a UPC Adulto)</v>
      </c>
      <c r="D551" s="33" t="str">
        <f>Equipos!G549</f>
        <v>Armario de equipos UCI Cardio</v>
      </c>
      <c r="E551" s="33" t="str">
        <f>Equipos!I549</f>
        <v xml:space="preserve">Drager </v>
      </c>
      <c r="F551" s="33" t="str">
        <f>Equipos!J549</f>
        <v xml:space="preserve">Infinity Vista XL </v>
      </c>
      <c r="G551" s="37" t="str">
        <f>Equipos!K549</f>
        <v>6000875272</v>
      </c>
      <c r="H551" s="33"/>
      <c r="I551" s="38"/>
      <c r="J551" s="38"/>
      <c r="K551" s="38"/>
      <c r="L551" s="50" t="s">
        <v>278</v>
      </c>
      <c r="M551" s="38"/>
      <c r="N551" s="38"/>
      <c r="O551" s="38"/>
      <c r="P551" s="38"/>
      <c r="Q551" s="38"/>
      <c r="R551" s="38"/>
      <c r="S551" s="38"/>
      <c r="T551" s="38"/>
      <c r="U551" s="33">
        <f t="shared" si="40"/>
        <v>1</v>
      </c>
      <c r="V551" s="33">
        <f t="shared" si="41"/>
        <v>0</v>
      </c>
      <c r="W551" s="33">
        <f t="shared" si="42"/>
        <v>0</v>
      </c>
      <c r="X551" s="33">
        <f t="shared" si="43"/>
        <v>1</v>
      </c>
      <c r="Y551" s="33">
        <f ca="1">SUMPRODUCT((I551:INDEX(I551:T551,MONTH(TODAY()))="X")*1)</f>
        <v>0</v>
      </c>
      <c r="Z551" s="39">
        <f t="shared" si="44"/>
        <v>0</v>
      </c>
    </row>
    <row r="552" spans="1:26" x14ac:dyDescent="0.25">
      <c r="A552" s="37" t="str">
        <f>Equipos!C550</f>
        <v>2-013521</v>
      </c>
      <c r="B552" s="33" t="str">
        <f>Equipos!D550</f>
        <v>Monitor Multiparámetros</v>
      </c>
      <c r="C552" s="33" t="str">
        <f>Equipos!E550</f>
        <v>Medicina</v>
      </c>
      <c r="D552" s="33" t="str">
        <f>Equipos!G550</f>
        <v>522-3</v>
      </c>
      <c r="E552" s="33" t="str">
        <f>Equipos!I550</f>
        <v xml:space="preserve">Drager </v>
      </c>
      <c r="F552" s="33" t="str">
        <f>Equipos!J550</f>
        <v xml:space="preserve">Infinity Vista XL </v>
      </c>
      <c r="G552" s="37" t="str">
        <f>Equipos!K550</f>
        <v>6000873372</v>
      </c>
      <c r="H552" s="33"/>
      <c r="I552" s="38"/>
      <c r="J552" s="50" t="s">
        <v>275</v>
      </c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3">
        <f t="shared" si="40"/>
        <v>1</v>
      </c>
      <c r="V552" s="33">
        <f t="shared" si="41"/>
        <v>1</v>
      </c>
      <c r="W552" s="33">
        <f t="shared" si="42"/>
        <v>0</v>
      </c>
      <c r="X552" s="33">
        <f t="shared" si="43"/>
        <v>0</v>
      </c>
      <c r="Y552" s="33">
        <f ca="1">SUMPRODUCT((I552:INDEX(I552:T552,MONTH(TODAY()))="X")*1)</f>
        <v>0</v>
      </c>
      <c r="Z552" s="39">
        <f t="shared" si="44"/>
        <v>1</v>
      </c>
    </row>
    <row r="553" spans="1:26" x14ac:dyDescent="0.25">
      <c r="A553" s="37" t="str">
        <f>Equipos!C551</f>
        <v>2-112577</v>
      </c>
      <c r="B553" s="33" t="str">
        <f>Equipos!D551</f>
        <v>Monitor Multiparámetros</v>
      </c>
      <c r="C553" s="33" t="str">
        <f>Equipos!E551</f>
        <v>Cardiología</v>
      </c>
      <c r="D553" s="33" t="str">
        <f>Equipos!G551</f>
        <v>Box 12 - Ecografia</v>
      </c>
      <c r="E553" s="33" t="str">
        <f>Equipos!I551</f>
        <v>Nellcor</v>
      </c>
      <c r="F553" s="33" t="str">
        <f>Equipos!J551</f>
        <v>M5600-LA</v>
      </c>
      <c r="G553" s="37" t="str">
        <f>Equipos!K551</f>
        <v>23307030152</v>
      </c>
      <c r="H553" s="33"/>
      <c r="I553" s="38"/>
      <c r="J553" s="38"/>
      <c r="K553" s="50" t="s">
        <v>276</v>
      </c>
      <c r="L553" s="50" t="s">
        <v>275</v>
      </c>
      <c r="M553" s="38"/>
      <c r="N553" s="38"/>
      <c r="O553" s="38"/>
      <c r="P553" s="38"/>
      <c r="Q553" s="38"/>
      <c r="R553" s="38"/>
      <c r="S553" s="38"/>
      <c r="T553" s="38"/>
      <c r="U553" s="33">
        <f t="shared" si="40"/>
        <v>2</v>
      </c>
      <c r="V553" s="33">
        <f t="shared" si="41"/>
        <v>1</v>
      </c>
      <c r="W553" s="33">
        <f t="shared" si="42"/>
        <v>0</v>
      </c>
      <c r="X553" s="33">
        <f t="shared" si="43"/>
        <v>0</v>
      </c>
      <c r="Y553" s="33">
        <f ca="1">SUMPRODUCT((I553:INDEX(I553:T553,MONTH(TODAY()))="X")*1)</f>
        <v>0</v>
      </c>
      <c r="Z553" s="39">
        <f t="shared" si="44"/>
        <v>0.5</v>
      </c>
    </row>
    <row r="554" spans="1:26" x14ac:dyDescent="0.25">
      <c r="A554" s="37" t="str">
        <f>Equipos!C552</f>
        <v>2-111613</v>
      </c>
      <c r="B554" s="33" t="str">
        <f>Equipos!D552</f>
        <v>Monitor Multiparámetros</v>
      </c>
      <c r="C554" s="33" t="str">
        <f>Equipos!E552</f>
        <v>Urgencia Infantil (Prestado a Pediatría)</v>
      </c>
      <c r="D554" s="33">
        <f>Equipos!G552</f>
        <v>0</v>
      </c>
      <c r="E554" s="33" t="str">
        <f>Equipos!I552</f>
        <v xml:space="preserve">Drager </v>
      </c>
      <c r="F554" s="33" t="str">
        <f>Equipos!J552</f>
        <v xml:space="preserve">Infinity Vista XL </v>
      </c>
      <c r="G554" s="37" t="str">
        <f>Equipos!K552</f>
        <v>5395673564</v>
      </c>
      <c r="H554" s="33"/>
      <c r="I554" s="38"/>
      <c r="J554" s="50" t="s">
        <v>276</v>
      </c>
      <c r="K554" s="50" t="s">
        <v>275</v>
      </c>
      <c r="L554" s="38"/>
      <c r="M554" s="38"/>
      <c r="N554" s="38"/>
      <c r="O554" s="38"/>
      <c r="P554" s="38"/>
      <c r="Q554" s="38"/>
      <c r="R554" s="38"/>
      <c r="S554" s="38"/>
      <c r="T554" s="38"/>
      <c r="U554" s="33">
        <f t="shared" si="40"/>
        <v>2</v>
      </c>
      <c r="V554" s="33">
        <f t="shared" si="41"/>
        <v>1</v>
      </c>
      <c r="W554" s="33">
        <f t="shared" si="42"/>
        <v>0</v>
      </c>
      <c r="X554" s="33">
        <f t="shared" si="43"/>
        <v>0</v>
      </c>
      <c r="Y554" s="33">
        <f ca="1">SUMPRODUCT((I554:INDEX(I554:T554,MONTH(TODAY()))="X")*1)</f>
        <v>0</v>
      </c>
      <c r="Z554" s="39">
        <f t="shared" si="44"/>
        <v>0.5</v>
      </c>
    </row>
    <row r="555" spans="1:26" x14ac:dyDescent="0.25">
      <c r="A555" s="37" t="str">
        <f>Equipos!C553</f>
        <v>2-021178</v>
      </c>
      <c r="B555" s="33" t="str">
        <f>Equipos!D553</f>
        <v>Monitor Multiparámetros</v>
      </c>
      <c r="C555" s="33" t="str">
        <f>Equipos!E553</f>
        <v>Cirugía Infantil</v>
      </c>
      <c r="D555" s="33" t="str">
        <f>Equipos!G553</f>
        <v>Cirugia infantil 619-623</v>
      </c>
      <c r="E555" s="33" t="str">
        <f>Equipos!I553</f>
        <v xml:space="preserve">Nihon Kohden </v>
      </c>
      <c r="F555" s="33" t="str">
        <f>Equipos!J553</f>
        <v>BSM-6301K</v>
      </c>
      <c r="G555" s="37" t="str">
        <f>Equipos!K553</f>
        <v>01066</v>
      </c>
      <c r="H555" s="33"/>
      <c r="I555" s="50" t="s">
        <v>276</v>
      </c>
      <c r="J555" s="50" t="s">
        <v>275</v>
      </c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3">
        <f t="shared" si="40"/>
        <v>2</v>
      </c>
      <c r="V555" s="33">
        <f t="shared" si="41"/>
        <v>1</v>
      </c>
      <c r="W555" s="33">
        <f t="shared" si="42"/>
        <v>0</v>
      </c>
      <c r="X555" s="33">
        <f t="shared" si="43"/>
        <v>0</v>
      </c>
      <c r="Y555" s="33">
        <f ca="1">SUMPRODUCT((I555:INDEX(I555:T555,MONTH(TODAY()))="X")*1)</f>
        <v>0</v>
      </c>
      <c r="Z555" s="39">
        <f t="shared" si="44"/>
        <v>0.5</v>
      </c>
    </row>
    <row r="556" spans="1:26" x14ac:dyDescent="0.25">
      <c r="A556" s="37" t="str">
        <f>Equipos!C554</f>
        <v>2-119374</v>
      </c>
      <c r="B556" s="33" t="str">
        <f>Equipos!D554</f>
        <v>Monitor Multiparámetros</v>
      </c>
      <c r="C556" s="33" t="str">
        <f>Equipos!E554</f>
        <v>Pabellón (Recuperación)</v>
      </c>
      <c r="D556" s="33" t="str">
        <f>Equipos!G554</f>
        <v>Cama N° 13</v>
      </c>
      <c r="E556" s="33" t="str">
        <f>Equipos!I554</f>
        <v>Drager</v>
      </c>
      <c r="F556" s="33" t="str">
        <f>Equipos!J554</f>
        <v>Vista 120</v>
      </c>
      <c r="G556" s="37" t="str">
        <f>Equipos!K554</f>
        <v>VGSML0072</v>
      </c>
      <c r="H556" s="33"/>
      <c r="I556" s="38"/>
      <c r="J556" s="50" t="s">
        <v>275</v>
      </c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3">
        <f t="shared" si="40"/>
        <v>1</v>
      </c>
      <c r="V556" s="33">
        <f t="shared" si="41"/>
        <v>1</v>
      </c>
      <c r="W556" s="33">
        <f t="shared" si="42"/>
        <v>0</v>
      </c>
      <c r="X556" s="33">
        <f t="shared" si="43"/>
        <v>0</v>
      </c>
      <c r="Y556" s="33">
        <f ca="1">SUMPRODUCT((I556:INDEX(I556:T556,MONTH(TODAY()))="X")*1)</f>
        <v>0</v>
      </c>
      <c r="Z556" s="39">
        <f t="shared" si="44"/>
        <v>1</v>
      </c>
    </row>
    <row r="557" spans="1:26" x14ac:dyDescent="0.25">
      <c r="A557" s="37" t="str">
        <f>Equipos!C555</f>
        <v>2-024353</v>
      </c>
      <c r="B557" s="33" t="str">
        <f>Equipos!D555</f>
        <v>Monitor Multiparámetros</v>
      </c>
      <c r="C557" s="33" t="str">
        <f>Equipos!E555</f>
        <v>Pabellón Quirúrgico</v>
      </c>
      <c r="D557" s="33">
        <f>Equipos!G555</f>
        <v>0</v>
      </c>
      <c r="E557" s="33" t="str">
        <f>Equipos!I555</f>
        <v xml:space="preserve">Drager </v>
      </c>
      <c r="F557" s="33" t="str">
        <f>Equipos!J555</f>
        <v>Infinity Kappa</v>
      </c>
      <c r="G557" s="37" t="str">
        <f>Equipos!K555</f>
        <v>5494305160</v>
      </c>
      <c r="H557" s="33"/>
      <c r="I557" s="38"/>
      <c r="J557" s="38"/>
      <c r="K557" s="38"/>
      <c r="L557" s="50" t="s">
        <v>275</v>
      </c>
      <c r="M557" s="38"/>
      <c r="N557" s="38"/>
      <c r="O557" s="38"/>
      <c r="P557" s="38"/>
      <c r="Q557" s="38"/>
      <c r="R557" s="38"/>
      <c r="S557" s="38"/>
      <c r="T557" s="38"/>
      <c r="U557" s="33">
        <f t="shared" si="40"/>
        <v>1</v>
      </c>
      <c r="V557" s="33">
        <f t="shared" si="41"/>
        <v>1</v>
      </c>
      <c r="W557" s="33">
        <f t="shared" si="42"/>
        <v>0</v>
      </c>
      <c r="X557" s="33">
        <f t="shared" si="43"/>
        <v>0</v>
      </c>
      <c r="Y557" s="33">
        <f ca="1">SUMPRODUCT((I557:INDEX(I557:T557,MONTH(TODAY()))="X")*1)</f>
        <v>0</v>
      </c>
      <c r="Z557" s="39">
        <f t="shared" si="44"/>
        <v>1</v>
      </c>
    </row>
    <row r="558" spans="1:26" x14ac:dyDescent="0.25">
      <c r="A558" s="37" t="str">
        <f>Equipos!C556</f>
        <v>2-119632</v>
      </c>
      <c r="B558" s="33" t="str">
        <f>Equipos!D556</f>
        <v>Monitor Multiparámetros</v>
      </c>
      <c r="C558" s="33" t="str">
        <f>Equipos!E556</f>
        <v>UPC 3er Piso</v>
      </c>
      <c r="D558" s="33" t="str">
        <f>Equipos!G556</f>
        <v>Sala de equipos</v>
      </c>
      <c r="E558" s="33" t="str">
        <f>Equipos!I556</f>
        <v>General Electric</v>
      </c>
      <c r="F558" s="33" t="str">
        <f>Equipos!J556</f>
        <v>B105</v>
      </c>
      <c r="G558" s="37" t="str">
        <f>Equipos!K556</f>
        <v>SQE19510004SA</v>
      </c>
      <c r="H558" s="33"/>
      <c r="I558" s="38"/>
      <c r="J558" s="38"/>
      <c r="K558" s="38"/>
      <c r="L558" s="38"/>
      <c r="M558" s="50" t="s">
        <v>275</v>
      </c>
      <c r="N558" s="38"/>
      <c r="O558" s="38"/>
      <c r="P558" s="38"/>
      <c r="Q558" s="38"/>
      <c r="R558" s="38"/>
      <c r="S558" s="38"/>
      <c r="T558" s="38"/>
      <c r="U558" s="33">
        <f t="shared" si="40"/>
        <v>1</v>
      </c>
      <c r="V558" s="33">
        <f t="shared" si="41"/>
        <v>1</v>
      </c>
      <c r="W558" s="33">
        <f t="shared" si="42"/>
        <v>0</v>
      </c>
      <c r="X558" s="33">
        <f t="shared" si="43"/>
        <v>0</v>
      </c>
      <c r="Y558" s="33">
        <f ca="1">SUMPRODUCT((I558:INDEX(I558:T558,MONTH(TODAY()))="X")*1)</f>
        <v>0</v>
      </c>
      <c r="Z558" s="39">
        <f t="shared" si="44"/>
        <v>1</v>
      </c>
    </row>
    <row r="559" spans="1:26" x14ac:dyDescent="0.25">
      <c r="A559" s="37" t="str">
        <f>Equipos!C557</f>
        <v>2-119633</v>
      </c>
      <c r="B559" s="33" t="str">
        <f>Equipos!D557</f>
        <v>Monitor Multiparámetros</v>
      </c>
      <c r="C559" s="33" t="str">
        <f>Equipos!E557</f>
        <v>UPC 3er Piso</v>
      </c>
      <c r="D559" s="33" t="str">
        <f>Equipos!G557</f>
        <v>Sala de equipos</v>
      </c>
      <c r="E559" s="33" t="str">
        <f>Equipos!I557</f>
        <v>General Electric</v>
      </c>
      <c r="F559" s="33" t="str">
        <f>Equipos!J557</f>
        <v>B105</v>
      </c>
      <c r="G559" s="37" t="str">
        <f>Equipos!K557</f>
        <v>SQE19510005SA</v>
      </c>
      <c r="H559" s="33"/>
      <c r="I559" s="38"/>
      <c r="J559" s="38"/>
      <c r="K559" s="38"/>
      <c r="L559" s="38"/>
      <c r="M559" s="50" t="s">
        <v>275</v>
      </c>
      <c r="N559" s="38"/>
      <c r="O559" s="38"/>
      <c r="P559" s="38"/>
      <c r="Q559" s="38"/>
      <c r="R559" s="38"/>
      <c r="S559" s="38"/>
      <c r="T559" s="38"/>
      <c r="U559" s="33">
        <f t="shared" si="40"/>
        <v>1</v>
      </c>
      <c r="V559" s="33">
        <f t="shared" si="41"/>
        <v>1</v>
      </c>
      <c r="W559" s="33">
        <f t="shared" si="42"/>
        <v>0</v>
      </c>
      <c r="X559" s="33">
        <f t="shared" si="43"/>
        <v>0</v>
      </c>
      <c r="Y559" s="33">
        <f ca="1">SUMPRODUCT((I559:INDEX(I559:T559,MONTH(TODAY()))="X")*1)</f>
        <v>0</v>
      </c>
      <c r="Z559" s="39">
        <f t="shared" si="44"/>
        <v>1</v>
      </c>
    </row>
    <row r="560" spans="1:26" x14ac:dyDescent="0.25">
      <c r="A560" s="37" t="str">
        <f>Equipos!C558</f>
        <v>2-135921</v>
      </c>
      <c r="B560" s="33" t="str">
        <f>Equipos!D558</f>
        <v>Monitor Multiparámetros</v>
      </c>
      <c r="C560" s="33" t="str">
        <f>Equipos!E558</f>
        <v>TROI</v>
      </c>
      <c r="D560" s="33">
        <f>Equipos!G558</f>
        <v>0</v>
      </c>
      <c r="E560" s="33" t="str">
        <f>Equipos!I558</f>
        <v>Drager</v>
      </c>
      <c r="F560" s="33" t="str">
        <f>Equipos!J558</f>
        <v>Vista 300</v>
      </c>
      <c r="G560" s="37" t="str">
        <f>Equipos!K558</f>
        <v>VSSUM0052</v>
      </c>
      <c r="H560" s="33"/>
      <c r="I560" s="38"/>
      <c r="J560" s="38"/>
      <c r="K560" s="38"/>
      <c r="L560" s="50" t="s">
        <v>275</v>
      </c>
      <c r="M560" s="38"/>
      <c r="N560" s="38"/>
      <c r="O560" s="38"/>
      <c r="P560" s="38"/>
      <c r="Q560" s="38"/>
      <c r="R560" s="38"/>
      <c r="S560" s="38"/>
      <c r="T560" s="38"/>
      <c r="U560" s="33">
        <f t="shared" si="40"/>
        <v>1</v>
      </c>
      <c r="V560" s="33">
        <f t="shared" si="41"/>
        <v>1</v>
      </c>
      <c r="W560" s="33">
        <f t="shared" si="42"/>
        <v>0</v>
      </c>
      <c r="X560" s="33">
        <f t="shared" si="43"/>
        <v>0</v>
      </c>
      <c r="Y560" s="33">
        <f ca="1">SUMPRODUCT((I560:INDEX(I560:T560,MONTH(TODAY()))="X")*1)</f>
        <v>0</v>
      </c>
      <c r="Z560" s="39">
        <f t="shared" si="44"/>
        <v>1</v>
      </c>
    </row>
    <row r="561" spans="1:26" x14ac:dyDescent="0.25">
      <c r="A561" s="37" t="str">
        <f>Equipos!C559</f>
        <v>2-135399</v>
      </c>
      <c r="B561" s="33" t="str">
        <f>Equipos!D559</f>
        <v>Monitor Multiparámetros</v>
      </c>
      <c r="C561" s="33" t="str">
        <f>Equipos!E559</f>
        <v>TROI</v>
      </c>
      <c r="D561" s="33">
        <f>Equipos!G559</f>
        <v>0</v>
      </c>
      <c r="E561" s="33" t="str">
        <f>Equipos!I559</f>
        <v>Drager</v>
      </c>
      <c r="F561" s="33" t="str">
        <f>Equipos!J559</f>
        <v>Vista 300</v>
      </c>
      <c r="G561" s="37" t="str">
        <f>Equipos!K559</f>
        <v>VSSTE0190</v>
      </c>
      <c r="H561" s="33"/>
      <c r="I561" s="38"/>
      <c r="J561" s="38"/>
      <c r="K561" s="38"/>
      <c r="L561" s="50" t="s">
        <v>275</v>
      </c>
      <c r="M561" s="38"/>
      <c r="N561" s="38"/>
      <c r="O561" s="38"/>
      <c r="P561" s="38"/>
      <c r="Q561" s="38"/>
      <c r="R561" s="38"/>
      <c r="S561" s="38"/>
      <c r="T561" s="38"/>
      <c r="U561" s="33">
        <f t="shared" si="40"/>
        <v>1</v>
      </c>
      <c r="V561" s="33">
        <f t="shared" si="41"/>
        <v>1</v>
      </c>
      <c r="W561" s="33">
        <f t="shared" si="42"/>
        <v>0</v>
      </c>
      <c r="X561" s="33">
        <f t="shared" si="43"/>
        <v>0</v>
      </c>
      <c r="Y561" s="33">
        <f ca="1">SUMPRODUCT((I561:INDEX(I561:T561,MONTH(TODAY()))="X")*1)</f>
        <v>0</v>
      </c>
      <c r="Z561" s="39">
        <f t="shared" si="44"/>
        <v>1</v>
      </c>
    </row>
    <row r="562" spans="1:26" x14ac:dyDescent="0.25">
      <c r="A562" s="37">
        <f>Equipos!C560</f>
        <v>0</v>
      </c>
      <c r="B562" s="33" t="str">
        <f>Equipos!D560</f>
        <v>Monitor Multiparámetros</v>
      </c>
      <c r="C562" s="33">
        <f>Equipos!E560</f>
        <v>0</v>
      </c>
      <c r="D562" s="33">
        <f>Equipos!G560</f>
        <v>0</v>
      </c>
      <c r="E562" s="33">
        <f>Equipos!I560</f>
        <v>0</v>
      </c>
      <c r="F562" s="33">
        <f>Equipos!J560</f>
        <v>0</v>
      </c>
      <c r="G562" s="37">
        <f>Equipos!K560</f>
        <v>0</v>
      </c>
      <c r="H562" s="33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3">
        <f t="shared" si="40"/>
        <v>0</v>
      </c>
      <c r="V562" s="33">
        <f t="shared" si="41"/>
        <v>0</v>
      </c>
      <c r="W562" s="33">
        <f t="shared" si="42"/>
        <v>0</v>
      </c>
      <c r="X562" s="33">
        <f t="shared" si="43"/>
        <v>0</v>
      </c>
      <c r="Y562" s="33">
        <f ca="1">SUMPRODUCT((I562:INDEX(I562:T562,MONTH(TODAY()))="X")*1)</f>
        <v>0</v>
      </c>
      <c r="Z562" s="39" t="str">
        <f t="shared" si="44"/>
        <v/>
      </c>
    </row>
    <row r="563" spans="1:26" x14ac:dyDescent="0.25">
      <c r="A563" s="37" t="str">
        <f>Equipos!C561</f>
        <v>2-112536</v>
      </c>
      <c r="B563" s="33" t="str">
        <f>Equipos!D561</f>
        <v>Monitor Multiparámetros</v>
      </c>
      <c r="C563" s="33" t="str">
        <f>Equipos!E561</f>
        <v>UPC Adulto</v>
      </c>
      <c r="D563" s="33">
        <f>Equipos!G561</f>
        <v>0</v>
      </c>
      <c r="E563" s="33" t="str">
        <f>Equipos!I561</f>
        <v xml:space="preserve">Drager </v>
      </c>
      <c r="F563" s="33" t="str">
        <f>Equipos!J561</f>
        <v>Infinity Delta</v>
      </c>
      <c r="G563" s="37" t="str">
        <f>Equipos!K561</f>
        <v>5395138358</v>
      </c>
      <c r="H563" s="33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3">
        <f t="shared" si="40"/>
        <v>0</v>
      </c>
      <c r="V563" s="33">
        <f t="shared" si="41"/>
        <v>0</v>
      </c>
      <c r="W563" s="33">
        <f t="shared" si="42"/>
        <v>0</v>
      </c>
      <c r="X563" s="33">
        <f t="shared" si="43"/>
        <v>0</v>
      </c>
      <c r="Y563" s="33">
        <f ca="1">SUMPRODUCT((I563:INDEX(I563:T563,MONTH(TODAY()))="X")*1)</f>
        <v>0</v>
      </c>
      <c r="Z563" s="39" t="str">
        <f t="shared" si="44"/>
        <v/>
      </c>
    </row>
    <row r="564" spans="1:26" x14ac:dyDescent="0.25">
      <c r="A564" s="37" t="str">
        <f>Equipos!C562</f>
        <v>2-027413</v>
      </c>
      <c r="B564" s="33" t="str">
        <f>Equipos!D562</f>
        <v>Monitor Multiparámetros</v>
      </c>
      <c r="C564" s="33" t="str">
        <f>Equipos!E562</f>
        <v>Psiquiatría</v>
      </c>
      <c r="D564" s="33" t="str">
        <f>Equipos!G562</f>
        <v>TN-P2</v>
      </c>
      <c r="E564" s="33" t="str">
        <f>Equipos!I562</f>
        <v>Philips</v>
      </c>
      <c r="F564" s="33" t="str">
        <f>Equipos!J562</f>
        <v>VM6</v>
      </c>
      <c r="G564" s="37" t="str">
        <f>Equipos!K562</f>
        <v>US74915951</v>
      </c>
      <c r="H564" s="33"/>
      <c r="I564" s="38"/>
      <c r="J564" s="38"/>
      <c r="K564" s="50" t="s">
        <v>279</v>
      </c>
      <c r="L564" s="38"/>
      <c r="M564" s="38"/>
      <c r="N564" s="38"/>
      <c r="O564" s="38"/>
      <c r="P564" s="38"/>
      <c r="Q564" s="38"/>
      <c r="R564" s="38"/>
      <c r="S564" s="38"/>
      <c r="T564" s="38"/>
      <c r="U564" s="33">
        <f t="shared" si="40"/>
        <v>0</v>
      </c>
      <c r="V564" s="33">
        <f t="shared" si="41"/>
        <v>0</v>
      </c>
      <c r="W564" s="33">
        <f t="shared" si="42"/>
        <v>0</v>
      </c>
      <c r="X564" s="33">
        <f t="shared" si="43"/>
        <v>0</v>
      </c>
      <c r="Y564" s="33">
        <f ca="1">SUMPRODUCT((I564:INDEX(I564:T564,MONTH(TODAY()))="X")*1)</f>
        <v>0</v>
      </c>
      <c r="Z564" s="39" t="str">
        <f t="shared" si="44"/>
        <v/>
      </c>
    </row>
    <row r="565" spans="1:26" x14ac:dyDescent="0.25">
      <c r="A565" s="37" t="str">
        <f>Equipos!C563</f>
        <v>2-119629</v>
      </c>
      <c r="B565" s="33" t="str">
        <f>Equipos!D563</f>
        <v>Monitor Multiparámetros</v>
      </c>
      <c r="C565" s="33" t="str">
        <f>Equipos!E563</f>
        <v>UPC 3er Piso</v>
      </c>
      <c r="D565" s="33" t="str">
        <f>Equipos!G563</f>
        <v>Bodega</v>
      </c>
      <c r="E565" s="33" t="str">
        <f>Equipos!I563</f>
        <v>General Electric</v>
      </c>
      <c r="F565" s="33" t="str">
        <f>Equipos!J563</f>
        <v>B105</v>
      </c>
      <c r="G565" s="37" t="str">
        <f>Equipos!K563</f>
        <v>SQE19510008SA</v>
      </c>
      <c r="H565" s="33"/>
      <c r="I565" s="38"/>
      <c r="J565" s="38"/>
      <c r="K565" s="38"/>
      <c r="L565" s="38"/>
      <c r="M565" s="50" t="s">
        <v>275</v>
      </c>
      <c r="N565" s="38"/>
      <c r="O565" s="38"/>
      <c r="P565" s="38"/>
      <c r="Q565" s="38"/>
      <c r="R565" s="38"/>
      <c r="S565" s="38"/>
      <c r="T565" s="38"/>
      <c r="U565" s="33">
        <f t="shared" si="40"/>
        <v>1</v>
      </c>
      <c r="V565" s="33">
        <f t="shared" si="41"/>
        <v>1</v>
      </c>
      <c r="W565" s="33">
        <f t="shared" si="42"/>
        <v>0</v>
      </c>
      <c r="X565" s="33">
        <f t="shared" si="43"/>
        <v>0</v>
      </c>
      <c r="Y565" s="33">
        <f ca="1">SUMPRODUCT((I565:INDEX(I565:T565,MONTH(TODAY()))="X")*1)</f>
        <v>0</v>
      </c>
      <c r="Z565" s="39">
        <f t="shared" si="44"/>
        <v>1</v>
      </c>
    </row>
    <row r="566" spans="1:26" x14ac:dyDescent="0.25">
      <c r="A566" s="37">
        <f>Equipos!C564</f>
        <v>0</v>
      </c>
      <c r="B566" s="33" t="str">
        <f>Equipos!D564</f>
        <v>Monitor Multiparámetros</v>
      </c>
      <c r="C566" s="33">
        <f>Equipos!E564</f>
        <v>0</v>
      </c>
      <c r="D566" s="33">
        <f>Equipos!G564</f>
        <v>0</v>
      </c>
      <c r="E566" s="33">
        <f>Equipos!I564</f>
        <v>0</v>
      </c>
      <c r="F566" s="33">
        <f>Equipos!J564</f>
        <v>0</v>
      </c>
      <c r="G566" s="37">
        <f>Equipos!K564</f>
        <v>0</v>
      </c>
      <c r="H566" s="33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3">
        <f t="shared" si="40"/>
        <v>0</v>
      </c>
      <c r="V566" s="33">
        <f t="shared" si="41"/>
        <v>0</v>
      </c>
      <c r="W566" s="33">
        <f t="shared" si="42"/>
        <v>0</v>
      </c>
      <c r="X566" s="33">
        <f t="shared" si="43"/>
        <v>0</v>
      </c>
      <c r="Y566" s="33">
        <f ca="1">SUMPRODUCT((I566:INDEX(I566:T566,MONTH(TODAY()))="X")*1)</f>
        <v>0</v>
      </c>
      <c r="Z566" s="39" t="str">
        <f t="shared" si="44"/>
        <v/>
      </c>
    </row>
    <row r="567" spans="1:26" x14ac:dyDescent="0.25">
      <c r="A567" s="37" t="str">
        <f>Equipos!C565</f>
        <v>2-113428</v>
      </c>
      <c r="B567" s="33" t="str">
        <f>Equipos!D565</f>
        <v>Monitor Multiparámetros</v>
      </c>
      <c r="C567" s="33" t="str">
        <f>Equipos!E565</f>
        <v>Medicina</v>
      </c>
      <c r="D567" s="33" t="str">
        <f>Equipos!G565</f>
        <v>518-3</v>
      </c>
      <c r="E567" s="33" t="str">
        <f>Equipos!I565</f>
        <v xml:space="preserve">Nihon Kohden </v>
      </c>
      <c r="F567" s="33" t="str">
        <f>Equipos!J565</f>
        <v>BSM-2351K</v>
      </c>
      <c r="G567" s="37" t="str">
        <f>Equipos!K565</f>
        <v>03644.</v>
      </c>
      <c r="H567" s="33"/>
      <c r="I567" s="38"/>
      <c r="J567" s="50" t="s">
        <v>275</v>
      </c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3">
        <f t="shared" si="40"/>
        <v>1</v>
      </c>
      <c r="V567" s="33">
        <f t="shared" si="41"/>
        <v>1</v>
      </c>
      <c r="W567" s="33">
        <f t="shared" si="42"/>
        <v>0</v>
      </c>
      <c r="X567" s="33">
        <f t="shared" si="43"/>
        <v>0</v>
      </c>
      <c r="Y567" s="33">
        <f ca="1">SUMPRODUCT((I567:INDEX(I567:T567,MONTH(TODAY()))="X")*1)</f>
        <v>0</v>
      </c>
      <c r="Z567" s="39">
        <f t="shared" si="44"/>
        <v>1</v>
      </c>
    </row>
    <row r="568" spans="1:26" x14ac:dyDescent="0.25">
      <c r="A568" s="37" t="str">
        <f>Equipos!C566</f>
        <v>2-016153</v>
      </c>
      <c r="B568" s="33" t="str">
        <f>Equipos!D566</f>
        <v>Monitor Multiparámetros</v>
      </c>
      <c r="C568" s="33" t="str">
        <f>Equipos!E566</f>
        <v>Pabellón CMA</v>
      </c>
      <c r="D568" s="33">
        <f>Equipos!G566</f>
        <v>0</v>
      </c>
      <c r="E568" s="33" t="str">
        <f>Equipos!I566</f>
        <v xml:space="preserve">Nihon Kohden </v>
      </c>
      <c r="F568" s="33" t="str">
        <f>Equipos!J566</f>
        <v>PVM-2701K</v>
      </c>
      <c r="G568" s="37" t="str">
        <f>Equipos!K566</f>
        <v>100646</v>
      </c>
      <c r="H568" s="33"/>
      <c r="I568" s="38"/>
      <c r="J568" s="38"/>
      <c r="K568" s="38"/>
      <c r="L568" s="38"/>
      <c r="M568" s="50" t="s">
        <v>275</v>
      </c>
      <c r="N568" s="38"/>
      <c r="O568" s="38"/>
      <c r="P568" s="38"/>
      <c r="Q568" s="38"/>
      <c r="R568" s="38"/>
      <c r="S568" s="38"/>
      <c r="T568" s="38"/>
      <c r="U568" s="33">
        <f t="shared" si="40"/>
        <v>1</v>
      </c>
      <c r="V568" s="33">
        <f t="shared" si="41"/>
        <v>1</v>
      </c>
      <c r="W568" s="33">
        <f t="shared" si="42"/>
        <v>0</v>
      </c>
      <c r="X568" s="33">
        <f t="shared" si="43"/>
        <v>0</v>
      </c>
      <c r="Y568" s="33">
        <f ca="1">SUMPRODUCT((I568:INDEX(I568:T568,MONTH(TODAY()))="X")*1)</f>
        <v>0</v>
      </c>
      <c r="Z568" s="39">
        <f t="shared" si="44"/>
        <v>1</v>
      </c>
    </row>
    <row r="569" spans="1:26" x14ac:dyDescent="0.25">
      <c r="A569" s="37" t="str">
        <f>Equipos!C567</f>
        <v>2-023029</v>
      </c>
      <c r="B569" s="33" t="str">
        <f>Equipos!D567</f>
        <v>Monitor Multiparámetros</v>
      </c>
      <c r="C569" s="33" t="str">
        <f>Equipos!E567</f>
        <v>Pabellón CMA</v>
      </c>
      <c r="D569" s="33">
        <f>Equipos!G567</f>
        <v>0</v>
      </c>
      <c r="E569" s="33" t="str">
        <f>Equipos!I567</f>
        <v xml:space="preserve">Nihon Kohden </v>
      </c>
      <c r="F569" s="33" t="str">
        <f>Equipos!J567</f>
        <v>PVM-2701K</v>
      </c>
      <c r="G569" s="37" t="str">
        <f>Equipos!K567</f>
        <v>100642</v>
      </c>
      <c r="H569" s="33"/>
      <c r="I569" s="38"/>
      <c r="J569" s="38"/>
      <c r="K569" s="38"/>
      <c r="L569" s="38"/>
      <c r="M569" s="50" t="s">
        <v>275</v>
      </c>
      <c r="N569" s="38"/>
      <c r="O569" s="38"/>
      <c r="P569" s="38"/>
      <c r="Q569" s="38"/>
      <c r="R569" s="38"/>
      <c r="S569" s="38"/>
      <c r="T569" s="38"/>
      <c r="U569" s="33">
        <f t="shared" si="40"/>
        <v>1</v>
      </c>
      <c r="V569" s="33">
        <f t="shared" si="41"/>
        <v>1</v>
      </c>
      <c r="W569" s="33">
        <f t="shared" si="42"/>
        <v>0</v>
      </c>
      <c r="X569" s="33">
        <f t="shared" si="43"/>
        <v>0</v>
      </c>
      <c r="Y569" s="33">
        <f ca="1">SUMPRODUCT((I569:INDEX(I569:T569,MONTH(TODAY()))="X")*1)</f>
        <v>0</v>
      </c>
      <c r="Z569" s="39">
        <f t="shared" si="44"/>
        <v>1</v>
      </c>
    </row>
    <row r="570" spans="1:26" x14ac:dyDescent="0.25">
      <c r="A570" s="37" t="str">
        <f>Equipos!C568</f>
        <v>2-119650</v>
      </c>
      <c r="B570" s="33" t="str">
        <f>Equipos!D568</f>
        <v>Monitor Multiparámetros</v>
      </c>
      <c r="C570" s="33" t="str">
        <f>Equipos!E568</f>
        <v>UPC 3er Piso</v>
      </c>
      <c r="D570" s="33" t="str">
        <f>Equipos!G568</f>
        <v>Sala de equipos</v>
      </c>
      <c r="E570" s="33" t="str">
        <f>Equipos!I568</f>
        <v>General Electric</v>
      </c>
      <c r="F570" s="33" t="str">
        <f>Equipos!J568</f>
        <v>B105</v>
      </c>
      <c r="G570" s="37" t="str">
        <f>Equipos!K568</f>
        <v>SQE19510009SA</v>
      </c>
      <c r="H570" s="33"/>
      <c r="I570" s="38"/>
      <c r="J570" s="38"/>
      <c r="K570" s="38"/>
      <c r="L570" s="38"/>
      <c r="M570" s="50" t="s">
        <v>275</v>
      </c>
      <c r="N570" s="38"/>
      <c r="O570" s="38"/>
      <c r="P570" s="38"/>
      <c r="Q570" s="38"/>
      <c r="R570" s="38"/>
      <c r="S570" s="38"/>
      <c r="T570" s="38"/>
      <c r="U570" s="33">
        <f t="shared" si="40"/>
        <v>1</v>
      </c>
      <c r="V570" s="33">
        <f t="shared" si="41"/>
        <v>1</v>
      </c>
      <c r="W570" s="33">
        <f t="shared" si="42"/>
        <v>0</v>
      </c>
      <c r="X570" s="33">
        <f t="shared" si="43"/>
        <v>0</v>
      </c>
      <c r="Y570" s="33">
        <f ca="1">SUMPRODUCT((I570:INDEX(I570:T570,MONTH(TODAY()))="X")*1)</f>
        <v>0</v>
      </c>
      <c r="Z570" s="39">
        <f t="shared" si="44"/>
        <v>1</v>
      </c>
    </row>
    <row r="571" spans="1:26" x14ac:dyDescent="0.25">
      <c r="A571" s="37" t="str">
        <f>Equipos!C569</f>
        <v>2-023026</v>
      </c>
      <c r="B571" s="33" t="str">
        <f>Equipos!D569</f>
        <v>Monitor Multiparámetros</v>
      </c>
      <c r="C571" s="33" t="str">
        <f>Equipos!E569</f>
        <v>Pabellón CMA (prestado a UPC Adulto)</v>
      </c>
      <c r="D571" s="33">
        <f>Equipos!G569</f>
        <v>0</v>
      </c>
      <c r="E571" s="33" t="str">
        <f>Equipos!I569</f>
        <v xml:space="preserve">Nihon Kohden </v>
      </c>
      <c r="F571" s="33" t="str">
        <f>Equipos!J569</f>
        <v>PVM-2701K</v>
      </c>
      <c r="G571" s="37" t="str">
        <f>Equipos!K569</f>
        <v>100656</v>
      </c>
      <c r="H571" s="33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3">
        <f t="shared" si="40"/>
        <v>0</v>
      </c>
      <c r="V571" s="33">
        <f t="shared" si="41"/>
        <v>0</v>
      </c>
      <c r="W571" s="33">
        <f t="shared" si="42"/>
        <v>0</v>
      </c>
      <c r="X571" s="33">
        <f t="shared" si="43"/>
        <v>0</v>
      </c>
      <c r="Y571" s="33">
        <f ca="1">SUMPRODUCT((I571:INDEX(I571:T571,MONTH(TODAY()))="X")*1)</f>
        <v>0</v>
      </c>
      <c r="Z571" s="39" t="str">
        <f t="shared" si="44"/>
        <v/>
      </c>
    </row>
    <row r="572" spans="1:26" x14ac:dyDescent="0.25">
      <c r="A572" s="37" t="str">
        <f>Equipos!C570</f>
        <v>2-118855</v>
      </c>
      <c r="B572" s="33" t="str">
        <f>Equipos!D570</f>
        <v>Monitor Multiparámetros</v>
      </c>
      <c r="C572" s="33" t="str">
        <f>Equipos!E570</f>
        <v>Pabellón Quirúrgico</v>
      </c>
      <c r="D572" s="33" t="str">
        <f>Equipos!G570</f>
        <v>Pabellón 10</v>
      </c>
      <c r="E572" s="33" t="str">
        <f>Equipos!I570</f>
        <v>Drager</v>
      </c>
      <c r="F572" s="33" t="str">
        <f>Equipos!J570</f>
        <v>M540</v>
      </c>
      <c r="G572" s="37" t="str">
        <f>Equipos!K570</f>
        <v>5613540865</v>
      </c>
      <c r="H572" s="33"/>
      <c r="I572" s="38"/>
      <c r="J572" s="38"/>
      <c r="K572" s="38"/>
      <c r="L572" s="50" t="s">
        <v>275</v>
      </c>
      <c r="M572" s="38"/>
      <c r="N572" s="38"/>
      <c r="O572" s="38"/>
      <c r="P572" s="38"/>
      <c r="Q572" s="38"/>
      <c r="R572" s="38"/>
      <c r="S572" s="38"/>
      <c r="T572" s="38"/>
      <c r="U572" s="33">
        <f t="shared" si="40"/>
        <v>1</v>
      </c>
      <c r="V572" s="33">
        <f t="shared" si="41"/>
        <v>1</v>
      </c>
      <c r="W572" s="33">
        <f t="shared" si="42"/>
        <v>0</v>
      </c>
      <c r="X572" s="33">
        <f t="shared" si="43"/>
        <v>0</v>
      </c>
      <c r="Y572" s="33">
        <f ca="1">SUMPRODUCT((I572:INDEX(I572:T572,MONTH(TODAY()))="X")*1)</f>
        <v>0</v>
      </c>
      <c r="Z572" s="39">
        <f t="shared" si="44"/>
        <v>1</v>
      </c>
    </row>
    <row r="573" spans="1:26" x14ac:dyDescent="0.25">
      <c r="A573" s="37" t="str">
        <f>Equipos!C571</f>
        <v>2-027447</v>
      </c>
      <c r="B573" s="33" t="str">
        <f>Equipos!D571</f>
        <v>Monitor Multiparámetros</v>
      </c>
      <c r="C573" s="33" t="str">
        <f>Equipos!E571</f>
        <v>Hospitalización Domiciliaria</v>
      </c>
      <c r="D573" s="33" t="str">
        <f>Equipos!G571</f>
        <v>Domicilio</v>
      </c>
      <c r="E573" s="33" t="str">
        <f>Equipos!I571</f>
        <v>Philips</v>
      </c>
      <c r="F573" s="33" t="str">
        <f>Equipos!J571</f>
        <v>VM6</v>
      </c>
      <c r="G573" s="37" t="str">
        <f>Equipos!K571</f>
        <v>US74915955</v>
      </c>
      <c r="H573" s="33"/>
      <c r="I573" s="38"/>
      <c r="J573" s="38"/>
      <c r="K573" s="38"/>
      <c r="L573" s="50" t="s">
        <v>275</v>
      </c>
      <c r="M573" s="38"/>
      <c r="N573" s="38"/>
      <c r="O573" s="38"/>
      <c r="P573" s="38"/>
      <c r="Q573" s="38"/>
      <c r="R573" s="38"/>
      <c r="S573" s="38"/>
      <c r="T573" s="38"/>
      <c r="U573" s="33">
        <f t="shared" si="40"/>
        <v>1</v>
      </c>
      <c r="V573" s="33">
        <f t="shared" si="41"/>
        <v>1</v>
      </c>
      <c r="W573" s="33">
        <f t="shared" si="42"/>
        <v>0</v>
      </c>
      <c r="X573" s="33">
        <f t="shared" si="43"/>
        <v>0</v>
      </c>
      <c r="Y573" s="33">
        <f ca="1">SUMPRODUCT((I573:INDEX(I573:T573,MONTH(TODAY()))="X")*1)</f>
        <v>0</v>
      </c>
      <c r="Z573" s="39">
        <f t="shared" si="44"/>
        <v>1</v>
      </c>
    </row>
    <row r="574" spans="1:26" x14ac:dyDescent="0.25">
      <c r="A574" s="37" t="str">
        <f>Equipos!C572</f>
        <v>2-003463</v>
      </c>
      <c r="B574" s="33" t="str">
        <f>Equipos!D572</f>
        <v>Monitor Multiparámetros</v>
      </c>
      <c r="C574" s="33" t="str">
        <f>Equipos!E572</f>
        <v>UPC Cardiovascular</v>
      </c>
      <c r="D574" s="33" t="str">
        <f>Equipos!G572</f>
        <v>UCI-CAMA 5</v>
      </c>
      <c r="E574" s="33" t="str">
        <f>Equipos!I572</f>
        <v>Drager</v>
      </c>
      <c r="F574" s="33" t="str">
        <f>Equipos!J572</f>
        <v>Infinity Kappa</v>
      </c>
      <c r="G574" s="37" t="str">
        <f>Equipos!K572</f>
        <v>5494308059</v>
      </c>
      <c r="H574" s="33"/>
      <c r="I574" s="50" t="s">
        <v>276</v>
      </c>
      <c r="J574" s="50" t="s">
        <v>275</v>
      </c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3">
        <f t="shared" si="40"/>
        <v>2</v>
      </c>
      <c r="V574" s="33">
        <f t="shared" si="41"/>
        <v>1</v>
      </c>
      <c r="W574" s="33">
        <f t="shared" si="42"/>
        <v>0</v>
      </c>
      <c r="X574" s="33">
        <f t="shared" si="43"/>
        <v>0</v>
      </c>
      <c r="Y574" s="33">
        <f ca="1">SUMPRODUCT((I574:INDEX(I574:T574,MONTH(TODAY()))="X")*1)</f>
        <v>0</v>
      </c>
      <c r="Z574" s="39">
        <f t="shared" si="44"/>
        <v>0.5</v>
      </c>
    </row>
    <row r="575" spans="1:26" x14ac:dyDescent="0.25">
      <c r="A575" s="37" t="str">
        <f>Equipos!C573</f>
        <v>2-113429</v>
      </c>
      <c r="B575" s="33" t="str">
        <f>Equipos!D573</f>
        <v>Monitor Multiparámetros</v>
      </c>
      <c r="C575" s="33" t="str">
        <f>Equipos!E573</f>
        <v>Hemodiálisis</v>
      </c>
      <c r="D575" s="33" t="str">
        <f>Equipos!G573</f>
        <v>EPB-P1</v>
      </c>
      <c r="E575" s="33" t="str">
        <f>Equipos!I573</f>
        <v xml:space="preserve">Nihon Kohden </v>
      </c>
      <c r="F575" s="33" t="str">
        <f>Equipos!J573</f>
        <v>BSM-2351K</v>
      </c>
      <c r="G575" s="37" t="str">
        <f>Equipos!K573</f>
        <v>3647</v>
      </c>
      <c r="H575" s="33"/>
      <c r="I575" s="38"/>
      <c r="J575" s="38"/>
      <c r="K575" s="38"/>
      <c r="L575" s="38"/>
      <c r="M575" s="50" t="s">
        <v>275</v>
      </c>
      <c r="N575" s="38"/>
      <c r="O575" s="38"/>
      <c r="P575" s="38"/>
      <c r="Q575" s="38"/>
      <c r="R575" s="38"/>
      <c r="S575" s="38"/>
      <c r="T575" s="38"/>
      <c r="U575" s="33">
        <f t="shared" si="40"/>
        <v>1</v>
      </c>
      <c r="V575" s="33">
        <f t="shared" si="41"/>
        <v>1</v>
      </c>
      <c r="W575" s="33">
        <f t="shared" si="42"/>
        <v>0</v>
      </c>
      <c r="X575" s="33">
        <f t="shared" si="43"/>
        <v>0</v>
      </c>
      <c r="Y575" s="33">
        <f ca="1">SUMPRODUCT((I575:INDEX(I575:T575,MONTH(TODAY()))="X")*1)</f>
        <v>0</v>
      </c>
      <c r="Z575" s="39">
        <f t="shared" si="44"/>
        <v>1</v>
      </c>
    </row>
    <row r="576" spans="1:26" x14ac:dyDescent="0.25">
      <c r="A576" s="37" t="str">
        <f>Equipos!C574</f>
        <v>2-024297</v>
      </c>
      <c r="B576" s="33" t="str">
        <f>Equipos!D574</f>
        <v>Monitor Multiparámetros</v>
      </c>
      <c r="C576" s="33" t="str">
        <f>Equipos!E574</f>
        <v>Pabellón Quirúrgico</v>
      </c>
      <c r="D576" s="33">
        <f>Equipos!G574</f>
        <v>0</v>
      </c>
      <c r="E576" s="33" t="str">
        <f>Equipos!I574</f>
        <v>Drager</v>
      </c>
      <c r="F576" s="33" t="str">
        <f>Equipos!J574</f>
        <v xml:space="preserve">Infinity Kappa </v>
      </c>
      <c r="G576" s="37" t="str">
        <f>Equipos!K574</f>
        <v>5494528944</v>
      </c>
      <c r="H576" s="33"/>
      <c r="I576" s="38"/>
      <c r="J576" s="38"/>
      <c r="K576" s="38"/>
      <c r="L576" s="50" t="s">
        <v>276</v>
      </c>
      <c r="M576" s="50" t="s">
        <v>275</v>
      </c>
      <c r="N576" s="38"/>
      <c r="O576" s="38"/>
      <c r="P576" s="38"/>
      <c r="Q576" s="38"/>
      <c r="R576" s="38"/>
      <c r="S576" s="38"/>
      <c r="T576" s="38"/>
      <c r="U576" s="33">
        <f t="shared" si="40"/>
        <v>2</v>
      </c>
      <c r="V576" s="33">
        <f t="shared" si="41"/>
        <v>1</v>
      </c>
      <c r="W576" s="33">
        <f t="shared" si="42"/>
        <v>0</v>
      </c>
      <c r="X576" s="33">
        <f t="shared" si="43"/>
        <v>0</v>
      </c>
      <c r="Y576" s="33">
        <f ca="1">SUMPRODUCT((I576:INDEX(I576:T576,MONTH(TODAY()))="X")*1)</f>
        <v>0</v>
      </c>
      <c r="Z576" s="39">
        <f t="shared" si="44"/>
        <v>0.5</v>
      </c>
    </row>
    <row r="577" spans="1:26" x14ac:dyDescent="0.25">
      <c r="A577" s="37" t="str">
        <f>Equipos!C575</f>
        <v>2-118839</v>
      </c>
      <c r="B577" s="33" t="str">
        <f>Equipos!D575</f>
        <v>Monitor Multiparámetros</v>
      </c>
      <c r="C577" s="33" t="str">
        <f>Equipos!E575</f>
        <v>Pabellón Quirúrgico</v>
      </c>
      <c r="D577" s="33" t="str">
        <f>Equipos!G575</f>
        <v>Bodega</v>
      </c>
      <c r="E577" s="33" t="str">
        <f>Equipos!I575</f>
        <v>Drager</v>
      </c>
      <c r="F577" s="33" t="str">
        <f>Equipos!J575</f>
        <v>M540</v>
      </c>
      <c r="G577" s="37" t="str">
        <f>Equipos!K575</f>
        <v>5613542961</v>
      </c>
      <c r="H577" s="33"/>
      <c r="I577" s="38"/>
      <c r="J577" s="38"/>
      <c r="K577" s="38"/>
      <c r="L577" s="50" t="s">
        <v>275</v>
      </c>
      <c r="M577" s="38"/>
      <c r="N577" s="38"/>
      <c r="O577" s="38"/>
      <c r="P577" s="38"/>
      <c r="Q577" s="38"/>
      <c r="R577" s="38"/>
      <c r="S577" s="38"/>
      <c r="T577" s="38"/>
      <c r="U577" s="33">
        <f t="shared" si="40"/>
        <v>1</v>
      </c>
      <c r="V577" s="33">
        <f t="shared" si="41"/>
        <v>1</v>
      </c>
      <c r="W577" s="33">
        <f t="shared" si="42"/>
        <v>0</v>
      </c>
      <c r="X577" s="33">
        <f t="shared" si="43"/>
        <v>0</v>
      </c>
      <c r="Y577" s="33">
        <f ca="1">SUMPRODUCT((I577:INDEX(I577:T577,MONTH(TODAY()))="X")*1)</f>
        <v>0</v>
      </c>
      <c r="Z577" s="39">
        <f t="shared" si="44"/>
        <v>1</v>
      </c>
    </row>
    <row r="578" spans="1:26" x14ac:dyDescent="0.25">
      <c r="A578" s="37" t="str">
        <f>Equipos!C576</f>
        <v>2-119652</v>
      </c>
      <c r="B578" s="33" t="str">
        <f>Equipos!D576</f>
        <v>Monitor Multiparámetros</v>
      </c>
      <c r="C578" s="33" t="str">
        <f>Equipos!E576</f>
        <v>Medicina</v>
      </c>
      <c r="D578" s="33" t="str">
        <f>Equipos!G576</f>
        <v>595-1</v>
      </c>
      <c r="E578" s="33" t="str">
        <f>Equipos!I576</f>
        <v>General Electric</v>
      </c>
      <c r="F578" s="33" t="str">
        <f>Equipos!J576</f>
        <v>B105</v>
      </c>
      <c r="G578" s="37" t="str">
        <f>Equipos!K576</f>
        <v>SQE19510010SA</v>
      </c>
      <c r="H578" s="33"/>
      <c r="I578" s="38"/>
      <c r="J578" s="50" t="s">
        <v>276</v>
      </c>
      <c r="K578" s="50" t="s">
        <v>275</v>
      </c>
      <c r="L578" s="38"/>
      <c r="M578" s="38"/>
      <c r="N578" s="38"/>
      <c r="O578" s="38"/>
      <c r="P578" s="38"/>
      <c r="Q578" s="38"/>
      <c r="R578" s="38"/>
      <c r="S578" s="38"/>
      <c r="T578" s="38"/>
      <c r="U578" s="33">
        <f t="shared" si="40"/>
        <v>2</v>
      </c>
      <c r="V578" s="33">
        <f t="shared" si="41"/>
        <v>1</v>
      </c>
      <c r="W578" s="33">
        <f t="shared" si="42"/>
        <v>0</v>
      </c>
      <c r="X578" s="33">
        <f t="shared" si="43"/>
        <v>0</v>
      </c>
      <c r="Y578" s="33">
        <f ca="1">SUMPRODUCT((I578:INDEX(I578:T578,MONTH(TODAY()))="X")*1)</f>
        <v>0</v>
      </c>
      <c r="Z578" s="39">
        <f t="shared" si="44"/>
        <v>0.5</v>
      </c>
    </row>
    <row r="579" spans="1:26" x14ac:dyDescent="0.25">
      <c r="A579" s="37" t="str">
        <f>Equipos!C577</f>
        <v>2-007607</v>
      </c>
      <c r="B579" s="33" t="str">
        <f>Equipos!D577</f>
        <v>Monitor Multiparámetros</v>
      </c>
      <c r="C579" s="33" t="str">
        <f>Equipos!E577</f>
        <v>Cirugía Adulto</v>
      </c>
      <c r="D579" s="33" t="str">
        <f>Equipos!G577</f>
        <v>EPA</v>
      </c>
      <c r="E579" s="33" t="str">
        <f>Equipos!I577</f>
        <v xml:space="preserve">Nihon Kohden </v>
      </c>
      <c r="F579" s="33" t="str">
        <f>Equipos!J577</f>
        <v>BSM-6301K</v>
      </c>
      <c r="G579" s="37" t="str">
        <f>Equipos!K577</f>
        <v>01031.</v>
      </c>
      <c r="H579" s="33"/>
      <c r="I579" s="38"/>
      <c r="J579" s="38"/>
      <c r="K579" s="38"/>
      <c r="L579" s="38"/>
      <c r="M579" s="50" t="s">
        <v>275</v>
      </c>
      <c r="N579" s="38"/>
      <c r="O579" s="38"/>
      <c r="P579" s="38"/>
      <c r="Q579" s="38"/>
      <c r="R579" s="38"/>
      <c r="S579" s="38"/>
      <c r="T579" s="38"/>
      <c r="U579" s="33">
        <f t="shared" si="40"/>
        <v>1</v>
      </c>
      <c r="V579" s="33">
        <f t="shared" si="41"/>
        <v>1</v>
      </c>
      <c r="W579" s="33">
        <f t="shared" si="42"/>
        <v>0</v>
      </c>
      <c r="X579" s="33">
        <f t="shared" si="43"/>
        <v>0</v>
      </c>
      <c r="Y579" s="33">
        <f ca="1">SUMPRODUCT((I579:INDEX(I579:T579,MONTH(TODAY()))="X")*1)</f>
        <v>0</v>
      </c>
      <c r="Z579" s="39">
        <f t="shared" si="44"/>
        <v>1</v>
      </c>
    </row>
    <row r="580" spans="1:26" x14ac:dyDescent="0.25">
      <c r="A580" s="37" t="str">
        <f>Equipos!C578</f>
        <v>2-112658</v>
      </c>
      <c r="B580" s="33" t="str">
        <f>Equipos!D578</f>
        <v>Monitor Multiparámetros</v>
      </c>
      <c r="C580" s="33" t="str">
        <f>Equipos!E578</f>
        <v>Imagenología</v>
      </c>
      <c r="D580" s="33" t="str">
        <f>Equipos!G578</f>
        <v>Angiógrafo</v>
      </c>
      <c r="E580" s="33" t="str">
        <f>Equipos!I578</f>
        <v>Drager</v>
      </c>
      <c r="F580" s="33" t="str">
        <f>Equipos!J578</f>
        <v xml:space="preserve">Infinity Vista XL </v>
      </c>
      <c r="G580" s="37" t="str">
        <f>Equipos!K578</f>
        <v>5396140362</v>
      </c>
      <c r="H580" s="33"/>
      <c r="I580" s="38"/>
      <c r="J580" s="50" t="s">
        <v>276</v>
      </c>
      <c r="K580" s="50" t="s">
        <v>275</v>
      </c>
      <c r="L580" s="38"/>
      <c r="M580" s="38"/>
      <c r="N580" s="38"/>
      <c r="O580" s="38"/>
      <c r="P580" s="38"/>
      <c r="Q580" s="38"/>
      <c r="R580" s="38"/>
      <c r="S580" s="38"/>
      <c r="T580" s="38"/>
      <c r="U580" s="33">
        <f t="shared" ref="U580:U643" si="45">V580+W580+X580+COUNTIF(I580:T580,"R")</f>
        <v>2</v>
      </c>
      <c r="V580" s="33">
        <f t="shared" ref="V580:V643" si="46">COUNTIF(I580:T580,"E")</f>
        <v>1</v>
      </c>
      <c r="W580" s="33">
        <f t="shared" ref="W580:W643" si="47">COUNTIF(I580:T580,"X")</f>
        <v>0</v>
      </c>
      <c r="X580" s="33">
        <f t="shared" ref="X580:X643" si="48">COUNTIF(I580:T580,"C2")+COUNTIF(I580:T580,"C3")</f>
        <v>0</v>
      </c>
      <c r="Y580" s="33">
        <f ca="1">SUMPRODUCT((I580:INDEX(I580:T580,MONTH(TODAY()))="X")*1)</f>
        <v>0</v>
      </c>
      <c r="Z580" s="39">
        <f t="shared" ref="Z580:Z643" si="49">IFERROR(V580/U580,"")</f>
        <v>0.5</v>
      </c>
    </row>
    <row r="581" spans="1:26" x14ac:dyDescent="0.25">
      <c r="A581" s="37" t="str">
        <f>Equipos!C579</f>
        <v>2-027591</v>
      </c>
      <c r="B581" s="33" t="str">
        <f>Equipos!D579</f>
        <v>Monitor Multiparámetros</v>
      </c>
      <c r="C581" s="33" t="str">
        <f>Equipos!E579</f>
        <v>UPC Adulto</v>
      </c>
      <c r="D581" s="33" t="str">
        <f>Equipos!G579</f>
        <v>CAMA 1</v>
      </c>
      <c r="E581" s="33" t="str">
        <f>Equipos!I579</f>
        <v>Drager</v>
      </c>
      <c r="F581" s="33" t="str">
        <f>Equipos!J579</f>
        <v>Infinity Kappa</v>
      </c>
      <c r="G581" s="37" t="str">
        <f>Equipos!K579</f>
        <v>5495045456</v>
      </c>
      <c r="H581" s="33"/>
      <c r="I581" s="38"/>
      <c r="J581" s="38"/>
      <c r="K581" s="38"/>
      <c r="L581" s="38"/>
      <c r="M581" s="50" t="s">
        <v>275</v>
      </c>
      <c r="N581" s="38"/>
      <c r="O581" s="38"/>
      <c r="P581" s="38"/>
      <c r="Q581" s="38"/>
      <c r="R581" s="38"/>
      <c r="S581" s="38"/>
      <c r="T581" s="38"/>
      <c r="U581" s="33">
        <f t="shared" si="45"/>
        <v>1</v>
      </c>
      <c r="V581" s="33">
        <f t="shared" si="46"/>
        <v>1</v>
      </c>
      <c r="W581" s="33">
        <f t="shared" si="47"/>
        <v>0</v>
      </c>
      <c r="X581" s="33">
        <f t="shared" si="48"/>
        <v>0</v>
      </c>
      <c r="Y581" s="33">
        <f ca="1">SUMPRODUCT((I581:INDEX(I581:T581,MONTH(TODAY()))="X")*1)</f>
        <v>0</v>
      </c>
      <c r="Z581" s="39">
        <f t="shared" si="49"/>
        <v>1</v>
      </c>
    </row>
    <row r="582" spans="1:26" x14ac:dyDescent="0.25">
      <c r="A582" s="37" t="str">
        <f>Equipos!C580</f>
        <v>2-016363</v>
      </c>
      <c r="B582" s="33" t="str">
        <f>Equipos!D580</f>
        <v>Monitor Multiparámetros</v>
      </c>
      <c r="C582" s="33" t="str">
        <f>Equipos!E580</f>
        <v>UPC Adulto</v>
      </c>
      <c r="D582" s="33" t="str">
        <f>Equipos!G580</f>
        <v>CAMA 20</v>
      </c>
      <c r="E582" s="33" t="str">
        <f>Equipos!I580</f>
        <v>Drager</v>
      </c>
      <c r="F582" s="33" t="str">
        <f>Equipos!J580</f>
        <v>Infinity Kappa</v>
      </c>
      <c r="G582" s="37" t="str">
        <f>Equipos!K580</f>
        <v>5495022766</v>
      </c>
      <c r="H582" s="33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3">
        <f t="shared" si="45"/>
        <v>0</v>
      </c>
      <c r="V582" s="33">
        <f t="shared" si="46"/>
        <v>0</v>
      </c>
      <c r="W582" s="33">
        <f t="shared" si="47"/>
        <v>0</v>
      </c>
      <c r="X582" s="33">
        <f t="shared" si="48"/>
        <v>0</v>
      </c>
      <c r="Y582" s="33">
        <f ca="1">SUMPRODUCT((I582:INDEX(I582:T582,MONTH(TODAY()))="X")*1)</f>
        <v>0</v>
      </c>
      <c r="Z582" s="39" t="str">
        <f t="shared" si="49"/>
        <v/>
      </c>
    </row>
    <row r="583" spans="1:26" x14ac:dyDescent="0.25">
      <c r="A583" s="37" t="str">
        <f>Equipos!C581</f>
        <v>2-027646</v>
      </c>
      <c r="B583" s="33" t="str">
        <f>Equipos!D581</f>
        <v>Monitor Multiparámetros</v>
      </c>
      <c r="C583" s="33" t="str">
        <f>Equipos!E581</f>
        <v>UPC Adulto</v>
      </c>
      <c r="D583" s="33" t="str">
        <f>Equipos!G581</f>
        <v>CAMA 21</v>
      </c>
      <c r="E583" s="33" t="str">
        <f>Equipos!I581</f>
        <v>Drager</v>
      </c>
      <c r="F583" s="33" t="str">
        <f>Equipos!J581</f>
        <v>Infinity Kappa</v>
      </c>
      <c r="G583" s="37" t="str">
        <f>Equipos!K581</f>
        <v>5495046856</v>
      </c>
      <c r="H583" s="33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3">
        <f t="shared" si="45"/>
        <v>0</v>
      </c>
      <c r="V583" s="33">
        <f t="shared" si="46"/>
        <v>0</v>
      </c>
      <c r="W583" s="33">
        <f t="shared" si="47"/>
        <v>0</v>
      </c>
      <c r="X583" s="33">
        <f t="shared" si="48"/>
        <v>0</v>
      </c>
      <c r="Y583" s="33">
        <f ca="1">SUMPRODUCT((I583:INDEX(I583:T583,MONTH(TODAY()))="X")*1)</f>
        <v>0</v>
      </c>
      <c r="Z583" s="39" t="str">
        <f t="shared" si="49"/>
        <v/>
      </c>
    </row>
    <row r="584" spans="1:26" x14ac:dyDescent="0.25">
      <c r="A584" s="37" t="str">
        <f>Equipos!C582</f>
        <v>2-023232</v>
      </c>
      <c r="B584" s="33" t="str">
        <f>Equipos!D582</f>
        <v>Monitor Multiparámetros</v>
      </c>
      <c r="C584" s="33" t="str">
        <f>Equipos!E582</f>
        <v>UPC Adulto</v>
      </c>
      <c r="D584" s="33" t="str">
        <f>Equipos!G582</f>
        <v>CAMA 19</v>
      </c>
      <c r="E584" s="33" t="str">
        <f>Equipos!I582</f>
        <v>Drager</v>
      </c>
      <c r="F584" s="33" t="str">
        <f>Equipos!J582</f>
        <v>Infinity Kappa</v>
      </c>
      <c r="G584" s="37" t="str">
        <f>Equipos!K582</f>
        <v>5495038063</v>
      </c>
      <c r="H584" s="33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3">
        <f t="shared" si="45"/>
        <v>0</v>
      </c>
      <c r="V584" s="33">
        <f t="shared" si="46"/>
        <v>0</v>
      </c>
      <c r="W584" s="33">
        <f t="shared" si="47"/>
        <v>0</v>
      </c>
      <c r="X584" s="33">
        <f t="shared" si="48"/>
        <v>0</v>
      </c>
      <c r="Y584" s="33">
        <f ca="1">SUMPRODUCT((I584:INDEX(I584:T584,MONTH(TODAY()))="X")*1)</f>
        <v>0</v>
      </c>
      <c r="Z584" s="39" t="str">
        <f t="shared" si="49"/>
        <v/>
      </c>
    </row>
    <row r="585" spans="1:26" x14ac:dyDescent="0.25">
      <c r="A585" s="37" t="str">
        <f>Equipos!C583</f>
        <v>2-027618</v>
      </c>
      <c r="B585" s="33" t="str">
        <f>Equipos!D583</f>
        <v>Monitor Multiparámetros</v>
      </c>
      <c r="C585" s="33" t="str">
        <f>Equipos!E583</f>
        <v>UPC Adulto</v>
      </c>
      <c r="D585" s="33" t="str">
        <f>Equipos!G583</f>
        <v>CAMA 23</v>
      </c>
      <c r="E585" s="33" t="str">
        <f>Equipos!I583</f>
        <v>Drager</v>
      </c>
      <c r="F585" s="33" t="str">
        <f>Equipos!J583</f>
        <v>Infinity Kappa</v>
      </c>
      <c r="G585" s="37" t="str">
        <f>Equipos!K583</f>
        <v>5495024960</v>
      </c>
      <c r="H585" s="33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3">
        <f t="shared" si="45"/>
        <v>0</v>
      </c>
      <c r="V585" s="33">
        <f t="shared" si="46"/>
        <v>0</v>
      </c>
      <c r="W585" s="33">
        <f t="shared" si="47"/>
        <v>0</v>
      </c>
      <c r="X585" s="33">
        <f t="shared" si="48"/>
        <v>0</v>
      </c>
      <c r="Y585" s="33">
        <f ca="1">SUMPRODUCT((I585:INDEX(I585:T585,MONTH(TODAY()))="X")*1)</f>
        <v>0</v>
      </c>
      <c r="Z585" s="39" t="str">
        <f t="shared" si="49"/>
        <v/>
      </c>
    </row>
    <row r="586" spans="1:26" x14ac:dyDescent="0.25">
      <c r="A586" s="37" t="str">
        <f>Equipos!C584</f>
        <v>2-027647</v>
      </c>
      <c r="B586" s="33" t="str">
        <f>Equipos!D584</f>
        <v>Monitor Multiparámetros</v>
      </c>
      <c r="C586" s="33" t="str">
        <f>Equipos!E584</f>
        <v>UPC Adulto</v>
      </c>
      <c r="D586" s="33" t="str">
        <f>Equipos!G584</f>
        <v>CAMA 24</v>
      </c>
      <c r="E586" s="33" t="str">
        <f>Equipos!I584</f>
        <v>Drager</v>
      </c>
      <c r="F586" s="33" t="str">
        <f>Equipos!J584</f>
        <v>Infinity Kappa</v>
      </c>
      <c r="G586" s="37" t="str">
        <f>Equipos!K584</f>
        <v>5495046758</v>
      </c>
      <c r="H586" s="33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3">
        <f t="shared" si="45"/>
        <v>0</v>
      </c>
      <c r="V586" s="33">
        <f t="shared" si="46"/>
        <v>0</v>
      </c>
      <c r="W586" s="33">
        <f t="shared" si="47"/>
        <v>0</v>
      </c>
      <c r="X586" s="33">
        <f t="shared" si="48"/>
        <v>0</v>
      </c>
      <c r="Y586" s="33">
        <f ca="1">SUMPRODUCT((I586:INDEX(I586:T586,MONTH(TODAY()))="X")*1)</f>
        <v>0</v>
      </c>
      <c r="Z586" s="39" t="str">
        <f t="shared" si="49"/>
        <v/>
      </c>
    </row>
    <row r="587" spans="1:26" x14ac:dyDescent="0.25">
      <c r="A587" s="37" t="str">
        <f>Equipos!C585</f>
        <v>2-023233</v>
      </c>
      <c r="B587" s="33" t="str">
        <f>Equipos!D585</f>
        <v>Monitor Multiparámetros</v>
      </c>
      <c r="C587" s="33" t="str">
        <f>Equipos!E585</f>
        <v>UPC Adulto</v>
      </c>
      <c r="D587" s="33" t="str">
        <f>Equipos!G585</f>
        <v>CAMA 16</v>
      </c>
      <c r="E587" s="33" t="str">
        <f>Equipos!I585</f>
        <v>Drager</v>
      </c>
      <c r="F587" s="33" t="str">
        <f>Equipos!J585</f>
        <v>Infinity Kappa</v>
      </c>
      <c r="G587" s="37" t="str">
        <f>Equipos!K585</f>
        <v>5495042762</v>
      </c>
      <c r="H587" s="33"/>
      <c r="I587" s="38"/>
      <c r="J587" s="38"/>
      <c r="K587" s="38"/>
      <c r="L587" s="50" t="s">
        <v>275</v>
      </c>
      <c r="M587" s="38"/>
      <c r="N587" s="38"/>
      <c r="O587" s="38"/>
      <c r="P587" s="38"/>
      <c r="Q587" s="38"/>
      <c r="R587" s="38"/>
      <c r="S587" s="38"/>
      <c r="T587" s="38"/>
      <c r="U587" s="33">
        <f t="shared" si="45"/>
        <v>1</v>
      </c>
      <c r="V587" s="33">
        <f t="shared" si="46"/>
        <v>1</v>
      </c>
      <c r="W587" s="33">
        <f t="shared" si="47"/>
        <v>0</v>
      </c>
      <c r="X587" s="33">
        <f t="shared" si="48"/>
        <v>0</v>
      </c>
      <c r="Y587" s="33">
        <f ca="1">SUMPRODUCT((I587:INDEX(I587:T587,MONTH(TODAY()))="X")*1)</f>
        <v>0</v>
      </c>
      <c r="Z587" s="39">
        <f t="shared" si="49"/>
        <v>1</v>
      </c>
    </row>
    <row r="588" spans="1:26" x14ac:dyDescent="0.25">
      <c r="A588" s="37" t="str">
        <f>Equipos!C586</f>
        <v>2-016364</v>
      </c>
      <c r="B588" s="33" t="str">
        <f>Equipos!D586</f>
        <v>Monitor Multiparámetros</v>
      </c>
      <c r="C588" s="33" t="str">
        <f>Equipos!E586</f>
        <v>UPC Adulto</v>
      </c>
      <c r="D588" s="33" t="str">
        <f>Equipos!G586</f>
        <v>CAMA 18</v>
      </c>
      <c r="E588" s="33" t="str">
        <f>Equipos!I586</f>
        <v>Drager</v>
      </c>
      <c r="F588" s="33" t="str">
        <f>Equipos!J586</f>
        <v>Infinity Kappa</v>
      </c>
      <c r="G588" s="37" t="str">
        <f>Equipos!K586</f>
        <v>5495036956</v>
      </c>
      <c r="H588" s="33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3">
        <f t="shared" si="45"/>
        <v>0</v>
      </c>
      <c r="V588" s="33">
        <f t="shared" si="46"/>
        <v>0</v>
      </c>
      <c r="W588" s="33">
        <f t="shared" si="47"/>
        <v>0</v>
      </c>
      <c r="X588" s="33">
        <f t="shared" si="48"/>
        <v>0</v>
      </c>
      <c r="Y588" s="33">
        <f ca="1">SUMPRODUCT((I588:INDEX(I588:T588,MONTH(TODAY()))="X")*1)</f>
        <v>0</v>
      </c>
      <c r="Z588" s="39" t="str">
        <f t="shared" si="49"/>
        <v/>
      </c>
    </row>
    <row r="589" spans="1:26" x14ac:dyDescent="0.25">
      <c r="A589" s="37" t="str">
        <f>Equipos!C587</f>
        <v>2-027617</v>
      </c>
      <c r="B589" s="33" t="str">
        <f>Equipos!D587</f>
        <v>Monitor Multiparámetros</v>
      </c>
      <c r="C589" s="33" t="str">
        <f>Equipos!E587</f>
        <v>UPC Adulto</v>
      </c>
      <c r="D589" s="33" t="str">
        <f>Equipos!G587</f>
        <v>CAMA 13</v>
      </c>
      <c r="E589" s="33" t="str">
        <f>Equipos!I587</f>
        <v>Drager</v>
      </c>
      <c r="F589" s="33" t="str">
        <f>Equipos!J587</f>
        <v>Infinity Kappa</v>
      </c>
      <c r="G589" s="37" t="str">
        <f>Equipos!K587</f>
        <v>5495022864</v>
      </c>
      <c r="H589" s="33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3">
        <f t="shared" si="45"/>
        <v>0</v>
      </c>
      <c r="V589" s="33">
        <f t="shared" si="46"/>
        <v>0</v>
      </c>
      <c r="W589" s="33">
        <f t="shared" si="47"/>
        <v>0</v>
      </c>
      <c r="X589" s="33">
        <f t="shared" si="48"/>
        <v>0</v>
      </c>
      <c r="Y589" s="33">
        <f ca="1">SUMPRODUCT((I589:INDEX(I589:T589,MONTH(TODAY()))="X")*1)</f>
        <v>0</v>
      </c>
      <c r="Z589" s="39" t="str">
        <f t="shared" si="49"/>
        <v/>
      </c>
    </row>
    <row r="590" spans="1:26" x14ac:dyDescent="0.25">
      <c r="A590" s="37" t="str">
        <f>Equipos!C588</f>
        <v>2-021531</v>
      </c>
      <c r="B590" s="33" t="str">
        <f>Equipos!D588</f>
        <v>Monitor Multiparámetros</v>
      </c>
      <c r="C590" s="33" t="str">
        <f>Equipos!E588</f>
        <v>Pabellón (Recuperación)</v>
      </c>
      <c r="D590" s="33" t="str">
        <f>Equipos!G588</f>
        <v>Unidad N° 01</v>
      </c>
      <c r="E590" s="33" t="str">
        <f>Equipos!I588</f>
        <v>Drager</v>
      </c>
      <c r="F590" s="33" t="str">
        <f>Equipos!J588</f>
        <v>Vista 120</v>
      </c>
      <c r="G590" s="37" t="str">
        <f>Equipos!K588</f>
        <v>V2SFH0017</v>
      </c>
      <c r="H590" s="33"/>
      <c r="I590" s="38"/>
      <c r="J590" s="50" t="s">
        <v>275</v>
      </c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3">
        <f t="shared" si="45"/>
        <v>1</v>
      </c>
      <c r="V590" s="33">
        <f t="shared" si="46"/>
        <v>1</v>
      </c>
      <c r="W590" s="33">
        <f t="shared" si="47"/>
        <v>0</v>
      </c>
      <c r="X590" s="33">
        <f t="shared" si="48"/>
        <v>0</v>
      </c>
      <c r="Y590" s="33">
        <f ca="1">SUMPRODUCT((I590:INDEX(I590:T590,MONTH(TODAY()))="X")*1)</f>
        <v>0</v>
      </c>
      <c r="Z590" s="39">
        <f t="shared" si="49"/>
        <v>1</v>
      </c>
    </row>
    <row r="591" spans="1:26" x14ac:dyDescent="0.25">
      <c r="A591" s="37" t="str">
        <f>Equipos!C589</f>
        <v>2-021532</v>
      </c>
      <c r="B591" s="33" t="str">
        <f>Equipos!D589</f>
        <v>Monitor Multiparámetros</v>
      </c>
      <c r="C591" s="33" t="str">
        <f>Equipos!E589</f>
        <v>Pabellón (Recuperación)</v>
      </c>
      <c r="D591" s="33" t="str">
        <f>Equipos!G589</f>
        <v>Unidad N° 07</v>
      </c>
      <c r="E591" s="33" t="str">
        <f>Equipos!I589</f>
        <v>Drager</v>
      </c>
      <c r="F591" s="33" t="str">
        <f>Equipos!J589</f>
        <v>Vista 120</v>
      </c>
      <c r="G591" s="37" t="str">
        <f>Equipos!K589</f>
        <v>V2SFH0032</v>
      </c>
      <c r="H591" s="33"/>
      <c r="I591" s="38"/>
      <c r="J591" s="50" t="s">
        <v>275</v>
      </c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3">
        <f t="shared" si="45"/>
        <v>1</v>
      </c>
      <c r="V591" s="33">
        <f t="shared" si="46"/>
        <v>1</v>
      </c>
      <c r="W591" s="33">
        <f t="shared" si="47"/>
        <v>0</v>
      </c>
      <c r="X591" s="33">
        <f t="shared" si="48"/>
        <v>0</v>
      </c>
      <c r="Y591" s="33">
        <f ca="1">SUMPRODUCT((I591:INDEX(I591:T591,MONTH(TODAY()))="X")*1)</f>
        <v>0</v>
      </c>
      <c r="Z591" s="39">
        <f t="shared" si="49"/>
        <v>1</v>
      </c>
    </row>
    <row r="592" spans="1:26" x14ac:dyDescent="0.25">
      <c r="A592" s="37" t="str">
        <f>Equipos!C590</f>
        <v>2-021540</v>
      </c>
      <c r="B592" s="33" t="str">
        <f>Equipos!D590</f>
        <v>Monitor Multiparámetros</v>
      </c>
      <c r="C592" s="33" t="str">
        <f>Equipos!E590</f>
        <v>Pabellón (Recuperación)</v>
      </c>
      <c r="D592" s="33" t="str">
        <f>Equipos!G590</f>
        <v>Cama N° 5</v>
      </c>
      <c r="E592" s="33" t="str">
        <f>Equipos!I590</f>
        <v>Drager</v>
      </c>
      <c r="F592" s="33" t="str">
        <f>Equipos!J590</f>
        <v>Vista 120</v>
      </c>
      <c r="G592" s="37" t="str">
        <f>Equipos!K590</f>
        <v>V2SFH0025</v>
      </c>
      <c r="H592" s="33"/>
      <c r="I592" s="38"/>
      <c r="J592" s="50" t="s">
        <v>275</v>
      </c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3">
        <f t="shared" si="45"/>
        <v>1</v>
      </c>
      <c r="V592" s="33">
        <f t="shared" si="46"/>
        <v>1</v>
      </c>
      <c r="W592" s="33">
        <f t="shared" si="47"/>
        <v>0</v>
      </c>
      <c r="X592" s="33">
        <f t="shared" si="48"/>
        <v>0</v>
      </c>
      <c r="Y592" s="33">
        <f ca="1">SUMPRODUCT((I592:INDEX(I592:T592,MONTH(TODAY()))="X")*1)</f>
        <v>0</v>
      </c>
      <c r="Z592" s="39">
        <f t="shared" si="49"/>
        <v>1</v>
      </c>
    </row>
    <row r="593" spans="1:26" x14ac:dyDescent="0.25">
      <c r="A593" s="37" t="str">
        <f>Equipos!C591</f>
        <v>2-021538</v>
      </c>
      <c r="B593" s="33" t="str">
        <f>Equipos!D591</f>
        <v>Monitor Multiparámetros</v>
      </c>
      <c r="C593" s="33" t="str">
        <f>Equipos!E591</f>
        <v>Pabellón (Recuperación)</v>
      </c>
      <c r="D593" s="33" t="str">
        <f>Equipos!G591</f>
        <v>Cama N° 18</v>
      </c>
      <c r="E593" s="33" t="str">
        <f>Equipos!I591</f>
        <v>Drager</v>
      </c>
      <c r="F593" s="33" t="str">
        <f>Equipos!J591</f>
        <v>Vista 120</v>
      </c>
      <c r="G593" s="37" t="str">
        <f>Equipos!K591</f>
        <v>V2SFH0016</v>
      </c>
      <c r="H593" s="33"/>
      <c r="I593" s="38"/>
      <c r="J593" s="50" t="s">
        <v>275</v>
      </c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3">
        <f t="shared" si="45"/>
        <v>1</v>
      </c>
      <c r="V593" s="33">
        <f t="shared" si="46"/>
        <v>1</v>
      </c>
      <c r="W593" s="33">
        <f t="shared" si="47"/>
        <v>0</v>
      </c>
      <c r="X593" s="33">
        <f t="shared" si="48"/>
        <v>0</v>
      </c>
      <c r="Y593" s="33">
        <f ca="1">SUMPRODUCT((I593:INDEX(I593:T593,MONTH(TODAY()))="X")*1)</f>
        <v>0</v>
      </c>
      <c r="Z593" s="39">
        <f t="shared" si="49"/>
        <v>1</v>
      </c>
    </row>
    <row r="594" spans="1:26" x14ac:dyDescent="0.25">
      <c r="A594" s="37" t="str">
        <f>Equipos!C592</f>
        <v>2-021537</v>
      </c>
      <c r="B594" s="33" t="str">
        <f>Equipos!D592</f>
        <v>Monitor Multiparámetros</v>
      </c>
      <c r="C594" s="33" t="str">
        <f>Equipos!E592</f>
        <v>Pabellón (Recuperación)</v>
      </c>
      <c r="D594" s="33" t="str">
        <f>Equipos!G592</f>
        <v>Cama N° 6</v>
      </c>
      <c r="E594" s="33" t="str">
        <f>Equipos!I592</f>
        <v>Drager</v>
      </c>
      <c r="F594" s="33" t="str">
        <f>Equipos!J592</f>
        <v>Vista 120</v>
      </c>
      <c r="G594" s="37" t="str">
        <f>Equipos!K592</f>
        <v>V2SFH0031</v>
      </c>
      <c r="H594" s="33"/>
      <c r="I594" s="38"/>
      <c r="J594" s="50" t="s">
        <v>275</v>
      </c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3">
        <f t="shared" si="45"/>
        <v>1</v>
      </c>
      <c r="V594" s="33">
        <f t="shared" si="46"/>
        <v>1</v>
      </c>
      <c r="W594" s="33">
        <f t="shared" si="47"/>
        <v>0</v>
      </c>
      <c r="X594" s="33">
        <f t="shared" si="48"/>
        <v>0</v>
      </c>
      <c r="Y594" s="33">
        <f ca="1">SUMPRODUCT((I594:INDEX(I594:T594,MONTH(TODAY()))="X")*1)</f>
        <v>0</v>
      </c>
      <c r="Z594" s="39">
        <f t="shared" si="49"/>
        <v>1</v>
      </c>
    </row>
    <row r="595" spans="1:26" x14ac:dyDescent="0.25">
      <c r="A595" s="37" t="str">
        <f>Equipos!C593</f>
        <v>2-021535</v>
      </c>
      <c r="B595" s="33" t="str">
        <f>Equipos!D593</f>
        <v>Monitor Multiparámetros</v>
      </c>
      <c r="C595" s="33" t="str">
        <f>Equipos!E593</f>
        <v>Pabellón (Recuperación)</v>
      </c>
      <c r="D595" s="33" t="str">
        <f>Equipos!G593</f>
        <v>Cama N° 8</v>
      </c>
      <c r="E595" s="33" t="str">
        <f>Equipos!I593</f>
        <v>Drager</v>
      </c>
      <c r="F595" s="33" t="str">
        <f>Equipos!J593</f>
        <v>Vista 120</v>
      </c>
      <c r="G595" s="37" t="str">
        <f>Equipos!K593</f>
        <v>V2SFH0035</v>
      </c>
      <c r="H595" s="33"/>
      <c r="I595" s="38"/>
      <c r="J595" s="50" t="s">
        <v>278</v>
      </c>
      <c r="K595" s="38"/>
      <c r="L595" s="50" t="s">
        <v>275</v>
      </c>
      <c r="M595" s="38"/>
      <c r="N595" s="38"/>
      <c r="O595" s="38"/>
      <c r="P595" s="38"/>
      <c r="Q595" s="38"/>
      <c r="R595" s="38"/>
      <c r="S595" s="38"/>
      <c r="T595" s="38"/>
      <c r="U595" s="33">
        <f t="shared" si="45"/>
        <v>2</v>
      </c>
      <c r="V595" s="33">
        <f t="shared" si="46"/>
        <v>1</v>
      </c>
      <c r="W595" s="33">
        <f t="shared" si="47"/>
        <v>0</v>
      </c>
      <c r="X595" s="33">
        <f t="shared" si="48"/>
        <v>1</v>
      </c>
      <c r="Y595" s="33">
        <f ca="1">SUMPRODUCT((I595:INDEX(I595:T595,MONTH(TODAY()))="X")*1)</f>
        <v>0</v>
      </c>
      <c r="Z595" s="39">
        <f t="shared" si="49"/>
        <v>0.5</v>
      </c>
    </row>
    <row r="596" spans="1:26" x14ac:dyDescent="0.25">
      <c r="A596" s="37" t="str">
        <f>Equipos!C594</f>
        <v>2-021534</v>
      </c>
      <c r="B596" s="33" t="str">
        <f>Equipos!D594</f>
        <v>Monitor Multiparámetros</v>
      </c>
      <c r="C596" s="33" t="str">
        <f>Equipos!E594</f>
        <v>Pabellón (Recuperación)</v>
      </c>
      <c r="D596" s="33" t="str">
        <f>Equipos!G594</f>
        <v>Oficina Supervisora</v>
      </c>
      <c r="E596" s="33" t="str">
        <f>Equipos!I594</f>
        <v>Drager</v>
      </c>
      <c r="F596" s="33" t="str">
        <f>Equipos!J594</f>
        <v>Vista 120</v>
      </c>
      <c r="G596" s="37" t="str">
        <f>Equipos!K594</f>
        <v>V2SFH0038</v>
      </c>
      <c r="H596" s="33"/>
      <c r="I596" s="38"/>
      <c r="J596" s="50" t="s">
        <v>275</v>
      </c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3">
        <f t="shared" si="45"/>
        <v>1</v>
      </c>
      <c r="V596" s="33">
        <f t="shared" si="46"/>
        <v>1</v>
      </c>
      <c r="W596" s="33">
        <f t="shared" si="47"/>
        <v>0</v>
      </c>
      <c r="X596" s="33">
        <f t="shared" si="48"/>
        <v>0</v>
      </c>
      <c r="Y596" s="33">
        <f ca="1">SUMPRODUCT((I596:INDEX(I596:T596,MONTH(TODAY()))="X")*1)</f>
        <v>0</v>
      </c>
      <c r="Z596" s="39">
        <f t="shared" si="49"/>
        <v>1</v>
      </c>
    </row>
    <row r="597" spans="1:26" x14ac:dyDescent="0.25">
      <c r="A597" s="37" t="str">
        <f>Equipos!C595</f>
        <v>2-021539</v>
      </c>
      <c r="B597" s="33" t="str">
        <f>Equipos!D595</f>
        <v>Monitor Multiparámetros</v>
      </c>
      <c r="C597" s="33" t="str">
        <f>Equipos!E595</f>
        <v>Pabellón Quirúrgico (Prestado a Traumatología)</v>
      </c>
      <c r="D597" s="33" t="str">
        <f>Equipos!G595</f>
        <v>1° Piso</v>
      </c>
      <c r="E597" s="33" t="str">
        <f>Equipos!I595</f>
        <v>Drager</v>
      </c>
      <c r="F597" s="33" t="str">
        <f>Equipos!J595</f>
        <v>Vista 120</v>
      </c>
      <c r="G597" s="37" t="str">
        <f>Equipos!K595</f>
        <v>V2SFH0033</v>
      </c>
      <c r="H597" s="33"/>
      <c r="I597" s="38"/>
      <c r="J597" s="38"/>
      <c r="K597" s="38"/>
      <c r="L597" s="38"/>
      <c r="M597" s="50" t="s">
        <v>275</v>
      </c>
      <c r="N597" s="38"/>
      <c r="O597" s="38"/>
      <c r="P597" s="38"/>
      <c r="Q597" s="38"/>
      <c r="R597" s="38"/>
      <c r="S597" s="38"/>
      <c r="T597" s="38"/>
      <c r="U597" s="33">
        <f t="shared" si="45"/>
        <v>1</v>
      </c>
      <c r="V597" s="33">
        <f t="shared" si="46"/>
        <v>1</v>
      </c>
      <c r="W597" s="33">
        <f t="shared" si="47"/>
        <v>0</v>
      </c>
      <c r="X597" s="33">
        <f t="shared" si="48"/>
        <v>0</v>
      </c>
      <c r="Y597" s="33">
        <f ca="1">SUMPRODUCT((I597:INDEX(I597:T597,MONTH(TODAY()))="X")*1)</f>
        <v>0</v>
      </c>
      <c r="Z597" s="39">
        <f t="shared" si="49"/>
        <v>1</v>
      </c>
    </row>
    <row r="598" spans="1:26" x14ac:dyDescent="0.25">
      <c r="A598" s="37" t="str">
        <f>Equipos!C596</f>
        <v>2-021533</v>
      </c>
      <c r="B598" s="33" t="str">
        <f>Equipos!D596</f>
        <v>Monitor Multiparámetros</v>
      </c>
      <c r="C598" s="33" t="str">
        <f>Equipos!E596</f>
        <v>Pabellón (Recuperación)</v>
      </c>
      <c r="D598" s="33" t="str">
        <f>Equipos!G596</f>
        <v>Cama N° 4</v>
      </c>
      <c r="E598" s="33" t="str">
        <f>Equipos!I596</f>
        <v>Drager</v>
      </c>
      <c r="F598" s="33" t="str">
        <f>Equipos!J596</f>
        <v>Vista 120</v>
      </c>
      <c r="G598" s="37" t="str">
        <f>Equipos!K596</f>
        <v>V2SFH0019</v>
      </c>
      <c r="H598" s="33"/>
      <c r="I598" s="38"/>
      <c r="J598" s="50" t="s">
        <v>275</v>
      </c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3">
        <f t="shared" si="45"/>
        <v>1</v>
      </c>
      <c r="V598" s="33">
        <f t="shared" si="46"/>
        <v>1</v>
      </c>
      <c r="W598" s="33">
        <f t="shared" si="47"/>
        <v>0</v>
      </c>
      <c r="X598" s="33">
        <f t="shared" si="48"/>
        <v>0</v>
      </c>
      <c r="Y598" s="33">
        <f ca="1">SUMPRODUCT((I598:INDEX(I598:T598,MONTH(TODAY()))="X")*1)</f>
        <v>0</v>
      </c>
      <c r="Z598" s="39">
        <f t="shared" si="49"/>
        <v>1</v>
      </c>
    </row>
    <row r="599" spans="1:26" x14ac:dyDescent="0.25">
      <c r="A599" s="37" t="str">
        <f>Equipos!C597</f>
        <v>2-021536</v>
      </c>
      <c r="B599" s="33" t="str">
        <f>Equipos!D597</f>
        <v>Monitor Multiparámetros</v>
      </c>
      <c r="C599" s="33" t="str">
        <f>Equipos!E597</f>
        <v>Pabellón (Recuperación)</v>
      </c>
      <c r="D599" s="33" t="str">
        <f>Equipos!G597</f>
        <v>Unidad N° 09</v>
      </c>
      <c r="E599" s="33" t="str">
        <f>Equipos!I597</f>
        <v>Drager</v>
      </c>
      <c r="F599" s="33" t="str">
        <f>Equipos!J597</f>
        <v>Vista 120</v>
      </c>
      <c r="G599" s="37" t="str">
        <f>Equipos!K597</f>
        <v>V2SFH0026</v>
      </c>
      <c r="H599" s="33"/>
      <c r="I599" s="38"/>
      <c r="J599" s="50" t="s">
        <v>275</v>
      </c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3">
        <f t="shared" si="45"/>
        <v>1</v>
      </c>
      <c r="V599" s="33">
        <f t="shared" si="46"/>
        <v>1</v>
      </c>
      <c r="W599" s="33">
        <f t="shared" si="47"/>
        <v>0</v>
      </c>
      <c r="X599" s="33">
        <f t="shared" si="48"/>
        <v>0</v>
      </c>
      <c r="Y599" s="33">
        <f ca="1">SUMPRODUCT((I599:INDEX(I599:T599,MONTH(TODAY()))="X")*1)</f>
        <v>0</v>
      </c>
      <c r="Z599" s="39">
        <f t="shared" si="49"/>
        <v>1</v>
      </c>
    </row>
    <row r="600" spans="1:26" x14ac:dyDescent="0.25">
      <c r="A600" s="37" t="str">
        <f>Equipos!C598</f>
        <v>2-112548</v>
      </c>
      <c r="B600" s="33" t="str">
        <f>Equipos!D598</f>
        <v>Monitor Multiparámetros</v>
      </c>
      <c r="C600" s="33" t="str">
        <f>Equipos!E598</f>
        <v>UPC Adulto</v>
      </c>
      <c r="D600" s="33" t="str">
        <f>Equipos!G598</f>
        <v>BODEGA</v>
      </c>
      <c r="E600" s="33" t="str">
        <f>Equipos!I598</f>
        <v>Drager</v>
      </c>
      <c r="F600" s="33" t="str">
        <f>Equipos!J598</f>
        <v>Infinity Delta</v>
      </c>
      <c r="G600" s="37" t="str">
        <f>Equipos!K598</f>
        <v>6006239368</v>
      </c>
      <c r="H600" s="33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3">
        <f t="shared" si="45"/>
        <v>0</v>
      </c>
      <c r="V600" s="33">
        <f t="shared" si="46"/>
        <v>0</v>
      </c>
      <c r="W600" s="33">
        <f t="shared" si="47"/>
        <v>0</v>
      </c>
      <c r="X600" s="33">
        <f t="shared" si="48"/>
        <v>0</v>
      </c>
      <c r="Y600" s="33">
        <f ca="1">SUMPRODUCT((I600:INDEX(I600:T600,MONTH(TODAY()))="X")*1)</f>
        <v>0</v>
      </c>
      <c r="Z600" s="39" t="str">
        <f t="shared" si="49"/>
        <v/>
      </c>
    </row>
    <row r="601" spans="1:26" x14ac:dyDescent="0.25">
      <c r="A601" s="37">
        <f>Equipos!C599</f>
        <v>0</v>
      </c>
      <c r="B601" s="33" t="str">
        <f>Equipos!D599</f>
        <v>Monitor Multiparámetros</v>
      </c>
      <c r="C601" s="33">
        <f>Equipos!E599</f>
        <v>0</v>
      </c>
      <c r="D601" s="33">
        <f>Equipos!G599</f>
        <v>0</v>
      </c>
      <c r="E601" s="33">
        <f>Equipos!I599</f>
        <v>0</v>
      </c>
      <c r="F601" s="33">
        <f>Equipos!J599</f>
        <v>0</v>
      </c>
      <c r="G601" s="37">
        <f>Equipos!K599</f>
        <v>0</v>
      </c>
      <c r="H601" s="33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3">
        <f t="shared" si="45"/>
        <v>0</v>
      </c>
      <c r="V601" s="33">
        <f t="shared" si="46"/>
        <v>0</v>
      </c>
      <c r="W601" s="33">
        <f t="shared" si="47"/>
        <v>0</v>
      </c>
      <c r="X601" s="33">
        <f t="shared" si="48"/>
        <v>0</v>
      </c>
      <c r="Y601" s="33">
        <f ca="1">SUMPRODUCT((I601:INDEX(I601:T601,MONTH(TODAY()))="X")*1)</f>
        <v>0</v>
      </c>
      <c r="Z601" s="39" t="str">
        <f t="shared" si="49"/>
        <v/>
      </c>
    </row>
    <row r="602" spans="1:26" x14ac:dyDescent="0.25">
      <c r="A602" s="37">
        <f>Equipos!C600</f>
        <v>0</v>
      </c>
      <c r="B602" s="33" t="str">
        <f>Equipos!D600</f>
        <v>Monitor Multiparámetros</v>
      </c>
      <c r="C602" s="33">
        <f>Equipos!E600</f>
        <v>0</v>
      </c>
      <c r="D602" s="33">
        <f>Equipos!G600</f>
        <v>0</v>
      </c>
      <c r="E602" s="33">
        <f>Equipos!I600</f>
        <v>0</v>
      </c>
      <c r="F602" s="33">
        <f>Equipos!J600</f>
        <v>0</v>
      </c>
      <c r="G602" s="37">
        <f>Equipos!K600</f>
        <v>0</v>
      </c>
      <c r="H602" s="33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3">
        <f t="shared" si="45"/>
        <v>0</v>
      </c>
      <c r="V602" s="33">
        <f t="shared" si="46"/>
        <v>0</v>
      </c>
      <c r="W602" s="33">
        <f t="shared" si="47"/>
        <v>0</v>
      </c>
      <c r="X602" s="33">
        <f t="shared" si="48"/>
        <v>0</v>
      </c>
      <c r="Y602" s="33">
        <f ca="1">SUMPRODUCT((I602:INDEX(I602:T602,MONTH(TODAY()))="X")*1)</f>
        <v>0</v>
      </c>
      <c r="Z602" s="39" t="str">
        <f t="shared" si="49"/>
        <v/>
      </c>
    </row>
    <row r="603" spans="1:26" x14ac:dyDescent="0.25">
      <c r="A603" s="37" t="str">
        <f>Equipos!C601</f>
        <v>2-007496</v>
      </c>
      <c r="B603" s="33" t="str">
        <f>Equipos!D601</f>
        <v>Monitor Multiparámetros</v>
      </c>
      <c r="C603" s="33" t="str">
        <f>Equipos!E601</f>
        <v>UPC Adulto</v>
      </c>
      <c r="D603" s="33" t="str">
        <f>Equipos!G601</f>
        <v>BODEGA</v>
      </c>
      <c r="E603" s="33" t="str">
        <f>Equipos!I601</f>
        <v>Drager</v>
      </c>
      <c r="F603" s="33" t="str">
        <f>Equipos!J601</f>
        <v>Infinity Delta</v>
      </c>
      <c r="G603" s="37" t="str">
        <f>Equipos!K601</f>
        <v>6006232874</v>
      </c>
      <c r="H603" s="33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3">
        <f t="shared" si="45"/>
        <v>0</v>
      </c>
      <c r="V603" s="33">
        <f t="shared" si="46"/>
        <v>0</v>
      </c>
      <c r="W603" s="33">
        <f t="shared" si="47"/>
        <v>0</v>
      </c>
      <c r="X603" s="33">
        <f t="shared" si="48"/>
        <v>0</v>
      </c>
      <c r="Y603" s="33">
        <f ca="1">SUMPRODUCT((I603:INDEX(I603:T603,MONTH(TODAY()))="X")*1)</f>
        <v>0</v>
      </c>
      <c r="Z603" s="39" t="str">
        <f t="shared" si="49"/>
        <v/>
      </c>
    </row>
    <row r="604" spans="1:26" x14ac:dyDescent="0.25">
      <c r="A604" s="37" t="str">
        <f>Equipos!C602</f>
        <v>2-028015</v>
      </c>
      <c r="B604" s="33" t="str">
        <f>Equipos!D602</f>
        <v>Monitor Multiparámetros</v>
      </c>
      <c r="C604" s="33" t="str">
        <f>Equipos!E602</f>
        <v xml:space="preserve">Urgencia Infantil </v>
      </c>
      <c r="D604" s="33">
        <f>Equipos!G602</f>
        <v>0</v>
      </c>
      <c r="E604" s="33" t="str">
        <f>Equipos!I602</f>
        <v xml:space="preserve">Nihon Kohden </v>
      </c>
      <c r="F604" s="33" t="str">
        <f>Equipos!J602</f>
        <v>Vismo PVM-2703K</v>
      </c>
      <c r="G604" s="37" t="str">
        <f>Equipos!K602</f>
        <v>0105413.</v>
      </c>
      <c r="H604" s="33"/>
      <c r="I604" s="38"/>
      <c r="J604" s="38"/>
      <c r="K604" s="50" t="s">
        <v>275</v>
      </c>
      <c r="L604" s="38"/>
      <c r="M604" s="38"/>
      <c r="N604" s="38"/>
      <c r="O604" s="38"/>
      <c r="P604" s="38"/>
      <c r="Q604" s="38"/>
      <c r="R604" s="38"/>
      <c r="S604" s="38"/>
      <c r="T604" s="38"/>
      <c r="U604" s="33">
        <f t="shared" si="45"/>
        <v>1</v>
      </c>
      <c r="V604" s="33">
        <f t="shared" si="46"/>
        <v>1</v>
      </c>
      <c r="W604" s="33">
        <f t="shared" si="47"/>
        <v>0</v>
      </c>
      <c r="X604" s="33">
        <f t="shared" si="48"/>
        <v>0</v>
      </c>
      <c r="Y604" s="33">
        <f ca="1">SUMPRODUCT((I604:INDEX(I604:T604,MONTH(TODAY()))="X")*1)</f>
        <v>0</v>
      </c>
      <c r="Z604" s="39">
        <f t="shared" si="49"/>
        <v>1</v>
      </c>
    </row>
    <row r="605" spans="1:26" x14ac:dyDescent="0.25">
      <c r="A605" s="37" t="str">
        <f>Equipos!C603</f>
        <v>2-023575</v>
      </c>
      <c r="B605" s="33" t="str">
        <f>Equipos!D603</f>
        <v>Monitor Multiparámetros</v>
      </c>
      <c r="C605" s="33" t="str">
        <f>Equipos!E603</f>
        <v>Urgencia Adulto</v>
      </c>
      <c r="D605" s="33" t="str">
        <f>Equipos!G603</f>
        <v>OBS. 3</v>
      </c>
      <c r="E605" s="33" t="str">
        <f>Equipos!I603</f>
        <v xml:space="preserve">Nihon Kohden </v>
      </c>
      <c r="F605" s="33" t="str">
        <f>Equipos!J603</f>
        <v>Vismo PVM-2703K</v>
      </c>
      <c r="G605" s="37" t="str">
        <f>Equipos!K603</f>
        <v>105784</v>
      </c>
      <c r="H605" s="33"/>
      <c r="I605" s="38"/>
      <c r="J605" s="38"/>
      <c r="K605" s="50" t="s">
        <v>275</v>
      </c>
      <c r="L605" s="38"/>
      <c r="M605" s="38"/>
      <c r="N605" s="38"/>
      <c r="O605" s="38"/>
      <c r="P605" s="38"/>
      <c r="Q605" s="38"/>
      <c r="R605" s="38"/>
      <c r="S605" s="38"/>
      <c r="T605" s="38"/>
      <c r="U605" s="33">
        <f t="shared" si="45"/>
        <v>1</v>
      </c>
      <c r="V605" s="33">
        <f t="shared" si="46"/>
        <v>1</v>
      </c>
      <c r="W605" s="33">
        <f t="shared" si="47"/>
        <v>0</v>
      </c>
      <c r="X605" s="33">
        <f t="shared" si="48"/>
        <v>0</v>
      </c>
      <c r="Y605" s="33">
        <f ca="1">SUMPRODUCT((I605:INDEX(I605:T605,MONTH(TODAY()))="X")*1)</f>
        <v>0</v>
      </c>
      <c r="Z605" s="39">
        <f t="shared" si="49"/>
        <v>1</v>
      </c>
    </row>
    <row r="606" spans="1:26" x14ac:dyDescent="0.25">
      <c r="A606" s="37" t="str">
        <f>Equipos!C604</f>
        <v>2-112508</v>
      </c>
      <c r="B606" s="33" t="str">
        <f>Equipos!D604</f>
        <v>Monitor Multiparámetros</v>
      </c>
      <c r="C606" s="33" t="str">
        <f>Equipos!E604</f>
        <v>Urgencia Infantil</v>
      </c>
      <c r="D606" s="33" t="str">
        <f>Equipos!G604</f>
        <v>Reanimación SUI</v>
      </c>
      <c r="E606" s="33" t="str">
        <f>Equipos!I604</f>
        <v xml:space="preserve">Nihon Kohden </v>
      </c>
      <c r="F606" s="33" t="str">
        <f>Equipos!J604</f>
        <v>Vismo PVM-2703K</v>
      </c>
      <c r="G606" s="37" t="str">
        <f>Equipos!K604</f>
        <v>0105405.</v>
      </c>
      <c r="H606" s="33"/>
      <c r="I606" s="38"/>
      <c r="J606" s="38"/>
      <c r="K606" s="50" t="s">
        <v>275</v>
      </c>
      <c r="L606" s="38"/>
      <c r="M606" s="38"/>
      <c r="N606" s="38"/>
      <c r="O606" s="38"/>
      <c r="P606" s="38"/>
      <c r="Q606" s="38"/>
      <c r="R606" s="38"/>
      <c r="S606" s="38"/>
      <c r="T606" s="38"/>
      <c r="U606" s="33">
        <f t="shared" si="45"/>
        <v>1</v>
      </c>
      <c r="V606" s="33">
        <f t="shared" si="46"/>
        <v>1</v>
      </c>
      <c r="W606" s="33">
        <f t="shared" si="47"/>
        <v>0</v>
      </c>
      <c r="X606" s="33">
        <f t="shared" si="48"/>
        <v>0</v>
      </c>
      <c r="Y606" s="33">
        <f ca="1">SUMPRODUCT((I606:INDEX(I606:T606,MONTH(TODAY()))="X")*1)</f>
        <v>0</v>
      </c>
      <c r="Z606" s="39">
        <f t="shared" si="49"/>
        <v>1</v>
      </c>
    </row>
    <row r="607" spans="1:26" x14ac:dyDescent="0.25">
      <c r="A607" s="37" t="str">
        <f>Equipos!C605</f>
        <v>2-023536</v>
      </c>
      <c r="B607" s="33" t="str">
        <f>Equipos!D605</f>
        <v>Monitor Multiparámetros</v>
      </c>
      <c r="C607" s="33" t="str">
        <f>Equipos!E605</f>
        <v>Urgencia Infantil</v>
      </c>
      <c r="D607" s="33" t="str">
        <f>Equipos!G605</f>
        <v>Box 2 SAR</v>
      </c>
      <c r="E607" s="33" t="str">
        <f>Equipos!I605</f>
        <v xml:space="preserve">Nihon Kohden </v>
      </c>
      <c r="F607" s="33" t="str">
        <f>Equipos!J605</f>
        <v>Vismo PVM-2703K</v>
      </c>
      <c r="G607" s="37" t="str">
        <f>Equipos!K605</f>
        <v>0105409.</v>
      </c>
      <c r="H607" s="33"/>
      <c r="I607" s="38"/>
      <c r="J607" s="38"/>
      <c r="K607" s="50" t="s">
        <v>275</v>
      </c>
      <c r="L607" s="38"/>
      <c r="M607" s="38"/>
      <c r="N607" s="38"/>
      <c r="O607" s="38"/>
      <c r="P607" s="38"/>
      <c r="Q607" s="38"/>
      <c r="R607" s="38"/>
      <c r="S607" s="38"/>
      <c r="T607" s="38"/>
      <c r="U607" s="33">
        <f t="shared" si="45"/>
        <v>1</v>
      </c>
      <c r="V607" s="33">
        <f t="shared" si="46"/>
        <v>1</v>
      </c>
      <c r="W607" s="33">
        <f t="shared" si="47"/>
        <v>0</v>
      </c>
      <c r="X607" s="33">
        <f t="shared" si="48"/>
        <v>0</v>
      </c>
      <c r="Y607" s="33">
        <f ca="1">SUMPRODUCT((I607:INDEX(I607:T607,MONTH(TODAY()))="X")*1)</f>
        <v>0</v>
      </c>
      <c r="Z607" s="39">
        <f t="shared" si="49"/>
        <v>1</v>
      </c>
    </row>
    <row r="608" spans="1:26" x14ac:dyDescent="0.25">
      <c r="A608" s="37" t="str">
        <f>Equipos!C606</f>
        <v>2-112510</v>
      </c>
      <c r="B608" s="33" t="str">
        <f>Equipos!D606</f>
        <v>Monitor Multiparámetros</v>
      </c>
      <c r="C608" s="33" t="str">
        <f>Equipos!E606</f>
        <v>Urgencia Adulto</v>
      </c>
      <c r="D608" s="33" t="str">
        <f>Equipos!G606</f>
        <v>Neurocirug√≠a</v>
      </c>
      <c r="E608" s="33" t="str">
        <f>Equipos!I606</f>
        <v xml:space="preserve">Nihon Kohden </v>
      </c>
      <c r="F608" s="33" t="str">
        <f>Equipos!J606</f>
        <v>Vismo PVM-2703K</v>
      </c>
      <c r="G608" s="37" t="str">
        <f>Equipos!K606</f>
        <v>105804</v>
      </c>
      <c r="H608" s="33"/>
      <c r="I608" s="38"/>
      <c r="J608" s="38"/>
      <c r="K608" s="50" t="s">
        <v>275</v>
      </c>
      <c r="L608" s="38"/>
      <c r="M608" s="38"/>
      <c r="N608" s="38"/>
      <c r="O608" s="38"/>
      <c r="P608" s="38"/>
      <c r="Q608" s="38"/>
      <c r="R608" s="38"/>
      <c r="S608" s="38"/>
      <c r="T608" s="38"/>
      <c r="U608" s="33">
        <f t="shared" si="45"/>
        <v>1</v>
      </c>
      <c r="V608" s="33">
        <f t="shared" si="46"/>
        <v>1</v>
      </c>
      <c r="W608" s="33">
        <f t="shared" si="47"/>
        <v>0</v>
      </c>
      <c r="X608" s="33">
        <f t="shared" si="48"/>
        <v>0</v>
      </c>
      <c r="Y608" s="33">
        <f ca="1">SUMPRODUCT((I608:INDEX(I608:T608,MONTH(TODAY()))="X")*1)</f>
        <v>0</v>
      </c>
      <c r="Z608" s="39">
        <f t="shared" si="49"/>
        <v>1</v>
      </c>
    </row>
    <row r="609" spans="1:26" x14ac:dyDescent="0.25">
      <c r="A609" s="37" t="str">
        <f>Equipos!C607</f>
        <v>2-112511</v>
      </c>
      <c r="B609" s="33" t="str">
        <f>Equipos!D607</f>
        <v>Monitor Multiparámetros</v>
      </c>
      <c r="C609" s="33" t="str">
        <f>Equipos!E607</f>
        <v>Urgencia Adulto</v>
      </c>
      <c r="D609" s="33" t="str">
        <f>Equipos!G607</f>
        <v>Box A-5</v>
      </c>
      <c r="E609" s="33" t="str">
        <f>Equipos!I607</f>
        <v xml:space="preserve">Nihon Kohden </v>
      </c>
      <c r="F609" s="33" t="str">
        <f>Equipos!J607</f>
        <v>Vismo PVM-2703K</v>
      </c>
      <c r="G609" s="37" t="str">
        <f>Equipos!K607</f>
        <v>107080</v>
      </c>
      <c r="H609" s="33"/>
      <c r="I609" s="38"/>
      <c r="J609" s="38"/>
      <c r="K609" s="50" t="s">
        <v>275</v>
      </c>
      <c r="L609" s="38"/>
      <c r="M609" s="38"/>
      <c r="N609" s="38"/>
      <c r="O609" s="38"/>
      <c r="P609" s="38"/>
      <c r="Q609" s="38"/>
      <c r="R609" s="38"/>
      <c r="S609" s="38"/>
      <c r="T609" s="38"/>
      <c r="U609" s="33">
        <f t="shared" si="45"/>
        <v>1</v>
      </c>
      <c r="V609" s="33">
        <f t="shared" si="46"/>
        <v>1</v>
      </c>
      <c r="W609" s="33">
        <f t="shared" si="47"/>
        <v>0</v>
      </c>
      <c r="X609" s="33">
        <f t="shared" si="48"/>
        <v>0</v>
      </c>
      <c r="Y609" s="33">
        <f ca="1">SUMPRODUCT((I609:INDEX(I609:T609,MONTH(TODAY()))="X")*1)</f>
        <v>0</v>
      </c>
      <c r="Z609" s="39">
        <f t="shared" si="49"/>
        <v>1</v>
      </c>
    </row>
    <row r="610" spans="1:26" x14ac:dyDescent="0.25">
      <c r="A610" s="37" t="str">
        <f>Equipos!C608</f>
        <v>2-027994</v>
      </c>
      <c r="B610" s="33" t="str">
        <f>Equipos!D608</f>
        <v>Monitor Multiparámetros</v>
      </c>
      <c r="C610" s="33" t="str">
        <f>Equipos!E608</f>
        <v>Urgencia Adulto</v>
      </c>
      <c r="D610" s="33" t="str">
        <f>Equipos!G608</f>
        <v>Box A-3</v>
      </c>
      <c r="E610" s="33" t="str">
        <f>Equipos!I608</f>
        <v xml:space="preserve">Nihon Kohden </v>
      </c>
      <c r="F610" s="33" t="str">
        <f>Equipos!J608</f>
        <v>Vismo PVM-2703K</v>
      </c>
      <c r="G610" s="37" t="str">
        <f>Equipos!K608</f>
        <v>0107075.</v>
      </c>
      <c r="H610" s="33"/>
      <c r="I610" s="38"/>
      <c r="J610" s="38"/>
      <c r="K610" s="50" t="s">
        <v>275</v>
      </c>
      <c r="L610" s="38"/>
      <c r="M610" s="38"/>
      <c r="N610" s="38"/>
      <c r="O610" s="38"/>
      <c r="P610" s="38"/>
      <c r="Q610" s="38"/>
      <c r="R610" s="38"/>
      <c r="S610" s="38"/>
      <c r="T610" s="38"/>
      <c r="U610" s="33">
        <f t="shared" si="45"/>
        <v>1</v>
      </c>
      <c r="V610" s="33">
        <f t="shared" si="46"/>
        <v>1</v>
      </c>
      <c r="W610" s="33">
        <f t="shared" si="47"/>
        <v>0</v>
      </c>
      <c r="X610" s="33">
        <f t="shared" si="48"/>
        <v>0</v>
      </c>
      <c r="Y610" s="33">
        <f ca="1">SUMPRODUCT((I610:INDEX(I610:T610,MONTH(TODAY()))="X")*1)</f>
        <v>0</v>
      </c>
      <c r="Z610" s="39">
        <f t="shared" si="49"/>
        <v>1</v>
      </c>
    </row>
    <row r="611" spans="1:26" x14ac:dyDescent="0.25">
      <c r="A611" s="37" t="str">
        <f>Equipos!C609</f>
        <v>2-112512</v>
      </c>
      <c r="B611" s="33" t="str">
        <f>Equipos!D609</f>
        <v>Monitor Multiparámetros</v>
      </c>
      <c r="C611" s="33" t="str">
        <f>Equipos!E609</f>
        <v>Urgencia Infantil</v>
      </c>
      <c r="D611" s="33" t="str">
        <f>Equipos!G609</f>
        <v>SUI Observaci√≥n</v>
      </c>
      <c r="E611" s="33" t="str">
        <f>Equipos!I609</f>
        <v xml:space="preserve">Nihon Kohden </v>
      </c>
      <c r="F611" s="33" t="str">
        <f>Equipos!J609</f>
        <v>Vismo PVM-2703K</v>
      </c>
      <c r="G611" s="37" t="str">
        <f>Equipos!K609</f>
        <v>0107083.</v>
      </c>
      <c r="H611" s="33"/>
      <c r="I611" s="38"/>
      <c r="J611" s="38"/>
      <c r="K611" s="50" t="s">
        <v>275</v>
      </c>
      <c r="L611" s="38"/>
      <c r="M611" s="38"/>
      <c r="N611" s="38"/>
      <c r="O611" s="38"/>
      <c r="P611" s="38"/>
      <c r="Q611" s="38"/>
      <c r="R611" s="38"/>
      <c r="S611" s="38"/>
      <c r="T611" s="38"/>
      <c r="U611" s="33">
        <f t="shared" si="45"/>
        <v>1</v>
      </c>
      <c r="V611" s="33">
        <f t="shared" si="46"/>
        <v>1</v>
      </c>
      <c r="W611" s="33">
        <f t="shared" si="47"/>
        <v>0</v>
      </c>
      <c r="X611" s="33">
        <f t="shared" si="48"/>
        <v>0</v>
      </c>
      <c r="Y611" s="33">
        <f ca="1">SUMPRODUCT((I611:INDEX(I611:T611,MONTH(TODAY()))="X")*1)</f>
        <v>0</v>
      </c>
      <c r="Z611" s="39">
        <f t="shared" si="49"/>
        <v>1</v>
      </c>
    </row>
    <row r="612" spans="1:26" x14ac:dyDescent="0.25">
      <c r="A612" s="37">
        <f>Equipos!C610</f>
        <v>0</v>
      </c>
      <c r="B612" s="33" t="str">
        <f>Equipos!D610</f>
        <v>Monitor Multiparámetros</v>
      </c>
      <c r="C612" s="33">
        <f>Equipos!E610</f>
        <v>0</v>
      </c>
      <c r="D612" s="33">
        <f>Equipos!G610</f>
        <v>0</v>
      </c>
      <c r="E612" s="33">
        <f>Equipos!I610</f>
        <v>0</v>
      </c>
      <c r="F612" s="33">
        <f>Equipos!J610</f>
        <v>0</v>
      </c>
      <c r="G612" s="37">
        <f>Equipos!K610</f>
        <v>0</v>
      </c>
      <c r="H612" s="33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3">
        <f t="shared" si="45"/>
        <v>0</v>
      </c>
      <c r="V612" s="33">
        <f t="shared" si="46"/>
        <v>0</v>
      </c>
      <c r="W612" s="33">
        <f t="shared" si="47"/>
        <v>0</v>
      </c>
      <c r="X612" s="33">
        <f t="shared" si="48"/>
        <v>0</v>
      </c>
      <c r="Y612" s="33">
        <f ca="1">SUMPRODUCT((I612:INDEX(I612:T612,MONTH(TODAY()))="X")*1)</f>
        <v>0</v>
      </c>
      <c r="Z612" s="39" t="str">
        <f t="shared" si="49"/>
        <v/>
      </c>
    </row>
    <row r="613" spans="1:26" x14ac:dyDescent="0.25">
      <c r="A613" s="37" t="str">
        <f>Equipos!C611</f>
        <v>2-028043</v>
      </c>
      <c r="B613" s="33" t="str">
        <f>Equipos!D611</f>
        <v>Monitor Multiparámetros</v>
      </c>
      <c r="C613" s="33" t="str">
        <f>Equipos!E611</f>
        <v>Urgencia Infantil</v>
      </c>
      <c r="D613" s="33" t="str">
        <f>Equipos!G611</f>
        <v>SUI Sala IRA</v>
      </c>
      <c r="E613" s="33" t="str">
        <f>Equipos!I611</f>
        <v xml:space="preserve">Nihon Kohden </v>
      </c>
      <c r="F613" s="33" t="str">
        <f>Equipos!J611</f>
        <v>Vismo PVM-2703K</v>
      </c>
      <c r="G613" s="37" t="str">
        <f>Equipos!K611</f>
        <v>0107101.</v>
      </c>
      <c r="H613" s="33"/>
      <c r="I613" s="38"/>
      <c r="J613" s="38"/>
      <c r="K613" s="50" t="s">
        <v>275</v>
      </c>
      <c r="L613" s="38"/>
      <c r="M613" s="38"/>
      <c r="N613" s="38"/>
      <c r="O613" s="38"/>
      <c r="P613" s="38"/>
      <c r="Q613" s="38"/>
      <c r="R613" s="38"/>
      <c r="S613" s="38"/>
      <c r="T613" s="38"/>
      <c r="U613" s="33">
        <f t="shared" si="45"/>
        <v>1</v>
      </c>
      <c r="V613" s="33">
        <f t="shared" si="46"/>
        <v>1</v>
      </c>
      <c r="W613" s="33">
        <f t="shared" si="47"/>
        <v>0</v>
      </c>
      <c r="X613" s="33">
        <f t="shared" si="48"/>
        <v>0</v>
      </c>
      <c r="Y613" s="33">
        <f ca="1">SUMPRODUCT((I613:INDEX(I613:T613,MONTH(TODAY()))="X")*1)</f>
        <v>0</v>
      </c>
      <c r="Z613" s="39">
        <f t="shared" si="49"/>
        <v>1</v>
      </c>
    </row>
    <row r="614" spans="1:26" x14ac:dyDescent="0.25">
      <c r="A614" s="37" t="str">
        <f>Equipos!C612</f>
        <v>2-112514</v>
      </c>
      <c r="B614" s="33" t="str">
        <f>Equipos!D612</f>
        <v>Monitor Multiparámetros</v>
      </c>
      <c r="C614" s="33" t="str">
        <f>Equipos!E612</f>
        <v>Urgencia Infantil</v>
      </c>
      <c r="D614" s="33" t="str">
        <f>Equipos!G612</f>
        <v>Bodega Equipos SUI</v>
      </c>
      <c r="E614" s="33" t="str">
        <f>Equipos!I612</f>
        <v xml:space="preserve">Nihon Kohden </v>
      </c>
      <c r="F614" s="33" t="str">
        <f>Equipos!J612</f>
        <v>Vismo PVM-2703K</v>
      </c>
      <c r="G614" s="37" t="str">
        <f>Equipos!K612</f>
        <v>0107093.</v>
      </c>
      <c r="H614" s="33"/>
      <c r="I614" s="38"/>
      <c r="J614" s="38"/>
      <c r="K614" s="50" t="s">
        <v>275</v>
      </c>
      <c r="L614" s="38"/>
      <c r="M614" s="38"/>
      <c r="N614" s="38"/>
      <c r="O614" s="38"/>
      <c r="P614" s="38"/>
      <c r="Q614" s="38"/>
      <c r="R614" s="38"/>
      <c r="S614" s="38"/>
      <c r="T614" s="38"/>
      <c r="U614" s="33">
        <f t="shared" si="45"/>
        <v>1</v>
      </c>
      <c r="V614" s="33">
        <f t="shared" si="46"/>
        <v>1</v>
      </c>
      <c r="W614" s="33">
        <f t="shared" si="47"/>
        <v>0</v>
      </c>
      <c r="X614" s="33">
        <f t="shared" si="48"/>
        <v>0</v>
      </c>
      <c r="Y614" s="33">
        <f ca="1">SUMPRODUCT((I614:INDEX(I614:T614,MONTH(TODAY()))="X")*1)</f>
        <v>0</v>
      </c>
      <c r="Z614" s="39">
        <f t="shared" si="49"/>
        <v>1</v>
      </c>
    </row>
    <row r="615" spans="1:26" x14ac:dyDescent="0.25">
      <c r="A615" s="37" t="str">
        <f>Equipos!C613</f>
        <v>2-112515</v>
      </c>
      <c r="B615" s="33" t="str">
        <f>Equipos!D613</f>
        <v>Monitor Multiparámetros</v>
      </c>
      <c r="C615" s="33" t="str">
        <f>Equipos!E613</f>
        <v>Urgencia Infantil</v>
      </c>
      <c r="D615" s="33" t="str">
        <f>Equipos!G613</f>
        <v>Bodega Equipos SUI</v>
      </c>
      <c r="E615" s="33" t="str">
        <f>Equipos!I613</f>
        <v xml:space="preserve">Nihon Kohden </v>
      </c>
      <c r="F615" s="33" t="str">
        <f>Equipos!J613</f>
        <v>Vismo PVM-2703K</v>
      </c>
      <c r="G615" s="37" t="str">
        <f>Equipos!K613</f>
        <v>0107077.</v>
      </c>
      <c r="H615" s="33"/>
      <c r="I615" s="38"/>
      <c r="J615" s="38"/>
      <c r="K615" s="50" t="s">
        <v>275</v>
      </c>
      <c r="L615" s="38"/>
      <c r="M615" s="38"/>
      <c r="N615" s="38"/>
      <c r="O615" s="38"/>
      <c r="P615" s="38"/>
      <c r="Q615" s="38"/>
      <c r="R615" s="38"/>
      <c r="S615" s="38"/>
      <c r="T615" s="38"/>
      <c r="U615" s="33">
        <f t="shared" si="45"/>
        <v>1</v>
      </c>
      <c r="V615" s="33">
        <f t="shared" si="46"/>
        <v>1</v>
      </c>
      <c r="W615" s="33">
        <f t="shared" si="47"/>
        <v>0</v>
      </c>
      <c r="X615" s="33">
        <f t="shared" si="48"/>
        <v>0</v>
      </c>
      <c r="Y615" s="33">
        <f ca="1">SUMPRODUCT((I615:INDEX(I615:T615,MONTH(TODAY()))="X")*1)</f>
        <v>0</v>
      </c>
      <c r="Z615" s="39">
        <f t="shared" si="49"/>
        <v>1</v>
      </c>
    </row>
    <row r="616" spans="1:26" x14ac:dyDescent="0.25">
      <c r="A616" s="37" t="str">
        <f>Equipos!C614</f>
        <v>2-022372</v>
      </c>
      <c r="B616" s="33" t="str">
        <f>Equipos!D614</f>
        <v>Monitor Multiparámetros</v>
      </c>
      <c r="C616" s="33" t="str">
        <f>Equipos!E614</f>
        <v>Urgencias Gineco-Obstétricas</v>
      </c>
      <c r="D616" s="33">
        <f>Equipos!G614</f>
        <v>0</v>
      </c>
      <c r="E616" s="33" t="str">
        <f>Equipos!I614</f>
        <v xml:space="preserve">Nihon Kohden </v>
      </c>
      <c r="F616" s="33" t="str">
        <f>Equipos!J614</f>
        <v>Vismo PVM-2703K</v>
      </c>
      <c r="G616" s="37" t="str">
        <f>Equipos!K614</f>
        <v>107076</v>
      </c>
      <c r="H616" s="33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3">
        <f t="shared" si="45"/>
        <v>0</v>
      </c>
      <c r="V616" s="33">
        <f t="shared" si="46"/>
        <v>0</v>
      </c>
      <c r="W616" s="33">
        <f t="shared" si="47"/>
        <v>0</v>
      </c>
      <c r="X616" s="33">
        <f t="shared" si="48"/>
        <v>0</v>
      </c>
      <c r="Y616" s="33">
        <f ca="1">SUMPRODUCT((I616:INDEX(I616:T616,MONTH(TODAY()))="X")*1)</f>
        <v>0</v>
      </c>
      <c r="Z616" s="39" t="str">
        <f t="shared" si="49"/>
        <v/>
      </c>
    </row>
    <row r="617" spans="1:26" x14ac:dyDescent="0.25">
      <c r="A617" s="37" t="str">
        <f>Equipos!C615</f>
        <v>2-015816</v>
      </c>
      <c r="B617" s="33" t="str">
        <f>Equipos!D615</f>
        <v>Monitor Multiparámetros</v>
      </c>
      <c r="C617" s="33" t="str">
        <f>Equipos!E615</f>
        <v>Urgencias Gineco-Obstétricas</v>
      </c>
      <c r="D617" s="33" t="str">
        <f>Equipos!G615</f>
        <v>Preparto</v>
      </c>
      <c r="E617" s="33" t="str">
        <f>Equipos!I615</f>
        <v xml:space="preserve">Nihon Kohden </v>
      </c>
      <c r="F617" s="33" t="str">
        <f>Equipos!J615</f>
        <v>Vismo PVM-2703K</v>
      </c>
      <c r="G617" s="37" t="str">
        <f>Equipos!K615</f>
        <v>107110</v>
      </c>
      <c r="H617" s="33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3">
        <f t="shared" si="45"/>
        <v>0</v>
      </c>
      <c r="V617" s="33">
        <f t="shared" si="46"/>
        <v>0</v>
      </c>
      <c r="W617" s="33">
        <f t="shared" si="47"/>
        <v>0</v>
      </c>
      <c r="X617" s="33">
        <f t="shared" si="48"/>
        <v>0</v>
      </c>
      <c r="Y617" s="33">
        <f ca="1">SUMPRODUCT((I617:INDEX(I617:T617,MONTH(TODAY()))="X")*1)</f>
        <v>0</v>
      </c>
      <c r="Z617" s="39" t="str">
        <f t="shared" si="49"/>
        <v/>
      </c>
    </row>
    <row r="618" spans="1:26" x14ac:dyDescent="0.25">
      <c r="A618" s="37" t="str">
        <f>Equipos!C616</f>
        <v>2-112516</v>
      </c>
      <c r="B618" s="33" t="str">
        <f>Equipos!D616</f>
        <v>Monitor Multiparámetros</v>
      </c>
      <c r="C618" s="33" t="str">
        <f>Equipos!E616</f>
        <v>Peritoneodiálisis Adulto</v>
      </c>
      <c r="D618" s="33" t="str">
        <f>Equipos!G616</f>
        <v>Sala de equipos</v>
      </c>
      <c r="E618" s="33" t="str">
        <f>Equipos!I616</f>
        <v>Philips</v>
      </c>
      <c r="F618" s="33" t="str">
        <f>Equipos!J616</f>
        <v>G70</v>
      </c>
      <c r="G618" s="37" t="str">
        <f>Equipos!K616</f>
        <v>CN23200081</v>
      </c>
      <c r="H618" s="33"/>
      <c r="I618" s="38"/>
      <c r="J618" s="38"/>
      <c r="K618" s="50" t="s">
        <v>276</v>
      </c>
      <c r="L618" s="38"/>
      <c r="M618" s="38"/>
      <c r="N618" s="38"/>
      <c r="O618" s="38"/>
      <c r="P618" s="38"/>
      <c r="Q618" s="38"/>
      <c r="R618" s="38"/>
      <c r="S618" s="38"/>
      <c r="T618" s="38"/>
      <c r="U618" s="33">
        <f t="shared" si="45"/>
        <v>1</v>
      </c>
      <c r="V618" s="33">
        <f t="shared" si="46"/>
        <v>0</v>
      </c>
      <c r="W618" s="33">
        <f t="shared" si="47"/>
        <v>0</v>
      </c>
      <c r="X618" s="33">
        <f t="shared" si="48"/>
        <v>0</v>
      </c>
      <c r="Y618" s="33">
        <f ca="1">SUMPRODUCT((I618:INDEX(I618:T618,MONTH(TODAY()))="X")*1)</f>
        <v>0</v>
      </c>
      <c r="Z618" s="39">
        <f t="shared" si="49"/>
        <v>0</v>
      </c>
    </row>
    <row r="619" spans="1:26" x14ac:dyDescent="0.25">
      <c r="A619" s="37" t="str">
        <f>Equipos!C617</f>
        <v>2-112517</v>
      </c>
      <c r="B619" s="33" t="str">
        <f>Equipos!D617</f>
        <v>Monitor Multiparámetros</v>
      </c>
      <c r="C619" s="33" t="str">
        <f>Equipos!E617</f>
        <v>Urgencia Adulto</v>
      </c>
      <c r="D619" s="33" t="str">
        <f>Equipos!G617</f>
        <v xml:space="preserve">Box 0 </v>
      </c>
      <c r="E619" s="33" t="str">
        <f>Equipos!I617</f>
        <v>Philips</v>
      </c>
      <c r="F619" s="33" t="str">
        <f>Equipos!J617</f>
        <v>G70</v>
      </c>
      <c r="G619" s="37" t="str">
        <f>Equipos!K617</f>
        <v>CN23200082</v>
      </c>
      <c r="H619" s="33"/>
      <c r="I619" s="38"/>
      <c r="J619" s="38"/>
      <c r="K619" s="50" t="s">
        <v>275</v>
      </c>
      <c r="L619" s="38"/>
      <c r="M619" s="38"/>
      <c r="N619" s="38"/>
      <c r="O619" s="38"/>
      <c r="P619" s="38"/>
      <c r="Q619" s="38"/>
      <c r="R619" s="38"/>
      <c r="S619" s="38"/>
      <c r="T619" s="38"/>
      <c r="U619" s="33">
        <f t="shared" si="45"/>
        <v>1</v>
      </c>
      <c r="V619" s="33">
        <f t="shared" si="46"/>
        <v>1</v>
      </c>
      <c r="W619" s="33">
        <f t="shared" si="47"/>
        <v>0</v>
      </c>
      <c r="X619" s="33">
        <f t="shared" si="48"/>
        <v>0</v>
      </c>
      <c r="Y619" s="33">
        <f ca="1">SUMPRODUCT((I619:INDEX(I619:T619,MONTH(TODAY()))="X")*1)</f>
        <v>0</v>
      </c>
      <c r="Z619" s="39">
        <f t="shared" si="49"/>
        <v>1</v>
      </c>
    </row>
    <row r="620" spans="1:26" x14ac:dyDescent="0.25">
      <c r="A620" s="37" t="str">
        <f>Equipos!C618</f>
        <v>2-023482</v>
      </c>
      <c r="B620" s="33" t="str">
        <f>Equipos!D618</f>
        <v>Monitor Multiparámetros</v>
      </c>
      <c r="C620" s="33" t="str">
        <f>Equipos!E618</f>
        <v>Urgencia Adulto</v>
      </c>
      <c r="D620" s="33" t="str">
        <f>Equipos!G618</f>
        <v>Sala de equipos</v>
      </c>
      <c r="E620" s="33" t="str">
        <f>Equipos!I618</f>
        <v>Drager</v>
      </c>
      <c r="F620" s="33" t="str">
        <f>Equipos!J618</f>
        <v>Vista 120</v>
      </c>
      <c r="G620" s="37" t="str">
        <f>Equipos!K618</f>
        <v>VTSHD0109</v>
      </c>
      <c r="H620" s="33"/>
      <c r="I620" s="38"/>
      <c r="J620" s="38"/>
      <c r="K620" s="50" t="s">
        <v>275</v>
      </c>
      <c r="L620" s="38"/>
      <c r="M620" s="38"/>
      <c r="N620" s="38"/>
      <c r="O620" s="38"/>
      <c r="P620" s="38"/>
      <c r="Q620" s="38"/>
      <c r="R620" s="38"/>
      <c r="S620" s="38"/>
      <c r="T620" s="38"/>
      <c r="U620" s="33">
        <f t="shared" si="45"/>
        <v>1</v>
      </c>
      <c r="V620" s="33">
        <f t="shared" si="46"/>
        <v>1</v>
      </c>
      <c r="W620" s="33">
        <f t="shared" si="47"/>
        <v>0</v>
      </c>
      <c r="X620" s="33">
        <f t="shared" si="48"/>
        <v>0</v>
      </c>
      <c r="Y620" s="33">
        <f ca="1">SUMPRODUCT((I620:INDEX(I620:T620,MONTH(TODAY()))="X")*1)</f>
        <v>0</v>
      </c>
      <c r="Z620" s="39">
        <f t="shared" si="49"/>
        <v>1</v>
      </c>
    </row>
    <row r="621" spans="1:26" x14ac:dyDescent="0.25">
      <c r="A621" s="37" t="str">
        <f>Equipos!C619</f>
        <v>2-016543</v>
      </c>
      <c r="B621" s="33" t="str">
        <f>Equipos!D619</f>
        <v>Monitor Multiparámetros</v>
      </c>
      <c r="C621" s="33" t="str">
        <f>Equipos!E619</f>
        <v>Neurocirugía</v>
      </c>
      <c r="D621" s="33" t="str">
        <f>Equipos!G619</f>
        <v>Portatil</v>
      </c>
      <c r="E621" s="33" t="str">
        <f>Equipos!I619</f>
        <v>Drager</v>
      </c>
      <c r="F621" s="33" t="str">
        <f>Equipos!J619</f>
        <v>Vista 120</v>
      </c>
      <c r="G621" s="37" t="str">
        <f>Equipos!K619</f>
        <v>VTSHD0102</v>
      </c>
      <c r="H621" s="33"/>
      <c r="I621" s="38"/>
      <c r="J621" s="38"/>
      <c r="K621" s="50" t="s">
        <v>276</v>
      </c>
      <c r="L621" s="50" t="s">
        <v>275</v>
      </c>
      <c r="M621" s="38"/>
      <c r="N621" s="38"/>
      <c r="O621" s="38"/>
      <c r="P621" s="38"/>
      <c r="Q621" s="38"/>
      <c r="R621" s="38"/>
      <c r="S621" s="38"/>
      <c r="T621" s="38"/>
      <c r="U621" s="33">
        <f t="shared" si="45"/>
        <v>2</v>
      </c>
      <c r="V621" s="33">
        <f t="shared" si="46"/>
        <v>1</v>
      </c>
      <c r="W621" s="33">
        <f t="shared" si="47"/>
        <v>0</v>
      </c>
      <c r="X621" s="33">
        <f t="shared" si="48"/>
        <v>0</v>
      </c>
      <c r="Y621" s="33">
        <f ca="1">SUMPRODUCT((I621:INDEX(I621:T621,MONTH(TODAY()))="X")*1)</f>
        <v>0</v>
      </c>
      <c r="Z621" s="39">
        <f t="shared" si="49"/>
        <v>0.5</v>
      </c>
    </row>
    <row r="622" spans="1:26" x14ac:dyDescent="0.25">
      <c r="A622" s="37" t="str">
        <f>Equipos!C620</f>
        <v>2-027894</v>
      </c>
      <c r="B622" s="33" t="str">
        <f>Equipos!D620</f>
        <v>Monitor Multiparámetros</v>
      </c>
      <c r="C622" s="33" t="str">
        <f>Equipos!E620</f>
        <v>Cirugía Adulto</v>
      </c>
      <c r="D622" s="33" t="str">
        <f>Equipos!G620</f>
        <v>EPA</v>
      </c>
      <c r="E622" s="33" t="str">
        <f>Equipos!I620</f>
        <v>Drager</v>
      </c>
      <c r="F622" s="33" t="str">
        <f>Equipos!J620</f>
        <v>Vista 120</v>
      </c>
      <c r="G622" s="37" t="str">
        <f>Equipos!K620</f>
        <v>VTSHD0071</v>
      </c>
      <c r="H622" s="33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3">
        <f t="shared" si="45"/>
        <v>0</v>
      </c>
      <c r="V622" s="33">
        <f t="shared" si="46"/>
        <v>0</v>
      </c>
      <c r="W622" s="33">
        <f t="shared" si="47"/>
        <v>0</v>
      </c>
      <c r="X622" s="33">
        <f t="shared" si="48"/>
        <v>0</v>
      </c>
      <c r="Y622" s="33">
        <f ca="1">SUMPRODUCT((I622:INDEX(I622:T622,MONTH(TODAY()))="X")*1)</f>
        <v>0</v>
      </c>
      <c r="Z622" s="39" t="str">
        <f t="shared" si="49"/>
        <v/>
      </c>
    </row>
    <row r="623" spans="1:26" x14ac:dyDescent="0.25">
      <c r="A623" s="37" t="str">
        <f>Equipos!C621</f>
        <v>2-023481</v>
      </c>
      <c r="B623" s="33" t="str">
        <f>Equipos!D621</f>
        <v>Monitor Multiparámetros</v>
      </c>
      <c r="C623" s="33" t="str">
        <f>Equipos!E621</f>
        <v>Pediatría</v>
      </c>
      <c r="D623" s="33" t="str">
        <f>Equipos!G621</f>
        <v>Segunda infancia</v>
      </c>
      <c r="E623" s="33" t="str">
        <f>Equipos!I621</f>
        <v>Drager</v>
      </c>
      <c r="F623" s="33" t="str">
        <f>Equipos!J621</f>
        <v>Vista 120</v>
      </c>
      <c r="G623" s="37" t="str">
        <f>Equipos!K621</f>
        <v>VTSHD0101</v>
      </c>
      <c r="H623" s="33"/>
      <c r="I623" s="50" t="s">
        <v>276</v>
      </c>
      <c r="J623" s="50" t="s">
        <v>275</v>
      </c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3">
        <f t="shared" si="45"/>
        <v>2</v>
      </c>
      <c r="V623" s="33">
        <f t="shared" si="46"/>
        <v>1</v>
      </c>
      <c r="W623" s="33">
        <f t="shared" si="47"/>
        <v>0</v>
      </c>
      <c r="X623" s="33">
        <f t="shared" si="48"/>
        <v>0</v>
      </c>
      <c r="Y623" s="33">
        <f ca="1">SUMPRODUCT((I623:INDEX(I623:T623,MONTH(TODAY()))="X")*1)</f>
        <v>0</v>
      </c>
      <c r="Z623" s="39">
        <f t="shared" si="49"/>
        <v>0.5</v>
      </c>
    </row>
    <row r="624" spans="1:26" x14ac:dyDescent="0.25">
      <c r="A624" s="37" t="str">
        <f>Equipos!C622</f>
        <v>2-016540</v>
      </c>
      <c r="B624" s="33" t="str">
        <f>Equipos!D622</f>
        <v>Monitor Multiparámetros</v>
      </c>
      <c r="C624" s="33" t="str">
        <f>Equipos!E622</f>
        <v>Neurocirugía</v>
      </c>
      <c r="D624" s="33" t="str">
        <f>Equipos!G622</f>
        <v>Cama 299-5</v>
      </c>
      <c r="E624" s="33" t="str">
        <f>Equipos!I622</f>
        <v>Drager</v>
      </c>
      <c r="F624" s="33" t="str">
        <f>Equipos!J622</f>
        <v>Vista 120</v>
      </c>
      <c r="G624" s="37" t="str">
        <f>Equipos!K622</f>
        <v>VTSHD0089</v>
      </c>
      <c r="H624" s="33"/>
      <c r="I624" s="38"/>
      <c r="J624" s="38"/>
      <c r="K624" s="50" t="s">
        <v>276</v>
      </c>
      <c r="L624" s="50" t="s">
        <v>275</v>
      </c>
      <c r="M624" s="38"/>
      <c r="N624" s="38"/>
      <c r="O624" s="38"/>
      <c r="P624" s="38"/>
      <c r="Q624" s="38"/>
      <c r="R624" s="38"/>
      <c r="S624" s="38"/>
      <c r="T624" s="38"/>
      <c r="U624" s="33">
        <f t="shared" si="45"/>
        <v>2</v>
      </c>
      <c r="V624" s="33">
        <f t="shared" si="46"/>
        <v>1</v>
      </c>
      <c r="W624" s="33">
        <f t="shared" si="47"/>
        <v>0</v>
      </c>
      <c r="X624" s="33">
        <f t="shared" si="48"/>
        <v>0</v>
      </c>
      <c r="Y624" s="33">
        <f ca="1">SUMPRODUCT((I624:INDEX(I624:T624,MONTH(TODAY()))="X")*1)</f>
        <v>0</v>
      </c>
      <c r="Z624" s="39">
        <f t="shared" si="49"/>
        <v>0.5</v>
      </c>
    </row>
    <row r="625" spans="1:26" x14ac:dyDescent="0.25">
      <c r="A625" s="37" t="str">
        <f>Equipos!C623</f>
        <v>2-027910</v>
      </c>
      <c r="B625" s="33" t="str">
        <f>Equipos!D623</f>
        <v>Monitor Multiparámetros</v>
      </c>
      <c r="C625" s="33" t="str">
        <f>Equipos!E623</f>
        <v>Pediatría</v>
      </c>
      <c r="D625" s="33" t="str">
        <f>Equipos!G623</f>
        <v>Lactantes</v>
      </c>
      <c r="E625" s="33" t="str">
        <f>Equipos!I623</f>
        <v>Drager</v>
      </c>
      <c r="F625" s="33" t="str">
        <f>Equipos!J623</f>
        <v>Vista 120</v>
      </c>
      <c r="G625" s="37" t="str">
        <f>Equipos!K623</f>
        <v>VTSHD0103</v>
      </c>
      <c r="H625" s="33"/>
      <c r="I625" s="50" t="s">
        <v>276</v>
      </c>
      <c r="J625" s="50" t="s">
        <v>275</v>
      </c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3">
        <f t="shared" si="45"/>
        <v>2</v>
      </c>
      <c r="V625" s="33">
        <f t="shared" si="46"/>
        <v>1</v>
      </c>
      <c r="W625" s="33">
        <f t="shared" si="47"/>
        <v>0</v>
      </c>
      <c r="X625" s="33">
        <f t="shared" si="48"/>
        <v>0</v>
      </c>
      <c r="Y625" s="33">
        <f ca="1">SUMPRODUCT((I625:INDEX(I625:T625,MONTH(TODAY()))="X")*1)</f>
        <v>0</v>
      </c>
      <c r="Z625" s="39">
        <f t="shared" si="49"/>
        <v>0.5</v>
      </c>
    </row>
    <row r="626" spans="1:26" x14ac:dyDescent="0.25">
      <c r="A626" s="37" t="str">
        <f>Equipos!C624</f>
        <v>2-023478</v>
      </c>
      <c r="B626" s="33" t="str">
        <f>Equipos!D624</f>
        <v>Monitor Multiparámetros</v>
      </c>
      <c r="C626" s="33" t="str">
        <f>Equipos!E624</f>
        <v>Urgencia Adulto (Prestado a Cirugía Adulto)</v>
      </c>
      <c r="D626" s="33" t="str">
        <f>Equipos!G624</f>
        <v>Sala 714</v>
      </c>
      <c r="E626" s="33" t="str">
        <f>Equipos!I624</f>
        <v>Drager</v>
      </c>
      <c r="F626" s="33" t="str">
        <f>Equipos!J624</f>
        <v>Vista 120</v>
      </c>
      <c r="G626" s="37" t="str">
        <f>Equipos!K624</f>
        <v>VTSHD0068</v>
      </c>
      <c r="H626" s="33"/>
      <c r="I626" s="38"/>
      <c r="J626" s="38"/>
      <c r="K626" s="38"/>
      <c r="L626" s="38"/>
      <c r="M626" s="50" t="s">
        <v>275</v>
      </c>
      <c r="N626" s="38"/>
      <c r="O626" s="38"/>
      <c r="P626" s="38"/>
      <c r="Q626" s="38"/>
      <c r="R626" s="38"/>
      <c r="S626" s="38"/>
      <c r="T626" s="38"/>
      <c r="U626" s="33">
        <f t="shared" si="45"/>
        <v>1</v>
      </c>
      <c r="V626" s="33">
        <f t="shared" si="46"/>
        <v>1</v>
      </c>
      <c r="W626" s="33">
        <f t="shared" si="47"/>
        <v>0</v>
      </c>
      <c r="X626" s="33">
        <f t="shared" si="48"/>
        <v>0</v>
      </c>
      <c r="Y626" s="33">
        <f ca="1">SUMPRODUCT((I626:INDEX(I626:T626,MONTH(TODAY()))="X")*1)</f>
        <v>0</v>
      </c>
      <c r="Z626" s="39">
        <f t="shared" si="49"/>
        <v>1</v>
      </c>
    </row>
    <row r="627" spans="1:26" x14ac:dyDescent="0.25">
      <c r="A627" s="37" t="str">
        <f>Equipos!C625</f>
        <v>2-016544</v>
      </c>
      <c r="B627" s="33" t="str">
        <f>Equipos!D625</f>
        <v>Monitor Multiparámetros</v>
      </c>
      <c r="C627" s="33" t="str">
        <f>Equipos!E625</f>
        <v>Cirugía Adulto</v>
      </c>
      <c r="D627" s="33" t="str">
        <f>Equipos!G625</f>
        <v>TNB 701</v>
      </c>
      <c r="E627" s="33" t="str">
        <f>Equipos!I625</f>
        <v>Drager</v>
      </c>
      <c r="F627" s="33" t="str">
        <f>Equipos!J625</f>
        <v>Vista 120</v>
      </c>
      <c r="G627" s="37" t="str">
        <f>Equipos!K625</f>
        <v>VTSHD0090</v>
      </c>
      <c r="H627" s="33"/>
      <c r="I627" s="38"/>
      <c r="J627" s="38"/>
      <c r="K627" s="38"/>
      <c r="L627" s="38"/>
      <c r="M627" s="50" t="s">
        <v>275</v>
      </c>
      <c r="N627" s="38"/>
      <c r="O627" s="38"/>
      <c r="P627" s="38"/>
      <c r="Q627" s="38"/>
      <c r="R627" s="38"/>
      <c r="S627" s="38"/>
      <c r="T627" s="38"/>
      <c r="U627" s="33">
        <f t="shared" si="45"/>
        <v>1</v>
      </c>
      <c r="V627" s="33">
        <f t="shared" si="46"/>
        <v>1</v>
      </c>
      <c r="W627" s="33">
        <f t="shared" si="47"/>
        <v>0</v>
      </c>
      <c r="X627" s="33">
        <f t="shared" si="48"/>
        <v>0</v>
      </c>
      <c r="Y627" s="33">
        <f ca="1">SUMPRODUCT((I627:INDEX(I627:T627,MONTH(TODAY()))="X")*1)</f>
        <v>0</v>
      </c>
      <c r="Z627" s="39">
        <f t="shared" si="49"/>
        <v>1</v>
      </c>
    </row>
    <row r="628" spans="1:26" x14ac:dyDescent="0.25">
      <c r="A628" s="37" t="str">
        <f>Equipos!C626</f>
        <v>2-023479</v>
      </c>
      <c r="B628" s="33" t="str">
        <f>Equipos!D626</f>
        <v>Monitor Multiparámetros</v>
      </c>
      <c r="C628" s="33" t="str">
        <f>Equipos!E626</f>
        <v>Medicina</v>
      </c>
      <c r="D628" s="33" t="str">
        <f>Equipos!G626</f>
        <v>595-4</v>
      </c>
      <c r="E628" s="33" t="str">
        <f>Equipos!I626</f>
        <v>Drager</v>
      </c>
      <c r="F628" s="33" t="str">
        <f>Equipos!J626</f>
        <v>Vista 120</v>
      </c>
      <c r="G628" s="37" t="str">
        <f>Equipos!K626</f>
        <v>VTSHD0065</v>
      </c>
      <c r="H628" s="33"/>
      <c r="I628" s="38"/>
      <c r="J628" s="50" t="s">
        <v>275</v>
      </c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3">
        <f t="shared" si="45"/>
        <v>1</v>
      </c>
      <c r="V628" s="33">
        <f t="shared" si="46"/>
        <v>1</v>
      </c>
      <c r="W628" s="33">
        <f t="shared" si="47"/>
        <v>0</v>
      </c>
      <c r="X628" s="33">
        <f t="shared" si="48"/>
        <v>0</v>
      </c>
      <c r="Y628" s="33">
        <f ca="1">SUMPRODUCT((I628:INDEX(I628:T628,MONTH(TODAY()))="X")*1)</f>
        <v>0</v>
      </c>
      <c r="Z628" s="39">
        <f t="shared" si="49"/>
        <v>1</v>
      </c>
    </row>
    <row r="629" spans="1:26" x14ac:dyDescent="0.25">
      <c r="A629" s="37" t="str">
        <f>Equipos!C627</f>
        <v>2-027909</v>
      </c>
      <c r="B629" s="33" t="str">
        <f>Equipos!D627</f>
        <v>Monitor Multiparámetros</v>
      </c>
      <c r="C629" s="33" t="str">
        <f>Equipos!E627</f>
        <v>Quimioterapia Ambulatoria Adulto</v>
      </c>
      <c r="D629" s="33" t="str">
        <f>Equipos!G627</f>
        <v>EPC-P2</v>
      </c>
      <c r="E629" s="33" t="str">
        <f>Equipos!I627</f>
        <v>Drager</v>
      </c>
      <c r="F629" s="33" t="str">
        <f>Equipos!J627</f>
        <v>Vista 120</v>
      </c>
      <c r="G629" s="37" t="str">
        <f>Equipos!K627</f>
        <v>VTSHD0051</v>
      </c>
      <c r="H629" s="33"/>
      <c r="I629" s="38"/>
      <c r="J629" s="38"/>
      <c r="K629" s="50" t="s">
        <v>275</v>
      </c>
      <c r="L629" s="38"/>
      <c r="M629" s="38"/>
      <c r="N629" s="38"/>
      <c r="O629" s="38"/>
      <c r="P629" s="38"/>
      <c r="Q629" s="38"/>
      <c r="R629" s="38"/>
      <c r="S629" s="38"/>
      <c r="T629" s="38"/>
      <c r="U629" s="33">
        <f t="shared" si="45"/>
        <v>1</v>
      </c>
      <c r="V629" s="33">
        <f t="shared" si="46"/>
        <v>1</v>
      </c>
      <c r="W629" s="33">
        <f t="shared" si="47"/>
        <v>0</v>
      </c>
      <c r="X629" s="33">
        <f t="shared" si="48"/>
        <v>0</v>
      </c>
      <c r="Y629" s="33">
        <f ca="1">SUMPRODUCT((I629:INDEX(I629:T629,MONTH(TODAY()))="X")*1)</f>
        <v>0</v>
      </c>
      <c r="Z629" s="39">
        <f t="shared" si="49"/>
        <v>1</v>
      </c>
    </row>
    <row r="630" spans="1:26" x14ac:dyDescent="0.25">
      <c r="A630" s="37" t="str">
        <f>Equipos!C628</f>
        <v>2-023477</v>
      </c>
      <c r="B630" s="33" t="str">
        <f>Equipos!D628</f>
        <v>Monitor Multiparámetros</v>
      </c>
      <c r="C630" s="33" t="str">
        <f>Equipos!E628</f>
        <v>Medicina</v>
      </c>
      <c r="D630" s="33" t="str">
        <f>Equipos!G628</f>
        <v>516-1</v>
      </c>
      <c r="E630" s="33" t="str">
        <f>Equipos!I628</f>
        <v>Drager</v>
      </c>
      <c r="F630" s="33" t="str">
        <f>Equipos!J628</f>
        <v>Vista 120</v>
      </c>
      <c r="G630" s="37" t="str">
        <f>Equipos!K628</f>
        <v>VTSHD0072</v>
      </c>
      <c r="H630" s="33"/>
      <c r="I630" s="38"/>
      <c r="J630" s="50" t="s">
        <v>275</v>
      </c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3">
        <f t="shared" si="45"/>
        <v>1</v>
      </c>
      <c r="V630" s="33">
        <f t="shared" si="46"/>
        <v>1</v>
      </c>
      <c r="W630" s="33">
        <f t="shared" si="47"/>
        <v>0</v>
      </c>
      <c r="X630" s="33">
        <f t="shared" si="48"/>
        <v>0</v>
      </c>
      <c r="Y630" s="33">
        <f ca="1">SUMPRODUCT((I630:INDEX(I630:T630,MONTH(TODAY()))="X")*1)</f>
        <v>0</v>
      </c>
      <c r="Z630" s="39">
        <f t="shared" si="49"/>
        <v>1</v>
      </c>
    </row>
    <row r="631" spans="1:26" x14ac:dyDescent="0.25">
      <c r="A631" s="37" t="str">
        <f>Equipos!C629</f>
        <v>2-016538</v>
      </c>
      <c r="B631" s="33" t="str">
        <f>Equipos!D629</f>
        <v>Monitor Multiparámetros</v>
      </c>
      <c r="C631" s="33" t="str">
        <f>Equipos!E629</f>
        <v>Medicina</v>
      </c>
      <c r="D631" s="33" t="str">
        <f>Equipos!G629</f>
        <v>509-1</v>
      </c>
      <c r="E631" s="33" t="str">
        <f>Equipos!I629</f>
        <v>Drager</v>
      </c>
      <c r="F631" s="33" t="str">
        <f>Equipos!J629</f>
        <v>Vista 120</v>
      </c>
      <c r="G631" s="37" t="str">
        <f>Equipos!K629</f>
        <v>VTSHD0070</v>
      </c>
      <c r="H631" s="33"/>
      <c r="I631" s="38"/>
      <c r="J631" s="50" t="s">
        <v>275</v>
      </c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3">
        <f t="shared" si="45"/>
        <v>1</v>
      </c>
      <c r="V631" s="33">
        <f t="shared" si="46"/>
        <v>1</v>
      </c>
      <c r="W631" s="33">
        <f t="shared" si="47"/>
        <v>0</v>
      </c>
      <c r="X631" s="33">
        <f t="shared" si="48"/>
        <v>0</v>
      </c>
      <c r="Y631" s="33">
        <f ca="1">SUMPRODUCT((I631:INDEX(I631:T631,MONTH(TODAY()))="X")*1)</f>
        <v>0</v>
      </c>
      <c r="Z631" s="39">
        <f t="shared" si="49"/>
        <v>1</v>
      </c>
    </row>
    <row r="632" spans="1:26" x14ac:dyDescent="0.25">
      <c r="A632" s="37" t="str">
        <f>Equipos!C630</f>
        <v>2-016539</v>
      </c>
      <c r="B632" s="33" t="str">
        <f>Equipos!D630</f>
        <v>Monitor Multiparámetros</v>
      </c>
      <c r="C632" s="33" t="str">
        <f>Equipos!E630</f>
        <v>Medicina</v>
      </c>
      <c r="D632" s="33" t="str">
        <f>Equipos!G630</f>
        <v>527-1</v>
      </c>
      <c r="E632" s="33" t="str">
        <f>Equipos!I630</f>
        <v>Drager</v>
      </c>
      <c r="F632" s="33" t="str">
        <f>Equipos!J630</f>
        <v>Vista 120</v>
      </c>
      <c r="G632" s="37" t="str">
        <f>Equipos!K630</f>
        <v>VTSHD0106</v>
      </c>
      <c r="H632" s="33"/>
      <c r="I632" s="38"/>
      <c r="J632" s="50" t="s">
        <v>275</v>
      </c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3">
        <f t="shared" si="45"/>
        <v>1</v>
      </c>
      <c r="V632" s="33">
        <f t="shared" si="46"/>
        <v>1</v>
      </c>
      <c r="W632" s="33">
        <f t="shared" si="47"/>
        <v>0</v>
      </c>
      <c r="X632" s="33">
        <f t="shared" si="48"/>
        <v>0</v>
      </c>
      <c r="Y632" s="33">
        <f ca="1">SUMPRODUCT((I632:INDEX(I632:T632,MONTH(TODAY()))="X")*1)</f>
        <v>0</v>
      </c>
      <c r="Z632" s="39">
        <f t="shared" si="49"/>
        <v>1</v>
      </c>
    </row>
    <row r="633" spans="1:26" x14ac:dyDescent="0.25">
      <c r="A633" s="37" t="str">
        <f>Equipos!C631</f>
        <v>2-016551</v>
      </c>
      <c r="B633" s="33" t="str">
        <f>Equipos!D631</f>
        <v>Monitor Multiparámetros</v>
      </c>
      <c r="C633" s="33" t="str">
        <f>Equipos!E631</f>
        <v>Neurocirugía</v>
      </c>
      <c r="D633" s="33" t="str">
        <f>Equipos!G631</f>
        <v>Portatil</v>
      </c>
      <c r="E633" s="33" t="str">
        <f>Equipos!I631</f>
        <v>Drager</v>
      </c>
      <c r="F633" s="33" t="str">
        <f>Equipos!J631</f>
        <v>Vista 120</v>
      </c>
      <c r="G633" s="37" t="str">
        <f>Equipos!K631</f>
        <v>VTSHD0107</v>
      </c>
      <c r="H633" s="33"/>
      <c r="I633" s="38"/>
      <c r="J633" s="38"/>
      <c r="K633" s="50" t="s">
        <v>276</v>
      </c>
      <c r="L633" s="50" t="s">
        <v>275</v>
      </c>
      <c r="M633" s="38"/>
      <c r="N633" s="38"/>
      <c r="O633" s="38"/>
      <c r="P633" s="38"/>
      <c r="Q633" s="38"/>
      <c r="R633" s="38"/>
      <c r="S633" s="38"/>
      <c r="T633" s="38"/>
      <c r="U633" s="33">
        <f t="shared" si="45"/>
        <v>2</v>
      </c>
      <c r="V633" s="33">
        <f t="shared" si="46"/>
        <v>1</v>
      </c>
      <c r="W633" s="33">
        <f t="shared" si="47"/>
        <v>0</v>
      </c>
      <c r="X633" s="33">
        <f t="shared" si="48"/>
        <v>0</v>
      </c>
      <c r="Y633" s="33">
        <f ca="1">SUMPRODUCT((I633:INDEX(I633:T633,MONTH(TODAY()))="X")*1)</f>
        <v>0</v>
      </c>
      <c r="Z633" s="39">
        <f t="shared" si="49"/>
        <v>0.5</v>
      </c>
    </row>
    <row r="634" spans="1:26" x14ac:dyDescent="0.25">
      <c r="A634" s="37" t="str">
        <f>Equipos!C632</f>
        <v>2-023480</v>
      </c>
      <c r="B634" s="33" t="str">
        <f>Equipos!D632</f>
        <v>Monitor Multiparámetros</v>
      </c>
      <c r="C634" s="33" t="str">
        <f>Equipos!E632</f>
        <v>Cirugía Adulto</v>
      </c>
      <c r="D634" s="33" t="str">
        <f>Equipos!G632</f>
        <v>EPB</v>
      </c>
      <c r="E634" s="33" t="str">
        <f>Equipos!I632</f>
        <v>Drager</v>
      </c>
      <c r="F634" s="33" t="str">
        <f>Equipos!J632</f>
        <v>Vista 120</v>
      </c>
      <c r="G634" s="37" t="str">
        <f>Equipos!K632</f>
        <v>VTSHD0096</v>
      </c>
      <c r="H634" s="33"/>
      <c r="I634" s="38"/>
      <c r="J634" s="38"/>
      <c r="K634" s="38"/>
      <c r="L634" s="38"/>
      <c r="M634" s="50" t="s">
        <v>275</v>
      </c>
      <c r="N634" s="38"/>
      <c r="O634" s="38"/>
      <c r="P634" s="38"/>
      <c r="Q634" s="38"/>
      <c r="R634" s="38"/>
      <c r="S634" s="38"/>
      <c r="T634" s="38"/>
      <c r="U634" s="33">
        <f t="shared" si="45"/>
        <v>1</v>
      </c>
      <c r="V634" s="33">
        <f t="shared" si="46"/>
        <v>1</v>
      </c>
      <c r="W634" s="33">
        <f t="shared" si="47"/>
        <v>0</v>
      </c>
      <c r="X634" s="33">
        <f t="shared" si="48"/>
        <v>0</v>
      </c>
      <c r="Y634" s="33">
        <f ca="1">SUMPRODUCT((I634:INDEX(I634:T634,MONTH(TODAY()))="X")*1)</f>
        <v>0</v>
      </c>
      <c r="Z634" s="39">
        <f t="shared" si="49"/>
        <v>1</v>
      </c>
    </row>
    <row r="635" spans="1:26" x14ac:dyDescent="0.25">
      <c r="A635" s="37" t="str">
        <f>Equipos!C633</f>
        <v>2-016541</v>
      </c>
      <c r="B635" s="33" t="str">
        <f>Equipos!D633</f>
        <v>Monitor Multiparámetros</v>
      </c>
      <c r="C635" s="33" t="str">
        <f>Equipos!E633</f>
        <v>Medicina</v>
      </c>
      <c r="D635" s="33" t="str">
        <f>Equipos!G633</f>
        <v>529-3</v>
      </c>
      <c r="E635" s="33" t="str">
        <f>Equipos!I633</f>
        <v>Drager</v>
      </c>
      <c r="F635" s="33" t="str">
        <f>Equipos!J633</f>
        <v>Vista 120</v>
      </c>
      <c r="G635" s="37" t="str">
        <f>Equipos!K633</f>
        <v>VTSHD0094</v>
      </c>
      <c r="H635" s="33"/>
      <c r="I635" s="38"/>
      <c r="J635" s="50" t="s">
        <v>275</v>
      </c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3">
        <f t="shared" si="45"/>
        <v>1</v>
      </c>
      <c r="V635" s="33">
        <f t="shared" si="46"/>
        <v>1</v>
      </c>
      <c r="W635" s="33">
        <f t="shared" si="47"/>
        <v>0</v>
      </c>
      <c r="X635" s="33">
        <f t="shared" si="48"/>
        <v>0</v>
      </c>
      <c r="Y635" s="33">
        <f ca="1">SUMPRODUCT((I635:INDEX(I635:T635,MONTH(TODAY()))="X")*1)</f>
        <v>0</v>
      </c>
      <c r="Z635" s="39">
        <f t="shared" si="49"/>
        <v>1</v>
      </c>
    </row>
    <row r="636" spans="1:26" x14ac:dyDescent="0.25">
      <c r="A636" s="37" t="str">
        <f>Equipos!C634</f>
        <v>2-016542</v>
      </c>
      <c r="B636" s="33" t="str">
        <f>Equipos!D634</f>
        <v>Monitor Multiparámetros</v>
      </c>
      <c r="C636" s="33" t="str">
        <f>Equipos!E634</f>
        <v>Neurocirugía</v>
      </c>
      <c r="D636" s="33" t="str">
        <f>Equipos!G634</f>
        <v>Cama 299-4</v>
      </c>
      <c r="E636" s="33" t="str">
        <f>Equipos!I634</f>
        <v>Drager</v>
      </c>
      <c r="F636" s="33" t="str">
        <f>Equipos!J634</f>
        <v>Vista 120</v>
      </c>
      <c r="G636" s="37" t="str">
        <f>Equipos!K634</f>
        <v>VTSHD0111</v>
      </c>
      <c r="H636" s="33"/>
      <c r="I636" s="38"/>
      <c r="J636" s="38"/>
      <c r="K636" s="50" t="s">
        <v>276</v>
      </c>
      <c r="L636" s="50" t="s">
        <v>275</v>
      </c>
      <c r="M636" s="38"/>
      <c r="N636" s="38"/>
      <c r="O636" s="38"/>
      <c r="P636" s="38"/>
      <c r="Q636" s="38"/>
      <c r="R636" s="38"/>
      <c r="S636" s="38"/>
      <c r="T636" s="38"/>
      <c r="U636" s="33">
        <f t="shared" si="45"/>
        <v>2</v>
      </c>
      <c r="V636" s="33">
        <f t="shared" si="46"/>
        <v>1</v>
      </c>
      <c r="W636" s="33">
        <f t="shared" si="47"/>
        <v>0</v>
      </c>
      <c r="X636" s="33">
        <f t="shared" si="48"/>
        <v>0</v>
      </c>
      <c r="Y636" s="33">
        <f ca="1">SUMPRODUCT((I636:INDEX(I636:T636,MONTH(TODAY()))="X")*1)</f>
        <v>0</v>
      </c>
      <c r="Z636" s="39">
        <f t="shared" si="49"/>
        <v>0.5</v>
      </c>
    </row>
    <row r="637" spans="1:26" x14ac:dyDescent="0.25">
      <c r="A637" s="37" t="str">
        <f>Equipos!C635</f>
        <v>2-117050</v>
      </c>
      <c r="B637" s="33" t="str">
        <f>Equipos!D635</f>
        <v>Monitor Multiparámetros</v>
      </c>
      <c r="C637" s="33" t="str">
        <f>Equipos!E635</f>
        <v>Pabellones Gineco-Obstétricos</v>
      </c>
      <c r="D637" s="33">
        <f>Equipos!G635</f>
        <v>0</v>
      </c>
      <c r="E637" s="33" t="str">
        <f>Equipos!I635</f>
        <v>Philips</v>
      </c>
      <c r="F637" s="33" t="str">
        <f>Equipos!J635</f>
        <v>MX450</v>
      </c>
      <c r="G637" s="37" t="str">
        <f>Equipos!K635</f>
        <v>DE351C1469</v>
      </c>
      <c r="H637" s="33"/>
      <c r="I637" s="38"/>
      <c r="J637" s="38"/>
      <c r="K637" s="38"/>
      <c r="L637" s="38"/>
      <c r="M637" s="50" t="s">
        <v>275</v>
      </c>
      <c r="N637" s="38"/>
      <c r="O637" s="38"/>
      <c r="P637" s="38"/>
      <c r="Q637" s="38"/>
      <c r="R637" s="38"/>
      <c r="S637" s="38"/>
      <c r="T637" s="38"/>
      <c r="U637" s="33">
        <f t="shared" si="45"/>
        <v>1</v>
      </c>
      <c r="V637" s="33">
        <f t="shared" si="46"/>
        <v>1</v>
      </c>
      <c r="W637" s="33">
        <f t="shared" si="47"/>
        <v>0</v>
      </c>
      <c r="X637" s="33">
        <f t="shared" si="48"/>
        <v>0</v>
      </c>
      <c r="Y637" s="33">
        <f ca="1">SUMPRODUCT((I637:INDEX(I637:T637,MONTH(TODAY()))="X")*1)</f>
        <v>0</v>
      </c>
      <c r="Z637" s="39">
        <f t="shared" si="49"/>
        <v>1</v>
      </c>
    </row>
    <row r="638" spans="1:26" x14ac:dyDescent="0.25">
      <c r="A638" s="37" t="str">
        <f>Equipos!C636</f>
        <v>2-013293</v>
      </c>
      <c r="B638" s="33" t="str">
        <f>Equipos!D636</f>
        <v>Monitor Multiparámetros</v>
      </c>
      <c r="C638" s="33" t="str">
        <f>Equipos!E636</f>
        <v>Neurocirugía</v>
      </c>
      <c r="D638" s="33" t="str">
        <f>Equipos!G636</f>
        <v>Cama 299-3</v>
      </c>
      <c r="E638" s="33" t="str">
        <f>Equipos!I636</f>
        <v>Drager</v>
      </c>
      <c r="F638" s="33" t="str">
        <f>Equipos!J636</f>
        <v>Vista 120</v>
      </c>
      <c r="G638" s="37" t="str">
        <f>Equipos!K636</f>
        <v>VTSHD0066</v>
      </c>
      <c r="H638" s="33"/>
      <c r="I638" s="38"/>
      <c r="J638" s="38"/>
      <c r="K638" s="50" t="s">
        <v>276</v>
      </c>
      <c r="L638" s="50" t="s">
        <v>275</v>
      </c>
      <c r="M638" s="38"/>
      <c r="N638" s="38"/>
      <c r="O638" s="38"/>
      <c r="P638" s="38"/>
      <c r="Q638" s="38"/>
      <c r="R638" s="38"/>
      <c r="S638" s="38"/>
      <c r="T638" s="38"/>
      <c r="U638" s="33">
        <f t="shared" si="45"/>
        <v>2</v>
      </c>
      <c r="V638" s="33">
        <f t="shared" si="46"/>
        <v>1</v>
      </c>
      <c r="W638" s="33">
        <f t="shared" si="47"/>
        <v>0</v>
      </c>
      <c r="X638" s="33">
        <f t="shared" si="48"/>
        <v>0</v>
      </c>
      <c r="Y638" s="33">
        <f ca="1">SUMPRODUCT((I638:INDEX(I638:T638,MONTH(TODAY()))="X")*1)</f>
        <v>0</v>
      </c>
      <c r="Z638" s="39">
        <f t="shared" si="49"/>
        <v>0.5</v>
      </c>
    </row>
    <row r="639" spans="1:26" x14ac:dyDescent="0.25">
      <c r="A639" s="37" t="str">
        <f>Equipos!C637</f>
        <v>2-004769</v>
      </c>
      <c r="B639" s="33" t="str">
        <f>Equipos!D637</f>
        <v>Monitor Multiparámetros</v>
      </c>
      <c r="C639" s="33" t="str">
        <f>Equipos!E637</f>
        <v>Pediatría</v>
      </c>
      <c r="D639" s="33" t="str">
        <f>Equipos!G637</f>
        <v>Oncología Pediátrica</v>
      </c>
      <c r="E639" s="33" t="str">
        <f>Equipos!I637</f>
        <v>Drager</v>
      </c>
      <c r="F639" s="33" t="str">
        <f>Equipos!J637</f>
        <v>Vista 120</v>
      </c>
      <c r="G639" s="37" t="str">
        <f>Equipos!K637</f>
        <v>VTSHD0099</v>
      </c>
      <c r="H639" s="33"/>
      <c r="I639" s="50" t="s">
        <v>276</v>
      </c>
      <c r="J639" s="50" t="s">
        <v>275</v>
      </c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3">
        <f t="shared" si="45"/>
        <v>2</v>
      </c>
      <c r="V639" s="33">
        <f t="shared" si="46"/>
        <v>1</v>
      </c>
      <c r="W639" s="33">
        <f t="shared" si="47"/>
        <v>0</v>
      </c>
      <c r="X639" s="33">
        <f t="shared" si="48"/>
        <v>0</v>
      </c>
      <c r="Y639" s="33">
        <f ca="1">SUMPRODUCT((I639:INDEX(I639:T639,MONTH(TODAY()))="X")*1)</f>
        <v>0</v>
      </c>
      <c r="Z639" s="39">
        <f t="shared" si="49"/>
        <v>0.5</v>
      </c>
    </row>
    <row r="640" spans="1:26" x14ac:dyDescent="0.25">
      <c r="A640" s="37" t="str">
        <f>Equipos!C638</f>
        <v>2-110948</v>
      </c>
      <c r="B640" s="33" t="str">
        <f>Equipos!D638</f>
        <v>Monitor Multiparámetros</v>
      </c>
      <c r="C640" s="33" t="str">
        <f>Equipos!E638</f>
        <v>Neonatología</v>
      </c>
      <c r="D640" s="33">
        <f>Equipos!G638</f>
        <v>0</v>
      </c>
      <c r="E640" s="33" t="str">
        <f>Equipos!I638</f>
        <v>Drager</v>
      </c>
      <c r="F640" s="33" t="str">
        <f>Equipos!J638</f>
        <v>Vista 120</v>
      </c>
      <c r="G640" s="37" t="str">
        <f>Equipos!K638</f>
        <v>VQSHD0069</v>
      </c>
      <c r="H640" s="33"/>
      <c r="I640" s="50" t="s">
        <v>276</v>
      </c>
      <c r="J640" s="50" t="s">
        <v>275</v>
      </c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3">
        <f t="shared" si="45"/>
        <v>2</v>
      </c>
      <c r="V640" s="33">
        <f t="shared" si="46"/>
        <v>1</v>
      </c>
      <c r="W640" s="33">
        <f t="shared" si="47"/>
        <v>0</v>
      </c>
      <c r="X640" s="33">
        <f t="shared" si="48"/>
        <v>0</v>
      </c>
      <c r="Y640" s="33">
        <f ca="1">SUMPRODUCT((I640:INDEX(I640:T640,MONTH(TODAY()))="X")*1)</f>
        <v>0</v>
      </c>
      <c r="Z640" s="39">
        <f t="shared" si="49"/>
        <v>0.5</v>
      </c>
    </row>
    <row r="641" spans="1:26" x14ac:dyDescent="0.25">
      <c r="A641" s="37" t="str">
        <f>Equipos!C639</f>
        <v>2-110843</v>
      </c>
      <c r="B641" s="33" t="str">
        <f>Equipos!D639</f>
        <v>Monitor Multiparámetros</v>
      </c>
      <c r="C641" s="33" t="str">
        <f>Equipos!E639</f>
        <v>Neonatología</v>
      </c>
      <c r="D641" s="33">
        <f>Equipos!G639</f>
        <v>0</v>
      </c>
      <c r="E641" s="33" t="str">
        <f>Equipos!I639</f>
        <v>Drager</v>
      </c>
      <c r="F641" s="33" t="str">
        <f>Equipos!J639</f>
        <v>Vista 120</v>
      </c>
      <c r="G641" s="37" t="str">
        <f>Equipos!K639</f>
        <v>VQSHD0088</v>
      </c>
      <c r="H641" s="33"/>
      <c r="I641" s="50" t="s">
        <v>276</v>
      </c>
      <c r="J641" s="50" t="s">
        <v>275</v>
      </c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3">
        <f t="shared" si="45"/>
        <v>2</v>
      </c>
      <c r="V641" s="33">
        <f t="shared" si="46"/>
        <v>1</v>
      </c>
      <c r="W641" s="33">
        <f t="shared" si="47"/>
        <v>0</v>
      </c>
      <c r="X641" s="33">
        <f t="shared" si="48"/>
        <v>0</v>
      </c>
      <c r="Y641" s="33">
        <f ca="1">SUMPRODUCT((I641:INDEX(I641:T641,MONTH(TODAY()))="X")*1)</f>
        <v>0</v>
      </c>
      <c r="Z641" s="39">
        <f t="shared" si="49"/>
        <v>0.5</v>
      </c>
    </row>
    <row r="642" spans="1:26" x14ac:dyDescent="0.25">
      <c r="A642" s="37" t="str">
        <f>Equipos!C640</f>
        <v>2-110831</v>
      </c>
      <c r="B642" s="33" t="str">
        <f>Equipos!D640</f>
        <v>Monitor Multiparámetros</v>
      </c>
      <c r="C642" s="33" t="str">
        <f>Equipos!E640</f>
        <v>Neonatología</v>
      </c>
      <c r="D642" s="33">
        <f>Equipos!G640</f>
        <v>0</v>
      </c>
      <c r="E642" s="33" t="str">
        <f>Equipos!I640</f>
        <v>Drager</v>
      </c>
      <c r="F642" s="33" t="str">
        <f>Equipos!J640</f>
        <v>Vista 120</v>
      </c>
      <c r="G642" s="37" t="str">
        <f>Equipos!K640</f>
        <v>VQSHD0103</v>
      </c>
      <c r="H642" s="33"/>
      <c r="I642" s="50" t="s">
        <v>276</v>
      </c>
      <c r="J642" s="50" t="s">
        <v>275</v>
      </c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3">
        <f t="shared" si="45"/>
        <v>2</v>
      </c>
      <c r="V642" s="33">
        <f t="shared" si="46"/>
        <v>1</v>
      </c>
      <c r="W642" s="33">
        <f t="shared" si="47"/>
        <v>0</v>
      </c>
      <c r="X642" s="33">
        <f t="shared" si="48"/>
        <v>0</v>
      </c>
      <c r="Y642" s="33">
        <f ca="1">SUMPRODUCT((I642:INDEX(I642:T642,MONTH(TODAY()))="X")*1)</f>
        <v>0</v>
      </c>
      <c r="Z642" s="39">
        <f t="shared" si="49"/>
        <v>0.5</v>
      </c>
    </row>
    <row r="643" spans="1:26" x14ac:dyDescent="0.25">
      <c r="A643" s="37" t="str">
        <f>Equipos!C641</f>
        <v>2-110838</v>
      </c>
      <c r="B643" s="33" t="str">
        <f>Equipos!D641</f>
        <v>Monitor Multiparámetros</v>
      </c>
      <c r="C643" s="33" t="str">
        <f>Equipos!E641</f>
        <v>Neonatología</v>
      </c>
      <c r="D643" s="33">
        <f>Equipos!G641</f>
        <v>0</v>
      </c>
      <c r="E643" s="33" t="str">
        <f>Equipos!I641</f>
        <v>Drager</v>
      </c>
      <c r="F643" s="33" t="str">
        <f>Equipos!J641</f>
        <v>Vista 120</v>
      </c>
      <c r="G643" s="37" t="str">
        <f>Equipos!K641</f>
        <v>VQSHD0120</v>
      </c>
      <c r="H643" s="33"/>
      <c r="I643" s="50" t="s">
        <v>276</v>
      </c>
      <c r="J643" s="50" t="s">
        <v>275</v>
      </c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3">
        <f t="shared" si="45"/>
        <v>2</v>
      </c>
      <c r="V643" s="33">
        <f t="shared" si="46"/>
        <v>1</v>
      </c>
      <c r="W643" s="33">
        <f t="shared" si="47"/>
        <v>0</v>
      </c>
      <c r="X643" s="33">
        <f t="shared" si="48"/>
        <v>0</v>
      </c>
      <c r="Y643" s="33">
        <f ca="1">SUMPRODUCT((I643:INDEX(I643:T643,MONTH(TODAY()))="X")*1)</f>
        <v>0</v>
      </c>
      <c r="Z643" s="39">
        <f t="shared" si="49"/>
        <v>0.5</v>
      </c>
    </row>
    <row r="644" spans="1:26" x14ac:dyDescent="0.25">
      <c r="A644" s="37" t="str">
        <f>Equipos!C642</f>
        <v>2-110834</v>
      </c>
      <c r="B644" s="33" t="str">
        <f>Equipos!D642</f>
        <v>Monitor Multiparámetros</v>
      </c>
      <c r="C644" s="33" t="str">
        <f>Equipos!E642</f>
        <v>Neonatología</v>
      </c>
      <c r="D644" s="33">
        <f>Equipos!G642</f>
        <v>0</v>
      </c>
      <c r="E644" s="33" t="str">
        <f>Equipos!I642</f>
        <v>Drager</v>
      </c>
      <c r="F644" s="33" t="str">
        <f>Equipos!J642</f>
        <v>Vista 120</v>
      </c>
      <c r="G644" s="37" t="str">
        <f>Equipos!K642</f>
        <v>VQSHD0122</v>
      </c>
      <c r="H644" s="33"/>
      <c r="I644" s="50" t="s">
        <v>276</v>
      </c>
      <c r="J644" s="50" t="s">
        <v>275</v>
      </c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3">
        <f t="shared" ref="U644:U707" si="50">V644+W644+X644+COUNTIF(I644:T644,"R")</f>
        <v>2</v>
      </c>
      <c r="V644" s="33">
        <f t="shared" ref="V644:V707" si="51">COUNTIF(I644:T644,"E")</f>
        <v>1</v>
      </c>
      <c r="W644" s="33">
        <f t="shared" ref="W644:W707" si="52">COUNTIF(I644:T644,"X")</f>
        <v>0</v>
      </c>
      <c r="X644" s="33">
        <f t="shared" ref="X644:X707" si="53">COUNTIF(I644:T644,"C2")+COUNTIF(I644:T644,"C3")</f>
        <v>0</v>
      </c>
      <c r="Y644" s="33">
        <f ca="1">SUMPRODUCT((I644:INDEX(I644:T644,MONTH(TODAY()))="X")*1)</f>
        <v>0</v>
      </c>
      <c r="Z644" s="39">
        <f t="shared" ref="Z644:Z707" si="54">IFERROR(V644/U644,"")</f>
        <v>0.5</v>
      </c>
    </row>
    <row r="645" spans="1:26" x14ac:dyDescent="0.25">
      <c r="A645" s="37" t="str">
        <f>Equipos!C643</f>
        <v>2-110828</v>
      </c>
      <c r="B645" s="33" t="str">
        <f>Equipos!D643</f>
        <v>Monitor Multiparámetros</v>
      </c>
      <c r="C645" s="33" t="str">
        <f>Equipos!E643</f>
        <v>Neonatología</v>
      </c>
      <c r="D645" s="33">
        <f>Equipos!G643</f>
        <v>0</v>
      </c>
      <c r="E645" s="33" t="str">
        <f>Equipos!I643</f>
        <v>Drager</v>
      </c>
      <c r="F645" s="33" t="str">
        <f>Equipos!J643</f>
        <v>Vista 120</v>
      </c>
      <c r="G645" s="37" t="str">
        <f>Equipos!K643</f>
        <v>VQSHD0124</v>
      </c>
      <c r="H645" s="33"/>
      <c r="I645" s="50" t="s">
        <v>276</v>
      </c>
      <c r="J645" s="50" t="s">
        <v>275</v>
      </c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3">
        <f t="shared" si="50"/>
        <v>2</v>
      </c>
      <c r="V645" s="33">
        <f t="shared" si="51"/>
        <v>1</v>
      </c>
      <c r="W645" s="33">
        <f t="shared" si="52"/>
        <v>0</v>
      </c>
      <c r="X645" s="33">
        <f t="shared" si="53"/>
        <v>0</v>
      </c>
      <c r="Y645" s="33">
        <f ca="1">SUMPRODUCT((I645:INDEX(I645:T645,MONTH(TODAY()))="X")*1)</f>
        <v>0</v>
      </c>
      <c r="Z645" s="39">
        <f t="shared" si="54"/>
        <v>0.5</v>
      </c>
    </row>
    <row r="646" spans="1:26" x14ac:dyDescent="0.25">
      <c r="A646" s="37" t="str">
        <f>Equipos!C644</f>
        <v>2-110842</v>
      </c>
      <c r="B646" s="33" t="str">
        <f>Equipos!D644</f>
        <v>Monitor Multiparámetros</v>
      </c>
      <c r="C646" s="33" t="str">
        <f>Equipos!E644</f>
        <v>Neonatología</v>
      </c>
      <c r="D646" s="33">
        <f>Equipos!G644</f>
        <v>0</v>
      </c>
      <c r="E646" s="33" t="str">
        <f>Equipos!I644</f>
        <v>Drager</v>
      </c>
      <c r="F646" s="33" t="str">
        <f>Equipos!J644</f>
        <v>Vista 120</v>
      </c>
      <c r="G646" s="37" t="str">
        <f>Equipos!K644</f>
        <v>VQSHD0127</v>
      </c>
      <c r="H646" s="33"/>
      <c r="I646" s="50" t="s">
        <v>276</v>
      </c>
      <c r="J646" s="50" t="s">
        <v>275</v>
      </c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3">
        <f t="shared" si="50"/>
        <v>2</v>
      </c>
      <c r="V646" s="33">
        <f t="shared" si="51"/>
        <v>1</v>
      </c>
      <c r="W646" s="33">
        <f t="shared" si="52"/>
        <v>0</v>
      </c>
      <c r="X646" s="33">
        <f t="shared" si="53"/>
        <v>0</v>
      </c>
      <c r="Y646" s="33">
        <f ca="1">SUMPRODUCT((I646:INDEX(I646:T646,MONTH(TODAY()))="X")*1)</f>
        <v>0</v>
      </c>
      <c r="Z646" s="39">
        <f t="shared" si="54"/>
        <v>0.5</v>
      </c>
    </row>
    <row r="647" spans="1:26" x14ac:dyDescent="0.25">
      <c r="A647" s="37" t="str">
        <f>Equipos!C645</f>
        <v>2-110945</v>
      </c>
      <c r="B647" s="33" t="str">
        <f>Equipos!D645</f>
        <v>Monitor Multiparámetros</v>
      </c>
      <c r="C647" s="33" t="str">
        <f>Equipos!E645</f>
        <v>Neonatología</v>
      </c>
      <c r="D647" s="33">
        <f>Equipos!G645</f>
        <v>0</v>
      </c>
      <c r="E647" s="33" t="str">
        <f>Equipos!I645</f>
        <v>Drager</v>
      </c>
      <c r="F647" s="33" t="str">
        <f>Equipos!J645</f>
        <v>Vista 120</v>
      </c>
      <c r="G647" s="37" t="str">
        <f>Equipos!K645</f>
        <v>VQSHD0130</v>
      </c>
      <c r="H647" s="33"/>
      <c r="I647" s="50" t="s">
        <v>276</v>
      </c>
      <c r="J647" s="50" t="s">
        <v>275</v>
      </c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3">
        <f t="shared" si="50"/>
        <v>2</v>
      </c>
      <c r="V647" s="33">
        <f t="shared" si="51"/>
        <v>1</v>
      </c>
      <c r="W647" s="33">
        <f t="shared" si="52"/>
        <v>0</v>
      </c>
      <c r="X647" s="33">
        <f t="shared" si="53"/>
        <v>0</v>
      </c>
      <c r="Y647" s="33">
        <f ca="1">SUMPRODUCT((I647:INDEX(I647:T647,MONTH(TODAY()))="X")*1)</f>
        <v>0</v>
      </c>
      <c r="Z647" s="39">
        <f t="shared" si="54"/>
        <v>0.5</v>
      </c>
    </row>
    <row r="648" spans="1:26" x14ac:dyDescent="0.25">
      <c r="A648" s="37" t="str">
        <f>Equipos!C646</f>
        <v>2-110829</v>
      </c>
      <c r="B648" s="33" t="str">
        <f>Equipos!D646</f>
        <v>Monitor Multiparámetros</v>
      </c>
      <c r="C648" s="33" t="str">
        <f>Equipos!E646</f>
        <v>Neonatología</v>
      </c>
      <c r="D648" s="33">
        <f>Equipos!G646</f>
        <v>0</v>
      </c>
      <c r="E648" s="33" t="str">
        <f>Equipos!I646</f>
        <v>Drager</v>
      </c>
      <c r="F648" s="33" t="str">
        <f>Equipos!J646</f>
        <v>Vista 120</v>
      </c>
      <c r="G648" s="37" t="str">
        <f>Equipos!K646</f>
        <v>VQSHD0133</v>
      </c>
      <c r="H648" s="33"/>
      <c r="I648" s="50" t="s">
        <v>276</v>
      </c>
      <c r="J648" s="50" t="s">
        <v>275</v>
      </c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3">
        <f t="shared" si="50"/>
        <v>2</v>
      </c>
      <c r="V648" s="33">
        <f t="shared" si="51"/>
        <v>1</v>
      </c>
      <c r="W648" s="33">
        <f t="shared" si="52"/>
        <v>0</v>
      </c>
      <c r="X648" s="33">
        <f t="shared" si="53"/>
        <v>0</v>
      </c>
      <c r="Y648" s="33">
        <f ca="1">SUMPRODUCT((I648:INDEX(I648:T648,MONTH(TODAY()))="X")*1)</f>
        <v>0</v>
      </c>
      <c r="Z648" s="39">
        <f t="shared" si="54"/>
        <v>0.5</v>
      </c>
    </row>
    <row r="649" spans="1:26" x14ac:dyDescent="0.25">
      <c r="A649" s="37" t="str">
        <f>Equipos!C647</f>
        <v>2-110836</v>
      </c>
      <c r="B649" s="33" t="str">
        <f>Equipos!D647</f>
        <v>Monitor Multiparámetros</v>
      </c>
      <c r="C649" s="33" t="str">
        <f>Equipos!E647</f>
        <v>Neonatología</v>
      </c>
      <c r="D649" s="33">
        <f>Equipos!G647</f>
        <v>0</v>
      </c>
      <c r="E649" s="33" t="str">
        <f>Equipos!I647</f>
        <v>Drager</v>
      </c>
      <c r="F649" s="33" t="str">
        <f>Equipos!J647</f>
        <v>Vista 120</v>
      </c>
      <c r="G649" s="37" t="str">
        <f>Equipos!K647</f>
        <v>VQSHD0146</v>
      </c>
      <c r="H649" s="33"/>
      <c r="I649" s="50" t="s">
        <v>276</v>
      </c>
      <c r="J649" s="50" t="s">
        <v>275</v>
      </c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3">
        <f t="shared" si="50"/>
        <v>2</v>
      </c>
      <c r="V649" s="33">
        <f t="shared" si="51"/>
        <v>1</v>
      </c>
      <c r="W649" s="33">
        <f t="shared" si="52"/>
        <v>0</v>
      </c>
      <c r="X649" s="33">
        <f t="shared" si="53"/>
        <v>0</v>
      </c>
      <c r="Y649" s="33">
        <f ca="1">SUMPRODUCT((I649:INDEX(I649:T649,MONTH(TODAY()))="X")*1)</f>
        <v>0</v>
      </c>
      <c r="Z649" s="39">
        <f t="shared" si="54"/>
        <v>0.5</v>
      </c>
    </row>
    <row r="650" spans="1:26" x14ac:dyDescent="0.25">
      <c r="A650" s="37" t="str">
        <f>Equipos!C648</f>
        <v>2-110942</v>
      </c>
      <c r="B650" s="33" t="str">
        <f>Equipos!D648</f>
        <v>Monitor Multiparámetros</v>
      </c>
      <c r="C650" s="33" t="str">
        <f>Equipos!E648</f>
        <v>Neonatología</v>
      </c>
      <c r="D650" s="33">
        <f>Equipos!G648</f>
        <v>0</v>
      </c>
      <c r="E650" s="33" t="str">
        <f>Equipos!I648</f>
        <v>Drager</v>
      </c>
      <c r="F650" s="33" t="str">
        <f>Equipos!J648</f>
        <v>Vista 120</v>
      </c>
      <c r="G650" s="37" t="str">
        <f>Equipos!K648</f>
        <v>VQSHD0152</v>
      </c>
      <c r="H650" s="33"/>
      <c r="I650" s="50" t="s">
        <v>276</v>
      </c>
      <c r="J650" s="50" t="s">
        <v>275</v>
      </c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3">
        <f t="shared" si="50"/>
        <v>2</v>
      </c>
      <c r="V650" s="33">
        <f t="shared" si="51"/>
        <v>1</v>
      </c>
      <c r="W650" s="33">
        <f t="shared" si="52"/>
        <v>0</v>
      </c>
      <c r="X650" s="33">
        <f t="shared" si="53"/>
        <v>0</v>
      </c>
      <c r="Y650" s="33">
        <f ca="1">SUMPRODUCT((I650:INDEX(I650:T650,MONTH(TODAY()))="X")*1)</f>
        <v>0</v>
      </c>
      <c r="Z650" s="39">
        <f t="shared" si="54"/>
        <v>0.5</v>
      </c>
    </row>
    <row r="651" spans="1:26" x14ac:dyDescent="0.25">
      <c r="A651" s="37" t="str">
        <f>Equipos!C649</f>
        <v>2-110943</v>
      </c>
      <c r="B651" s="33" t="str">
        <f>Equipos!D649</f>
        <v>Monitor Multiparámetros</v>
      </c>
      <c r="C651" s="33" t="str">
        <f>Equipos!E649</f>
        <v>Neonatología</v>
      </c>
      <c r="D651" s="33">
        <f>Equipos!G649</f>
        <v>0</v>
      </c>
      <c r="E651" s="33" t="str">
        <f>Equipos!I649</f>
        <v>Drager</v>
      </c>
      <c r="F651" s="33" t="str">
        <f>Equipos!J649</f>
        <v>Vista 120</v>
      </c>
      <c r="G651" s="37" t="str">
        <f>Equipos!K649</f>
        <v>VQSHD0154</v>
      </c>
      <c r="H651" s="33"/>
      <c r="I651" s="50" t="s">
        <v>276</v>
      </c>
      <c r="J651" s="50" t="s">
        <v>275</v>
      </c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3">
        <f t="shared" si="50"/>
        <v>2</v>
      </c>
      <c r="V651" s="33">
        <f t="shared" si="51"/>
        <v>1</v>
      </c>
      <c r="W651" s="33">
        <f t="shared" si="52"/>
        <v>0</v>
      </c>
      <c r="X651" s="33">
        <f t="shared" si="53"/>
        <v>0</v>
      </c>
      <c r="Y651" s="33">
        <f ca="1">SUMPRODUCT((I651:INDEX(I651:T651,MONTH(TODAY()))="X")*1)</f>
        <v>0</v>
      </c>
      <c r="Z651" s="39">
        <f t="shared" si="54"/>
        <v>0.5</v>
      </c>
    </row>
    <row r="652" spans="1:26" x14ac:dyDescent="0.25">
      <c r="A652" s="37" t="str">
        <f>Equipos!C650</f>
        <v>2-110947</v>
      </c>
      <c r="B652" s="33" t="str">
        <f>Equipos!D650</f>
        <v>Monitor Multiparámetros</v>
      </c>
      <c r="C652" s="33" t="str">
        <f>Equipos!E650</f>
        <v>Neonatología</v>
      </c>
      <c r="D652" s="33">
        <f>Equipos!G650</f>
        <v>0</v>
      </c>
      <c r="E652" s="33" t="str">
        <f>Equipos!I650</f>
        <v>Drager</v>
      </c>
      <c r="F652" s="33" t="str">
        <f>Equipos!J650</f>
        <v>Vista 120</v>
      </c>
      <c r="G652" s="37" t="str">
        <f>Equipos!K650</f>
        <v>VQSHD0158</v>
      </c>
      <c r="H652" s="33"/>
      <c r="I652" s="50" t="s">
        <v>276</v>
      </c>
      <c r="J652" s="50" t="s">
        <v>275</v>
      </c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3">
        <f t="shared" si="50"/>
        <v>2</v>
      </c>
      <c r="V652" s="33">
        <f t="shared" si="51"/>
        <v>1</v>
      </c>
      <c r="W652" s="33">
        <f t="shared" si="52"/>
        <v>0</v>
      </c>
      <c r="X652" s="33">
        <f t="shared" si="53"/>
        <v>0</v>
      </c>
      <c r="Y652" s="33">
        <f ca="1">SUMPRODUCT((I652:INDEX(I652:T652,MONTH(TODAY()))="X")*1)</f>
        <v>0</v>
      </c>
      <c r="Z652" s="39">
        <f t="shared" si="54"/>
        <v>0.5</v>
      </c>
    </row>
    <row r="653" spans="1:26" x14ac:dyDescent="0.25">
      <c r="A653" s="37" t="str">
        <f>Equipos!C651</f>
        <v>2-110837</v>
      </c>
      <c r="B653" s="33" t="str">
        <f>Equipos!D651</f>
        <v>Monitor Multiparámetros</v>
      </c>
      <c r="C653" s="33" t="str">
        <f>Equipos!E651</f>
        <v>Neonatología</v>
      </c>
      <c r="D653" s="33">
        <f>Equipos!G651</f>
        <v>0</v>
      </c>
      <c r="E653" s="33" t="str">
        <f>Equipos!I651</f>
        <v>Drager</v>
      </c>
      <c r="F653" s="33" t="str">
        <f>Equipos!J651</f>
        <v>Vista 120</v>
      </c>
      <c r="G653" s="37" t="str">
        <f>Equipos!K651</f>
        <v>VQSHD0160</v>
      </c>
      <c r="H653" s="33"/>
      <c r="I653" s="50" t="s">
        <v>276</v>
      </c>
      <c r="J653" s="50" t="s">
        <v>275</v>
      </c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3">
        <f t="shared" si="50"/>
        <v>2</v>
      </c>
      <c r="V653" s="33">
        <f t="shared" si="51"/>
        <v>1</v>
      </c>
      <c r="W653" s="33">
        <f t="shared" si="52"/>
        <v>0</v>
      </c>
      <c r="X653" s="33">
        <f t="shared" si="53"/>
        <v>0</v>
      </c>
      <c r="Y653" s="33">
        <f ca="1">SUMPRODUCT((I653:INDEX(I653:T653,MONTH(TODAY()))="X")*1)</f>
        <v>0</v>
      </c>
      <c r="Z653" s="39">
        <f t="shared" si="54"/>
        <v>0.5</v>
      </c>
    </row>
    <row r="654" spans="1:26" x14ac:dyDescent="0.25">
      <c r="A654" s="37" t="str">
        <f>Equipos!C652</f>
        <v>2-110832</v>
      </c>
      <c r="B654" s="33" t="str">
        <f>Equipos!D652</f>
        <v>Monitor Multiparámetros</v>
      </c>
      <c r="C654" s="33" t="str">
        <f>Equipos!E652</f>
        <v>Neonatología</v>
      </c>
      <c r="D654" s="33">
        <f>Equipos!G652</f>
        <v>0</v>
      </c>
      <c r="E654" s="33" t="str">
        <f>Equipos!I652</f>
        <v>Drager</v>
      </c>
      <c r="F654" s="33" t="str">
        <f>Equipos!J652</f>
        <v>Vista 120</v>
      </c>
      <c r="G654" s="37" t="str">
        <f>Equipos!K652</f>
        <v>VQSHD0166</v>
      </c>
      <c r="H654" s="33"/>
      <c r="I654" s="50" t="s">
        <v>276</v>
      </c>
      <c r="J654" s="50" t="s">
        <v>275</v>
      </c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3">
        <f t="shared" si="50"/>
        <v>2</v>
      </c>
      <c r="V654" s="33">
        <f t="shared" si="51"/>
        <v>1</v>
      </c>
      <c r="W654" s="33">
        <f t="shared" si="52"/>
        <v>0</v>
      </c>
      <c r="X654" s="33">
        <f t="shared" si="53"/>
        <v>0</v>
      </c>
      <c r="Y654" s="33">
        <f ca="1">SUMPRODUCT((I654:INDEX(I654:T654,MONTH(TODAY()))="X")*1)</f>
        <v>0</v>
      </c>
      <c r="Z654" s="39">
        <f t="shared" si="54"/>
        <v>0.5</v>
      </c>
    </row>
    <row r="655" spans="1:26" x14ac:dyDescent="0.25">
      <c r="A655" s="37" t="str">
        <f>Equipos!C653</f>
        <v>2-110840</v>
      </c>
      <c r="B655" s="33" t="str">
        <f>Equipos!D653</f>
        <v>Monitor Multiparámetros</v>
      </c>
      <c r="C655" s="33" t="str">
        <f>Equipos!E653</f>
        <v>Neonatología</v>
      </c>
      <c r="D655" s="33">
        <f>Equipos!G653</f>
        <v>0</v>
      </c>
      <c r="E655" s="33" t="str">
        <f>Equipos!I653</f>
        <v>Drager</v>
      </c>
      <c r="F655" s="33" t="str">
        <f>Equipos!J653</f>
        <v>Vista 120</v>
      </c>
      <c r="G655" s="37" t="str">
        <f>Equipos!K653</f>
        <v>VQSHD0169</v>
      </c>
      <c r="H655" s="33"/>
      <c r="I655" s="50" t="s">
        <v>276</v>
      </c>
      <c r="J655" s="50" t="s">
        <v>275</v>
      </c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3">
        <f t="shared" si="50"/>
        <v>2</v>
      </c>
      <c r="V655" s="33">
        <f t="shared" si="51"/>
        <v>1</v>
      </c>
      <c r="W655" s="33">
        <f t="shared" si="52"/>
        <v>0</v>
      </c>
      <c r="X655" s="33">
        <f t="shared" si="53"/>
        <v>0</v>
      </c>
      <c r="Y655" s="33">
        <f ca="1">SUMPRODUCT((I655:INDEX(I655:T655,MONTH(TODAY()))="X")*1)</f>
        <v>0</v>
      </c>
      <c r="Z655" s="39">
        <f t="shared" si="54"/>
        <v>0.5</v>
      </c>
    </row>
    <row r="656" spans="1:26" x14ac:dyDescent="0.25">
      <c r="A656" s="37" t="str">
        <f>Equipos!C654</f>
        <v>2-110833</v>
      </c>
      <c r="B656" s="33" t="str">
        <f>Equipos!D654</f>
        <v>Monitor Multiparámetros</v>
      </c>
      <c r="C656" s="33" t="str">
        <f>Equipos!E654</f>
        <v>Neonatología</v>
      </c>
      <c r="D656" s="33">
        <f>Equipos!G654</f>
        <v>0</v>
      </c>
      <c r="E656" s="33" t="str">
        <f>Equipos!I654</f>
        <v>Drager</v>
      </c>
      <c r="F656" s="33" t="str">
        <f>Equipos!J654</f>
        <v>Vista 120</v>
      </c>
      <c r="G656" s="37" t="str">
        <f>Equipos!K654</f>
        <v>VQSHD0170</v>
      </c>
      <c r="H656" s="33"/>
      <c r="I656" s="50" t="s">
        <v>276</v>
      </c>
      <c r="J656" s="50" t="s">
        <v>275</v>
      </c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3">
        <f t="shared" si="50"/>
        <v>2</v>
      </c>
      <c r="V656" s="33">
        <f t="shared" si="51"/>
        <v>1</v>
      </c>
      <c r="W656" s="33">
        <f t="shared" si="52"/>
        <v>0</v>
      </c>
      <c r="X656" s="33">
        <f t="shared" si="53"/>
        <v>0</v>
      </c>
      <c r="Y656" s="33">
        <f ca="1">SUMPRODUCT((I656:INDEX(I656:T656,MONTH(TODAY()))="X")*1)</f>
        <v>0</v>
      </c>
      <c r="Z656" s="39">
        <f t="shared" si="54"/>
        <v>0.5</v>
      </c>
    </row>
    <row r="657" spans="1:26" x14ac:dyDescent="0.25">
      <c r="A657" s="37" t="str">
        <f>Equipos!C655</f>
        <v>2-110839</v>
      </c>
      <c r="B657" s="33" t="str">
        <f>Equipos!D655</f>
        <v>Monitor Multiparámetros</v>
      </c>
      <c r="C657" s="33" t="str">
        <f>Equipos!E655</f>
        <v>Neonatología</v>
      </c>
      <c r="D657" s="33">
        <f>Equipos!G655</f>
        <v>0</v>
      </c>
      <c r="E657" s="33" t="str">
        <f>Equipos!I655</f>
        <v>Drager</v>
      </c>
      <c r="F657" s="33" t="str">
        <f>Equipos!J655</f>
        <v>Vista 120</v>
      </c>
      <c r="G657" s="37" t="str">
        <f>Equipos!K655</f>
        <v>VQSHD0171</v>
      </c>
      <c r="H657" s="33"/>
      <c r="I657" s="50" t="s">
        <v>276</v>
      </c>
      <c r="J657" s="50" t="s">
        <v>275</v>
      </c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3">
        <f t="shared" si="50"/>
        <v>2</v>
      </c>
      <c r="V657" s="33">
        <f t="shared" si="51"/>
        <v>1</v>
      </c>
      <c r="W657" s="33">
        <f t="shared" si="52"/>
        <v>0</v>
      </c>
      <c r="X657" s="33">
        <f t="shared" si="53"/>
        <v>0</v>
      </c>
      <c r="Y657" s="33">
        <f ca="1">SUMPRODUCT((I657:INDEX(I657:T657,MONTH(TODAY()))="X")*1)</f>
        <v>0</v>
      </c>
      <c r="Z657" s="39">
        <f t="shared" si="54"/>
        <v>0.5</v>
      </c>
    </row>
    <row r="658" spans="1:26" x14ac:dyDescent="0.25">
      <c r="A658" s="37" t="str">
        <f>Equipos!C656</f>
        <v>2-110841</v>
      </c>
      <c r="B658" s="33" t="str">
        <f>Equipos!D656</f>
        <v>Monitor Multiparámetros</v>
      </c>
      <c r="C658" s="33" t="str">
        <f>Equipos!E656</f>
        <v>Neonatología</v>
      </c>
      <c r="D658" s="33">
        <f>Equipos!G656</f>
        <v>0</v>
      </c>
      <c r="E658" s="33" t="str">
        <f>Equipos!I656</f>
        <v>Drager</v>
      </c>
      <c r="F658" s="33" t="str">
        <f>Equipos!J656</f>
        <v>Vista 120</v>
      </c>
      <c r="G658" s="37" t="str">
        <f>Equipos!K656</f>
        <v>VQSHD0173</v>
      </c>
      <c r="H658" s="33"/>
      <c r="I658" s="50" t="s">
        <v>276</v>
      </c>
      <c r="J658" s="50" t="s">
        <v>275</v>
      </c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3">
        <f t="shared" si="50"/>
        <v>2</v>
      </c>
      <c r="V658" s="33">
        <f t="shared" si="51"/>
        <v>1</v>
      </c>
      <c r="W658" s="33">
        <f t="shared" si="52"/>
        <v>0</v>
      </c>
      <c r="X658" s="33">
        <f t="shared" si="53"/>
        <v>0</v>
      </c>
      <c r="Y658" s="33">
        <f ca="1">SUMPRODUCT((I658:INDEX(I658:T658,MONTH(TODAY()))="X")*1)</f>
        <v>0</v>
      </c>
      <c r="Z658" s="39">
        <f t="shared" si="54"/>
        <v>0.5</v>
      </c>
    </row>
    <row r="659" spans="1:26" x14ac:dyDescent="0.25">
      <c r="A659" s="37" t="str">
        <f>Equipos!C657</f>
        <v>2-110835</v>
      </c>
      <c r="B659" s="33" t="str">
        <f>Equipos!D657</f>
        <v>Monitor Multiparámetros</v>
      </c>
      <c r="C659" s="33" t="str">
        <f>Equipos!E657</f>
        <v>Neonatología</v>
      </c>
      <c r="D659" s="33">
        <f>Equipos!G657</f>
        <v>0</v>
      </c>
      <c r="E659" s="33" t="str">
        <f>Equipos!I657</f>
        <v>Drager</v>
      </c>
      <c r="F659" s="33" t="str">
        <f>Equipos!J657</f>
        <v>Vista 120</v>
      </c>
      <c r="G659" s="37" t="str">
        <f>Equipos!K657</f>
        <v>VQSHD0174</v>
      </c>
      <c r="H659" s="33"/>
      <c r="I659" s="50" t="s">
        <v>276</v>
      </c>
      <c r="J659" s="50" t="s">
        <v>275</v>
      </c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3">
        <f t="shared" si="50"/>
        <v>2</v>
      </c>
      <c r="V659" s="33">
        <f t="shared" si="51"/>
        <v>1</v>
      </c>
      <c r="W659" s="33">
        <f t="shared" si="52"/>
        <v>0</v>
      </c>
      <c r="X659" s="33">
        <f t="shared" si="53"/>
        <v>0</v>
      </c>
      <c r="Y659" s="33">
        <f ca="1">SUMPRODUCT((I659:INDEX(I659:T659,MONTH(TODAY()))="X")*1)</f>
        <v>0</v>
      </c>
      <c r="Z659" s="39">
        <f t="shared" si="54"/>
        <v>0.5</v>
      </c>
    </row>
    <row r="660" spans="1:26" x14ac:dyDescent="0.25">
      <c r="A660" s="37" t="str">
        <f>Equipos!C658</f>
        <v>2-110944</v>
      </c>
      <c r="B660" s="33" t="str">
        <f>Equipos!D658</f>
        <v>Monitor Multiparámetros</v>
      </c>
      <c r="C660" s="33" t="str">
        <f>Equipos!E658</f>
        <v>Neonatología</v>
      </c>
      <c r="D660" s="33">
        <f>Equipos!G658</f>
        <v>0</v>
      </c>
      <c r="E660" s="33" t="str">
        <f>Equipos!I658</f>
        <v>Drager</v>
      </c>
      <c r="F660" s="33" t="str">
        <f>Equipos!J658</f>
        <v>Vista 120</v>
      </c>
      <c r="G660" s="37" t="str">
        <f>Equipos!K658</f>
        <v>VQSHD0194</v>
      </c>
      <c r="H660" s="33"/>
      <c r="I660" s="50" t="s">
        <v>276</v>
      </c>
      <c r="J660" s="50" t="s">
        <v>275</v>
      </c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3">
        <f t="shared" si="50"/>
        <v>2</v>
      </c>
      <c r="V660" s="33">
        <f t="shared" si="51"/>
        <v>1</v>
      </c>
      <c r="W660" s="33">
        <f t="shared" si="52"/>
        <v>0</v>
      </c>
      <c r="X660" s="33">
        <f t="shared" si="53"/>
        <v>0</v>
      </c>
      <c r="Y660" s="33">
        <f ca="1">SUMPRODUCT((I660:INDEX(I660:T660,MONTH(TODAY()))="X")*1)</f>
        <v>0</v>
      </c>
      <c r="Z660" s="39">
        <f t="shared" si="54"/>
        <v>0.5</v>
      </c>
    </row>
    <row r="661" spans="1:26" x14ac:dyDescent="0.25">
      <c r="A661" s="37" t="str">
        <f>Equipos!C659</f>
        <v>2-110844</v>
      </c>
      <c r="B661" s="33" t="str">
        <f>Equipos!D659</f>
        <v>Monitor Multiparámetros</v>
      </c>
      <c r="C661" s="33" t="str">
        <f>Equipos!E659</f>
        <v>Neonatología</v>
      </c>
      <c r="D661" s="33">
        <f>Equipos!G659</f>
        <v>0</v>
      </c>
      <c r="E661" s="33" t="str">
        <f>Equipos!I659</f>
        <v>Drager</v>
      </c>
      <c r="F661" s="33" t="str">
        <f>Equipos!J659</f>
        <v>Vista 120</v>
      </c>
      <c r="G661" s="37" t="str">
        <f>Equipos!K659</f>
        <v>VQSHD0197</v>
      </c>
      <c r="H661" s="33"/>
      <c r="I661" s="50" t="s">
        <v>276</v>
      </c>
      <c r="J661" s="50" t="s">
        <v>275</v>
      </c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3">
        <f t="shared" si="50"/>
        <v>2</v>
      </c>
      <c r="V661" s="33">
        <f t="shared" si="51"/>
        <v>1</v>
      </c>
      <c r="W661" s="33">
        <f t="shared" si="52"/>
        <v>0</v>
      </c>
      <c r="X661" s="33">
        <f t="shared" si="53"/>
        <v>0</v>
      </c>
      <c r="Y661" s="33">
        <f ca="1">SUMPRODUCT((I661:INDEX(I661:T661,MONTH(TODAY()))="X")*1)</f>
        <v>0</v>
      </c>
      <c r="Z661" s="39">
        <f t="shared" si="54"/>
        <v>0.5</v>
      </c>
    </row>
    <row r="662" spans="1:26" x14ac:dyDescent="0.25">
      <c r="A662" s="37" t="str">
        <f>Equipos!C660</f>
        <v>2-110830</v>
      </c>
      <c r="B662" s="33" t="str">
        <f>Equipos!D660</f>
        <v>Monitor Multiparámetros</v>
      </c>
      <c r="C662" s="33" t="str">
        <f>Equipos!E660</f>
        <v>Neonatología</v>
      </c>
      <c r="D662" s="33">
        <f>Equipos!G660</f>
        <v>0</v>
      </c>
      <c r="E662" s="33" t="str">
        <f>Equipos!I660</f>
        <v>Drager</v>
      </c>
      <c r="F662" s="33" t="str">
        <f>Equipos!J660</f>
        <v>Vista 120</v>
      </c>
      <c r="G662" s="37" t="str">
        <f>Equipos!K660</f>
        <v>VQSHD0226</v>
      </c>
      <c r="H662" s="33"/>
      <c r="I662" s="50" t="s">
        <v>276</v>
      </c>
      <c r="J662" s="50" t="s">
        <v>275</v>
      </c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3">
        <f t="shared" si="50"/>
        <v>2</v>
      </c>
      <c r="V662" s="33">
        <f t="shared" si="51"/>
        <v>1</v>
      </c>
      <c r="W662" s="33">
        <f t="shared" si="52"/>
        <v>0</v>
      </c>
      <c r="X662" s="33">
        <f t="shared" si="53"/>
        <v>0</v>
      </c>
      <c r="Y662" s="33">
        <f ca="1">SUMPRODUCT((I662:INDEX(I662:T662,MONTH(TODAY()))="X")*1)</f>
        <v>0</v>
      </c>
      <c r="Z662" s="39">
        <f t="shared" si="54"/>
        <v>0.5</v>
      </c>
    </row>
    <row r="663" spans="1:26" x14ac:dyDescent="0.25">
      <c r="A663" s="37" t="str">
        <f>Equipos!C661</f>
        <v>2-110946</v>
      </c>
      <c r="B663" s="33" t="str">
        <f>Equipos!D661</f>
        <v>Monitor Multiparámetros</v>
      </c>
      <c r="C663" s="33" t="str">
        <f>Equipos!E661</f>
        <v>Neonatología</v>
      </c>
      <c r="D663" s="33">
        <f>Equipos!G661</f>
        <v>0</v>
      </c>
      <c r="E663" s="33" t="str">
        <f>Equipos!I661</f>
        <v>Drager</v>
      </c>
      <c r="F663" s="33" t="str">
        <f>Equipos!J661</f>
        <v>Vista 120</v>
      </c>
      <c r="G663" s="37" t="str">
        <f>Equipos!K661</f>
        <v>VQSHD0233</v>
      </c>
      <c r="H663" s="33"/>
      <c r="I663" s="50" t="s">
        <v>276</v>
      </c>
      <c r="J663" s="50" t="s">
        <v>275</v>
      </c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3">
        <f t="shared" si="50"/>
        <v>2</v>
      </c>
      <c r="V663" s="33">
        <f t="shared" si="51"/>
        <v>1</v>
      </c>
      <c r="W663" s="33">
        <f t="shared" si="52"/>
        <v>0</v>
      </c>
      <c r="X663" s="33">
        <f t="shared" si="53"/>
        <v>0</v>
      </c>
      <c r="Y663" s="33">
        <f ca="1">SUMPRODUCT((I663:INDEX(I663:T663,MONTH(TODAY()))="X")*1)</f>
        <v>0</v>
      </c>
      <c r="Z663" s="39">
        <f t="shared" si="54"/>
        <v>0.5</v>
      </c>
    </row>
    <row r="664" spans="1:26" x14ac:dyDescent="0.25">
      <c r="A664" s="37" t="str">
        <f>Equipos!C662</f>
        <v>2-110941</v>
      </c>
      <c r="B664" s="33" t="str">
        <f>Equipos!D662</f>
        <v>Monitor Multiparámetros</v>
      </c>
      <c r="C664" s="33" t="str">
        <f>Equipos!E662</f>
        <v>Neonatología</v>
      </c>
      <c r="D664" s="33">
        <f>Equipos!G662</f>
        <v>0</v>
      </c>
      <c r="E664" s="33" t="str">
        <f>Equipos!I662</f>
        <v>Drager</v>
      </c>
      <c r="F664" s="33" t="str">
        <f>Equipos!J662</f>
        <v>Vista 120</v>
      </c>
      <c r="G664" s="37" t="str">
        <f>Equipos!K662</f>
        <v>VQSHD0234</v>
      </c>
      <c r="H664" s="33"/>
      <c r="I664" s="50" t="s">
        <v>276</v>
      </c>
      <c r="J664" s="50" t="s">
        <v>275</v>
      </c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3">
        <f t="shared" si="50"/>
        <v>2</v>
      </c>
      <c r="V664" s="33">
        <f t="shared" si="51"/>
        <v>1</v>
      </c>
      <c r="W664" s="33">
        <f t="shared" si="52"/>
        <v>0</v>
      </c>
      <c r="X664" s="33">
        <f t="shared" si="53"/>
        <v>0</v>
      </c>
      <c r="Y664" s="33">
        <f ca="1">SUMPRODUCT((I664:INDEX(I664:T664,MONTH(TODAY()))="X")*1)</f>
        <v>0</v>
      </c>
      <c r="Z664" s="39">
        <f t="shared" si="54"/>
        <v>0.5</v>
      </c>
    </row>
    <row r="665" spans="1:26" x14ac:dyDescent="0.25">
      <c r="A665" s="37" t="str">
        <f>Equipos!C663</f>
        <v>2-013520</v>
      </c>
      <c r="B665" s="33" t="str">
        <f>Equipos!D663</f>
        <v>Monitor Multiparámetros</v>
      </c>
      <c r="C665" s="33" t="str">
        <f>Equipos!E663</f>
        <v>UPC Cardiovascular (Prestado a Medicina)</v>
      </c>
      <c r="D665" s="33">
        <f>Equipos!G663</f>
        <v>0</v>
      </c>
      <c r="E665" s="33" t="str">
        <f>Equipos!I663</f>
        <v>Drager</v>
      </c>
      <c r="F665" s="33" t="str">
        <f>Equipos!J663</f>
        <v>Vista 120</v>
      </c>
      <c r="G665" s="37" t="str">
        <f>Equipos!K663</f>
        <v>VTSHD0021</v>
      </c>
      <c r="H665" s="33"/>
      <c r="I665" s="38"/>
      <c r="J665" s="50" t="s">
        <v>275</v>
      </c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3">
        <f t="shared" si="50"/>
        <v>1</v>
      </c>
      <c r="V665" s="33">
        <f t="shared" si="51"/>
        <v>1</v>
      </c>
      <c r="W665" s="33">
        <f t="shared" si="52"/>
        <v>0</v>
      </c>
      <c r="X665" s="33">
        <f t="shared" si="53"/>
        <v>0</v>
      </c>
      <c r="Y665" s="33">
        <f ca="1">SUMPRODUCT((I665:INDEX(I665:T665,MONTH(TODAY()))="X")*1)</f>
        <v>0</v>
      </c>
      <c r="Z665" s="39">
        <f t="shared" si="54"/>
        <v>1</v>
      </c>
    </row>
    <row r="666" spans="1:26" x14ac:dyDescent="0.25">
      <c r="A666" s="37" t="str">
        <f>Equipos!C664</f>
        <v>2-110957</v>
      </c>
      <c r="B666" s="33" t="str">
        <f>Equipos!D664</f>
        <v>Monitor Multiparámetros</v>
      </c>
      <c r="C666" s="33" t="str">
        <f>Equipos!E664</f>
        <v>Pabellones Gineco-Obstétricos</v>
      </c>
      <c r="D666" s="33" t="str">
        <f>Equipos!G664</f>
        <v>Cama 8</v>
      </c>
      <c r="E666" s="33" t="str">
        <f>Equipos!I664</f>
        <v>Drager</v>
      </c>
      <c r="F666" s="33" t="str">
        <f>Equipos!J664</f>
        <v>Vista 120</v>
      </c>
      <c r="G666" s="37" t="str">
        <f>Equipos!K664</f>
        <v>VTSHN0089</v>
      </c>
      <c r="H666" s="33"/>
      <c r="I666" s="38"/>
      <c r="J666" s="38"/>
      <c r="K666" s="38"/>
      <c r="L666" s="38"/>
      <c r="M666" s="50" t="s">
        <v>275</v>
      </c>
      <c r="N666" s="38"/>
      <c r="O666" s="38"/>
      <c r="P666" s="38"/>
      <c r="Q666" s="38"/>
      <c r="R666" s="38"/>
      <c r="S666" s="38"/>
      <c r="T666" s="38"/>
      <c r="U666" s="33">
        <f t="shared" si="50"/>
        <v>1</v>
      </c>
      <c r="V666" s="33">
        <f t="shared" si="51"/>
        <v>1</v>
      </c>
      <c r="W666" s="33">
        <f t="shared" si="52"/>
        <v>0</v>
      </c>
      <c r="X666" s="33">
        <f t="shared" si="53"/>
        <v>0</v>
      </c>
      <c r="Y666" s="33">
        <f ca="1">SUMPRODUCT((I666:INDEX(I666:T666,MONTH(TODAY()))="X")*1)</f>
        <v>0</v>
      </c>
      <c r="Z666" s="39">
        <f t="shared" si="54"/>
        <v>1</v>
      </c>
    </row>
    <row r="667" spans="1:26" x14ac:dyDescent="0.25">
      <c r="A667" s="37" t="str">
        <f>Equipos!C665</f>
        <v>2-022659</v>
      </c>
      <c r="B667" s="33" t="str">
        <f>Equipos!D665</f>
        <v>Monitor Multiparámetros</v>
      </c>
      <c r="C667" s="33" t="str">
        <f>Equipos!E665</f>
        <v>Pabellones Gineco-Obstétricos</v>
      </c>
      <c r="D667" s="33" t="str">
        <f>Equipos!G665</f>
        <v>Pabellón 1</v>
      </c>
      <c r="E667" s="33" t="str">
        <f>Equipos!I665</f>
        <v>Drager</v>
      </c>
      <c r="F667" s="33" t="str">
        <f>Equipos!J665</f>
        <v>Infinity Kappa</v>
      </c>
      <c r="G667" s="37" t="str">
        <f>Equipos!K665</f>
        <v>5495188658</v>
      </c>
      <c r="H667" s="33"/>
      <c r="I667" s="38"/>
      <c r="J667" s="38"/>
      <c r="K667" s="38"/>
      <c r="L667" s="38"/>
      <c r="M667" s="50" t="s">
        <v>275</v>
      </c>
      <c r="N667" s="38"/>
      <c r="O667" s="38"/>
      <c r="P667" s="38"/>
      <c r="Q667" s="38"/>
      <c r="R667" s="38"/>
      <c r="S667" s="38"/>
      <c r="T667" s="38"/>
      <c r="U667" s="33">
        <f t="shared" si="50"/>
        <v>1</v>
      </c>
      <c r="V667" s="33">
        <f t="shared" si="51"/>
        <v>1</v>
      </c>
      <c r="W667" s="33">
        <f t="shared" si="52"/>
        <v>0</v>
      </c>
      <c r="X667" s="33">
        <f t="shared" si="53"/>
        <v>0</v>
      </c>
      <c r="Y667" s="33">
        <f ca="1">SUMPRODUCT((I667:INDEX(I667:T667,MONTH(TODAY()))="X")*1)</f>
        <v>0</v>
      </c>
      <c r="Z667" s="39">
        <f t="shared" si="54"/>
        <v>1</v>
      </c>
    </row>
    <row r="668" spans="1:26" x14ac:dyDescent="0.25">
      <c r="A668" s="37" t="str">
        <f>Equipos!C666</f>
        <v>2-024122</v>
      </c>
      <c r="B668" s="33" t="str">
        <f>Equipos!D666</f>
        <v>Monitor Multiparámetros</v>
      </c>
      <c r="C668" s="33" t="str">
        <f>Equipos!E666</f>
        <v>SAMU</v>
      </c>
      <c r="D668" s="33" t="str">
        <f>Equipos!G666</f>
        <v>Movil 1301</v>
      </c>
      <c r="E668" s="33" t="str">
        <f>Equipos!I666</f>
        <v xml:space="preserve">Nihon Kohden </v>
      </c>
      <c r="F668" s="33" t="str">
        <f>Equipos!J666</f>
        <v>BSM-6301K</v>
      </c>
      <c r="G668" s="37" t="str">
        <f>Equipos!K666</f>
        <v>01117.</v>
      </c>
      <c r="H668" s="33"/>
      <c r="I668" s="38"/>
      <c r="J668" s="38"/>
      <c r="K668" s="38"/>
      <c r="L668" s="50" t="s">
        <v>276</v>
      </c>
      <c r="M668" s="50" t="s">
        <v>275</v>
      </c>
      <c r="N668" s="38"/>
      <c r="O668" s="38"/>
      <c r="P668" s="38"/>
      <c r="Q668" s="38"/>
      <c r="R668" s="38"/>
      <c r="S668" s="38"/>
      <c r="T668" s="38"/>
      <c r="U668" s="33">
        <f t="shared" si="50"/>
        <v>2</v>
      </c>
      <c r="V668" s="33">
        <f t="shared" si="51"/>
        <v>1</v>
      </c>
      <c r="W668" s="33">
        <f t="shared" si="52"/>
        <v>0</v>
      </c>
      <c r="X668" s="33">
        <f t="shared" si="53"/>
        <v>0</v>
      </c>
      <c r="Y668" s="33">
        <f ca="1">SUMPRODUCT((I668:INDEX(I668:T668,MONTH(TODAY()))="X")*1)</f>
        <v>0</v>
      </c>
      <c r="Z668" s="39">
        <f t="shared" si="54"/>
        <v>0.5</v>
      </c>
    </row>
    <row r="669" spans="1:26" x14ac:dyDescent="0.25">
      <c r="A669" s="37" t="str">
        <f>Equipos!C667</f>
        <v>2-111142</v>
      </c>
      <c r="B669" s="33" t="str">
        <f>Equipos!D667</f>
        <v>Monitor Multiparámetros</v>
      </c>
      <c r="C669" s="33" t="str">
        <f>Equipos!E667</f>
        <v>UPC Cardiovascular</v>
      </c>
      <c r="D669" s="33" t="str">
        <f>Equipos!G667</f>
        <v>Bodega</v>
      </c>
      <c r="E669" s="33" t="str">
        <f>Equipos!I667</f>
        <v>Drager</v>
      </c>
      <c r="F669" s="33" t="str">
        <f>Equipos!J667</f>
        <v>Infinity Delta</v>
      </c>
      <c r="G669" s="37" t="str">
        <f>Equipos!K667</f>
        <v>6007939163</v>
      </c>
      <c r="H669" s="33"/>
      <c r="I669" s="50" t="s">
        <v>276</v>
      </c>
      <c r="J669" s="50" t="s">
        <v>275</v>
      </c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3">
        <f t="shared" si="50"/>
        <v>2</v>
      </c>
      <c r="V669" s="33">
        <f t="shared" si="51"/>
        <v>1</v>
      </c>
      <c r="W669" s="33">
        <f t="shared" si="52"/>
        <v>0</v>
      </c>
      <c r="X669" s="33">
        <f t="shared" si="53"/>
        <v>0</v>
      </c>
      <c r="Y669" s="33">
        <f ca="1">SUMPRODUCT((I669:INDEX(I669:T669,MONTH(TODAY()))="X")*1)</f>
        <v>0</v>
      </c>
      <c r="Z669" s="39">
        <f t="shared" si="54"/>
        <v>0.5</v>
      </c>
    </row>
    <row r="670" spans="1:26" x14ac:dyDescent="0.25">
      <c r="A670" s="37" t="str">
        <f>Equipos!C668</f>
        <v>2-111140</v>
      </c>
      <c r="B670" s="33" t="str">
        <f>Equipos!D668</f>
        <v>Monitor Multiparámetros</v>
      </c>
      <c r="C670" s="33" t="str">
        <f>Equipos!E668</f>
        <v>UPC Cardiovascular</v>
      </c>
      <c r="D670" s="33" t="str">
        <f>Equipos!G668</f>
        <v>CAMA 7</v>
      </c>
      <c r="E670" s="33" t="str">
        <f>Equipos!I668</f>
        <v>Drager</v>
      </c>
      <c r="F670" s="33" t="str">
        <f>Equipos!J668</f>
        <v>Infinity Kappa</v>
      </c>
      <c r="G670" s="37" t="str">
        <f>Equipos!K668</f>
        <v>5495339950</v>
      </c>
      <c r="H670" s="33"/>
      <c r="I670" s="50" t="s">
        <v>276</v>
      </c>
      <c r="J670" s="50" t="s">
        <v>275</v>
      </c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3">
        <f t="shared" si="50"/>
        <v>2</v>
      </c>
      <c r="V670" s="33">
        <f t="shared" si="51"/>
        <v>1</v>
      </c>
      <c r="W670" s="33">
        <f t="shared" si="52"/>
        <v>0</v>
      </c>
      <c r="X670" s="33">
        <f t="shared" si="53"/>
        <v>0</v>
      </c>
      <c r="Y670" s="33">
        <f ca="1">SUMPRODUCT((I670:INDEX(I670:T670,MONTH(TODAY()))="X")*1)</f>
        <v>0</v>
      </c>
      <c r="Z670" s="39">
        <f t="shared" si="54"/>
        <v>0.5</v>
      </c>
    </row>
    <row r="671" spans="1:26" x14ac:dyDescent="0.25">
      <c r="A671" s="37" t="str">
        <f>Equipos!C669</f>
        <v>2-111902</v>
      </c>
      <c r="B671" s="33" t="str">
        <f>Equipos!D669</f>
        <v>Monitor Multiparámetros</v>
      </c>
      <c r="C671" s="33" t="str">
        <f>Equipos!E669</f>
        <v>Pabellón CMA</v>
      </c>
      <c r="D671" s="33">
        <f>Equipos!G669</f>
        <v>0</v>
      </c>
      <c r="E671" s="33" t="str">
        <f>Equipos!I669</f>
        <v xml:space="preserve">Nihon Kohden </v>
      </c>
      <c r="F671" s="33" t="str">
        <f>Equipos!J669</f>
        <v>PVM-2701</v>
      </c>
      <c r="G671" s="37" t="str">
        <f>Equipos!K669</f>
        <v>111450</v>
      </c>
      <c r="H671" s="33"/>
      <c r="I671" s="38"/>
      <c r="J671" s="38"/>
      <c r="K671" s="38"/>
      <c r="L671" s="38"/>
      <c r="M671" s="50" t="s">
        <v>275</v>
      </c>
      <c r="N671" s="38"/>
      <c r="O671" s="38"/>
      <c r="P671" s="38"/>
      <c r="Q671" s="38"/>
      <c r="R671" s="38"/>
      <c r="S671" s="38"/>
      <c r="T671" s="38"/>
      <c r="U671" s="33">
        <f t="shared" si="50"/>
        <v>1</v>
      </c>
      <c r="V671" s="33">
        <f t="shared" si="51"/>
        <v>1</v>
      </c>
      <c r="W671" s="33">
        <f t="shared" si="52"/>
        <v>0</v>
      </c>
      <c r="X671" s="33">
        <f t="shared" si="53"/>
        <v>0</v>
      </c>
      <c r="Y671" s="33">
        <f ca="1">SUMPRODUCT((I671:INDEX(I671:T671,MONTH(TODAY()))="X")*1)</f>
        <v>0</v>
      </c>
      <c r="Z671" s="39">
        <f t="shared" si="54"/>
        <v>1</v>
      </c>
    </row>
    <row r="672" spans="1:26" x14ac:dyDescent="0.25">
      <c r="A672" s="37" t="str">
        <f>Equipos!C670</f>
        <v>2-111901</v>
      </c>
      <c r="B672" s="33" t="str">
        <f>Equipos!D670</f>
        <v>Monitor Multiparámetros</v>
      </c>
      <c r="C672" s="33" t="str">
        <f>Equipos!E670</f>
        <v>Pabellón CMA</v>
      </c>
      <c r="D672" s="33">
        <f>Equipos!G670</f>
        <v>0</v>
      </c>
      <c r="E672" s="33" t="str">
        <f>Equipos!I670</f>
        <v xml:space="preserve">Nihon Kohden </v>
      </c>
      <c r="F672" s="33" t="str">
        <f>Equipos!J670</f>
        <v>PVM-2701</v>
      </c>
      <c r="G672" s="37" t="str">
        <f>Equipos!K670</f>
        <v>111456</v>
      </c>
      <c r="H672" s="33"/>
      <c r="I672" s="38"/>
      <c r="J672" s="38"/>
      <c r="K672" s="38"/>
      <c r="L672" s="38"/>
      <c r="M672" s="50" t="s">
        <v>275</v>
      </c>
      <c r="N672" s="38"/>
      <c r="O672" s="38"/>
      <c r="P672" s="38"/>
      <c r="Q672" s="38"/>
      <c r="R672" s="38"/>
      <c r="S672" s="38"/>
      <c r="T672" s="38"/>
      <c r="U672" s="33">
        <f t="shared" si="50"/>
        <v>1</v>
      </c>
      <c r="V672" s="33">
        <f t="shared" si="51"/>
        <v>1</v>
      </c>
      <c r="W672" s="33">
        <f t="shared" si="52"/>
        <v>0</v>
      </c>
      <c r="X672" s="33">
        <f t="shared" si="53"/>
        <v>0</v>
      </c>
      <c r="Y672" s="33">
        <f ca="1">SUMPRODUCT((I672:INDEX(I672:T672,MONTH(TODAY()))="X")*1)</f>
        <v>0</v>
      </c>
      <c r="Z672" s="39">
        <f t="shared" si="54"/>
        <v>1</v>
      </c>
    </row>
    <row r="673" spans="1:26" x14ac:dyDescent="0.25">
      <c r="A673" s="37" t="str">
        <f>Equipos!C671</f>
        <v>2-016338</v>
      </c>
      <c r="B673" s="33" t="str">
        <f>Equipos!D671</f>
        <v>Monitor Multiparámetros</v>
      </c>
      <c r="C673" s="33" t="str">
        <f>Equipos!E671</f>
        <v>UPC Adulto</v>
      </c>
      <c r="D673" s="33" t="str">
        <f>Equipos!G671</f>
        <v>BODEGA</v>
      </c>
      <c r="E673" s="33" t="str">
        <f>Equipos!I671</f>
        <v>Drager</v>
      </c>
      <c r="F673" s="33" t="str">
        <f>Equipos!J671</f>
        <v>Infinity Delta</v>
      </c>
      <c r="G673" s="37" t="str">
        <f>Equipos!K671</f>
        <v>6006242079</v>
      </c>
      <c r="H673" s="33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3">
        <f t="shared" si="50"/>
        <v>0</v>
      </c>
      <c r="V673" s="33">
        <f t="shared" si="51"/>
        <v>0</v>
      </c>
      <c r="W673" s="33">
        <f t="shared" si="52"/>
        <v>0</v>
      </c>
      <c r="X673" s="33">
        <f t="shared" si="53"/>
        <v>0</v>
      </c>
      <c r="Y673" s="33">
        <f ca="1">SUMPRODUCT((I673:INDEX(I673:T673,MONTH(TODAY()))="X")*1)</f>
        <v>0</v>
      </c>
      <c r="Z673" s="39" t="str">
        <f t="shared" si="54"/>
        <v/>
      </c>
    </row>
    <row r="674" spans="1:26" x14ac:dyDescent="0.25">
      <c r="A674" s="37" t="str">
        <f>Equipos!C672</f>
        <v>2-112541</v>
      </c>
      <c r="B674" s="33" t="str">
        <f>Equipos!D672</f>
        <v>Monitor Multiparámetros</v>
      </c>
      <c r="C674" s="33" t="str">
        <f>Equipos!E672</f>
        <v>UPC Adulto (Prestado a UPC 3er piso)</v>
      </c>
      <c r="D674" s="33" t="str">
        <f>Equipos!G672</f>
        <v>UPC 3er piso</v>
      </c>
      <c r="E674" s="33" t="str">
        <f>Equipos!I672</f>
        <v>Drager</v>
      </c>
      <c r="F674" s="33" t="str">
        <f>Equipos!J672</f>
        <v>Infinity Kappa</v>
      </c>
      <c r="G674" s="37" t="str">
        <f>Equipos!K672</f>
        <v>5495318955</v>
      </c>
      <c r="H674" s="33"/>
      <c r="I674" s="38"/>
      <c r="J674" s="38"/>
      <c r="K674" s="38"/>
      <c r="L674" s="38"/>
      <c r="M674" s="50" t="s">
        <v>275</v>
      </c>
      <c r="N674" s="38"/>
      <c r="O674" s="38"/>
      <c r="P674" s="38"/>
      <c r="Q674" s="38"/>
      <c r="R674" s="38"/>
      <c r="S674" s="38"/>
      <c r="T674" s="38"/>
      <c r="U674" s="33">
        <f t="shared" si="50"/>
        <v>1</v>
      </c>
      <c r="V674" s="33">
        <f t="shared" si="51"/>
        <v>1</v>
      </c>
      <c r="W674" s="33">
        <f t="shared" si="52"/>
        <v>0</v>
      </c>
      <c r="X674" s="33">
        <f t="shared" si="53"/>
        <v>0</v>
      </c>
      <c r="Y674" s="33">
        <f ca="1">SUMPRODUCT((I674:INDEX(I674:T674,MONTH(TODAY()))="X")*1)</f>
        <v>0</v>
      </c>
      <c r="Z674" s="39">
        <f t="shared" si="54"/>
        <v>1</v>
      </c>
    </row>
    <row r="675" spans="1:26" x14ac:dyDescent="0.25">
      <c r="A675" s="37" t="str">
        <f>Equipos!C673</f>
        <v>2-112601</v>
      </c>
      <c r="B675" s="33" t="str">
        <f>Equipos!D673</f>
        <v>Monitor Multiparámetros</v>
      </c>
      <c r="C675" s="33" t="str">
        <f>Equipos!E673</f>
        <v>Cardiología</v>
      </c>
      <c r="D675" s="33" t="str">
        <f>Equipos!G673</f>
        <v>Pabellon Hemodinamia 2do piso</v>
      </c>
      <c r="E675" s="33" t="str">
        <f>Equipos!I673</f>
        <v>Drager</v>
      </c>
      <c r="F675" s="33" t="str">
        <f>Equipos!J673</f>
        <v>Infinity Kappa</v>
      </c>
      <c r="G675" s="37" t="str">
        <f>Equipos!K673</f>
        <v>5493736846</v>
      </c>
      <c r="H675" s="33"/>
      <c r="I675" s="38"/>
      <c r="J675" s="50" t="s">
        <v>276</v>
      </c>
      <c r="K675" s="50" t="s">
        <v>275</v>
      </c>
      <c r="L675" s="38"/>
      <c r="M675" s="38"/>
      <c r="N675" s="38"/>
      <c r="O675" s="38"/>
      <c r="P675" s="38"/>
      <c r="Q675" s="38"/>
      <c r="R675" s="38"/>
      <c r="S675" s="38"/>
      <c r="T675" s="38"/>
      <c r="U675" s="33">
        <f t="shared" si="50"/>
        <v>2</v>
      </c>
      <c r="V675" s="33">
        <f t="shared" si="51"/>
        <v>1</v>
      </c>
      <c r="W675" s="33">
        <f t="shared" si="52"/>
        <v>0</v>
      </c>
      <c r="X675" s="33">
        <f t="shared" si="53"/>
        <v>0</v>
      </c>
      <c r="Y675" s="33">
        <f ca="1">SUMPRODUCT((I675:INDEX(I675:T675,MONTH(TODAY()))="X")*1)</f>
        <v>0</v>
      </c>
      <c r="Z675" s="39">
        <f t="shared" si="54"/>
        <v>0.5</v>
      </c>
    </row>
    <row r="676" spans="1:26" x14ac:dyDescent="0.25">
      <c r="A676" s="37">
        <f>Equipos!C674</f>
        <v>0</v>
      </c>
      <c r="B676" s="33" t="str">
        <f>Equipos!D674</f>
        <v>Monitor Multiparámetros</v>
      </c>
      <c r="C676" s="33">
        <f>Equipos!E674</f>
        <v>0</v>
      </c>
      <c r="D676" s="33">
        <f>Equipos!G674</f>
        <v>0</v>
      </c>
      <c r="E676" s="33">
        <f>Equipos!I674</f>
        <v>0</v>
      </c>
      <c r="F676" s="33">
        <f>Equipos!J674</f>
        <v>0</v>
      </c>
      <c r="G676" s="37">
        <f>Equipos!K674</f>
        <v>0</v>
      </c>
      <c r="H676" s="33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3">
        <f t="shared" si="50"/>
        <v>0</v>
      </c>
      <c r="V676" s="33">
        <f t="shared" si="51"/>
        <v>0</v>
      </c>
      <c r="W676" s="33">
        <f t="shared" si="52"/>
        <v>0</v>
      </c>
      <c r="X676" s="33">
        <f t="shared" si="53"/>
        <v>0</v>
      </c>
      <c r="Y676" s="33">
        <f ca="1">SUMPRODUCT((I676:INDEX(I676:T676,MONTH(TODAY()))="X")*1)</f>
        <v>0</v>
      </c>
      <c r="Z676" s="39" t="str">
        <f t="shared" si="54"/>
        <v/>
      </c>
    </row>
    <row r="677" spans="1:26" x14ac:dyDescent="0.25">
      <c r="A677" s="37" t="str">
        <f>Equipos!C675</f>
        <v>2-117051</v>
      </c>
      <c r="B677" s="33" t="str">
        <f>Equipos!D675</f>
        <v>Monitor Multiparámetros</v>
      </c>
      <c r="C677" s="33" t="str">
        <f>Equipos!E675</f>
        <v>Pabellones Gineco-Obstétricos</v>
      </c>
      <c r="D677" s="33" t="str">
        <f>Equipos!G675</f>
        <v>Cama 10</v>
      </c>
      <c r="E677" s="33" t="str">
        <f>Equipos!I675</f>
        <v>Philips</v>
      </c>
      <c r="F677" s="33" t="str">
        <f>Equipos!J675</f>
        <v>MX450</v>
      </c>
      <c r="G677" s="37" t="str">
        <f>Equipos!K675</f>
        <v>DE351C1465</v>
      </c>
      <c r="H677" s="33"/>
      <c r="I677" s="38"/>
      <c r="J677" s="38"/>
      <c r="K677" s="38"/>
      <c r="L677" s="38"/>
      <c r="M677" s="50" t="s">
        <v>275</v>
      </c>
      <c r="N677" s="38"/>
      <c r="O677" s="38"/>
      <c r="P677" s="38"/>
      <c r="Q677" s="38"/>
      <c r="R677" s="38"/>
      <c r="S677" s="38"/>
      <c r="T677" s="38"/>
      <c r="U677" s="33">
        <f t="shared" si="50"/>
        <v>1</v>
      </c>
      <c r="V677" s="33">
        <f t="shared" si="51"/>
        <v>1</v>
      </c>
      <c r="W677" s="33">
        <f t="shared" si="52"/>
        <v>0</v>
      </c>
      <c r="X677" s="33">
        <f t="shared" si="53"/>
        <v>0</v>
      </c>
      <c r="Y677" s="33">
        <f ca="1">SUMPRODUCT((I677:INDEX(I677:T677,MONTH(TODAY()))="X")*1)</f>
        <v>0</v>
      </c>
      <c r="Z677" s="39">
        <f t="shared" si="54"/>
        <v>1</v>
      </c>
    </row>
    <row r="678" spans="1:26" x14ac:dyDescent="0.25">
      <c r="A678" s="37" t="str">
        <f>Equipos!C676</f>
        <v>2-110795</v>
      </c>
      <c r="B678" s="33" t="str">
        <f>Equipos!D676</f>
        <v>Oxímetro de Pulso</v>
      </c>
      <c r="C678" s="33" t="str">
        <f>Equipos!E676</f>
        <v>Neonatología</v>
      </c>
      <c r="D678" s="33">
        <f>Equipos!G676</f>
        <v>0</v>
      </c>
      <c r="E678" s="33" t="str">
        <f>Equipos!I676</f>
        <v>Masimo</v>
      </c>
      <c r="F678" s="33" t="str">
        <f>Equipos!J676</f>
        <v>R7</v>
      </c>
      <c r="G678" s="37" t="str">
        <f>Equipos!K676</f>
        <v>225548</v>
      </c>
      <c r="H678" s="33"/>
      <c r="I678" s="50" t="s">
        <v>275</v>
      </c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3">
        <f t="shared" si="50"/>
        <v>1</v>
      </c>
      <c r="V678" s="33">
        <f t="shared" si="51"/>
        <v>1</v>
      </c>
      <c r="W678" s="33">
        <f t="shared" si="52"/>
        <v>0</v>
      </c>
      <c r="X678" s="33">
        <f t="shared" si="53"/>
        <v>0</v>
      </c>
      <c r="Y678" s="33">
        <f ca="1">SUMPRODUCT((I678:INDEX(I678:T678,MONTH(TODAY()))="X")*1)</f>
        <v>0</v>
      </c>
      <c r="Z678" s="39">
        <f t="shared" si="54"/>
        <v>1</v>
      </c>
    </row>
    <row r="679" spans="1:26" x14ac:dyDescent="0.25">
      <c r="A679" s="37" t="str">
        <f>Equipos!C677</f>
        <v>2-110796</v>
      </c>
      <c r="B679" s="33" t="str">
        <f>Equipos!D677</f>
        <v>Oxímetro de Pulso</v>
      </c>
      <c r="C679" s="33" t="str">
        <f>Equipos!E677</f>
        <v>Neonatología</v>
      </c>
      <c r="D679" s="33">
        <f>Equipos!G677</f>
        <v>0</v>
      </c>
      <c r="E679" s="33" t="str">
        <f>Equipos!I677</f>
        <v>Masimo</v>
      </c>
      <c r="F679" s="33" t="str">
        <f>Equipos!J677</f>
        <v>R7</v>
      </c>
      <c r="G679" s="37" t="str">
        <f>Equipos!K677</f>
        <v>225507</v>
      </c>
      <c r="H679" s="33"/>
      <c r="I679" s="50" t="s">
        <v>275</v>
      </c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3">
        <f t="shared" si="50"/>
        <v>1</v>
      </c>
      <c r="V679" s="33">
        <f t="shared" si="51"/>
        <v>1</v>
      </c>
      <c r="W679" s="33">
        <f t="shared" si="52"/>
        <v>0</v>
      </c>
      <c r="X679" s="33">
        <f t="shared" si="53"/>
        <v>0</v>
      </c>
      <c r="Y679" s="33">
        <f ca="1">SUMPRODUCT((I679:INDEX(I679:T679,MONTH(TODAY()))="X")*1)</f>
        <v>0</v>
      </c>
      <c r="Z679" s="39">
        <f t="shared" si="54"/>
        <v>1</v>
      </c>
    </row>
    <row r="680" spans="1:26" x14ac:dyDescent="0.25">
      <c r="A680" s="37" t="str">
        <f>Equipos!C678</f>
        <v>2-112800</v>
      </c>
      <c r="B680" s="33" t="str">
        <f>Equipos!D678</f>
        <v>Monitor Multiparámetros</v>
      </c>
      <c r="C680" s="33" t="str">
        <f>Equipos!E678</f>
        <v>UPC Adulto</v>
      </c>
      <c r="D680" s="33" t="str">
        <f>Equipos!G678</f>
        <v>CAMA 4</v>
      </c>
      <c r="E680" s="33" t="str">
        <f>Equipos!I678</f>
        <v>Drager</v>
      </c>
      <c r="F680" s="33" t="str">
        <f>Equipos!J678</f>
        <v xml:space="preserve">Infinity Kappa </v>
      </c>
      <c r="G680" s="37" t="str">
        <f>Equipos!K678</f>
        <v>5495286953</v>
      </c>
      <c r="H680" s="33"/>
      <c r="I680" s="50" t="s">
        <v>276</v>
      </c>
      <c r="J680" s="38"/>
      <c r="K680" s="38"/>
      <c r="L680" s="50" t="s">
        <v>278</v>
      </c>
      <c r="M680" s="38"/>
      <c r="N680" s="38"/>
      <c r="O680" s="38"/>
      <c r="P680" s="38"/>
      <c r="Q680" s="38"/>
      <c r="R680" s="38"/>
      <c r="S680" s="38"/>
      <c r="T680" s="38"/>
      <c r="U680" s="33">
        <f t="shared" si="50"/>
        <v>2</v>
      </c>
      <c r="V680" s="33">
        <f t="shared" si="51"/>
        <v>0</v>
      </c>
      <c r="W680" s="33">
        <f t="shared" si="52"/>
        <v>0</v>
      </c>
      <c r="X680" s="33">
        <f t="shared" si="53"/>
        <v>1</v>
      </c>
      <c r="Y680" s="33">
        <f ca="1">SUMPRODUCT((I680:INDEX(I680:T680,MONTH(TODAY()))="X")*1)</f>
        <v>0</v>
      </c>
      <c r="Z680" s="39">
        <f t="shared" si="54"/>
        <v>0</v>
      </c>
    </row>
    <row r="681" spans="1:26" x14ac:dyDescent="0.25">
      <c r="A681" s="37" t="str">
        <f>Equipos!C679</f>
        <v>2-112838</v>
      </c>
      <c r="B681" s="33" t="str">
        <f>Equipos!D679</f>
        <v>Monitor Multiparámetros</v>
      </c>
      <c r="C681" s="33" t="str">
        <f>Equipos!E679</f>
        <v>UPC Adulto</v>
      </c>
      <c r="D681" s="33" t="str">
        <f>Equipos!G679</f>
        <v>CAMA 14</v>
      </c>
      <c r="E681" s="33" t="str">
        <f>Equipos!I679</f>
        <v>Drager</v>
      </c>
      <c r="F681" s="33" t="str">
        <f>Equipos!J679</f>
        <v xml:space="preserve">Infinity Kappa </v>
      </c>
      <c r="G681" s="37" t="str">
        <f>Equipos!K679</f>
        <v>5495289950</v>
      </c>
      <c r="H681" s="33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3">
        <f t="shared" si="50"/>
        <v>0</v>
      </c>
      <c r="V681" s="33">
        <f t="shared" si="51"/>
        <v>0</v>
      </c>
      <c r="W681" s="33">
        <f t="shared" si="52"/>
        <v>0</v>
      </c>
      <c r="X681" s="33">
        <f t="shared" si="53"/>
        <v>0</v>
      </c>
      <c r="Y681" s="33">
        <f ca="1">SUMPRODUCT((I681:INDEX(I681:T681,MONTH(TODAY()))="X")*1)</f>
        <v>0</v>
      </c>
      <c r="Z681" s="39" t="str">
        <f t="shared" si="54"/>
        <v/>
      </c>
    </row>
    <row r="682" spans="1:26" x14ac:dyDescent="0.25">
      <c r="A682" s="37" t="str">
        <f>Equipos!C680</f>
        <v>2-112836</v>
      </c>
      <c r="B682" s="33" t="str">
        <f>Equipos!D680</f>
        <v>Monitor Multiparámetros</v>
      </c>
      <c r="C682" s="33" t="str">
        <f>Equipos!E680</f>
        <v>UPC Adulto</v>
      </c>
      <c r="D682" s="33" t="str">
        <f>Equipos!G680</f>
        <v>CAMA 11</v>
      </c>
      <c r="E682" s="33" t="str">
        <f>Equipos!I680</f>
        <v>Drager</v>
      </c>
      <c r="F682" s="33" t="str">
        <f>Equipos!J680</f>
        <v xml:space="preserve">Infinity Kappa </v>
      </c>
      <c r="G682" s="37" t="str">
        <f>Equipos!K680</f>
        <v>5495290066</v>
      </c>
      <c r="H682" s="33"/>
      <c r="I682" s="38"/>
      <c r="J682" s="38"/>
      <c r="K682" s="38"/>
      <c r="L682" s="50" t="s">
        <v>276</v>
      </c>
      <c r="M682" s="50" t="s">
        <v>275</v>
      </c>
      <c r="N682" s="38"/>
      <c r="O682" s="38"/>
      <c r="P682" s="38"/>
      <c r="Q682" s="38"/>
      <c r="R682" s="38"/>
      <c r="S682" s="38"/>
      <c r="T682" s="38"/>
      <c r="U682" s="33">
        <f t="shared" si="50"/>
        <v>2</v>
      </c>
      <c r="V682" s="33">
        <f t="shared" si="51"/>
        <v>1</v>
      </c>
      <c r="W682" s="33">
        <f t="shared" si="52"/>
        <v>0</v>
      </c>
      <c r="X682" s="33">
        <f t="shared" si="53"/>
        <v>0</v>
      </c>
      <c r="Y682" s="33">
        <f ca="1">SUMPRODUCT((I682:INDEX(I682:T682,MONTH(TODAY()))="X")*1)</f>
        <v>0</v>
      </c>
      <c r="Z682" s="39">
        <f t="shared" si="54"/>
        <v>0.5</v>
      </c>
    </row>
    <row r="683" spans="1:26" x14ac:dyDescent="0.25">
      <c r="A683" s="37" t="str">
        <f>Equipos!C681</f>
        <v>2-112833</v>
      </c>
      <c r="B683" s="33" t="str">
        <f>Equipos!D681</f>
        <v>Monitor Multiparámetros</v>
      </c>
      <c r="C683" s="33" t="str">
        <f>Equipos!E681</f>
        <v>UPC Adulto</v>
      </c>
      <c r="D683" s="33" t="str">
        <f>Equipos!G681</f>
        <v>CAMA 22</v>
      </c>
      <c r="E683" s="33" t="str">
        <f>Equipos!I681</f>
        <v>Drager</v>
      </c>
      <c r="F683" s="33" t="str">
        <f>Equipos!J681</f>
        <v xml:space="preserve">Infinity Kappa </v>
      </c>
      <c r="G683" s="37" t="str">
        <f>Equipos!K681</f>
        <v>5495302268</v>
      </c>
      <c r="H683" s="33"/>
      <c r="I683" s="50" t="s">
        <v>276</v>
      </c>
      <c r="J683" s="38"/>
      <c r="K683" s="38"/>
      <c r="L683" s="50" t="s">
        <v>278</v>
      </c>
      <c r="M683" s="38"/>
      <c r="N683" s="38"/>
      <c r="O683" s="38"/>
      <c r="P683" s="38"/>
      <c r="Q683" s="38"/>
      <c r="R683" s="38"/>
      <c r="S683" s="38"/>
      <c r="T683" s="38"/>
      <c r="U683" s="33">
        <f t="shared" si="50"/>
        <v>2</v>
      </c>
      <c r="V683" s="33">
        <f t="shared" si="51"/>
        <v>0</v>
      </c>
      <c r="W683" s="33">
        <f t="shared" si="52"/>
        <v>0</v>
      </c>
      <c r="X683" s="33">
        <f t="shared" si="53"/>
        <v>1</v>
      </c>
      <c r="Y683" s="33">
        <f ca="1">SUMPRODUCT((I683:INDEX(I683:T683,MONTH(TODAY()))="X")*1)</f>
        <v>0</v>
      </c>
      <c r="Z683" s="39">
        <f t="shared" si="54"/>
        <v>0</v>
      </c>
    </row>
    <row r="684" spans="1:26" x14ac:dyDescent="0.25">
      <c r="A684" s="37" t="str">
        <f>Equipos!C682</f>
        <v>2-112839</v>
      </c>
      <c r="B684" s="33" t="str">
        <f>Equipos!D682</f>
        <v>Monitor Multiparámetros</v>
      </c>
      <c r="C684" s="33" t="str">
        <f>Equipos!E682</f>
        <v>UPC Adulto</v>
      </c>
      <c r="D684" s="33" t="str">
        <f>Equipos!G682</f>
        <v>CAMA 16</v>
      </c>
      <c r="E684" s="33" t="str">
        <f>Equipos!I682</f>
        <v>Drager</v>
      </c>
      <c r="F684" s="33" t="str">
        <f>Equipos!J682</f>
        <v xml:space="preserve">Infinity Kappa </v>
      </c>
      <c r="G684" s="37" t="str">
        <f>Equipos!K682</f>
        <v>5495303668</v>
      </c>
      <c r="H684" s="33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3">
        <f t="shared" si="50"/>
        <v>0</v>
      </c>
      <c r="V684" s="33">
        <f t="shared" si="51"/>
        <v>0</v>
      </c>
      <c r="W684" s="33">
        <f t="shared" si="52"/>
        <v>0</v>
      </c>
      <c r="X684" s="33">
        <f t="shared" si="53"/>
        <v>0</v>
      </c>
      <c r="Y684" s="33">
        <f ca="1">SUMPRODUCT((I684:INDEX(I684:T684,MONTH(TODAY()))="X")*1)</f>
        <v>0</v>
      </c>
      <c r="Z684" s="39" t="str">
        <f t="shared" si="54"/>
        <v/>
      </c>
    </row>
    <row r="685" spans="1:26" x14ac:dyDescent="0.25">
      <c r="A685" s="37" t="str">
        <f>Equipos!C683</f>
        <v>2-112812</v>
      </c>
      <c r="B685" s="33" t="str">
        <f>Equipos!D683</f>
        <v>Monitor Multiparámetros</v>
      </c>
      <c r="C685" s="33" t="str">
        <f>Equipos!E683</f>
        <v>UPC Adulto</v>
      </c>
      <c r="D685" s="33" t="str">
        <f>Equipos!G683</f>
        <v>CAMA 10</v>
      </c>
      <c r="E685" s="33" t="str">
        <f>Equipos!I683</f>
        <v>Drager</v>
      </c>
      <c r="F685" s="33" t="str">
        <f>Equipos!J683</f>
        <v xml:space="preserve">Infinity Kappa </v>
      </c>
      <c r="G685" s="37" t="str">
        <f>Equipos!K683</f>
        <v>5495305167</v>
      </c>
      <c r="H685" s="33"/>
      <c r="I685" s="38"/>
      <c r="J685" s="38"/>
      <c r="K685" s="38"/>
      <c r="L685" s="50" t="s">
        <v>275</v>
      </c>
      <c r="M685" s="38"/>
      <c r="N685" s="38"/>
      <c r="O685" s="38"/>
      <c r="P685" s="38"/>
      <c r="Q685" s="38"/>
      <c r="R685" s="38"/>
      <c r="S685" s="38"/>
      <c r="T685" s="38"/>
      <c r="U685" s="33">
        <f t="shared" si="50"/>
        <v>1</v>
      </c>
      <c r="V685" s="33">
        <f t="shared" si="51"/>
        <v>1</v>
      </c>
      <c r="W685" s="33">
        <f t="shared" si="52"/>
        <v>0</v>
      </c>
      <c r="X685" s="33">
        <f t="shared" si="53"/>
        <v>0</v>
      </c>
      <c r="Y685" s="33">
        <f ca="1">SUMPRODUCT((I685:INDEX(I685:T685,MONTH(TODAY()))="X")*1)</f>
        <v>0</v>
      </c>
      <c r="Z685" s="39">
        <f t="shared" si="54"/>
        <v>1</v>
      </c>
    </row>
    <row r="686" spans="1:26" x14ac:dyDescent="0.25">
      <c r="A686" s="37" t="str">
        <f>Equipos!C684</f>
        <v>2-112813</v>
      </c>
      <c r="B686" s="33" t="str">
        <f>Equipos!D684</f>
        <v>Monitor Multiparámetros</v>
      </c>
      <c r="C686" s="33" t="str">
        <f>Equipos!E684</f>
        <v>UPC Adulto</v>
      </c>
      <c r="D686" s="33" t="str">
        <f>Equipos!G684</f>
        <v>CAMA 9</v>
      </c>
      <c r="E686" s="33" t="str">
        <f>Equipos!I684</f>
        <v>Drager</v>
      </c>
      <c r="F686" s="33" t="str">
        <f>Equipos!J684</f>
        <v xml:space="preserve">Infinity Kappa </v>
      </c>
      <c r="G686" s="37" t="str">
        <f>Equipos!K684</f>
        <v>5495307067</v>
      </c>
      <c r="H686" s="33"/>
      <c r="I686" s="38"/>
      <c r="J686" s="38"/>
      <c r="K686" s="38"/>
      <c r="L686" s="50" t="s">
        <v>276</v>
      </c>
      <c r="M686" s="50" t="s">
        <v>275</v>
      </c>
      <c r="N686" s="38"/>
      <c r="O686" s="38"/>
      <c r="P686" s="38"/>
      <c r="Q686" s="38"/>
      <c r="R686" s="38"/>
      <c r="S686" s="38"/>
      <c r="T686" s="38"/>
      <c r="U686" s="33">
        <f t="shared" si="50"/>
        <v>2</v>
      </c>
      <c r="V686" s="33">
        <f t="shared" si="51"/>
        <v>1</v>
      </c>
      <c r="W686" s="33">
        <f t="shared" si="52"/>
        <v>0</v>
      </c>
      <c r="X686" s="33">
        <f t="shared" si="53"/>
        <v>0</v>
      </c>
      <c r="Y686" s="33">
        <f ca="1">SUMPRODUCT((I686:INDEX(I686:T686,MONTH(TODAY()))="X")*1)</f>
        <v>0</v>
      </c>
      <c r="Z686" s="39">
        <f t="shared" si="54"/>
        <v>0.5</v>
      </c>
    </row>
    <row r="687" spans="1:26" x14ac:dyDescent="0.25">
      <c r="A687" s="37" t="str">
        <f>Equipos!C685</f>
        <v>2-112801</v>
      </c>
      <c r="B687" s="33" t="str">
        <f>Equipos!D685</f>
        <v>Monitor Multiparámetros</v>
      </c>
      <c r="C687" s="33" t="str">
        <f>Equipos!E685</f>
        <v>UPC Adulto</v>
      </c>
      <c r="D687" s="33" t="str">
        <f>Equipos!G685</f>
        <v>CAMA 3</v>
      </c>
      <c r="E687" s="33" t="str">
        <f>Equipos!I685</f>
        <v>Drager</v>
      </c>
      <c r="F687" s="33" t="str">
        <f>Equipos!J685</f>
        <v xml:space="preserve">Infinity Kappa </v>
      </c>
      <c r="G687" s="37" t="str">
        <f>Equipos!K685</f>
        <v>5495307263</v>
      </c>
      <c r="H687" s="33"/>
      <c r="I687" s="38"/>
      <c r="J687" s="38"/>
      <c r="K687" s="38"/>
      <c r="L687" s="50" t="s">
        <v>275</v>
      </c>
      <c r="M687" s="38"/>
      <c r="N687" s="38"/>
      <c r="O687" s="38"/>
      <c r="P687" s="38"/>
      <c r="Q687" s="38"/>
      <c r="R687" s="38"/>
      <c r="S687" s="38"/>
      <c r="T687" s="38"/>
      <c r="U687" s="33">
        <f t="shared" si="50"/>
        <v>1</v>
      </c>
      <c r="V687" s="33">
        <f t="shared" si="51"/>
        <v>1</v>
      </c>
      <c r="W687" s="33">
        <f t="shared" si="52"/>
        <v>0</v>
      </c>
      <c r="X687" s="33">
        <f t="shared" si="53"/>
        <v>0</v>
      </c>
      <c r="Y687" s="33">
        <f ca="1">SUMPRODUCT((I687:INDEX(I687:T687,MONTH(TODAY()))="X")*1)</f>
        <v>0</v>
      </c>
      <c r="Z687" s="39">
        <f t="shared" si="54"/>
        <v>1</v>
      </c>
    </row>
    <row r="688" spans="1:26" x14ac:dyDescent="0.25">
      <c r="A688" s="37" t="str">
        <f>Equipos!C686</f>
        <v>2-112834</v>
      </c>
      <c r="B688" s="33" t="str">
        <f>Equipos!D686</f>
        <v>Monitor Multiparámetros</v>
      </c>
      <c r="C688" s="33" t="str">
        <f>Equipos!E686</f>
        <v>UPC Adulto</v>
      </c>
      <c r="D688" s="33" t="str">
        <f>Equipos!G686</f>
        <v>CAMA 21</v>
      </c>
      <c r="E688" s="33" t="str">
        <f>Equipos!I686</f>
        <v>Drager</v>
      </c>
      <c r="F688" s="33" t="str">
        <f>Equipos!J686</f>
        <v xml:space="preserve">Infinity Kappa </v>
      </c>
      <c r="G688" s="37" t="str">
        <f>Equipos!K686</f>
        <v>5495307762</v>
      </c>
      <c r="H688" s="33"/>
      <c r="I688" s="38"/>
      <c r="J688" s="38"/>
      <c r="K688" s="38"/>
      <c r="L688" s="50" t="s">
        <v>275</v>
      </c>
      <c r="M688" s="38"/>
      <c r="N688" s="38"/>
      <c r="O688" s="38"/>
      <c r="P688" s="38"/>
      <c r="Q688" s="38"/>
      <c r="R688" s="38"/>
      <c r="S688" s="38"/>
      <c r="T688" s="38"/>
      <c r="U688" s="33">
        <f t="shared" si="50"/>
        <v>1</v>
      </c>
      <c r="V688" s="33">
        <f t="shared" si="51"/>
        <v>1</v>
      </c>
      <c r="W688" s="33">
        <f t="shared" si="52"/>
        <v>0</v>
      </c>
      <c r="X688" s="33">
        <f t="shared" si="53"/>
        <v>0</v>
      </c>
      <c r="Y688" s="33">
        <f ca="1">SUMPRODUCT((I688:INDEX(I688:T688,MONTH(TODAY()))="X")*1)</f>
        <v>0</v>
      </c>
      <c r="Z688" s="39">
        <f t="shared" si="54"/>
        <v>1</v>
      </c>
    </row>
    <row r="689" spans="1:26" x14ac:dyDescent="0.25">
      <c r="A689" s="37" t="str">
        <f>Equipos!C687</f>
        <v>2-112840</v>
      </c>
      <c r="B689" s="33" t="str">
        <f>Equipos!D687</f>
        <v>Monitor Multiparámetros</v>
      </c>
      <c r="C689" s="33" t="str">
        <f>Equipos!E687</f>
        <v>UPC Adulto</v>
      </c>
      <c r="D689" s="33" t="str">
        <f>Equipos!G687</f>
        <v>CAMA 15</v>
      </c>
      <c r="E689" s="33" t="str">
        <f>Equipos!I687</f>
        <v>Drager</v>
      </c>
      <c r="F689" s="33" t="str">
        <f>Equipos!J687</f>
        <v xml:space="preserve">Infinity Kappa </v>
      </c>
      <c r="G689" s="37" t="str">
        <f>Equipos!K687</f>
        <v>5495310268</v>
      </c>
      <c r="H689" s="33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3">
        <f t="shared" si="50"/>
        <v>0</v>
      </c>
      <c r="V689" s="33">
        <f t="shared" si="51"/>
        <v>0</v>
      </c>
      <c r="W689" s="33">
        <f t="shared" si="52"/>
        <v>0</v>
      </c>
      <c r="X689" s="33">
        <f t="shared" si="53"/>
        <v>0</v>
      </c>
      <c r="Y689" s="33">
        <f ca="1">SUMPRODUCT((I689:INDEX(I689:T689,MONTH(TODAY()))="X")*1)</f>
        <v>0</v>
      </c>
      <c r="Z689" s="39" t="str">
        <f t="shared" si="54"/>
        <v/>
      </c>
    </row>
    <row r="690" spans="1:26" x14ac:dyDescent="0.25">
      <c r="A690" s="37" t="str">
        <f>Equipos!C688</f>
        <v>2-112830</v>
      </c>
      <c r="B690" s="33" t="str">
        <f>Equipos!D688</f>
        <v>Monitor Multiparámetros</v>
      </c>
      <c r="C690" s="33" t="str">
        <f>Equipos!E688</f>
        <v>UPC Adulto</v>
      </c>
      <c r="D690" s="33" t="str">
        <f>Equipos!G688</f>
        <v>CAMA 13</v>
      </c>
      <c r="E690" s="33" t="str">
        <f>Equipos!I688</f>
        <v>Drager</v>
      </c>
      <c r="F690" s="33" t="str">
        <f>Equipos!J688</f>
        <v xml:space="preserve">Infinity Kappa </v>
      </c>
      <c r="G690" s="37" t="str">
        <f>Equipos!K688</f>
        <v>5495310865</v>
      </c>
      <c r="H690" s="33"/>
      <c r="I690" s="38"/>
      <c r="J690" s="38"/>
      <c r="K690" s="38"/>
      <c r="L690" s="50" t="s">
        <v>275</v>
      </c>
      <c r="M690" s="38"/>
      <c r="N690" s="38"/>
      <c r="O690" s="38"/>
      <c r="P690" s="38"/>
      <c r="Q690" s="38"/>
      <c r="R690" s="38"/>
      <c r="S690" s="38"/>
      <c r="T690" s="38"/>
      <c r="U690" s="33">
        <f t="shared" si="50"/>
        <v>1</v>
      </c>
      <c r="V690" s="33">
        <f t="shared" si="51"/>
        <v>1</v>
      </c>
      <c r="W690" s="33">
        <f t="shared" si="52"/>
        <v>0</v>
      </c>
      <c r="X690" s="33">
        <f t="shared" si="53"/>
        <v>0</v>
      </c>
      <c r="Y690" s="33">
        <f ca="1">SUMPRODUCT((I690:INDEX(I690:T690,MONTH(TODAY()))="X")*1)</f>
        <v>0</v>
      </c>
      <c r="Z690" s="39">
        <f t="shared" si="54"/>
        <v>1</v>
      </c>
    </row>
    <row r="691" spans="1:26" x14ac:dyDescent="0.25">
      <c r="A691" s="37" t="str">
        <f>Equipos!C689</f>
        <v>2-112827</v>
      </c>
      <c r="B691" s="33" t="str">
        <f>Equipos!D689</f>
        <v>Monitor Multiparámetros</v>
      </c>
      <c r="C691" s="33" t="str">
        <f>Equipos!E689</f>
        <v>UPC Adulto</v>
      </c>
      <c r="D691" s="33" t="str">
        <f>Equipos!G689</f>
        <v>CAMA 19</v>
      </c>
      <c r="E691" s="33" t="str">
        <f>Equipos!I689</f>
        <v>Drager</v>
      </c>
      <c r="F691" s="33" t="str">
        <f>Equipos!J689</f>
        <v xml:space="preserve">Infinity Kappa </v>
      </c>
      <c r="G691" s="37" t="str">
        <f>Equipos!K689</f>
        <v>5495311962</v>
      </c>
      <c r="H691" s="33"/>
      <c r="I691" s="38"/>
      <c r="J691" s="38"/>
      <c r="K691" s="38"/>
      <c r="L691" s="50" t="s">
        <v>275</v>
      </c>
      <c r="M691" s="38"/>
      <c r="N691" s="38"/>
      <c r="O691" s="38"/>
      <c r="P691" s="38"/>
      <c r="Q691" s="38"/>
      <c r="R691" s="38"/>
      <c r="S691" s="38"/>
      <c r="T691" s="38"/>
      <c r="U691" s="33">
        <f t="shared" si="50"/>
        <v>1</v>
      </c>
      <c r="V691" s="33">
        <f t="shared" si="51"/>
        <v>1</v>
      </c>
      <c r="W691" s="33">
        <f t="shared" si="52"/>
        <v>0</v>
      </c>
      <c r="X691" s="33">
        <f t="shared" si="53"/>
        <v>0</v>
      </c>
      <c r="Y691" s="33">
        <f ca="1">SUMPRODUCT((I691:INDEX(I691:T691,MONTH(TODAY()))="X")*1)</f>
        <v>0</v>
      </c>
      <c r="Z691" s="39">
        <f t="shared" si="54"/>
        <v>1</v>
      </c>
    </row>
    <row r="692" spans="1:26" x14ac:dyDescent="0.25">
      <c r="A692" s="37" t="str">
        <f>Equipos!C690</f>
        <v>2-112831</v>
      </c>
      <c r="B692" s="33" t="str">
        <f>Equipos!D690</f>
        <v>Monitor Multiparámetros</v>
      </c>
      <c r="C692" s="33" t="str">
        <f>Equipos!E690</f>
        <v>UPC Adulto</v>
      </c>
      <c r="D692" s="33" t="str">
        <f>Equipos!G690</f>
        <v>CAMA 14</v>
      </c>
      <c r="E692" s="33" t="str">
        <f>Equipos!I690</f>
        <v>Drager</v>
      </c>
      <c r="F692" s="33" t="str">
        <f>Equipos!J690</f>
        <v xml:space="preserve">Infinity Kappa </v>
      </c>
      <c r="G692" s="37" t="str">
        <f>Equipos!K690</f>
        <v>5495313461</v>
      </c>
      <c r="H692" s="33"/>
      <c r="I692" s="38"/>
      <c r="J692" s="38"/>
      <c r="K692" s="38"/>
      <c r="L692" s="50" t="s">
        <v>276</v>
      </c>
      <c r="M692" s="50" t="s">
        <v>275</v>
      </c>
      <c r="N692" s="38"/>
      <c r="O692" s="38"/>
      <c r="P692" s="38"/>
      <c r="Q692" s="38"/>
      <c r="R692" s="38"/>
      <c r="S692" s="38"/>
      <c r="T692" s="38"/>
      <c r="U692" s="33">
        <f t="shared" si="50"/>
        <v>2</v>
      </c>
      <c r="V692" s="33">
        <f t="shared" si="51"/>
        <v>1</v>
      </c>
      <c r="W692" s="33">
        <f t="shared" si="52"/>
        <v>0</v>
      </c>
      <c r="X692" s="33">
        <f t="shared" si="53"/>
        <v>0</v>
      </c>
      <c r="Y692" s="33">
        <f ca="1">SUMPRODUCT((I692:INDEX(I692:T692,MONTH(TODAY()))="X")*1)</f>
        <v>0</v>
      </c>
      <c r="Z692" s="39">
        <f t="shared" si="54"/>
        <v>0.5</v>
      </c>
    </row>
    <row r="693" spans="1:26" x14ac:dyDescent="0.25">
      <c r="A693" s="37" t="str">
        <f>Equipos!C691</f>
        <v>2-112802</v>
      </c>
      <c r="B693" s="33" t="str">
        <f>Equipos!D691</f>
        <v>Monitor Multiparámetros</v>
      </c>
      <c r="C693" s="33" t="str">
        <f>Equipos!E691</f>
        <v>UPC Adulto</v>
      </c>
      <c r="D693" s="33" t="str">
        <f>Equipos!G691</f>
        <v>CAMA 6</v>
      </c>
      <c r="E693" s="33" t="str">
        <f>Equipos!I691</f>
        <v>Drager</v>
      </c>
      <c r="F693" s="33" t="str">
        <f>Equipos!J691</f>
        <v xml:space="preserve">Infinity Kappa </v>
      </c>
      <c r="G693" s="37" t="str">
        <f>Equipos!K691</f>
        <v>5495313764</v>
      </c>
      <c r="H693" s="33"/>
      <c r="I693" s="38"/>
      <c r="J693" s="38"/>
      <c r="K693" s="38"/>
      <c r="L693" s="50" t="s">
        <v>275</v>
      </c>
      <c r="M693" s="38"/>
      <c r="N693" s="38"/>
      <c r="O693" s="38"/>
      <c r="P693" s="38"/>
      <c r="Q693" s="38"/>
      <c r="R693" s="38"/>
      <c r="S693" s="38"/>
      <c r="T693" s="38"/>
      <c r="U693" s="33">
        <f t="shared" si="50"/>
        <v>1</v>
      </c>
      <c r="V693" s="33">
        <f t="shared" si="51"/>
        <v>1</v>
      </c>
      <c r="W693" s="33">
        <f t="shared" si="52"/>
        <v>0</v>
      </c>
      <c r="X693" s="33">
        <f t="shared" si="53"/>
        <v>0</v>
      </c>
      <c r="Y693" s="33">
        <f ca="1">SUMPRODUCT((I693:INDEX(I693:T693,MONTH(TODAY()))="X")*1)</f>
        <v>0</v>
      </c>
      <c r="Z693" s="39">
        <f t="shared" si="54"/>
        <v>1</v>
      </c>
    </row>
    <row r="694" spans="1:26" x14ac:dyDescent="0.25">
      <c r="A694" s="37" t="str">
        <f>Equipos!C692</f>
        <v>2-110634</v>
      </c>
      <c r="B694" s="33" t="str">
        <f>Equipos!D692</f>
        <v>Monitor Multiparámetros</v>
      </c>
      <c r="C694" s="33" t="str">
        <f>Equipos!E692</f>
        <v>Imagenología</v>
      </c>
      <c r="D694" s="33" t="str">
        <f>Equipos!G692</f>
        <v>Resonancia</v>
      </c>
      <c r="E694" s="33" t="str">
        <f>Equipos!I692</f>
        <v>Tesla</v>
      </c>
      <c r="F694" s="33" t="str">
        <f>Equipos!J692</f>
        <v>M3</v>
      </c>
      <c r="G694" s="37" t="str">
        <f>Equipos!K692</f>
        <v>TM3M0264</v>
      </c>
      <c r="H694" s="33"/>
      <c r="I694" s="38"/>
      <c r="J694" s="50" t="s">
        <v>277</v>
      </c>
      <c r="K694" s="50" t="s">
        <v>275</v>
      </c>
      <c r="L694" s="38"/>
      <c r="M694" s="38"/>
      <c r="N694" s="38"/>
      <c r="O694" s="38"/>
      <c r="P694" s="38"/>
      <c r="Q694" s="38"/>
      <c r="R694" s="38"/>
      <c r="S694" s="38"/>
      <c r="T694" s="38"/>
      <c r="U694" s="33">
        <f t="shared" si="50"/>
        <v>2</v>
      </c>
      <c r="V694" s="33">
        <f t="shared" si="51"/>
        <v>1</v>
      </c>
      <c r="W694" s="33">
        <f t="shared" si="52"/>
        <v>0</v>
      </c>
      <c r="X694" s="33">
        <f t="shared" si="53"/>
        <v>1</v>
      </c>
      <c r="Y694" s="33">
        <f ca="1">SUMPRODUCT((I694:INDEX(I694:T694,MONTH(TODAY()))="X")*1)</f>
        <v>0</v>
      </c>
      <c r="Z694" s="39">
        <f t="shared" si="54"/>
        <v>0.5</v>
      </c>
    </row>
    <row r="695" spans="1:26" x14ac:dyDescent="0.25">
      <c r="A695" s="37" t="str">
        <f>Equipos!C693</f>
        <v>2-112795</v>
      </c>
      <c r="B695" s="33" t="str">
        <f>Equipos!D693</f>
        <v>Monitor Multiparámetros</v>
      </c>
      <c r="C695" s="33" t="str">
        <f>Equipos!E693</f>
        <v>UPC Adulto</v>
      </c>
      <c r="D695" s="33" t="str">
        <f>Equipos!G693</f>
        <v>CAMA 2</v>
      </c>
      <c r="E695" s="33" t="str">
        <f>Equipos!I693</f>
        <v>Drager</v>
      </c>
      <c r="F695" s="33" t="str">
        <f>Equipos!J693</f>
        <v xml:space="preserve">Infinity Kappa </v>
      </c>
      <c r="G695" s="37" t="str">
        <f>Equipos!K693</f>
        <v>5495319063</v>
      </c>
      <c r="H695" s="33"/>
      <c r="I695" s="38"/>
      <c r="J695" s="38"/>
      <c r="K695" s="38"/>
      <c r="L695" s="50" t="s">
        <v>275</v>
      </c>
      <c r="M695" s="38"/>
      <c r="N695" s="38"/>
      <c r="O695" s="38"/>
      <c r="P695" s="38"/>
      <c r="Q695" s="38"/>
      <c r="R695" s="38"/>
      <c r="S695" s="38"/>
      <c r="T695" s="38"/>
      <c r="U695" s="33">
        <f t="shared" si="50"/>
        <v>1</v>
      </c>
      <c r="V695" s="33">
        <f t="shared" si="51"/>
        <v>1</v>
      </c>
      <c r="W695" s="33">
        <f t="shared" si="52"/>
        <v>0</v>
      </c>
      <c r="X695" s="33">
        <f t="shared" si="53"/>
        <v>0</v>
      </c>
      <c r="Y695" s="33">
        <f ca="1">SUMPRODUCT((I695:INDEX(I695:T695,MONTH(TODAY()))="X")*1)</f>
        <v>0</v>
      </c>
      <c r="Z695" s="39">
        <f t="shared" si="54"/>
        <v>1</v>
      </c>
    </row>
    <row r="696" spans="1:26" x14ac:dyDescent="0.25">
      <c r="A696" s="37">
        <f>Equipos!C694</f>
        <v>0</v>
      </c>
      <c r="B696" s="33" t="str">
        <f>Equipos!D694</f>
        <v>Monitor Multiparámetros</v>
      </c>
      <c r="C696" s="33">
        <f>Equipos!E694</f>
        <v>0</v>
      </c>
      <c r="D696" s="33">
        <f>Equipos!G694</f>
        <v>0</v>
      </c>
      <c r="E696" s="33">
        <f>Equipos!I694</f>
        <v>0</v>
      </c>
      <c r="F696" s="33">
        <f>Equipos!J694</f>
        <v>0</v>
      </c>
      <c r="G696" s="37">
        <f>Equipos!K694</f>
        <v>0</v>
      </c>
      <c r="H696" s="33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3">
        <f t="shared" si="50"/>
        <v>0</v>
      </c>
      <c r="V696" s="33">
        <f t="shared" si="51"/>
        <v>0</v>
      </c>
      <c r="W696" s="33">
        <f t="shared" si="52"/>
        <v>0</v>
      </c>
      <c r="X696" s="33">
        <f t="shared" si="53"/>
        <v>0</v>
      </c>
      <c r="Y696" s="33">
        <f ca="1">SUMPRODUCT((I696:INDEX(I696:T696,MONTH(TODAY()))="X")*1)</f>
        <v>0</v>
      </c>
      <c r="Z696" s="39" t="str">
        <f t="shared" si="54"/>
        <v/>
      </c>
    </row>
    <row r="697" spans="1:26" x14ac:dyDescent="0.25">
      <c r="A697" s="37" t="str">
        <f>Equipos!C695</f>
        <v>2-112814</v>
      </c>
      <c r="B697" s="33" t="str">
        <f>Equipos!D695</f>
        <v>Monitor Multiparámetros</v>
      </c>
      <c r="C697" s="33" t="str">
        <f>Equipos!E695</f>
        <v>UPC Adulto</v>
      </c>
      <c r="D697" s="33" t="str">
        <f>Equipos!G695</f>
        <v>CAMA 8</v>
      </c>
      <c r="E697" s="33" t="str">
        <f>Equipos!I695</f>
        <v>Drager</v>
      </c>
      <c r="F697" s="33" t="str">
        <f>Equipos!J695</f>
        <v xml:space="preserve">Infinity Kappa </v>
      </c>
      <c r="G697" s="37" t="str">
        <f>Equipos!K695</f>
        <v>5495320364</v>
      </c>
      <c r="H697" s="33"/>
      <c r="I697" s="38"/>
      <c r="J697" s="38"/>
      <c r="K697" s="38"/>
      <c r="L697" s="50" t="s">
        <v>275</v>
      </c>
      <c r="M697" s="38"/>
      <c r="N697" s="38"/>
      <c r="O697" s="38"/>
      <c r="P697" s="38"/>
      <c r="Q697" s="38"/>
      <c r="R697" s="38"/>
      <c r="S697" s="38"/>
      <c r="T697" s="38"/>
      <c r="U697" s="33">
        <f t="shared" si="50"/>
        <v>1</v>
      </c>
      <c r="V697" s="33">
        <f t="shared" si="51"/>
        <v>1</v>
      </c>
      <c r="W697" s="33">
        <f t="shared" si="52"/>
        <v>0</v>
      </c>
      <c r="X697" s="33">
        <f t="shared" si="53"/>
        <v>0</v>
      </c>
      <c r="Y697" s="33">
        <f ca="1">SUMPRODUCT((I697:INDEX(I697:T697,MONTH(TODAY()))="X")*1)</f>
        <v>0</v>
      </c>
      <c r="Z697" s="39">
        <f t="shared" si="54"/>
        <v>1</v>
      </c>
    </row>
    <row r="698" spans="1:26" x14ac:dyDescent="0.25">
      <c r="A698" s="37" t="str">
        <f>Equipos!C696</f>
        <v>2-112828</v>
      </c>
      <c r="B698" s="33" t="str">
        <f>Equipos!D696</f>
        <v>Monitor Multiparámetros</v>
      </c>
      <c r="C698" s="33" t="str">
        <f>Equipos!E696</f>
        <v>UPC Adulto</v>
      </c>
      <c r="D698" s="33" t="str">
        <f>Equipos!G696</f>
        <v>CAMA 22</v>
      </c>
      <c r="E698" s="33" t="str">
        <f>Equipos!I696</f>
        <v>Drager</v>
      </c>
      <c r="F698" s="33" t="str">
        <f>Equipos!J696</f>
        <v xml:space="preserve">Infinity Kappa </v>
      </c>
      <c r="G698" s="37" t="str">
        <f>Equipos!K696</f>
        <v>5495320569</v>
      </c>
      <c r="H698" s="33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3">
        <f t="shared" si="50"/>
        <v>0</v>
      </c>
      <c r="V698" s="33">
        <f t="shared" si="51"/>
        <v>0</v>
      </c>
      <c r="W698" s="33">
        <f t="shared" si="52"/>
        <v>0</v>
      </c>
      <c r="X698" s="33">
        <f t="shared" si="53"/>
        <v>0</v>
      </c>
      <c r="Y698" s="33">
        <f ca="1">SUMPRODUCT((I698:INDEX(I698:T698,MONTH(TODAY()))="X")*1)</f>
        <v>0</v>
      </c>
      <c r="Z698" s="39" t="str">
        <f t="shared" si="54"/>
        <v/>
      </c>
    </row>
    <row r="699" spans="1:26" x14ac:dyDescent="0.25">
      <c r="A699" s="37" t="str">
        <f>Equipos!C697</f>
        <v>2-112829</v>
      </c>
      <c r="B699" s="33" t="str">
        <f>Equipos!D697</f>
        <v>Monitor Multiparámetros</v>
      </c>
      <c r="C699" s="33" t="str">
        <f>Equipos!E697</f>
        <v>UPC Adulto (Prestado a UPC 3er piso)</v>
      </c>
      <c r="D699" s="33" t="str">
        <f>Equipos!G697</f>
        <v>CAMA 6</v>
      </c>
      <c r="E699" s="33" t="str">
        <f>Equipos!I697</f>
        <v>Drager</v>
      </c>
      <c r="F699" s="33" t="str">
        <f>Equipos!J697</f>
        <v xml:space="preserve">Infinity Kappa </v>
      </c>
      <c r="G699" s="37" t="str">
        <f>Equipos!K697</f>
        <v>5495321363</v>
      </c>
      <c r="H699" s="33"/>
      <c r="I699" s="38"/>
      <c r="J699" s="38"/>
      <c r="K699" s="38"/>
      <c r="L699" s="38"/>
      <c r="M699" s="50" t="s">
        <v>275</v>
      </c>
      <c r="N699" s="38"/>
      <c r="O699" s="38"/>
      <c r="P699" s="38"/>
      <c r="Q699" s="38"/>
      <c r="R699" s="38"/>
      <c r="S699" s="38"/>
      <c r="T699" s="38"/>
      <c r="U699" s="33">
        <f t="shared" si="50"/>
        <v>1</v>
      </c>
      <c r="V699" s="33">
        <f t="shared" si="51"/>
        <v>1</v>
      </c>
      <c r="W699" s="33">
        <f t="shared" si="52"/>
        <v>0</v>
      </c>
      <c r="X699" s="33">
        <f t="shared" si="53"/>
        <v>0</v>
      </c>
      <c r="Y699" s="33">
        <f ca="1">SUMPRODUCT((I699:INDEX(I699:T699,MONTH(TODAY()))="X")*1)</f>
        <v>0</v>
      </c>
      <c r="Z699" s="39">
        <f t="shared" si="54"/>
        <v>1</v>
      </c>
    </row>
    <row r="700" spans="1:26" x14ac:dyDescent="0.25">
      <c r="A700" s="37" t="str">
        <f>Equipos!C698</f>
        <v>2-112822</v>
      </c>
      <c r="B700" s="33" t="str">
        <f>Equipos!D698</f>
        <v>Monitor Multiparámetros</v>
      </c>
      <c r="C700" s="33" t="str">
        <f>Equipos!E698</f>
        <v>UPC Adulto</v>
      </c>
      <c r="D700" s="33" t="str">
        <f>Equipos!G698</f>
        <v>CAMA 18</v>
      </c>
      <c r="E700" s="33" t="str">
        <f>Equipos!I698</f>
        <v>Drager</v>
      </c>
      <c r="F700" s="33" t="str">
        <f>Equipos!J698</f>
        <v xml:space="preserve">Infinity Kappa </v>
      </c>
      <c r="G700" s="37" t="str">
        <f>Equipos!K698</f>
        <v>5495322460</v>
      </c>
      <c r="H700" s="33"/>
      <c r="I700" s="38"/>
      <c r="J700" s="38"/>
      <c r="K700" s="38"/>
      <c r="L700" s="50" t="s">
        <v>275</v>
      </c>
      <c r="M700" s="38"/>
      <c r="N700" s="38"/>
      <c r="O700" s="38"/>
      <c r="P700" s="38"/>
      <c r="Q700" s="38"/>
      <c r="R700" s="38"/>
      <c r="S700" s="38"/>
      <c r="T700" s="38"/>
      <c r="U700" s="33">
        <f t="shared" si="50"/>
        <v>1</v>
      </c>
      <c r="V700" s="33">
        <f t="shared" si="51"/>
        <v>1</v>
      </c>
      <c r="W700" s="33">
        <f t="shared" si="52"/>
        <v>0</v>
      </c>
      <c r="X700" s="33">
        <f t="shared" si="53"/>
        <v>0</v>
      </c>
      <c r="Y700" s="33">
        <f ca="1">SUMPRODUCT((I700:INDEX(I700:T700,MONTH(TODAY()))="X")*1)</f>
        <v>0</v>
      </c>
      <c r="Z700" s="39">
        <f t="shared" si="54"/>
        <v>1</v>
      </c>
    </row>
    <row r="701" spans="1:26" x14ac:dyDescent="0.25">
      <c r="A701" s="37" t="str">
        <f>Equipos!C699</f>
        <v>2-112815</v>
      </c>
      <c r="B701" s="33" t="str">
        <f>Equipos!D699</f>
        <v>Monitor Multiparámetros</v>
      </c>
      <c r="C701" s="33" t="str">
        <f>Equipos!E699</f>
        <v>UPC Adulto</v>
      </c>
      <c r="D701" s="33" t="str">
        <f>Equipos!G699</f>
        <v>CAMA 7</v>
      </c>
      <c r="E701" s="33" t="str">
        <f>Equipos!I699</f>
        <v>Drager</v>
      </c>
      <c r="F701" s="33" t="str">
        <f>Equipos!J699</f>
        <v xml:space="preserve">Infinity Kappa </v>
      </c>
      <c r="G701" s="37" t="str">
        <f>Equipos!K699</f>
        <v>5495323165</v>
      </c>
      <c r="H701" s="33"/>
      <c r="I701" s="38"/>
      <c r="J701" s="38"/>
      <c r="K701" s="38"/>
      <c r="L701" s="50" t="s">
        <v>275</v>
      </c>
      <c r="M701" s="38"/>
      <c r="N701" s="38"/>
      <c r="O701" s="38"/>
      <c r="P701" s="38"/>
      <c r="Q701" s="38"/>
      <c r="R701" s="38"/>
      <c r="S701" s="38"/>
      <c r="T701" s="38"/>
      <c r="U701" s="33">
        <f t="shared" si="50"/>
        <v>1</v>
      </c>
      <c r="V701" s="33">
        <f t="shared" si="51"/>
        <v>1</v>
      </c>
      <c r="W701" s="33">
        <f t="shared" si="52"/>
        <v>0</v>
      </c>
      <c r="X701" s="33">
        <f t="shared" si="53"/>
        <v>0</v>
      </c>
      <c r="Y701" s="33">
        <f ca="1">SUMPRODUCT((I701:INDEX(I701:T701,MONTH(TODAY()))="X")*1)</f>
        <v>0</v>
      </c>
      <c r="Z701" s="39">
        <f t="shared" si="54"/>
        <v>1</v>
      </c>
    </row>
    <row r="702" spans="1:26" x14ac:dyDescent="0.25">
      <c r="A702" s="37" t="str">
        <f>Equipos!C700</f>
        <v>2-112796</v>
      </c>
      <c r="B702" s="33" t="str">
        <f>Equipos!D700</f>
        <v>Monitor Multiparámetros</v>
      </c>
      <c r="C702" s="33" t="str">
        <f>Equipos!E700</f>
        <v>UPC Adulto</v>
      </c>
      <c r="D702" s="33" t="str">
        <f>Equipos!G700</f>
        <v>CAMA 1</v>
      </c>
      <c r="E702" s="33" t="str">
        <f>Equipos!I700</f>
        <v>Drager</v>
      </c>
      <c r="F702" s="33" t="str">
        <f>Equipos!J700</f>
        <v xml:space="preserve">Infinity Kappa </v>
      </c>
      <c r="G702" s="37" t="str">
        <f>Equipos!K700</f>
        <v>5495324164</v>
      </c>
      <c r="H702" s="33"/>
      <c r="I702" s="38"/>
      <c r="J702" s="38"/>
      <c r="K702" s="38"/>
      <c r="L702" s="50" t="s">
        <v>275</v>
      </c>
      <c r="M702" s="38"/>
      <c r="N702" s="38"/>
      <c r="O702" s="38"/>
      <c r="P702" s="38"/>
      <c r="Q702" s="38"/>
      <c r="R702" s="38"/>
      <c r="S702" s="38"/>
      <c r="T702" s="38"/>
      <c r="U702" s="33">
        <f t="shared" si="50"/>
        <v>1</v>
      </c>
      <c r="V702" s="33">
        <f t="shared" si="51"/>
        <v>1</v>
      </c>
      <c r="W702" s="33">
        <f t="shared" si="52"/>
        <v>0</v>
      </c>
      <c r="X702" s="33">
        <f t="shared" si="53"/>
        <v>0</v>
      </c>
      <c r="Y702" s="33">
        <f ca="1">SUMPRODUCT((I702:INDEX(I702:T702,MONTH(TODAY()))="X")*1)</f>
        <v>0</v>
      </c>
      <c r="Z702" s="39">
        <f t="shared" si="54"/>
        <v>1</v>
      </c>
    </row>
    <row r="703" spans="1:26" x14ac:dyDescent="0.25">
      <c r="A703" s="37" t="str">
        <f>Equipos!C701</f>
        <v>2-112835</v>
      </c>
      <c r="B703" s="33" t="str">
        <f>Equipos!D701</f>
        <v>Monitor Multiparámetros</v>
      </c>
      <c r="C703" s="33" t="str">
        <f>Equipos!E701</f>
        <v>UPC Adulto</v>
      </c>
      <c r="D703" s="33" t="str">
        <f>Equipos!G701</f>
        <v>CAMA 20</v>
      </c>
      <c r="E703" s="33" t="str">
        <f>Equipos!I701</f>
        <v>Drager</v>
      </c>
      <c r="F703" s="33" t="str">
        <f>Equipos!J701</f>
        <v xml:space="preserve">Infinity Kappa </v>
      </c>
      <c r="G703" s="37" t="str">
        <f>Equipos!K701</f>
        <v>5495324458</v>
      </c>
      <c r="H703" s="33"/>
      <c r="I703" s="38"/>
      <c r="J703" s="38"/>
      <c r="K703" s="38"/>
      <c r="L703" s="50" t="s">
        <v>275</v>
      </c>
      <c r="M703" s="38"/>
      <c r="N703" s="38"/>
      <c r="O703" s="38"/>
      <c r="P703" s="38"/>
      <c r="Q703" s="38"/>
      <c r="R703" s="38"/>
      <c r="S703" s="38"/>
      <c r="T703" s="38"/>
      <c r="U703" s="33">
        <f t="shared" si="50"/>
        <v>1</v>
      </c>
      <c r="V703" s="33">
        <f t="shared" si="51"/>
        <v>1</v>
      </c>
      <c r="W703" s="33">
        <f t="shared" si="52"/>
        <v>0</v>
      </c>
      <c r="X703" s="33">
        <f t="shared" si="53"/>
        <v>0</v>
      </c>
      <c r="Y703" s="33">
        <f ca="1">SUMPRODUCT((I703:INDEX(I703:T703,MONTH(TODAY()))="X")*1)</f>
        <v>0</v>
      </c>
      <c r="Z703" s="39">
        <f t="shared" si="54"/>
        <v>1</v>
      </c>
    </row>
    <row r="704" spans="1:26" x14ac:dyDescent="0.25">
      <c r="A704" s="37" t="str">
        <f>Equipos!C702</f>
        <v>2-112837</v>
      </c>
      <c r="B704" s="33" t="str">
        <f>Equipos!D702</f>
        <v>Monitor Multiparámetros</v>
      </c>
      <c r="C704" s="33" t="str">
        <f>Equipos!E702</f>
        <v>UPC Adulto</v>
      </c>
      <c r="D704" s="33" t="str">
        <f>Equipos!G702</f>
        <v>CAMA 12</v>
      </c>
      <c r="E704" s="33" t="str">
        <f>Equipos!I702</f>
        <v>Drager</v>
      </c>
      <c r="F704" s="33" t="str">
        <f>Equipos!J702</f>
        <v xml:space="preserve">Infinity Kappa </v>
      </c>
      <c r="G704" s="37" t="str">
        <f>Equipos!K702</f>
        <v>5495324565</v>
      </c>
      <c r="H704" s="33"/>
      <c r="I704" s="38"/>
      <c r="J704" s="38"/>
      <c r="K704" s="38"/>
      <c r="L704" s="50" t="s">
        <v>275</v>
      </c>
      <c r="M704" s="38"/>
      <c r="N704" s="38"/>
      <c r="O704" s="38"/>
      <c r="P704" s="38"/>
      <c r="Q704" s="38"/>
      <c r="R704" s="38"/>
      <c r="S704" s="38"/>
      <c r="T704" s="38"/>
      <c r="U704" s="33">
        <f t="shared" si="50"/>
        <v>1</v>
      </c>
      <c r="V704" s="33">
        <f t="shared" si="51"/>
        <v>1</v>
      </c>
      <c r="W704" s="33">
        <f t="shared" si="52"/>
        <v>0</v>
      </c>
      <c r="X704" s="33">
        <f t="shared" si="53"/>
        <v>0</v>
      </c>
      <c r="Y704" s="33">
        <f ca="1">SUMPRODUCT((I704:INDEX(I704:T704,MONTH(TODAY()))="X")*1)</f>
        <v>0</v>
      </c>
      <c r="Z704" s="39">
        <f t="shared" si="54"/>
        <v>1</v>
      </c>
    </row>
    <row r="705" spans="1:26" x14ac:dyDescent="0.25">
      <c r="A705" s="37" t="str">
        <f>Equipos!C703</f>
        <v>2-112832</v>
      </c>
      <c r="B705" s="33" t="str">
        <f>Equipos!D703</f>
        <v>Monitor Multiparámetros</v>
      </c>
      <c r="C705" s="33" t="str">
        <f>Equipos!E703</f>
        <v>UPC Adulto</v>
      </c>
      <c r="D705" s="33" t="str">
        <f>Equipos!G703</f>
        <v>CAMA 15</v>
      </c>
      <c r="E705" s="33" t="str">
        <f>Equipos!I703</f>
        <v>Drager</v>
      </c>
      <c r="F705" s="33" t="str">
        <f>Equipos!J703</f>
        <v xml:space="preserve">Infinity Kappa </v>
      </c>
      <c r="G705" s="37" t="str">
        <f>Equipos!K703</f>
        <v>5495325858</v>
      </c>
      <c r="H705" s="33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3">
        <f t="shared" si="50"/>
        <v>0</v>
      </c>
      <c r="V705" s="33">
        <f t="shared" si="51"/>
        <v>0</v>
      </c>
      <c r="W705" s="33">
        <f t="shared" si="52"/>
        <v>0</v>
      </c>
      <c r="X705" s="33">
        <f t="shared" si="53"/>
        <v>0</v>
      </c>
      <c r="Y705" s="33">
        <f ca="1">SUMPRODUCT((I705:INDEX(I705:T705,MONTH(TODAY()))="X")*1)</f>
        <v>0</v>
      </c>
      <c r="Z705" s="39" t="str">
        <f t="shared" si="54"/>
        <v/>
      </c>
    </row>
    <row r="706" spans="1:26" x14ac:dyDescent="0.25">
      <c r="A706" s="37" t="str">
        <f>Equipos!C704</f>
        <v>2-112824</v>
      </c>
      <c r="B706" s="33" t="str">
        <f>Equipos!D704</f>
        <v>Monitor Multiparámetros</v>
      </c>
      <c r="C706" s="33" t="str">
        <f>Equipos!E704</f>
        <v>UPC Adulto</v>
      </c>
      <c r="D706" s="33" t="str">
        <f>Equipos!G704</f>
        <v>CAMA 17</v>
      </c>
      <c r="E706" s="33" t="str">
        <f>Equipos!I704</f>
        <v>Drager</v>
      </c>
      <c r="F706" s="33" t="str">
        <f>Equipos!J704</f>
        <v xml:space="preserve">Infinity Kappa </v>
      </c>
      <c r="G706" s="37" t="str">
        <f>Equipos!K704</f>
        <v>5495326064</v>
      </c>
      <c r="H706" s="33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3">
        <f t="shared" si="50"/>
        <v>0</v>
      </c>
      <c r="V706" s="33">
        <f t="shared" si="51"/>
        <v>0</v>
      </c>
      <c r="W706" s="33">
        <f t="shared" si="52"/>
        <v>0</v>
      </c>
      <c r="X706" s="33">
        <f t="shared" si="53"/>
        <v>0</v>
      </c>
      <c r="Y706" s="33">
        <f ca="1">SUMPRODUCT((I706:INDEX(I706:T706,MONTH(TODAY()))="X")*1)</f>
        <v>0</v>
      </c>
      <c r="Z706" s="39" t="str">
        <f t="shared" si="54"/>
        <v/>
      </c>
    </row>
    <row r="707" spans="1:26" x14ac:dyDescent="0.25">
      <c r="A707" s="37" t="str">
        <f>Equipos!C705</f>
        <v>2-112803</v>
      </c>
      <c r="B707" s="33" t="str">
        <f>Equipos!D705</f>
        <v>Monitor Multiparámetros</v>
      </c>
      <c r="C707" s="33" t="str">
        <f>Equipos!E705</f>
        <v>UPC Adulto</v>
      </c>
      <c r="D707" s="33" t="str">
        <f>Equipos!G705</f>
        <v>CAMA 5</v>
      </c>
      <c r="E707" s="33" t="str">
        <f>Equipos!I705</f>
        <v>Drager</v>
      </c>
      <c r="F707" s="33" t="str">
        <f>Equipos!J705</f>
        <v xml:space="preserve">Infinity Kappa </v>
      </c>
      <c r="G707" s="37" t="str">
        <f>Equipos!K705</f>
        <v>5495326456</v>
      </c>
      <c r="H707" s="33"/>
      <c r="I707" s="38"/>
      <c r="J707" s="38"/>
      <c r="K707" s="38"/>
      <c r="L707" s="50" t="s">
        <v>275</v>
      </c>
      <c r="M707" s="38"/>
      <c r="N707" s="38"/>
      <c r="O707" s="38"/>
      <c r="P707" s="38"/>
      <c r="Q707" s="38"/>
      <c r="R707" s="38"/>
      <c r="S707" s="38"/>
      <c r="T707" s="38"/>
      <c r="U707" s="33">
        <f t="shared" si="50"/>
        <v>1</v>
      </c>
      <c r="V707" s="33">
        <f t="shared" si="51"/>
        <v>1</v>
      </c>
      <c r="W707" s="33">
        <f t="shared" si="52"/>
        <v>0</v>
      </c>
      <c r="X707" s="33">
        <f t="shared" si="53"/>
        <v>0</v>
      </c>
      <c r="Y707" s="33">
        <f ca="1">SUMPRODUCT((I707:INDEX(I707:T707,MONTH(TODAY()))="X")*1)</f>
        <v>0</v>
      </c>
      <c r="Z707" s="39">
        <f t="shared" si="54"/>
        <v>1</v>
      </c>
    </row>
    <row r="708" spans="1:26" x14ac:dyDescent="0.25">
      <c r="A708" s="37" t="str">
        <f>Equipos!C706</f>
        <v>2-112841</v>
      </c>
      <c r="B708" s="33" t="str">
        <f>Equipos!D706</f>
        <v>Monitor Multiparámetros</v>
      </c>
      <c r="C708" s="33" t="str">
        <f>Equipos!E706</f>
        <v>UPC Adulto</v>
      </c>
      <c r="D708" s="33" t="str">
        <f>Equipos!G706</f>
        <v>CAMA 22</v>
      </c>
      <c r="E708" s="33" t="str">
        <f>Equipos!I706</f>
        <v>Drager</v>
      </c>
      <c r="F708" s="33" t="str">
        <f>Equipos!J706</f>
        <v xml:space="preserve">Infinity Kappa </v>
      </c>
      <c r="G708" s="37" t="str">
        <f>Equipos!K706</f>
        <v>5495326955</v>
      </c>
      <c r="H708" s="33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3">
        <f t="shared" ref="U708:U771" si="55">V708+W708+X708+COUNTIF(I708:T708,"R")</f>
        <v>0</v>
      </c>
      <c r="V708" s="33">
        <f t="shared" ref="V708:V771" si="56">COUNTIF(I708:T708,"E")</f>
        <v>0</v>
      </c>
      <c r="W708" s="33">
        <f t="shared" ref="W708:W771" si="57">COUNTIF(I708:T708,"X")</f>
        <v>0</v>
      </c>
      <c r="X708" s="33">
        <f t="shared" ref="X708:X771" si="58">COUNTIF(I708:T708,"C2")+COUNTIF(I708:T708,"C3")</f>
        <v>0</v>
      </c>
      <c r="Y708" s="33">
        <f ca="1">SUMPRODUCT((I708:INDEX(I708:T708,MONTH(TODAY()))="X")*1)</f>
        <v>0</v>
      </c>
      <c r="Z708" s="39" t="str">
        <f t="shared" ref="Z708:Z771" si="59">IFERROR(V708/U708,"")</f>
        <v/>
      </c>
    </row>
    <row r="709" spans="1:26" x14ac:dyDescent="0.25">
      <c r="A709" s="37" t="str">
        <f>Equipos!C707</f>
        <v>2-112943</v>
      </c>
      <c r="B709" s="33" t="str">
        <f>Equipos!D707</f>
        <v>Monitor Multiparámetros</v>
      </c>
      <c r="C709" s="33" t="str">
        <f>Equipos!E707</f>
        <v>Pabellón Quirúrgico</v>
      </c>
      <c r="D709" s="33" t="str">
        <f>Equipos!G707</f>
        <v>CDT-P2-QF03</v>
      </c>
      <c r="E709" s="33" t="str">
        <f>Equipos!I707</f>
        <v>Drager</v>
      </c>
      <c r="F709" s="33" t="str">
        <f>Equipos!J707</f>
        <v>Infinity Kappa</v>
      </c>
      <c r="G709" s="37" t="str">
        <f>Equipos!K707</f>
        <v>5495192163</v>
      </c>
      <c r="H709" s="33"/>
      <c r="I709" s="38"/>
      <c r="J709" s="38"/>
      <c r="K709" s="38"/>
      <c r="L709" s="50" t="s">
        <v>275</v>
      </c>
      <c r="M709" s="38"/>
      <c r="N709" s="38"/>
      <c r="O709" s="38"/>
      <c r="P709" s="38"/>
      <c r="Q709" s="38"/>
      <c r="R709" s="38"/>
      <c r="S709" s="38"/>
      <c r="T709" s="38"/>
      <c r="U709" s="33">
        <f t="shared" si="55"/>
        <v>1</v>
      </c>
      <c r="V709" s="33">
        <f t="shared" si="56"/>
        <v>1</v>
      </c>
      <c r="W709" s="33">
        <f t="shared" si="57"/>
        <v>0</v>
      </c>
      <c r="X709" s="33">
        <f t="shared" si="58"/>
        <v>0</v>
      </c>
      <c r="Y709" s="33">
        <f ca="1">SUMPRODUCT((I709:INDEX(I709:T709,MONTH(TODAY()))="X")*1)</f>
        <v>0</v>
      </c>
      <c r="Z709" s="39">
        <f t="shared" si="59"/>
        <v>1</v>
      </c>
    </row>
    <row r="710" spans="1:26" x14ac:dyDescent="0.25">
      <c r="A710" s="37" t="str">
        <f>Equipos!C708</f>
        <v>2-024371</v>
      </c>
      <c r="B710" s="33" t="str">
        <f>Equipos!D708</f>
        <v>Monitor Multiparámetros</v>
      </c>
      <c r="C710" s="33" t="str">
        <f>Equipos!E708</f>
        <v>Pabellón Quirúrgico (Prestado a Imagenología)</v>
      </c>
      <c r="D710" s="33" t="str">
        <f>Equipos!G708</f>
        <v>Scanner Siemens</v>
      </c>
      <c r="E710" s="33" t="str">
        <f>Equipos!I708</f>
        <v>Drager</v>
      </c>
      <c r="F710" s="33" t="str">
        <f>Equipos!J708</f>
        <v>Infinity Kappa</v>
      </c>
      <c r="G710" s="37" t="str">
        <f>Equipos!K708</f>
        <v>5495196658</v>
      </c>
      <c r="H710" s="33"/>
      <c r="I710" s="38"/>
      <c r="J710" s="38"/>
      <c r="K710" s="38"/>
      <c r="L710" s="50" t="s">
        <v>275</v>
      </c>
      <c r="M710" s="38"/>
      <c r="N710" s="38"/>
      <c r="O710" s="38"/>
      <c r="P710" s="38"/>
      <c r="Q710" s="38"/>
      <c r="R710" s="38"/>
      <c r="S710" s="38"/>
      <c r="T710" s="38"/>
      <c r="U710" s="33">
        <f t="shared" si="55"/>
        <v>1</v>
      </c>
      <c r="V710" s="33">
        <f t="shared" si="56"/>
        <v>1</v>
      </c>
      <c r="W710" s="33">
        <f t="shared" si="57"/>
        <v>0</v>
      </c>
      <c r="X710" s="33">
        <f t="shared" si="58"/>
        <v>0</v>
      </c>
      <c r="Y710" s="33">
        <f ca="1">SUMPRODUCT((I710:INDEX(I710:T710,MONTH(TODAY()))="X")*1)</f>
        <v>0</v>
      </c>
      <c r="Z710" s="39">
        <f t="shared" si="59"/>
        <v>1</v>
      </c>
    </row>
    <row r="711" spans="1:26" x14ac:dyDescent="0.25">
      <c r="A711" s="37" t="str">
        <f>Equipos!C709</f>
        <v>2-113299</v>
      </c>
      <c r="B711" s="33" t="str">
        <f>Equipos!D709</f>
        <v>Monitor Multiparámetros</v>
      </c>
      <c r="C711" s="33" t="str">
        <f>Equipos!E709</f>
        <v>Pediatría</v>
      </c>
      <c r="D711" s="33" t="str">
        <f>Equipos!G709</f>
        <v>Oncología Pediátrica</v>
      </c>
      <c r="E711" s="33" t="str">
        <f>Equipos!I709</f>
        <v>EDAN</v>
      </c>
      <c r="F711" s="33" t="str">
        <f>Equipos!J709</f>
        <v>IM50</v>
      </c>
      <c r="G711" s="37" t="str">
        <f>Equipos!K709</f>
        <v>260123-M15803660005</v>
      </c>
      <c r="H711" s="33"/>
      <c r="I711" s="50" t="s">
        <v>276</v>
      </c>
      <c r="J711" s="50" t="s">
        <v>275</v>
      </c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3">
        <f t="shared" si="55"/>
        <v>2</v>
      </c>
      <c r="V711" s="33">
        <f t="shared" si="56"/>
        <v>1</v>
      </c>
      <c r="W711" s="33">
        <f t="shared" si="57"/>
        <v>0</v>
      </c>
      <c r="X711" s="33">
        <f t="shared" si="58"/>
        <v>0</v>
      </c>
      <c r="Y711" s="33">
        <f ca="1">SUMPRODUCT((I711:INDEX(I711:T711,MONTH(TODAY()))="X")*1)</f>
        <v>0</v>
      </c>
      <c r="Z711" s="39">
        <f t="shared" si="59"/>
        <v>0.5</v>
      </c>
    </row>
    <row r="712" spans="1:26" x14ac:dyDescent="0.25">
      <c r="A712" s="37" t="str">
        <f>Equipos!C710</f>
        <v>2-113430</v>
      </c>
      <c r="B712" s="33" t="str">
        <f>Equipos!D710</f>
        <v>Monitor Multiparámetros</v>
      </c>
      <c r="C712" s="33" t="str">
        <f>Equipos!E710</f>
        <v>Quimioterapia Ambulatoria Adulto</v>
      </c>
      <c r="D712" s="33" t="str">
        <f>Equipos!G710</f>
        <v>EPC-P2</v>
      </c>
      <c r="E712" s="33" t="str">
        <f>Equipos!I710</f>
        <v xml:space="preserve">Nihon Kohden </v>
      </c>
      <c r="F712" s="33" t="str">
        <f>Equipos!J710</f>
        <v>BSM-2351K</v>
      </c>
      <c r="G712" s="37" t="str">
        <f>Equipos!K710</f>
        <v>3648</v>
      </c>
      <c r="H712" s="33"/>
      <c r="I712" s="38"/>
      <c r="J712" s="38"/>
      <c r="K712" s="50" t="s">
        <v>276</v>
      </c>
      <c r="L712" s="50" t="s">
        <v>275</v>
      </c>
      <c r="M712" s="38"/>
      <c r="N712" s="38"/>
      <c r="O712" s="38"/>
      <c r="P712" s="38"/>
      <c r="Q712" s="38"/>
      <c r="R712" s="38"/>
      <c r="S712" s="38"/>
      <c r="T712" s="38"/>
      <c r="U712" s="33">
        <f t="shared" si="55"/>
        <v>2</v>
      </c>
      <c r="V712" s="33">
        <f t="shared" si="56"/>
        <v>1</v>
      </c>
      <c r="W712" s="33">
        <f t="shared" si="57"/>
        <v>0</v>
      </c>
      <c r="X712" s="33">
        <f t="shared" si="58"/>
        <v>0</v>
      </c>
      <c r="Y712" s="33">
        <f ca="1">SUMPRODUCT((I712:INDEX(I712:T712,MONTH(TODAY()))="X")*1)</f>
        <v>0</v>
      </c>
      <c r="Z712" s="39">
        <f t="shared" si="59"/>
        <v>0.5</v>
      </c>
    </row>
    <row r="713" spans="1:26" x14ac:dyDescent="0.25">
      <c r="A713" s="37" t="str">
        <f>Equipos!C711</f>
        <v>2-112353</v>
      </c>
      <c r="B713" s="33" t="str">
        <f>Equipos!D711</f>
        <v>Monitor Multiparámetros</v>
      </c>
      <c r="C713" s="33" t="str">
        <f>Equipos!E711</f>
        <v>Cardiología (Prestado a Medicina cardiovascular)</v>
      </c>
      <c r="D713" s="33" t="str">
        <f>Equipos!G711</f>
        <v>Zócalo</v>
      </c>
      <c r="E713" s="33" t="str">
        <f>Equipos!I711</f>
        <v>Drager</v>
      </c>
      <c r="F713" s="33" t="str">
        <f>Equipos!J711</f>
        <v>Vista 120</v>
      </c>
      <c r="G713" s="37" t="str">
        <f>Equipos!K711</f>
        <v>V2SFF0044</v>
      </c>
      <c r="H713" s="33"/>
      <c r="I713" s="38"/>
      <c r="J713" s="50" t="s">
        <v>276</v>
      </c>
      <c r="K713" s="50" t="s">
        <v>275</v>
      </c>
      <c r="L713" s="38"/>
      <c r="M713" s="38"/>
      <c r="N713" s="38"/>
      <c r="O713" s="38"/>
      <c r="P713" s="38"/>
      <c r="Q713" s="38"/>
      <c r="R713" s="38"/>
      <c r="S713" s="38"/>
      <c r="T713" s="38"/>
      <c r="U713" s="33">
        <f t="shared" si="55"/>
        <v>2</v>
      </c>
      <c r="V713" s="33">
        <f t="shared" si="56"/>
        <v>1</v>
      </c>
      <c r="W713" s="33">
        <f t="shared" si="57"/>
        <v>0</v>
      </c>
      <c r="X713" s="33">
        <f t="shared" si="58"/>
        <v>0</v>
      </c>
      <c r="Y713" s="33">
        <f ca="1">SUMPRODUCT((I713:INDEX(I713:T713,MONTH(TODAY()))="X")*1)</f>
        <v>0</v>
      </c>
      <c r="Z713" s="39">
        <f t="shared" si="59"/>
        <v>0.5</v>
      </c>
    </row>
    <row r="714" spans="1:26" x14ac:dyDescent="0.25">
      <c r="A714" s="37" t="str">
        <f>Equipos!C712</f>
        <v>2-113189</v>
      </c>
      <c r="B714" s="33" t="str">
        <f>Equipos!D712</f>
        <v>Monitor Multiparámetros</v>
      </c>
      <c r="C714" s="33" t="str">
        <f>Equipos!E712</f>
        <v>Cardiología (Prestado a Medicina cardiovascular)</v>
      </c>
      <c r="D714" s="33" t="str">
        <f>Equipos!G712</f>
        <v>Zócalo</v>
      </c>
      <c r="E714" s="33" t="str">
        <f>Equipos!I712</f>
        <v>Drager</v>
      </c>
      <c r="F714" s="33" t="str">
        <f>Equipos!J712</f>
        <v>Vista 120</v>
      </c>
      <c r="G714" s="37" t="str">
        <f>Equipos!K712</f>
        <v>V1SHL0116</v>
      </c>
      <c r="H714" s="33"/>
      <c r="I714" s="38"/>
      <c r="J714" s="50" t="s">
        <v>276</v>
      </c>
      <c r="K714" s="50" t="s">
        <v>275</v>
      </c>
      <c r="L714" s="38"/>
      <c r="M714" s="38"/>
      <c r="N714" s="38"/>
      <c r="O714" s="38"/>
      <c r="P714" s="38"/>
      <c r="Q714" s="38"/>
      <c r="R714" s="38"/>
      <c r="S714" s="38"/>
      <c r="T714" s="38"/>
      <c r="U714" s="33">
        <f t="shared" si="55"/>
        <v>2</v>
      </c>
      <c r="V714" s="33">
        <f t="shared" si="56"/>
        <v>1</v>
      </c>
      <c r="W714" s="33">
        <f t="shared" si="57"/>
        <v>0</v>
      </c>
      <c r="X714" s="33">
        <f t="shared" si="58"/>
        <v>0</v>
      </c>
      <c r="Y714" s="33">
        <f ca="1">SUMPRODUCT((I714:INDEX(I714:T714,MONTH(TODAY()))="X")*1)</f>
        <v>0</v>
      </c>
      <c r="Z714" s="39">
        <f t="shared" si="59"/>
        <v>0.5</v>
      </c>
    </row>
    <row r="715" spans="1:26" x14ac:dyDescent="0.25">
      <c r="A715" s="37" t="str">
        <f>Equipos!C713</f>
        <v>2-113188</v>
      </c>
      <c r="B715" s="33" t="str">
        <f>Equipos!D713</f>
        <v>Monitor Multiparámetros</v>
      </c>
      <c r="C715" s="33" t="str">
        <f>Equipos!E713</f>
        <v>Electrofisiología</v>
      </c>
      <c r="D715" s="33" t="str">
        <f>Equipos!G713</f>
        <v>EPC 5to Piso</v>
      </c>
      <c r="E715" s="33" t="str">
        <f>Equipos!I713</f>
        <v>Drager</v>
      </c>
      <c r="F715" s="33" t="str">
        <f>Equipos!J713</f>
        <v>Vista 120</v>
      </c>
      <c r="G715" s="37" t="str">
        <f>Equipos!K713</f>
        <v>VQSHF0100</v>
      </c>
      <c r="H715" s="33"/>
      <c r="I715" s="38"/>
      <c r="J715" s="38"/>
      <c r="K715" s="50" t="s">
        <v>276</v>
      </c>
      <c r="L715" s="50" t="s">
        <v>275</v>
      </c>
      <c r="M715" s="38"/>
      <c r="N715" s="38"/>
      <c r="O715" s="38"/>
      <c r="P715" s="38"/>
      <c r="Q715" s="38"/>
      <c r="R715" s="38"/>
      <c r="S715" s="38"/>
      <c r="T715" s="38"/>
      <c r="U715" s="33">
        <f t="shared" si="55"/>
        <v>2</v>
      </c>
      <c r="V715" s="33">
        <f t="shared" si="56"/>
        <v>1</v>
      </c>
      <c r="W715" s="33">
        <f t="shared" si="57"/>
        <v>0</v>
      </c>
      <c r="X715" s="33">
        <f t="shared" si="58"/>
        <v>0</v>
      </c>
      <c r="Y715" s="33">
        <f ca="1">SUMPRODUCT((I715:INDEX(I715:T715,MONTH(TODAY()))="X")*1)</f>
        <v>0</v>
      </c>
      <c r="Z715" s="39">
        <f t="shared" si="59"/>
        <v>0.5</v>
      </c>
    </row>
    <row r="716" spans="1:26" x14ac:dyDescent="0.25">
      <c r="A716" s="37" t="str">
        <f>Equipos!C714</f>
        <v>2-110576</v>
      </c>
      <c r="B716" s="33" t="str">
        <f>Equipos!D714</f>
        <v>Monitor Multiparámetros</v>
      </c>
      <c r="C716" s="33" t="str">
        <f>Equipos!E714</f>
        <v>Neonatología</v>
      </c>
      <c r="D716" s="33">
        <f>Equipos!G714</f>
        <v>0</v>
      </c>
      <c r="E716" s="33" t="str">
        <f>Equipos!I714</f>
        <v>Philips</v>
      </c>
      <c r="F716" s="33" t="str">
        <f>Equipos!J714</f>
        <v>MX500</v>
      </c>
      <c r="G716" s="37" t="str">
        <f>Equipos!K714</f>
        <v>DE35137548</v>
      </c>
      <c r="H716" s="33"/>
      <c r="I716" s="50" t="s">
        <v>275</v>
      </c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3">
        <f t="shared" si="55"/>
        <v>1</v>
      </c>
      <c r="V716" s="33">
        <f t="shared" si="56"/>
        <v>1</v>
      </c>
      <c r="W716" s="33">
        <f t="shared" si="57"/>
        <v>0</v>
      </c>
      <c r="X716" s="33">
        <f t="shared" si="58"/>
        <v>0</v>
      </c>
      <c r="Y716" s="33">
        <f ca="1">SUMPRODUCT((I716:INDEX(I716:T716,MONTH(TODAY()))="X")*1)</f>
        <v>0</v>
      </c>
      <c r="Z716" s="39">
        <f t="shared" si="59"/>
        <v>1</v>
      </c>
    </row>
    <row r="717" spans="1:26" x14ac:dyDescent="0.25">
      <c r="A717" s="37" t="str">
        <f>Equipos!C715</f>
        <v>2-116713</v>
      </c>
      <c r="B717" s="33" t="str">
        <f>Equipos!D715</f>
        <v>Monitor Multiparámetros</v>
      </c>
      <c r="C717" s="33" t="str">
        <f>Equipos!E715</f>
        <v>UPC Adulto</v>
      </c>
      <c r="D717" s="33" t="str">
        <f>Equipos!G715</f>
        <v xml:space="preserve">Bodega </v>
      </c>
      <c r="E717" s="33" t="str">
        <f>Equipos!I715</f>
        <v>Drager</v>
      </c>
      <c r="F717" s="33" t="str">
        <f>Equipos!J715</f>
        <v>Infinity Delta</v>
      </c>
      <c r="G717" s="37" t="str">
        <f>Equipos!K715</f>
        <v>6009179462</v>
      </c>
      <c r="H717" s="33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3">
        <f t="shared" si="55"/>
        <v>0</v>
      </c>
      <c r="V717" s="33">
        <f t="shared" si="56"/>
        <v>0</v>
      </c>
      <c r="W717" s="33">
        <f t="shared" si="57"/>
        <v>0</v>
      </c>
      <c r="X717" s="33">
        <f t="shared" si="58"/>
        <v>0</v>
      </c>
      <c r="Y717" s="33">
        <f ca="1">SUMPRODUCT((I717:INDEX(I717:T717,MONTH(TODAY()))="X")*1)</f>
        <v>0</v>
      </c>
      <c r="Z717" s="39" t="str">
        <f t="shared" si="59"/>
        <v/>
      </c>
    </row>
    <row r="718" spans="1:26" x14ac:dyDescent="0.25">
      <c r="A718" s="37" t="str">
        <f>Equipos!C716</f>
        <v>2-117052</v>
      </c>
      <c r="B718" s="33" t="str">
        <f>Equipos!D716</f>
        <v>Monitor Multiparámetros</v>
      </c>
      <c r="C718" s="33" t="str">
        <f>Equipos!E716</f>
        <v>Pabellones Gineco-Obstétricos</v>
      </c>
      <c r="D718" s="33" t="str">
        <f>Equipos!G716</f>
        <v>Cama 3</v>
      </c>
      <c r="E718" s="33" t="str">
        <f>Equipos!I716</f>
        <v>Philips</v>
      </c>
      <c r="F718" s="33" t="str">
        <f>Equipos!J716</f>
        <v>MX450</v>
      </c>
      <c r="G718" s="37" t="str">
        <f>Equipos!K716</f>
        <v>DE351C1289</v>
      </c>
      <c r="H718" s="33"/>
      <c r="I718" s="38"/>
      <c r="J718" s="38"/>
      <c r="K718" s="38"/>
      <c r="L718" s="38"/>
      <c r="M718" s="50" t="s">
        <v>275</v>
      </c>
      <c r="N718" s="38"/>
      <c r="O718" s="38"/>
      <c r="P718" s="38"/>
      <c r="Q718" s="38"/>
      <c r="R718" s="38"/>
      <c r="S718" s="38"/>
      <c r="T718" s="38"/>
      <c r="U718" s="33">
        <f t="shared" si="55"/>
        <v>1</v>
      </c>
      <c r="V718" s="33">
        <f t="shared" si="56"/>
        <v>1</v>
      </c>
      <c r="W718" s="33">
        <f t="shared" si="57"/>
        <v>0</v>
      </c>
      <c r="X718" s="33">
        <f t="shared" si="58"/>
        <v>0</v>
      </c>
      <c r="Y718" s="33">
        <f ca="1">SUMPRODUCT((I718:INDEX(I718:T718,MONTH(TODAY()))="X")*1)</f>
        <v>0</v>
      </c>
      <c r="Z718" s="39">
        <f t="shared" si="59"/>
        <v>1</v>
      </c>
    </row>
    <row r="719" spans="1:26" x14ac:dyDescent="0.25">
      <c r="A719" s="37" t="str">
        <f>Equipos!C717</f>
        <v>2-117053</v>
      </c>
      <c r="B719" s="33" t="str">
        <f>Equipos!D717</f>
        <v>Monitor Multiparámetros</v>
      </c>
      <c r="C719" s="33" t="str">
        <f>Equipos!E717</f>
        <v>Pabellones Gineco-Obstétricos</v>
      </c>
      <c r="D719" s="33" t="str">
        <f>Equipos!G717</f>
        <v>Cama 6</v>
      </c>
      <c r="E719" s="33" t="str">
        <f>Equipos!I717</f>
        <v>Philips</v>
      </c>
      <c r="F719" s="33" t="str">
        <f>Equipos!J717</f>
        <v>MX450</v>
      </c>
      <c r="G719" s="37" t="str">
        <f>Equipos!K717</f>
        <v>DE351C1464</v>
      </c>
      <c r="H719" s="33"/>
      <c r="I719" s="38"/>
      <c r="J719" s="38"/>
      <c r="K719" s="38"/>
      <c r="L719" s="38"/>
      <c r="M719" s="50" t="s">
        <v>275</v>
      </c>
      <c r="N719" s="38"/>
      <c r="O719" s="38"/>
      <c r="P719" s="38"/>
      <c r="Q719" s="38"/>
      <c r="R719" s="38"/>
      <c r="S719" s="38"/>
      <c r="T719" s="38"/>
      <c r="U719" s="33">
        <f t="shared" si="55"/>
        <v>1</v>
      </c>
      <c r="V719" s="33">
        <f t="shared" si="56"/>
        <v>1</v>
      </c>
      <c r="W719" s="33">
        <f t="shared" si="57"/>
        <v>0</v>
      </c>
      <c r="X719" s="33">
        <f t="shared" si="58"/>
        <v>0</v>
      </c>
      <c r="Y719" s="33">
        <f ca="1">SUMPRODUCT((I719:INDEX(I719:T719,MONTH(TODAY()))="X")*1)</f>
        <v>0</v>
      </c>
      <c r="Z719" s="39">
        <f t="shared" si="59"/>
        <v>1</v>
      </c>
    </row>
    <row r="720" spans="1:26" x14ac:dyDescent="0.25">
      <c r="A720" s="37" t="str">
        <f>Equipos!C718</f>
        <v>2-117054</v>
      </c>
      <c r="B720" s="33" t="str">
        <f>Equipos!D718</f>
        <v>Monitor Multiparámetros</v>
      </c>
      <c r="C720" s="33" t="str">
        <f>Equipos!E718</f>
        <v>Pabellones Gineco-Obstétricos</v>
      </c>
      <c r="D720" s="33" t="str">
        <f>Equipos!G718</f>
        <v>CAMA 4</v>
      </c>
      <c r="E720" s="33" t="str">
        <f>Equipos!I718</f>
        <v>Philips</v>
      </c>
      <c r="F720" s="33" t="str">
        <f>Equipos!J718</f>
        <v>MX450</v>
      </c>
      <c r="G720" s="37" t="str">
        <f>Equipos!K718</f>
        <v>DE351C1468</v>
      </c>
      <c r="H720" s="33"/>
      <c r="I720" s="38"/>
      <c r="J720" s="38"/>
      <c r="K720" s="38"/>
      <c r="L720" s="38"/>
      <c r="M720" s="50" t="s">
        <v>275</v>
      </c>
      <c r="N720" s="38"/>
      <c r="O720" s="38"/>
      <c r="P720" s="38"/>
      <c r="Q720" s="38"/>
      <c r="R720" s="38"/>
      <c r="S720" s="38"/>
      <c r="T720" s="38"/>
      <c r="U720" s="33">
        <f t="shared" si="55"/>
        <v>1</v>
      </c>
      <c r="V720" s="33">
        <f t="shared" si="56"/>
        <v>1</v>
      </c>
      <c r="W720" s="33">
        <f t="shared" si="57"/>
        <v>0</v>
      </c>
      <c r="X720" s="33">
        <f t="shared" si="58"/>
        <v>0</v>
      </c>
      <c r="Y720" s="33">
        <f ca="1">SUMPRODUCT((I720:INDEX(I720:T720,MONTH(TODAY()))="X")*1)</f>
        <v>0</v>
      </c>
      <c r="Z720" s="39">
        <f t="shared" si="59"/>
        <v>1</v>
      </c>
    </row>
    <row r="721" spans="1:26" x14ac:dyDescent="0.25">
      <c r="A721" s="37" t="str">
        <f>Equipos!C719</f>
        <v>2-117055</v>
      </c>
      <c r="B721" s="33" t="str">
        <f>Equipos!D719</f>
        <v>Monitor Multiparámetros</v>
      </c>
      <c r="C721" s="33" t="str">
        <f>Equipos!E719</f>
        <v>Pabellones Gineco-Obstétricos</v>
      </c>
      <c r="D721" s="33" t="str">
        <f>Equipos!G719</f>
        <v>Cama 7</v>
      </c>
      <c r="E721" s="33" t="str">
        <f>Equipos!I719</f>
        <v>Philips</v>
      </c>
      <c r="F721" s="33" t="str">
        <f>Equipos!J719</f>
        <v>MX450</v>
      </c>
      <c r="G721" s="37" t="str">
        <f>Equipos!K719</f>
        <v>DE351C1471</v>
      </c>
      <c r="H721" s="33"/>
      <c r="I721" s="38"/>
      <c r="J721" s="38"/>
      <c r="K721" s="38"/>
      <c r="L721" s="38"/>
      <c r="M721" s="50" t="s">
        <v>275</v>
      </c>
      <c r="N721" s="38"/>
      <c r="O721" s="38"/>
      <c r="P721" s="38"/>
      <c r="Q721" s="38"/>
      <c r="R721" s="38"/>
      <c r="S721" s="38"/>
      <c r="T721" s="38"/>
      <c r="U721" s="33">
        <f t="shared" si="55"/>
        <v>1</v>
      </c>
      <c r="V721" s="33">
        <f t="shared" si="56"/>
        <v>1</v>
      </c>
      <c r="W721" s="33">
        <f t="shared" si="57"/>
        <v>0</v>
      </c>
      <c r="X721" s="33">
        <f t="shared" si="58"/>
        <v>0</v>
      </c>
      <c r="Y721" s="33">
        <f ca="1">SUMPRODUCT((I721:INDEX(I721:T721,MONTH(TODAY()))="X")*1)</f>
        <v>0</v>
      </c>
      <c r="Z721" s="39">
        <f t="shared" si="59"/>
        <v>1</v>
      </c>
    </row>
    <row r="722" spans="1:26" x14ac:dyDescent="0.25">
      <c r="A722" s="37" t="str">
        <f>Equipos!C720</f>
        <v>2-117056</v>
      </c>
      <c r="B722" s="33" t="str">
        <f>Equipos!D720</f>
        <v>Monitor Multiparámetros</v>
      </c>
      <c r="C722" s="33" t="str">
        <f>Equipos!E720</f>
        <v>Pabellones Gineco-Obstétricos</v>
      </c>
      <c r="D722" s="33" t="str">
        <f>Equipos!G720</f>
        <v>Cama 1</v>
      </c>
      <c r="E722" s="33" t="str">
        <f>Equipos!I720</f>
        <v>Philips</v>
      </c>
      <c r="F722" s="33" t="str">
        <f>Equipos!J720</f>
        <v>MX450</v>
      </c>
      <c r="G722" s="37" t="str">
        <f>Equipos!K720</f>
        <v>DE351C1466</v>
      </c>
      <c r="H722" s="33"/>
      <c r="I722" s="38"/>
      <c r="J722" s="38"/>
      <c r="K722" s="38"/>
      <c r="L722" s="38"/>
      <c r="M722" s="50" t="s">
        <v>275</v>
      </c>
      <c r="N722" s="38"/>
      <c r="O722" s="38"/>
      <c r="P722" s="38"/>
      <c r="Q722" s="38"/>
      <c r="R722" s="38"/>
      <c r="S722" s="38"/>
      <c r="T722" s="38"/>
      <c r="U722" s="33">
        <f t="shared" si="55"/>
        <v>1</v>
      </c>
      <c r="V722" s="33">
        <f t="shared" si="56"/>
        <v>1</v>
      </c>
      <c r="W722" s="33">
        <f t="shared" si="57"/>
        <v>0</v>
      </c>
      <c r="X722" s="33">
        <f t="shared" si="58"/>
        <v>0</v>
      </c>
      <c r="Y722" s="33">
        <f ca="1">SUMPRODUCT((I722:INDEX(I722:T722,MONTH(TODAY()))="X")*1)</f>
        <v>0</v>
      </c>
      <c r="Z722" s="39">
        <f t="shared" si="59"/>
        <v>1</v>
      </c>
    </row>
    <row r="723" spans="1:26" x14ac:dyDescent="0.25">
      <c r="A723" s="37" t="str">
        <f>Equipos!C721</f>
        <v>2-117057</v>
      </c>
      <c r="B723" s="33" t="str">
        <f>Equipos!D721</f>
        <v>Monitor Multiparámetros</v>
      </c>
      <c r="C723" s="33" t="str">
        <f>Equipos!E721</f>
        <v>Urgencias Gineco-Obstétricas</v>
      </c>
      <c r="D723" s="33" t="str">
        <f>Equipos!G721</f>
        <v>Pabellón</v>
      </c>
      <c r="E723" s="33" t="str">
        <f>Equipos!I721</f>
        <v>Philips</v>
      </c>
      <c r="F723" s="33" t="str">
        <f>Equipos!J721</f>
        <v>MX450</v>
      </c>
      <c r="G723" s="37" t="str">
        <f>Equipos!K721</f>
        <v>DE351C1288</v>
      </c>
      <c r="H723" s="33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3">
        <f t="shared" si="55"/>
        <v>0</v>
      </c>
      <c r="V723" s="33">
        <f t="shared" si="56"/>
        <v>0</v>
      </c>
      <c r="W723" s="33">
        <f t="shared" si="57"/>
        <v>0</v>
      </c>
      <c r="X723" s="33">
        <f t="shared" si="58"/>
        <v>0</v>
      </c>
      <c r="Y723" s="33">
        <f ca="1">SUMPRODUCT((I723:INDEX(I723:T723,MONTH(TODAY()))="X")*1)</f>
        <v>0</v>
      </c>
      <c r="Z723" s="39" t="str">
        <f t="shared" si="59"/>
        <v/>
      </c>
    </row>
    <row r="724" spans="1:26" x14ac:dyDescent="0.25">
      <c r="A724" s="37" t="str">
        <f>Equipos!C722</f>
        <v>2-117540</v>
      </c>
      <c r="B724" s="33" t="str">
        <f>Equipos!D722</f>
        <v>Monitor Multiparámetros</v>
      </c>
      <c r="C724" s="33" t="str">
        <f>Equipos!E722</f>
        <v>Pabellones Gineco-Obstétricos</v>
      </c>
      <c r="D724" s="33" t="str">
        <f>Equipos!G722</f>
        <v>Pabellón 2</v>
      </c>
      <c r="E724" s="33" t="str">
        <f>Equipos!I722</f>
        <v>Drager</v>
      </c>
      <c r="F724" s="33" t="str">
        <f>Equipos!J722</f>
        <v>Infinity Kappa</v>
      </c>
      <c r="G724" s="37" t="str">
        <f>Equipos!K722</f>
        <v>5495671163</v>
      </c>
      <c r="H724" s="33"/>
      <c r="I724" s="38"/>
      <c r="J724" s="38"/>
      <c r="K724" s="38"/>
      <c r="L724" s="38"/>
      <c r="M724" s="50" t="s">
        <v>277</v>
      </c>
      <c r="N724" s="38"/>
      <c r="O724" s="38"/>
      <c r="P724" s="38"/>
      <c r="Q724" s="38"/>
      <c r="R724" s="38"/>
      <c r="S724" s="38"/>
      <c r="T724" s="38"/>
      <c r="U724" s="33">
        <f t="shared" si="55"/>
        <v>1</v>
      </c>
      <c r="V724" s="33">
        <f t="shared" si="56"/>
        <v>0</v>
      </c>
      <c r="W724" s="33">
        <f t="shared" si="57"/>
        <v>0</v>
      </c>
      <c r="X724" s="33">
        <f t="shared" si="58"/>
        <v>1</v>
      </c>
      <c r="Y724" s="33">
        <f ca="1">SUMPRODUCT((I724:INDEX(I724:T724,MONTH(TODAY()))="X")*1)</f>
        <v>0</v>
      </c>
      <c r="Z724" s="39">
        <f t="shared" si="59"/>
        <v>0</v>
      </c>
    </row>
    <row r="725" spans="1:26" x14ac:dyDescent="0.25">
      <c r="A725" s="37" t="str">
        <f>Equipos!C723</f>
        <v>2-117733</v>
      </c>
      <c r="B725" s="33" t="str">
        <f>Equipos!D723</f>
        <v>Monitor Multiparámetros</v>
      </c>
      <c r="C725" s="33" t="str">
        <f>Equipos!E723</f>
        <v>Neonatología</v>
      </c>
      <c r="D725" s="33">
        <f>Equipos!G723</f>
        <v>0</v>
      </c>
      <c r="E725" s="33" t="str">
        <f>Equipos!I723</f>
        <v>Philips</v>
      </c>
      <c r="F725" s="33" t="str">
        <f>Equipos!J723</f>
        <v>Intellivue MX550</v>
      </c>
      <c r="G725" s="37" t="str">
        <f>Equipos!K723</f>
        <v>DE671E0395</v>
      </c>
      <c r="H725" s="33"/>
      <c r="I725" s="50" t="s">
        <v>275</v>
      </c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3">
        <f t="shared" si="55"/>
        <v>1</v>
      </c>
      <c r="V725" s="33">
        <f t="shared" si="56"/>
        <v>1</v>
      </c>
      <c r="W725" s="33">
        <f t="shared" si="57"/>
        <v>0</v>
      </c>
      <c r="X725" s="33">
        <f t="shared" si="58"/>
        <v>0</v>
      </c>
      <c r="Y725" s="33">
        <f ca="1">SUMPRODUCT((I725:INDEX(I725:T725,MONTH(TODAY()))="X")*1)</f>
        <v>0</v>
      </c>
      <c r="Z725" s="39">
        <f t="shared" si="59"/>
        <v>1</v>
      </c>
    </row>
    <row r="726" spans="1:26" x14ac:dyDescent="0.25">
      <c r="A726" s="37" t="str">
        <f>Equipos!C724</f>
        <v>2-117734</v>
      </c>
      <c r="B726" s="33" t="str">
        <f>Equipos!D724</f>
        <v>Monitor Multiparámetros</v>
      </c>
      <c r="C726" s="33" t="str">
        <f>Equipos!E724</f>
        <v>Neonatología</v>
      </c>
      <c r="D726" s="33">
        <f>Equipos!G724</f>
        <v>0</v>
      </c>
      <c r="E726" s="33" t="str">
        <f>Equipos!I724</f>
        <v>Philips</v>
      </c>
      <c r="F726" s="33" t="str">
        <f>Equipos!J724</f>
        <v>Intellivue MX550</v>
      </c>
      <c r="G726" s="37" t="str">
        <f>Equipos!K724</f>
        <v>DE671E0396</v>
      </c>
      <c r="H726" s="33"/>
      <c r="I726" s="50" t="s">
        <v>276</v>
      </c>
      <c r="J726" s="50" t="s">
        <v>275</v>
      </c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3">
        <f t="shared" si="55"/>
        <v>2</v>
      </c>
      <c r="V726" s="33">
        <f t="shared" si="56"/>
        <v>1</v>
      </c>
      <c r="W726" s="33">
        <f t="shared" si="57"/>
        <v>0</v>
      </c>
      <c r="X726" s="33">
        <f t="shared" si="58"/>
        <v>0</v>
      </c>
      <c r="Y726" s="33">
        <f ca="1">SUMPRODUCT((I726:INDEX(I726:T726,MONTH(TODAY()))="X")*1)</f>
        <v>0</v>
      </c>
      <c r="Z726" s="39">
        <f t="shared" si="59"/>
        <v>0.5</v>
      </c>
    </row>
    <row r="727" spans="1:26" x14ac:dyDescent="0.25">
      <c r="A727" s="37" t="str">
        <f>Equipos!C725</f>
        <v>2-117735</v>
      </c>
      <c r="B727" s="33" t="str">
        <f>Equipos!D725</f>
        <v>Monitor Multiparámetros</v>
      </c>
      <c r="C727" s="33" t="str">
        <f>Equipos!E725</f>
        <v>Neonatología</v>
      </c>
      <c r="D727" s="33">
        <f>Equipos!G725</f>
        <v>0</v>
      </c>
      <c r="E727" s="33" t="str">
        <f>Equipos!I725</f>
        <v>Philips</v>
      </c>
      <c r="F727" s="33" t="str">
        <f>Equipos!J725</f>
        <v>Intellivue MX550</v>
      </c>
      <c r="G727" s="37" t="str">
        <f>Equipos!K725</f>
        <v>DE671E0397</v>
      </c>
      <c r="H727" s="33"/>
      <c r="I727" s="50" t="s">
        <v>275</v>
      </c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3">
        <f t="shared" si="55"/>
        <v>1</v>
      </c>
      <c r="V727" s="33">
        <f t="shared" si="56"/>
        <v>1</v>
      </c>
      <c r="W727" s="33">
        <f t="shared" si="57"/>
        <v>0</v>
      </c>
      <c r="X727" s="33">
        <f t="shared" si="58"/>
        <v>0</v>
      </c>
      <c r="Y727" s="33">
        <f ca="1">SUMPRODUCT((I727:INDEX(I727:T727,MONTH(TODAY()))="X")*1)</f>
        <v>0</v>
      </c>
      <c r="Z727" s="39">
        <f t="shared" si="59"/>
        <v>1</v>
      </c>
    </row>
    <row r="728" spans="1:26" x14ac:dyDescent="0.25">
      <c r="A728" s="37" t="str">
        <f>Equipos!C726</f>
        <v>2-117736</v>
      </c>
      <c r="B728" s="33" t="str">
        <f>Equipos!D726</f>
        <v>Monitor Multiparámetros</v>
      </c>
      <c r="C728" s="33" t="str">
        <f>Equipos!E726</f>
        <v>Neonatología</v>
      </c>
      <c r="D728" s="33">
        <f>Equipos!G726</f>
        <v>0</v>
      </c>
      <c r="E728" s="33" t="str">
        <f>Equipos!I726</f>
        <v>Philips</v>
      </c>
      <c r="F728" s="33" t="str">
        <f>Equipos!J726</f>
        <v>Intellivue MX550</v>
      </c>
      <c r="G728" s="37" t="str">
        <f>Equipos!K726</f>
        <v>DE671E0398</v>
      </c>
      <c r="H728" s="33"/>
      <c r="I728" s="50" t="s">
        <v>275</v>
      </c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3">
        <f t="shared" si="55"/>
        <v>1</v>
      </c>
      <c r="V728" s="33">
        <f t="shared" si="56"/>
        <v>1</v>
      </c>
      <c r="W728" s="33">
        <f t="shared" si="57"/>
        <v>0</v>
      </c>
      <c r="X728" s="33">
        <f t="shared" si="58"/>
        <v>0</v>
      </c>
      <c r="Y728" s="33">
        <f ca="1">SUMPRODUCT((I728:INDEX(I728:T728,MONTH(TODAY()))="X")*1)</f>
        <v>0</v>
      </c>
      <c r="Z728" s="39">
        <f t="shared" si="59"/>
        <v>1</v>
      </c>
    </row>
    <row r="729" spans="1:26" x14ac:dyDescent="0.25">
      <c r="A729" s="37" t="str">
        <f>Equipos!C727</f>
        <v>2-117737</v>
      </c>
      <c r="B729" s="33" t="str">
        <f>Equipos!D727</f>
        <v>Monitor Multiparámetros</v>
      </c>
      <c r="C729" s="33" t="str">
        <f>Equipos!E727</f>
        <v>Neonatología</v>
      </c>
      <c r="D729" s="33">
        <f>Equipos!G727</f>
        <v>0</v>
      </c>
      <c r="E729" s="33" t="str">
        <f>Equipos!I727</f>
        <v>Philips</v>
      </c>
      <c r="F729" s="33" t="str">
        <f>Equipos!J727</f>
        <v>Intellivue MX550</v>
      </c>
      <c r="G729" s="37" t="str">
        <f>Equipos!K727</f>
        <v>DE671E0399</v>
      </c>
      <c r="H729" s="33"/>
      <c r="I729" s="50" t="s">
        <v>275</v>
      </c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3">
        <f t="shared" si="55"/>
        <v>1</v>
      </c>
      <c r="V729" s="33">
        <f t="shared" si="56"/>
        <v>1</v>
      </c>
      <c r="W729" s="33">
        <f t="shared" si="57"/>
        <v>0</v>
      </c>
      <c r="X729" s="33">
        <f t="shared" si="58"/>
        <v>0</v>
      </c>
      <c r="Y729" s="33">
        <f ca="1">SUMPRODUCT((I729:INDEX(I729:T729,MONTH(TODAY()))="X")*1)</f>
        <v>0</v>
      </c>
      <c r="Z729" s="39">
        <f t="shared" si="59"/>
        <v>1</v>
      </c>
    </row>
    <row r="730" spans="1:26" x14ac:dyDescent="0.25">
      <c r="A730" s="37" t="str">
        <f>Equipos!C728</f>
        <v>2-117738</v>
      </c>
      <c r="B730" s="33" t="str">
        <f>Equipos!D728</f>
        <v>Monitor Multiparámetros</v>
      </c>
      <c r="C730" s="33" t="str">
        <f>Equipos!E728</f>
        <v>Neonatología</v>
      </c>
      <c r="D730" s="33">
        <f>Equipos!G728</f>
        <v>0</v>
      </c>
      <c r="E730" s="33" t="str">
        <f>Equipos!I728</f>
        <v>Philips</v>
      </c>
      <c r="F730" s="33" t="str">
        <f>Equipos!J728</f>
        <v>Intellivue MX550</v>
      </c>
      <c r="G730" s="37" t="str">
        <f>Equipos!K728</f>
        <v>DE671E0401</v>
      </c>
      <c r="H730" s="33"/>
      <c r="I730" s="50" t="s">
        <v>275</v>
      </c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3">
        <f t="shared" si="55"/>
        <v>1</v>
      </c>
      <c r="V730" s="33">
        <f t="shared" si="56"/>
        <v>1</v>
      </c>
      <c r="W730" s="33">
        <f t="shared" si="57"/>
        <v>0</v>
      </c>
      <c r="X730" s="33">
        <f t="shared" si="58"/>
        <v>0</v>
      </c>
      <c r="Y730" s="33">
        <f ca="1">SUMPRODUCT((I730:INDEX(I730:T730,MONTH(TODAY()))="X")*1)</f>
        <v>0</v>
      </c>
      <c r="Z730" s="39">
        <f t="shared" si="59"/>
        <v>1</v>
      </c>
    </row>
    <row r="731" spans="1:26" x14ac:dyDescent="0.25">
      <c r="A731" s="37" t="str">
        <f>Equipos!C729</f>
        <v>2-117739</v>
      </c>
      <c r="B731" s="33" t="str">
        <f>Equipos!D729</f>
        <v>Monitor Multiparámetros</v>
      </c>
      <c r="C731" s="33" t="str">
        <f>Equipos!E729</f>
        <v>Neonatología</v>
      </c>
      <c r="D731" s="33">
        <f>Equipos!G729</f>
        <v>0</v>
      </c>
      <c r="E731" s="33" t="str">
        <f>Equipos!I729</f>
        <v>Philips</v>
      </c>
      <c r="F731" s="33" t="str">
        <f>Equipos!J729</f>
        <v>Intellivue MX550</v>
      </c>
      <c r="G731" s="37" t="str">
        <f>Equipos!K729</f>
        <v>DE671E0403</v>
      </c>
      <c r="H731" s="33"/>
      <c r="I731" s="50" t="s">
        <v>275</v>
      </c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3">
        <f t="shared" si="55"/>
        <v>1</v>
      </c>
      <c r="V731" s="33">
        <f t="shared" si="56"/>
        <v>1</v>
      </c>
      <c r="W731" s="33">
        <f t="shared" si="57"/>
        <v>0</v>
      </c>
      <c r="X731" s="33">
        <f t="shared" si="58"/>
        <v>0</v>
      </c>
      <c r="Y731" s="33">
        <f ca="1">SUMPRODUCT((I731:INDEX(I731:T731,MONTH(TODAY()))="X")*1)</f>
        <v>0</v>
      </c>
      <c r="Z731" s="39">
        <f t="shared" si="59"/>
        <v>1</v>
      </c>
    </row>
    <row r="732" spans="1:26" x14ac:dyDescent="0.25">
      <c r="A732" s="37" t="str">
        <f>Equipos!C730</f>
        <v>2-117740</v>
      </c>
      <c r="B732" s="33" t="str">
        <f>Equipos!D730</f>
        <v>Monitor Multiparámetros</v>
      </c>
      <c r="C732" s="33" t="str">
        <f>Equipos!E730</f>
        <v>Neonatología</v>
      </c>
      <c r="D732" s="33">
        <f>Equipos!G730</f>
        <v>0</v>
      </c>
      <c r="E732" s="33" t="str">
        <f>Equipos!I730</f>
        <v>Philips</v>
      </c>
      <c r="F732" s="33" t="str">
        <f>Equipos!J730</f>
        <v>Intellivue MX550</v>
      </c>
      <c r="G732" s="37" t="str">
        <f>Equipos!K730</f>
        <v>DE671E0404</v>
      </c>
      <c r="H732" s="33"/>
      <c r="I732" s="50" t="s">
        <v>276</v>
      </c>
      <c r="J732" s="50" t="s">
        <v>275</v>
      </c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3">
        <f t="shared" si="55"/>
        <v>2</v>
      </c>
      <c r="V732" s="33">
        <f t="shared" si="56"/>
        <v>1</v>
      </c>
      <c r="W732" s="33">
        <f t="shared" si="57"/>
        <v>0</v>
      </c>
      <c r="X732" s="33">
        <f t="shared" si="58"/>
        <v>0</v>
      </c>
      <c r="Y732" s="33">
        <f ca="1">SUMPRODUCT((I732:INDEX(I732:T732,MONTH(TODAY()))="X")*1)</f>
        <v>0</v>
      </c>
      <c r="Z732" s="39">
        <f t="shared" si="59"/>
        <v>0.5</v>
      </c>
    </row>
    <row r="733" spans="1:26" x14ac:dyDescent="0.25">
      <c r="A733" s="37" t="str">
        <f>Equipos!C731</f>
        <v>2-117741</v>
      </c>
      <c r="B733" s="33" t="str">
        <f>Equipos!D731</f>
        <v>Monitor Multiparámetros</v>
      </c>
      <c r="C733" s="33" t="str">
        <f>Equipos!E731</f>
        <v>Neonatología</v>
      </c>
      <c r="D733" s="33">
        <f>Equipos!G731</f>
        <v>0</v>
      </c>
      <c r="E733" s="33" t="str">
        <f>Equipos!I731</f>
        <v>Philips</v>
      </c>
      <c r="F733" s="33" t="str">
        <f>Equipos!J731</f>
        <v>Intellivue MX550</v>
      </c>
      <c r="G733" s="37" t="str">
        <f>Equipos!K731</f>
        <v>DE671E0405</v>
      </c>
      <c r="H733" s="33"/>
      <c r="I733" s="50" t="s">
        <v>275</v>
      </c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3">
        <f t="shared" si="55"/>
        <v>1</v>
      </c>
      <c r="V733" s="33">
        <f t="shared" si="56"/>
        <v>1</v>
      </c>
      <c r="W733" s="33">
        <f t="shared" si="57"/>
        <v>0</v>
      </c>
      <c r="X733" s="33">
        <f t="shared" si="58"/>
        <v>0</v>
      </c>
      <c r="Y733" s="33">
        <f ca="1">SUMPRODUCT((I733:INDEX(I733:T733,MONTH(TODAY()))="X")*1)</f>
        <v>0</v>
      </c>
      <c r="Z733" s="39">
        <f t="shared" si="59"/>
        <v>1</v>
      </c>
    </row>
    <row r="734" spans="1:26" x14ac:dyDescent="0.25">
      <c r="A734" s="37" t="str">
        <f>Equipos!C732</f>
        <v>2-117742</v>
      </c>
      <c r="B734" s="33" t="str">
        <f>Equipos!D732</f>
        <v>Monitor Multiparámetros</v>
      </c>
      <c r="C734" s="33" t="str">
        <f>Equipos!E732</f>
        <v>Neonatología</v>
      </c>
      <c r="D734" s="33">
        <f>Equipos!G732</f>
        <v>0</v>
      </c>
      <c r="E734" s="33" t="str">
        <f>Equipos!I732</f>
        <v>Philips</v>
      </c>
      <c r="F734" s="33" t="str">
        <f>Equipos!J732</f>
        <v>Intellivue MX550</v>
      </c>
      <c r="G734" s="37" t="str">
        <f>Equipos!K732</f>
        <v>DE671E0406</v>
      </c>
      <c r="H734" s="33"/>
      <c r="I734" s="50" t="s">
        <v>276</v>
      </c>
      <c r="J734" s="50" t="s">
        <v>275</v>
      </c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3">
        <f t="shared" si="55"/>
        <v>2</v>
      </c>
      <c r="V734" s="33">
        <f t="shared" si="56"/>
        <v>1</v>
      </c>
      <c r="W734" s="33">
        <f t="shared" si="57"/>
        <v>0</v>
      </c>
      <c r="X734" s="33">
        <f t="shared" si="58"/>
        <v>0</v>
      </c>
      <c r="Y734" s="33">
        <f ca="1">SUMPRODUCT((I734:INDEX(I734:T734,MONTH(TODAY()))="X")*1)</f>
        <v>0</v>
      </c>
      <c r="Z734" s="39">
        <f t="shared" si="59"/>
        <v>0.5</v>
      </c>
    </row>
    <row r="735" spans="1:26" x14ac:dyDescent="0.25">
      <c r="A735" s="37" t="str">
        <f>Equipos!C733</f>
        <v>2-117743</v>
      </c>
      <c r="B735" s="33" t="str">
        <f>Equipos!D733</f>
        <v>Monitor Multiparámetros</v>
      </c>
      <c r="C735" s="33" t="str">
        <f>Equipos!E733</f>
        <v>Neonatología</v>
      </c>
      <c r="D735" s="33">
        <f>Equipos!G733</f>
        <v>0</v>
      </c>
      <c r="E735" s="33" t="str">
        <f>Equipos!I733</f>
        <v>Philips</v>
      </c>
      <c r="F735" s="33" t="str">
        <f>Equipos!J733</f>
        <v>Intellivue MX550</v>
      </c>
      <c r="G735" s="37" t="str">
        <f>Equipos!K733</f>
        <v>DE671E0407</v>
      </c>
      <c r="H735" s="33"/>
      <c r="I735" s="50" t="s">
        <v>275</v>
      </c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3">
        <f t="shared" si="55"/>
        <v>1</v>
      </c>
      <c r="V735" s="33">
        <f t="shared" si="56"/>
        <v>1</v>
      </c>
      <c r="W735" s="33">
        <f t="shared" si="57"/>
        <v>0</v>
      </c>
      <c r="X735" s="33">
        <f t="shared" si="58"/>
        <v>0</v>
      </c>
      <c r="Y735" s="33">
        <f ca="1">SUMPRODUCT((I735:INDEX(I735:T735,MONTH(TODAY()))="X")*1)</f>
        <v>0</v>
      </c>
      <c r="Z735" s="39">
        <f t="shared" si="59"/>
        <v>1</v>
      </c>
    </row>
    <row r="736" spans="1:26" x14ac:dyDescent="0.25">
      <c r="A736" s="37" t="str">
        <f>Equipos!C734</f>
        <v>2-117744</v>
      </c>
      <c r="B736" s="33" t="str">
        <f>Equipos!D734</f>
        <v>Monitor Multiparámetros</v>
      </c>
      <c r="C736" s="33" t="str">
        <f>Equipos!E734</f>
        <v>Neonatología</v>
      </c>
      <c r="D736" s="33">
        <f>Equipos!G734</f>
        <v>0</v>
      </c>
      <c r="E736" s="33" t="str">
        <f>Equipos!I734</f>
        <v>Philips</v>
      </c>
      <c r="F736" s="33" t="str">
        <f>Equipos!J734</f>
        <v>Intellivue MX550</v>
      </c>
      <c r="G736" s="37" t="str">
        <f>Equipos!K734</f>
        <v>DE671E0408</v>
      </c>
      <c r="H736" s="33"/>
      <c r="I736" s="50" t="s">
        <v>275</v>
      </c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3">
        <f t="shared" si="55"/>
        <v>1</v>
      </c>
      <c r="V736" s="33">
        <f t="shared" si="56"/>
        <v>1</v>
      </c>
      <c r="W736" s="33">
        <f t="shared" si="57"/>
        <v>0</v>
      </c>
      <c r="X736" s="33">
        <f t="shared" si="58"/>
        <v>0</v>
      </c>
      <c r="Y736" s="33">
        <f ca="1">SUMPRODUCT((I736:INDEX(I736:T736,MONTH(TODAY()))="X")*1)</f>
        <v>0</v>
      </c>
      <c r="Z736" s="39">
        <f t="shared" si="59"/>
        <v>1</v>
      </c>
    </row>
    <row r="737" spans="1:26" x14ac:dyDescent="0.25">
      <c r="A737" s="37" t="str">
        <f>Equipos!C735</f>
        <v>2-117745</v>
      </c>
      <c r="B737" s="33" t="str">
        <f>Equipos!D735</f>
        <v>Monitor Multiparámetros</v>
      </c>
      <c r="C737" s="33" t="str">
        <f>Equipos!E735</f>
        <v>Neonatología</v>
      </c>
      <c r="D737" s="33">
        <f>Equipos!G735</f>
        <v>0</v>
      </c>
      <c r="E737" s="33" t="str">
        <f>Equipos!I735</f>
        <v>Philips</v>
      </c>
      <c r="F737" s="33" t="str">
        <f>Equipos!J735</f>
        <v>Intellivue MX550</v>
      </c>
      <c r="G737" s="37" t="str">
        <f>Equipos!K735</f>
        <v>DE671E0409</v>
      </c>
      <c r="H737" s="33"/>
      <c r="I737" s="50" t="s">
        <v>275</v>
      </c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3">
        <f t="shared" si="55"/>
        <v>1</v>
      </c>
      <c r="V737" s="33">
        <f t="shared" si="56"/>
        <v>1</v>
      </c>
      <c r="W737" s="33">
        <f t="shared" si="57"/>
        <v>0</v>
      </c>
      <c r="X737" s="33">
        <f t="shared" si="58"/>
        <v>0</v>
      </c>
      <c r="Y737" s="33">
        <f ca="1">SUMPRODUCT((I737:INDEX(I737:T737,MONTH(TODAY()))="X")*1)</f>
        <v>0</v>
      </c>
      <c r="Z737" s="39">
        <f t="shared" si="59"/>
        <v>1</v>
      </c>
    </row>
    <row r="738" spans="1:26" x14ac:dyDescent="0.25">
      <c r="A738" s="37" t="str">
        <f>Equipos!C736</f>
        <v>2-117746</v>
      </c>
      <c r="B738" s="33" t="str">
        <f>Equipos!D736</f>
        <v>Monitor Multiparámetros</v>
      </c>
      <c r="C738" s="33" t="str">
        <f>Equipos!E736</f>
        <v>Neonatología</v>
      </c>
      <c r="D738" s="33">
        <f>Equipos!G736</f>
        <v>0</v>
      </c>
      <c r="E738" s="33" t="str">
        <f>Equipos!I736</f>
        <v>Philips</v>
      </c>
      <c r="F738" s="33" t="str">
        <f>Equipos!J736</f>
        <v>Intellivue MX550</v>
      </c>
      <c r="G738" s="37" t="str">
        <f>Equipos!K736</f>
        <v>DE671E0410</v>
      </c>
      <c r="H738" s="33"/>
      <c r="I738" s="50" t="s">
        <v>275</v>
      </c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3">
        <f t="shared" si="55"/>
        <v>1</v>
      </c>
      <c r="V738" s="33">
        <f t="shared" si="56"/>
        <v>1</v>
      </c>
      <c r="W738" s="33">
        <f t="shared" si="57"/>
        <v>0</v>
      </c>
      <c r="X738" s="33">
        <f t="shared" si="58"/>
        <v>0</v>
      </c>
      <c r="Y738" s="33">
        <f ca="1">SUMPRODUCT((I738:INDEX(I738:T738,MONTH(TODAY()))="X")*1)</f>
        <v>0</v>
      </c>
      <c r="Z738" s="39">
        <f t="shared" si="59"/>
        <v>1</v>
      </c>
    </row>
    <row r="739" spans="1:26" x14ac:dyDescent="0.25">
      <c r="A739" s="37" t="str">
        <f>Equipos!C737</f>
        <v>2-117747</v>
      </c>
      <c r="B739" s="33" t="str">
        <f>Equipos!D737</f>
        <v>Monitor Multiparámetros</v>
      </c>
      <c r="C739" s="33" t="str">
        <f>Equipos!E737</f>
        <v>Neonatología</v>
      </c>
      <c r="D739" s="33">
        <f>Equipos!G737</f>
        <v>0</v>
      </c>
      <c r="E739" s="33" t="str">
        <f>Equipos!I737</f>
        <v>Philips</v>
      </c>
      <c r="F739" s="33" t="str">
        <f>Equipos!J737</f>
        <v>Intellivue MX550</v>
      </c>
      <c r="G739" s="37" t="str">
        <f>Equipos!K737</f>
        <v>DE671E0434</v>
      </c>
      <c r="H739" s="33"/>
      <c r="I739" s="50" t="s">
        <v>275</v>
      </c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3">
        <f t="shared" si="55"/>
        <v>1</v>
      </c>
      <c r="V739" s="33">
        <f t="shared" si="56"/>
        <v>1</v>
      </c>
      <c r="W739" s="33">
        <f t="shared" si="57"/>
        <v>0</v>
      </c>
      <c r="X739" s="33">
        <f t="shared" si="58"/>
        <v>0</v>
      </c>
      <c r="Y739" s="33">
        <f ca="1">SUMPRODUCT((I739:INDEX(I739:T739,MONTH(TODAY()))="X")*1)</f>
        <v>0</v>
      </c>
      <c r="Z739" s="39">
        <f t="shared" si="59"/>
        <v>1</v>
      </c>
    </row>
    <row r="740" spans="1:26" x14ac:dyDescent="0.25">
      <c r="A740" s="37" t="str">
        <f>Equipos!C738</f>
        <v>2-117748</v>
      </c>
      <c r="B740" s="33" t="str">
        <f>Equipos!D738</f>
        <v>Monitor Multiparámetros</v>
      </c>
      <c r="C740" s="33" t="str">
        <f>Equipos!E738</f>
        <v>Neonatología</v>
      </c>
      <c r="D740" s="33">
        <f>Equipos!G738</f>
        <v>0</v>
      </c>
      <c r="E740" s="33" t="str">
        <f>Equipos!I738</f>
        <v>Philips</v>
      </c>
      <c r="F740" s="33" t="str">
        <f>Equipos!J738</f>
        <v>Intellivue MX550</v>
      </c>
      <c r="G740" s="37" t="str">
        <f>Equipos!K738</f>
        <v>DE671E0435</v>
      </c>
      <c r="H740" s="33"/>
      <c r="I740" s="50" t="s">
        <v>275</v>
      </c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3">
        <f t="shared" si="55"/>
        <v>1</v>
      </c>
      <c r="V740" s="33">
        <f t="shared" si="56"/>
        <v>1</v>
      </c>
      <c r="W740" s="33">
        <f t="shared" si="57"/>
        <v>0</v>
      </c>
      <c r="X740" s="33">
        <f t="shared" si="58"/>
        <v>0</v>
      </c>
      <c r="Y740" s="33">
        <f ca="1">SUMPRODUCT((I740:INDEX(I740:T740,MONTH(TODAY()))="X")*1)</f>
        <v>0</v>
      </c>
      <c r="Z740" s="39">
        <f t="shared" si="59"/>
        <v>1</v>
      </c>
    </row>
    <row r="741" spans="1:26" x14ac:dyDescent="0.25">
      <c r="A741" s="37" t="str">
        <f>Equipos!C739</f>
        <v>2-117818</v>
      </c>
      <c r="B741" s="33" t="str">
        <f>Equipos!D739</f>
        <v>Monitor Multiparámetros</v>
      </c>
      <c r="C741" s="33" t="str">
        <f>Equipos!E739</f>
        <v>Urgencia Adulto</v>
      </c>
      <c r="D741" s="33" t="str">
        <f>Equipos!G739</f>
        <v>Box 1 Neurología</v>
      </c>
      <c r="E741" s="33" t="str">
        <f>Equipos!I739</f>
        <v>Drager</v>
      </c>
      <c r="F741" s="33" t="str">
        <f>Equipos!J739</f>
        <v>Vista 120</v>
      </c>
      <c r="G741" s="37" t="str">
        <f>Equipos!K739</f>
        <v>VGSLN0003</v>
      </c>
      <c r="H741" s="33"/>
      <c r="I741" s="38"/>
      <c r="J741" s="38"/>
      <c r="K741" s="50" t="s">
        <v>275</v>
      </c>
      <c r="L741" s="38"/>
      <c r="M741" s="38"/>
      <c r="N741" s="38"/>
      <c r="O741" s="38"/>
      <c r="P741" s="38"/>
      <c r="Q741" s="38"/>
      <c r="R741" s="38"/>
      <c r="S741" s="38"/>
      <c r="T741" s="38"/>
      <c r="U741" s="33">
        <f t="shared" si="55"/>
        <v>1</v>
      </c>
      <c r="V741" s="33">
        <f t="shared" si="56"/>
        <v>1</v>
      </c>
      <c r="W741" s="33">
        <f t="shared" si="57"/>
        <v>0</v>
      </c>
      <c r="X741" s="33">
        <f t="shared" si="58"/>
        <v>0</v>
      </c>
      <c r="Y741" s="33">
        <f ca="1">SUMPRODUCT((I741:INDEX(I741:T741,MONTH(TODAY()))="X")*1)</f>
        <v>0</v>
      </c>
      <c r="Z741" s="39">
        <f t="shared" si="59"/>
        <v>1</v>
      </c>
    </row>
    <row r="742" spans="1:26" x14ac:dyDescent="0.25">
      <c r="A742" s="37" t="str">
        <f>Equipos!C740</f>
        <v>2-117819</v>
      </c>
      <c r="B742" s="33" t="str">
        <f>Equipos!D740</f>
        <v>Monitor Multiparámetros</v>
      </c>
      <c r="C742" s="33" t="str">
        <f>Equipos!E740</f>
        <v>Urgencia Adulto</v>
      </c>
      <c r="D742" s="33" t="str">
        <f>Equipos!G740</f>
        <v>Observación 1</v>
      </c>
      <c r="E742" s="33" t="str">
        <f>Equipos!I740</f>
        <v>Drager</v>
      </c>
      <c r="F742" s="33" t="str">
        <f>Equipos!J740</f>
        <v>Vista 120</v>
      </c>
      <c r="G742" s="37" t="str">
        <f>Equipos!K740</f>
        <v>VGSLN0002</v>
      </c>
      <c r="H742" s="33"/>
      <c r="I742" s="38"/>
      <c r="J742" s="38"/>
      <c r="K742" s="50" t="s">
        <v>275</v>
      </c>
      <c r="L742" s="38"/>
      <c r="M742" s="38"/>
      <c r="N742" s="38"/>
      <c r="O742" s="38"/>
      <c r="P742" s="38"/>
      <c r="Q742" s="38"/>
      <c r="R742" s="38"/>
      <c r="S742" s="38"/>
      <c r="T742" s="38"/>
      <c r="U742" s="33">
        <f t="shared" si="55"/>
        <v>1</v>
      </c>
      <c r="V742" s="33">
        <f t="shared" si="56"/>
        <v>1</v>
      </c>
      <c r="W742" s="33">
        <f t="shared" si="57"/>
        <v>0</v>
      </c>
      <c r="X742" s="33">
        <f t="shared" si="58"/>
        <v>0</v>
      </c>
      <c r="Y742" s="33">
        <f ca="1">SUMPRODUCT((I742:INDEX(I742:T742,MONTH(TODAY()))="X")*1)</f>
        <v>0</v>
      </c>
      <c r="Z742" s="39">
        <f t="shared" si="59"/>
        <v>1</v>
      </c>
    </row>
    <row r="743" spans="1:26" x14ac:dyDescent="0.25">
      <c r="A743" s="37" t="str">
        <f>Equipos!C741</f>
        <v>2-117820</v>
      </c>
      <c r="B743" s="33" t="str">
        <f>Equipos!D741</f>
        <v>Monitor Multiparámetros</v>
      </c>
      <c r="C743" s="33" t="str">
        <f>Equipos!E741</f>
        <v>Urgencia Adulto</v>
      </c>
      <c r="D743" s="33" t="str">
        <f>Equipos!G741</f>
        <v>Box 5 SAR</v>
      </c>
      <c r="E743" s="33" t="str">
        <f>Equipos!I741</f>
        <v>Drager</v>
      </c>
      <c r="F743" s="33" t="str">
        <f>Equipos!J741</f>
        <v>Vista 120</v>
      </c>
      <c r="G743" s="37" t="str">
        <f>Equipos!K741</f>
        <v>VGSLN0014</v>
      </c>
      <c r="H743" s="33"/>
      <c r="I743" s="38"/>
      <c r="J743" s="38"/>
      <c r="K743" s="50" t="s">
        <v>275</v>
      </c>
      <c r="L743" s="38"/>
      <c r="M743" s="38"/>
      <c r="N743" s="38"/>
      <c r="O743" s="38"/>
      <c r="P743" s="38"/>
      <c r="Q743" s="38"/>
      <c r="R743" s="38"/>
      <c r="S743" s="38"/>
      <c r="T743" s="38"/>
      <c r="U743" s="33">
        <f t="shared" si="55"/>
        <v>1</v>
      </c>
      <c r="V743" s="33">
        <f t="shared" si="56"/>
        <v>1</v>
      </c>
      <c r="W743" s="33">
        <f t="shared" si="57"/>
        <v>0</v>
      </c>
      <c r="X743" s="33">
        <f t="shared" si="58"/>
        <v>0</v>
      </c>
      <c r="Y743" s="33">
        <f ca="1">SUMPRODUCT((I743:INDEX(I743:T743,MONTH(TODAY()))="X")*1)</f>
        <v>0</v>
      </c>
      <c r="Z743" s="39">
        <f t="shared" si="59"/>
        <v>1</v>
      </c>
    </row>
    <row r="744" spans="1:26" x14ac:dyDescent="0.25">
      <c r="A744" s="37" t="str">
        <f>Equipos!C742</f>
        <v>2-117821</v>
      </c>
      <c r="B744" s="33" t="str">
        <f>Equipos!D742</f>
        <v>Monitor Multiparámetros</v>
      </c>
      <c r="C744" s="33" t="str">
        <f>Equipos!E742</f>
        <v>Urgencia Adulto</v>
      </c>
      <c r="D744" s="33" t="str">
        <f>Equipos!G742</f>
        <v>Observación 3</v>
      </c>
      <c r="E744" s="33" t="str">
        <f>Equipos!I742</f>
        <v>Drager</v>
      </c>
      <c r="F744" s="33" t="str">
        <f>Equipos!J742</f>
        <v>Vista 120</v>
      </c>
      <c r="G744" s="37" t="str">
        <f>Equipos!K742</f>
        <v>VGSLN0017</v>
      </c>
      <c r="H744" s="33"/>
      <c r="I744" s="38"/>
      <c r="J744" s="38"/>
      <c r="K744" s="50" t="s">
        <v>275</v>
      </c>
      <c r="L744" s="38"/>
      <c r="M744" s="38"/>
      <c r="N744" s="38"/>
      <c r="O744" s="38"/>
      <c r="P744" s="38"/>
      <c r="Q744" s="38"/>
      <c r="R744" s="38"/>
      <c r="S744" s="38"/>
      <c r="T744" s="38"/>
      <c r="U744" s="33">
        <f t="shared" si="55"/>
        <v>1</v>
      </c>
      <c r="V744" s="33">
        <f t="shared" si="56"/>
        <v>1</v>
      </c>
      <c r="W744" s="33">
        <f t="shared" si="57"/>
        <v>0</v>
      </c>
      <c r="X744" s="33">
        <f t="shared" si="58"/>
        <v>0</v>
      </c>
      <c r="Y744" s="33">
        <f ca="1">SUMPRODUCT((I744:INDEX(I744:T744,MONTH(TODAY()))="X")*1)</f>
        <v>0</v>
      </c>
      <c r="Z744" s="39">
        <f t="shared" si="59"/>
        <v>1</v>
      </c>
    </row>
    <row r="745" spans="1:26" x14ac:dyDescent="0.25">
      <c r="A745" s="37" t="str">
        <f>Equipos!C743</f>
        <v>2-117822</v>
      </c>
      <c r="B745" s="33" t="str">
        <f>Equipos!D743</f>
        <v>Monitor Multiparámetros</v>
      </c>
      <c r="C745" s="33" t="str">
        <f>Equipos!E743</f>
        <v>Urgencia Adulto (Prestado a Pediatría)</v>
      </c>
      <c r="D745" s="33">
        <f>Equipos!G743</f>
        <v>0</v>
      </c>
      <c r="E745" s="33" t="str">
        <f>Equipos!I743</f>
        <v>Drager</v>
      </c>
      <c r="F745" s="33" t="str">
        <f>Equipos!J743</f>
        <v>Vista 120</v>
      </c>
      <c r="G745" s="37" t="str">
        <f>Equipos!K743</f>
        <v>VGSLN0049</v>
      </c>
      <c r="H745" s="33"/>
      <c r="I745" s="38"/>
      <c r="J745" s="50" t="s">
        <v>276</v>
      </c>
      <c r="K745" s="50" t="s">
        <v>275</v>
      </c>
      <c r="L745" s="38"/>
      <c r="M745" s="38"/>
      <c r="N745" s="38"/>
      <c r="O745" s="38"/>
      <c r="P745" s="38"/>
      <c r="Q745" s="38"/>
      <c r="R745" s="38"/>
      <c r="S745" s="38"/>
      <c r="T745" s="38"/>
      <c r="U745" s="33">
        <f t="shared" si="55"/>
        <v>2</v>
      </c>
      <c r="V745" s="33">
        <f t="shared" si="56"/>
        <v>1</v>
      </c>
      <c r="W745" s="33">
        <f t="shared" si="57"/>
        <v>0</v>
      </c>
      <c r="X745" s="33">
        <f t="shared" si="58"/>
        <v>0</v>
      </c>
      <c r="Y745" s="33">
        <f ca="1">SUMPRODUCT((I745:INDEX(I745:T745,MONTH(TODAY()))="X")*1)</f>
        <v>0</v>
      </c>
      <c r="Z745" s="39">
        <f t="shared" si="59"/>
        <v>0.5</v>
      </c>
    </row>
    <row r="746" spans="1:26" x14ac:dyDescent="0.25">
      <c r="A746" s="37" t="str">
        <f>Equipos!C744</f>
        <v>2-117823</v>
      </c>
      <c r="B746" s="33" t="str">
        <f>Equipos!D744</f>
        <v>Monitor Multiparámetros</v>
      </c>
      <c r="C746" s="33" t="str">
        <f>Equipos!E744</f>
        <v>Urgencia Adulto</v>
      </c>
      <c r="D746" s="33" t="str">
        <f>Equipos!G744</f>
        <v>Observación 2</v>
      </c>
      <c r="E746" s="33" t="str">
        <f>Equipos!I744</f>
        <v>Drager</v>
      </c>
      <c r="F746" s="33" t="str">
        <f>Equipos!J744</f>
        <v>Vista 120</v>
      </c>
      <c r="G746" s="37" t="str">
        <f>Equipos!K744</f>
        <v>VGSLN0079</v>
      </c>
      <c r="H746" s="33"/>
      <c r="I746" s="38"/>
      <c r="J746" s="38"/>
      <c r="K746" s="50" t="s">
        <v>275</v>
      </c>
      <c r="L746" s="38"/>
      <c r="M746" s="38"/>
      <c r="N746" s="38"/>
      <c r="O746" s="38"/>
      <c r="P746" s="38"/>
      <c r="Q746" s="38"/>
      <c r="R746" s="38"/>
      <c r="S746" s="38"/>
      <c r="T746" s="38"/>
      <c r="U746" s="33">
        <f t="shared" si="55"/>
        <v>1</v>
      </c>
      <c r="V746" s="33">
        <f t="shared" si="56"/>
        <v>1</v>
      </c>
      <c r="W746" s="33">
        <f t="shared" si="57"/>
        <v>0</v>
      </c>
      <c r="X746" s="33">
        <f t="shared" si="58"/>
        <v>0</v>
      </c>
      <c r="Y746" s="33">
        <f ca="1">SUMPRODUCT((I746:INDEX(I746:T746,MONTH(TODAY()))="X")*1)</f>
        <v>0</v>
      </c>
      <c r="Z746" s="39">
        <f t="shared" si="59"/>
        <v>1</v>
      </c>
    </row>
    <row r="747" spans="1:26" x14ac:dyDescent="0.25">
      <c r="A747" s="37" t="str">
        <f>Equipos!C745</f>
        <v>2-117814</v>
      </c>
      <c r="B747" s="33" t="str">
        <f>Equipos!D745</f>
        <v>Monitor Multiparámetros</v>
      </c>
      <c r="C747" s="33" t="str">
        <f>Equipos!E745</f>
        <v>Pabellón CMA</v>
      </c>
      <c r="D747" s="33" t="str">
        <f>Equipos!G745</f>
        <v>Pabellón CMA 1</v>
      </c>
      <c r="E747" s="33" t="str">
        <f>Equipos!I745</f>
        <v>Drager</v>
      </c>
      <c r="F747" s="33" t="str">
        <f>Equipos!J745</f>
        <v>M540</v>
      </c>
      <c r="G747" s="37" t="str">
        <f>Equipos!K745</f>
        <v>5613359963</v>
      </c>
      <c r="H747" s="33"/>
      <c r="I747" s="38"/>
      <c r="J747" s="38"/>
      <c r="K747" s="38"/>
      <c r="L747" s="38"/>
      <c r="M747" s="50" t="s">
        <v>275</v>
      </c>
      <c r="N747" s="38"/>
      <c r="O747" s="38"/>
      <c r="P747" s="38"/>
      <c r="Q747" s="38"/>
      <c r="R747" s="38"/>
      <c r="S747" s="38"/>
      <c r="T747" s="38"/>
      <c r="U747" s="33">
        <f t="shared" si="55"/>
        <v>1</v>
      </c>
      <c r="V747" s="33">
        <f t="shared" si="56"/>
        <v>1</v>
      </c>
      <c r="W747" s="33">
        <f t="shared" si="57"/>
        <v>0</v>
      </c>
      <c r="X747" s="33">
        <f t="shared" si="58"/>
        <v>0</v>
      </c>
      <c r="Y747" s="33">
        <f ca="1">SUMPRODUCT((I747:INDEX(I747:T747,MONTH(TODAY()))="X")*1)</f>
        <v>0</v>
      </c>
      <c r="Z747" s="39">
        <f t="shared" si="59"/>
        <v>1</v>
      </c>
    </row>
    <row r="748" spans="1:26" x14ac:dyDescent="0.25">
      <c r="A748" s="37" t="str">
        <f>Equipos!C746</f>
        <v>2-117813</v>
      </c>
      <c r="B748" s="33" t="str">
        <f>Equipos!D746</f>
        <v>Monitor Multiparámetros</v>
      </c>
      <c r="C748" s="33" t="str">
        <f>Equipos!E746</f>
        <v>Pabellón Quirúrgico</v>
      </c>
      <c r="D748" s="33" t="str">
        <f>Equipos!G746</f>
        <v>Bodega</v>
      </c>
      <c r="E748" s="33" t="str">
        <f>Equipos!I746</f>
        <v>Drager</v>
      </c>
      <c r="F748" s="33" t="str">
        <f>Equipos!J746</f>
        <v>M540</v>
      </c>
      <c r="G748" s="37" t="str">
        <f>Equipos!K746</f>
        <v>5613354870</v>
      </c>
      <c r="H748" s="33"/>
      <c r="I748" s="38"/>
      <c r="J748" s="38"/>
      <c r="K748" s="38"/>
      <c r="L748" s="50" t="s">
        <v>275</v>
      </c>
      <c r="M748" s="38"/>
      <c r="N748" s="38"/>
      <c r="O748" s="38"/>
      <c r="P748" s="38"/>
      <c r="Q748" s="38"/>
      <c r="R748" s="38"/>
      <c r="S748" s="38"/>
      <c r="T748" s="38"/>
      <c r="U748" s="33">
        <f t="shared" si="55"/>
        <v>1</v>
      </c>
      <c r="V748" s="33">
        <f t="shared" si="56"/>
        <v>1</v>
      </c>
      <c r="W748" s="33">
        <f t="shared" si="57"/>
        <v>0</v>
      </c>
      <c r="X748" s="33">
        <f t="shared" si="58"/>
        <v>0</v>
      </c>
      <c r="Y748" s="33">
        <f ca="1">SUMPRODUCT((I748:INDEX(I748:T748,MONTH(TODAY()))="X")*1)</f>
        <v>0</v>
      </c>
      <c r="Z748" s="39">
        <f t="shared" si="59"/>
        <v>1</v>
      </c>
    </row>
    <row r="749" spans="1:26" x14ac:dyDescent="0.25">
      <c r="A749" s="37" t="str">
        <f>Equipos!C747</f>
        <v>2-117812</v>
      </c>
      <c r="B749" s="33" t="str">
        <f>Equipos!D747</f>
        <v>Monitor Multiparámetros</v>
      </c>
      <c r="C749" s="33" t="str">
        <f>Equipos!E747</f>
        <v>Pabellón Quirúrgico (Prestado a Pabellón CMA)</v>
      </c>
      <c r="D749" s="33" t="str">
        <f>Equipos!G747</f>
        <v>Pabellon CMA 2</v>
      </c>
      <c r="E749" s="33" t="str">
        <f>Equipos!I747</f>
        <v>Drager</v>
      </c>
      <c r="F749" s="33" t="str">
        <f>Equipos!J747</f>
        <v>M540</v>
      </c>
      <c r="G749" s="37" t="str">
        <f>Equipos!K747</f>
        <v>5613360578</v>
      </c>
      <c r="H749" s="33"/>
      <c r="I749" s="38"/>
      <c r="J749" s="38"/>
      <c r="K749" s="38"/>
      <c r="L749" s="50" t="s">
        <v>275</v>
      </c>
      <c r="M749" s="38"/>
      <c r="N749" s="38"/>
      <c r="O749" s="38"/>
      <c r="P749" s="38"/>
      <c r="Q749" s="38"/>
      <c r="R749" s="38"/>
      <c r="S749" s="38"/>
      <c r="T749" s="38"/>
      <c r="U749" s="33">
        <f t="shared" si="55"/>
        <v>1</v>
      </c>
      <c r="V749" s="33">
        <f t="shared" si="56"/>
        <v>1</v>
      </c>
      <c r="W749" s="33">
        <f t="shared" si="57"/>
        <v>0</v>
      </c>
      <c r="X749" s="33">
        <f t="shared" si="58"/>
        <v>0</v>
      </c>
      <c r="Y749" s="33">
        <f ca="1">SUMPRODUCT((I749:INDEX(I749:T749,MONTH(TODAY()))="X")*1)</f>
        <v>0</v>
      </c>
      <c r="Z749" s="39">
        <f t="shared" si="59"/>
        <v>1</v>
      </c>
    </row>
    <row r="750" spans="1:26" x14ac:dyDescent="0.25">
      <c r="A750" s="37" t="str">
        <f>Equipos!C748</f>
        <v>2-118846</v>
      </c>
      <c r="B750" s="33" t="str">
        <f>Equipos!D748</f>
        <v>Monitor Multiparámetros</v>
      </c>
      <c r="C750" s="33" t="str">
        <f>Equipos!E748</f>
        <v>Pabellón Quirúrgico</v>
      </c>
      <c r="D750" s="33">
        <f>Equipos!G748</f>
        <v>0</v>
      </c>
      <c r="E750" s="33" t="str">
        <f>Equipos!I748</f>
        <v>Drager</v>
      </c>
      <c r="F750" s="33" t="str">
        <f>Equipos!J748</f>
        <v>M540</v>
      </c>
      <c r="G750" s="37" t="str">
        <f>Equipos!K748</f>
        <v>5613993759</v>
      </c>
      <c r="H750" s="33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3">
        <f t="shared" si="55"/>
        <v>0</v>
      </c>
      <c r="V750" s="33">
        <f t="shared" si="56"/>
        <v>0</v>
      </c>
      <c r="W750" s="33">
        <f t="shared" si="57"/>
        <v>0</v>
      </c>
      <c r="X750" s="33">
        <f t="shared" si="58"/>
        <v>0</v>
      </c>
      <c r="Y750" s="33">
        <f ca="1">SUMPRODUCT((I750:INDEX(I750:T750,MONTH(TODAY()))="X")*1)</f>
        <v>0</v>
      </c>
      <c r="Z750" s="39" t="str">
        <f t="shared" si="59"/>
        <v/>
      </c>
    </row>
    <row r="751" spans="1:26" x14ac:dyDescent="0.25">
      <c r="A751" s="37" t="str">
        <f>Equipos!C749</f>
        <v>2-118884</v>
      </c>
      <c r="B751" s="33" t="str">
        <f>Equipos!D749</f>
        <v>Monitor Multiparámetros</v>
      </c>
      <c r="C751" s="33" t="str">
        <f>Equipos!E749</f>
        <v>UPC Pediátrica</v>
      </c>
      <c r="D751" s="33" t="str">
        <f>Equipos!G749</f>
        <v>Bodega</v>
      </c>
      <c r="E751" s="33" t="str">
        <f>Equipos!I749</f>
        <v>General Electric</v>
      </c>
      <c r="F751" s="33" t="str">
        <f>Equipos!J749</f>
        <v>B105</v>
      </c>
      <c r="G751" s="37" t="str">
        <f>Equipos!K749</f>
        <v>SP318331750WA</v>
      </c>
      <c r="H751" s="33"/>
      <c r="I751" s="50" t="s">
        <v>276</v>
      </c>
      <c r="J751" s="50" t="s">
        <v>275</v>
      </c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3">
        <f t="shared" si="55"/>
        <v>2</v>
      </c>
      <c r="V751" s="33">
        <f t="shared" si="56"/>
        <v>1</v>
      </c>
      <c r="W751" s="33">
        <f t="shared" si="57"/>
        <v>0</v>
      </c>
      <c r="X751" s="33">
        <f t="shared" si="58"/>
        <v>0</v>
      </c>
      <c r="Y751" s="33">
        <f ca="1">SUMPRODUCT((I751:INDEX(I751:T751,MONTH(TODAY()))="X")*1)</f>
        <v>0</v>
      </c>
      <c r="Z751" s="39">
        <f t="shared" si="59"/>
        <v>0.5</v>
      </c>
    </row>
    <row r="752" spans="1:26" x14ac:dyDescent="0.25">
      <c r="A752" s="37" t="str">
        <f>Equipos!C750</f>
        <v>2-118881</v>
      </c>
      <c r="B752" s="33" t="str">
        <f>Equipos!D750</f>
        <v>Monitor Multiparámetros</v>
      </c>
      <c r="C752" s="33" t="str">
        <f>Equipos!E750</f>
        <v>UPC Pediátrica</v>
      </c>
      <c r="D752" s="33" t="str">
        <f>Equipos!G750</f>
        <v>Bodega</v>
      </c>
      <c r="E752" s="33" t="str">
        <f>Equipos!I750</f>
        <v>General Electric</v>
      </c>
      <c r="F752" s="33" t="str">
        <f>Equipos!J750</f>
        <v>B105</v>
      </c>
      <c r="G752" s="37" t="str">
        <f>Equipos!K750</f>
        <v>SP318443451WA</v>
      </c>
      <c r="H752" s="33"/>
      <c r="I752" s="50" t="s">
        <v>278</v>
      </c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3">
        <f t="shared" si="55"/>
        <v>1</v>
      </c>
      <c r="V752" s="33">
        <f t="shared" si="56"/>
        <v>0</v>
      </c>
      <c r="W752" s="33">
        <f t="shared" si="57"/>
        <v>0</v>
      </c>
      <c r="X752" s="33">
        <f t="shared" si="58"/>
        <v>1</v>
      </c>
      <c r="Y752" s="33">
        <f ca="1">SUMPRODUCT((I752:INDEX(I752:T752,MONTH(TODAY()))="X")*1)</f>
        <v>0</v>
      </c>
      <c r="Z752" s="39">
        <f t="shared" si="59"/>
        <v>0</v>
      </c>
    </row>
    <row r="753" spans="1:26" x14ac:dyDescent="0.25">
      <c r="A753" s="37" t="str">
        <f>Equipos!C751</f>
        <v>2-119653</v>
      </c>
      <c r="B753" s="33" t="str">
        <f>Equipos!D751</f>
        <v>Monitor Multiparámetros</v>
      </c>
      <c r="C753" s="33" t="str">
        <f>Equipos!E751</f>
        <v>Electrofisiología</v>
      </c>
      <c r="D753" s="33" t="str">
        <f>Equipos!G751</f>
        <v>EPC 5to Piso</v>
      </c>
      <c r="E753" s="33" t="str">
        <f>Equipos!I751</f>
        <v>General Electric</v>
      </c>
      <c r="F753" s="33" t="str">
        <f>Equipos!J751</f>
        <v>B105</v>
      </c>
      <c r="G753" s="37" t="str">
        <f>Equipos!K751</f>
        <v>SQE19510024SA</v>
      </c>
      <c r="H753" s="33"/>
      <c r="I753" s="38"/>
      <c r="J753" s="38"/>
      <c r="K753" s="50" t="s">
        <v>276</v>
      </c>
      <c r="L753" s="50" t="s">
        <v>275</v>
      </c>
      <c r="M753" s="38"/>
      <c r="N753" s="38"/>
      <c r="O753" s="38"/>
      <c r="P753" s="38"/>
      <c r="Q753" s="38"/>
      <c r="R753" s="38"/>
      <c r="S753" s="38"/>
      <c r="T753" s="38"/>
      <c r="U753" s="33">
        <f t="shared" si="55"/>
        <v>2</v>
      </c>
      <c r="V753" s="33">
        <f t="shared" si="56"/>
        <v>1</v>
      </c>
      <c r="W753" s="33">
        <f t="shared" si="57"/>
        <v>0</v>
      </c>
      <c r="X753" s="33">
        <f t="shared" si="58"/>
        <v>0</v>
      </c>
      <c r="Y753" s="33">
        <f ca="1">SUMPRODUCT((I753:INDEX(I753:T753,MONTH(TODAY()))="X")*1)</f>
        <v>0</v>
      </c>
      <c r="Z753" s="39">
        <f t="shared" si="59"/>
        <v>0.5</v>
      </c>
    </row>
    <row r="754" spans="1:26" x14ac:dyDescent="0.25">
      <c r="A754" s="37" t="str">
        <f>Equipos!C752</f>
        <v>2-119634</v>
      </c>
      <c r="B754" s="33" t="str">
        <f>Equipos!D752</f>
        <v>Monitor Multiparámetros</v>
      </c>
      <c r="C754" s="33" t="str">
        <f>Equipos!E752</f>
        <v>Cirugía Adulto</v>
      </c>
      <c r="D754" s="33" t="str">
        <f>Equipos!G752</f>
        <v>EPB</v>
      </c>
      <c r="E754" s="33" t="str">
        <f>Equipos!I752</f>
        <v>General Electric</v>
      </c>
      <c r="F754" s="33" t="str">
        <f>Equipos!J752</f>
        <v>B105</v>
      </c>
      <c r="G754" s="37" t="str">
        <f>Equipos!K752</f>
        <v>SQE19510025SA</v>
      </c>
      <c r="H754" s="33"/>
      <c r="I754" s="38"/>
      <c r="J754" s="38"/>
      <c r="K754" s="38"/>
      <c r="L754" s="38"/>
      <c r="M754" s="50" t="s">
        <v>275</v>
      </c>
      <c r="N754" s="38"/>
      <c r="O754" s="38"/>
      <c r="P754" s="38"/>
      <c r="Q754" s="38"/>
      <c r="R754" s="38"/>
      <c r="S754" s="38"/>
      <c r="T754" s="38"/>
      <c r="U754" s="33">
        <f t="shared" si="55"/>
        <v>1</v>
      </c>
      <c r="V754" s="33">
        <f t="shared" si="56"/>
        <v>1</v>
      </c>
      <c r="W754" s="33">
        <f t="shared" si="57"/>
        <v>0</v>
      </c>
      <c r="X754" s="33">
        <f t="shared" si="58"/>
        <v>0</v>
      </c>
      <c r="Y754" s="33">
        <f ca="1">SUMPRODUCT((I754:INDEX(I754:T754,MONTH(TODAY()))="X")*1)</f>
        <v>0</v>
      </c>
      <c r="Z754" s="39">
        <f t="shared" si="59"/>
        <v>1</v>
      </c>
    </row>
    <row r="755" spans="1:26" x14ac:dyDescent="0.25">
      <c r="A755" s="37" t="str">
        <f>Equipos!C753</f>
        <v>2-119635</v>
      </c>
      <c r="B755" s="33" t="str">
        <f>Equipos!D753</f>
        <v>Monitor Multiparámetros</v>
      </c>
      <c r="C755" s="33" t="str">
        <f>Equipos!E753</f>
        <v>UPC Cardiovascular</v>
      </c>
      <c r="D755" s="33" t="str">
        <f>Equipos!G753</f>
        <v xml:space="preserve">Bodega </v>
      </c>
      <c r="E755" s="33" t="str">
        <f>Equipos!I753</f>
        <v>General Electric</v>
      </c>
      <c r="F755" s="33" t="str">
        <f>Equipos!J753</f>
        <v>B105</v>
      </c>
      <c r="G755" s="37" t="str">
        <f>Equipos!K753</f>
        <v>SQE19510026SA</v>
      </c>
      <c r="H755" s="33"/>
      <c r="I755" s="50" t="s">
        <v>276</v>
      </c>
      <c r="J755" s="50" t="s">
        <v>275</v>
      </c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3">
        <f t="shared" si="55"/>
        <v>2</v>
      </c>
      <c r="V755" s="33">
        <f t="shared" si="56"/>
        <v>1</v>
      </c>
      <c r="W755" s="33">
        <f t="shared" si="57"/>
        <v>0</v>
      </c>
      <c r="X755" s="33">
        <f t="shared" si="58"/>
        <v>0</v>
      </c>
      <c r="Y755" s="33">
        <f ca="1">SUMPRODUCT((I755:INDEX(I755:T755,MONTH(TODAY()))="X")*1)</f>
        <v>0</v>
      </c>
      <c r="Z755" s="39">
        <f t="shared" si="59"/>
        <v>0.5</v>
      </c>
    </row>
    <row r="756" spans="1:26" x14ac:dyDescent="0.25">
      <c r="A756" s="37" t="str">
        <f>Equipos!C754</f>
        <v>2-119637</v>
      </c>
      <c r="B756" s="33" t="str">
        <f>Equipos!D754</f>
        <v>Monitor Multiparámetros</v>
      </c>
      <c r="C756" s="33" t="str">
        <f>Equipos!E754</f>
        <v>Cirugía Adulto</v>
      </c>
      <c r="D756" s="33" t="str">
        <f>Equipos!G754</f>
        <v>EPA</v>
      </c>
      <c r="E756" s="33" t="str">
        <f>Equipos!I754</f>
        <v>General Electric</v>
      </c>
      <c r="F756" s="33" t="str">
        <f>Equipos!J754</f>
        <v>B105</v>
      </c>
      <c r="G756" s="37" t="str">
        <f>Equipos!K754</f>
        <v>SQE19510027SA</v>
      </c>
      <c r="H756" s="33"/>
      <c r="I756" s="38"/>
      <c r="J756" s="38"/>
      <c r="K756" s="38"/>
      <c r="L756" s="38"/>
      <c r="M756" s="50" t="s">
        <v>275</v>
      </c>
      <c r="N756" s="38"/>
      <c r="O756" s="38"/>
      <c r="P756" s="38"/>
      <c r="Q756" s="38"/>
      <c r="R756" s="38"/>
      <c r="S756" s="38"/>
      <c r="T756" s="38"/>
      <c r="U756" s="33">
        <f t="shared" si="55"/>
        <v>1</v>
      </c>
      <c r="V756" s="33">
        <f t="shared" si="56"/>
        <v>1</v>
      </c>
      <c r="W756" s="33">
        <f t="shared" si="57"/>
        <v>0</v>
      </c>
      <c r="X756" s="33">
        <f t="shared" si="58"/>
        <v>0</v>
      </c>
      <c r="Y756" s="33">
        <f ca="1">SUMPRODUCT((I756:INDEX(I756:T756,MONTH(TODAY()))="X")*1)</f>
        <v>0</v>
      </c>
      <c r="Z756" s="39">
        <f t="shared" si="59"/>
        <v>1</v>
      </c>
    </row>
    <row r="757" spans="1:26" x14ac:dyDescent="0.25">
      <c r="A757" s="37" t="str">
        <f>Equipos!C755</f>
        <v>2-119631</v>
      </c>
      <c r="B757" s="33" t="str">
        <f>Equipos!D755</f>
        <v>Monitor Multiparámetros</v>
      </c>
      <c r="C757" s="33" t="str">
        <f>Equipos!E755</f>
        <v>Medicina</v>
      </c>
      <c r="D757" s="33" t="str">
        <f>Equipos!G755</f>
        <v>520-3</v>
      </c>
      <c r="E757" s="33" t="str">
        <f>Equipos!I755</f>
        <v>General Electric</v>
      </c>
      <c r="F757" s="33" t="str">
        <f>Equipos!J755</f>
        <v>B105</v>
      </c>
      <c r="G757" s="37" t="str">
        <f>Equipos!K755</f>
        <v>SQE19510029SA</v>
      </c>
      <c r="H757" s="33"/>
      <c r="I757" s="38"/>
      <c r="J757" s="50" t="s">
        <v>276</v>
      </c>
      <c r="K757" s="50" t="s">
        <v>275</v>
      </c>
      <c r="L757" s="38"/>
      <c r="M757" s="38"/>
      <c r="N757" s="38"/>
      <c r="O757" s="38"/>
      <c r="P757" s="38"/>
      <c r="Q757" s="38"/>
      <c r="R757" s="38"/>
      <c r="S757" s="38"/>
      <c r="T757" s="38"/>
      <c r="U757" s="33">
        <f t="shared" si="55"/>
        <v>2</v>
      </c>
      <c r="V757" s="33">
        <f t="shared" si="56"/>
        <v>1</v>
      </c>
      <c r="W757" s="33">
        <f t="shared" si="57"/>
        <v>0</v>
      </c>
      <c r="X757" s="33">
        <f t="shared" si="58"/>
        <v>0</v>
      </c>
      <c r="Y757" s="33">
        <f ca="1">SUMPRODUCT((I757:INDEX(I757:T757,MONTH(TODAY()))="X")*1)</f>
        <v>0</v>
      </c>
      <c r="Z757" s="39">
        <f t="shared" si="59"/>
        <v>0.5</v>
      </c>
    </row>
    <row r="758" spans="1:26" x14ac:dyDescent="0.25">
      <c r="A758" s="37" t="str">
        <f>Equipos!C756</f>
        <v>2-119636</v>
      </c>
      <c r="B758" s="33" t="str">
        <f>Equipos!D756</f>
        <v>Monitor Multiparámetros</v>
      </c>
      <c r="C758" s="33" t="str">
        <f>Equipos!E756</f>
        <v>Medicina (Prestado a medicina cardiovascular)</v>
      </c>
      <c r="D758" s="33" t="str">
        <f>Equipos!G756</f>
        <v>Zócalo</v>
      </c>
      <c r="E758" s="33" t="str">
        <f>Equipos!I756</f>
        <v>General Electric</v>
      </c>
      <c r="F758" s="33" t="str">
        <f>Equipos!J756</f>
        <v>B105</v>
      </c>
      <c r="G758" s="37" t="str">
        <f>Equipos!K756</f>
        <v>SQE19510030SA</v>
      </c>
      <c r="H758" s="33"/>
      <c r="I758" s="38"/>
      <c r="J758" s="50" t="s">
        <v>276</v>
      </c>
      <c r="K758" s="50" t="s">
        <v>275</v>
      </c>
      <c r="L758" s="38"/>
      <c r="M758" s="38"/>
      <c r="N758" s="38"/>
      <c r="O758" s="38"/>
      <c r="P758" s="38"/>
      <c r="Q758" s="38"/>
      <c r="R758" s="38"/>
      <c r="S758" s="38"/>
      <c r="T758" s="38"/>
      <c r="U758" s="33">
        <f t="shared" si="55"/>
        <v>2</v>
      </c>
      <c r="V758" s="33">
        <f t="shared" si="56"/>
        <v>1</v>
      </c>
      <c r="W758" s="33">
        <f t="shared" si="57"/>
        <v>0</v>
      </c>
      <c r="X758" s="33">
        <f t="shared" si="58"/>
        <v>0</v>
      </c>
      <c r="Y758" s="33">
        <f ca="1">SUMPRODUCT((I758:INDEX(I758:T758,MONTH(TODAY()))="X")*1)</f>
        <v>0</v>
      </c>
      <c r="Z758" s="39">
        <f t="shared" si="59"/>
        <v>0.5</v>
      </c>
    </row>
    <row r="759" spans="1:26" x14ac:dyDescent="0.25">
      <c r="A759" s="37" t="str">
        <f>Equipos!C757</f>
        <v>2-119630</v>
      </c>
      <c r="B759" s="33" t="str">
        <f>Equipos!D757</f>
        <v>Monitor Multiparámetros</v>
      </c>
      <c r="C759" s="33" t="str">
        <f>Equipos!E757</f>
        <v>Medicina</v>
      </c>
      <c r="D759" s="33" t="str">
        <f>Equipos!G757</f>
        <v>516-2</v>
      </c>
      <c r="E759" s="33" t="str">
        <f>Equipos!I757</f>
        <v>General Electric</v>
      </c>
      <c r="F759" s="33" t="str">
        <f>Equipos!J757</f>
        <v>B105</v>
      </c>
      <c r="G759" s="37" t="str">
        <f>Equipos!K757</f>
        <v>SQE19510031SA</v>
      </c>
      <c r="H759" s="33"/>
      <c r="I759" s="38"/>
      <c r="J759" s="50" t="s">
        <v>276</v>
      </c>
      <c r="K759" s="50" t="s">
        <v>275</v>
      </c>
      <c r="L759" s="38"/>
      <c r="M759" s="38"/>
      <c r="N759" s="38"/>
      <c r="O759" s="38"/>
      <c r="P759" s="38"/>
      <c r="Q759" s="38"/>
      <c r="R759" s="38"/>
      <c r="S759" s="38"/>
      <c r="T759" s="38"/>
      <c r="U759" s="33">
        <f t="shared" si="55"/>
        <v>2</v>
      </c>
      <c r="V759" s="33">
        <f t="shared" si="56"/>
        <v>1</v>
      </c>
      <c r="W759" s="33">
        <f t="shared" si="57"/>
        <v>0</v>
      </c>
      <c r="X759" s="33">
        <f t="shared" si="58"/>
        <v>0</v>
      </c>
      <c r="Y759" s="33">
        <f ca="1">SUMPRODUCT((I759:INDEX(I759:T759,MONTH(TODAY()))="X")*1)</f>
        <v>0</v>
      </c>
      <c r="Z759" s="39">
        <f t="shared" si="59"/>
        <v>0.5</v>
      </c>
    </row>
    <row r="760" spans="1:26" x14ac:dyDescent="0.25">
      <c r="A760" s="37" t="str">
        <f>Equipos!C758</f>
        <v>2-119702</v>
      </c>
      <c r="B760" s="33" t="str">
        <f>Equipos!D758</f>
        <v>Monitor Multiparámetros</v>
      </c>
      <c r="C760" s="33" t="str">
        <f>Equipos!E758</f>
        <v>Medicina (Prestado a medicina cardiovascular)</v>
      </c>
      <c r="D760" s="33" t="str">
        <f>Equipos!G758</f>
        <v>Zócalo</v>
      </c>
      <c r="E760" s="33" t="str">
        <f>Equipos!I758</f>
        <v xml:space="preserve">Nihon Kohden </v>
      </c>
      <c r="F760" s="33" t="str">
        <f>Equipos!J758</f>
        <v>PVM-2703</v>
      </c>
      <c r="G760" s="37" t="str">
        <f>Equipos!K758</f>
        <v>0118020.</v>
      </c>
      <c r="H760" s="33"/>
      <c r="I760" s="38"/>
      <c r="J760" s="50" t="s">
        <v>276</v>
      </c>
      <c r="K760" s="50" t="s">
        <v>275</v>
      </c>
      <c r="L760" s="38"/>
      <c r="M760" s="38"/>
      <c r="N760" s="38"/>
      <c r="O760" s="38"/>
      <c r="P760" s="38"/>
      <c r="Q760" s="38"/>
      <c r="R760" s="38"/>
      <c r="S760" s="38"/>
      <c r="T760" s="38"/>
      <c r="U760" s="33">
        <f t="shared" si="55"/>
        <v>2</v>
      </c>
      <c r="V760" s="33">
        <f t="shared" si="56"/>
        <v>1</v>
      </c>
      <c r="W760" s="33">
        <f t="shared" si="57"/>
        <v>0</v>
      </c>
      <c r="X760" s="33">
        <f t="shared" si="58"/>
        <v>0</v>
      </c>
      <c r="Y760" s="33">
        <f ca="1">SUMPRODUCT((I760:INDEX(I760:T760,MONTH(TODAY()))="X")*1)</f>
        <v>0</v>
      </c>
      <c r="Z760" s="39">
        <f t="shared" si="59"/>
        <v>0.5</v>
      </c>
    </row>
    <row r="761" spans="1:26" x14ac:dyDescent="0.25">
      <c r="A761" s="37" t="str">
        <f>Equipos!C759</f>
        <v>2-119703</v>
      </c>
      <c r="B761" s="33" t="str">
        <f>Equipos!D759</f>
        <v>Monitor Multiparámetros</v>
      </c>
      <c r="C761" s="33" t="str">
        <f>Equipos!E759</f>
        <v>Medicina</v>
      </c>
      <c r="D761" s="33" t="str">
        <f>Equipos!G759</f>
        <v>Sala 597</v>
      </c>
      <c r="E761" s="33" t="str">
        <f>Equipos!I759</f>
        <v xml:space="preserve">Nihon Kohden </v>
      </c>
      <c r="F761" s="33" t="str">
        <f>Equipos!J759</f>
        <v>PVM-2703</v>
      </c>
      <c r="G761" s="37" t="str">
        <f>Equipos!K759</f>
        <v>0118042.</v>
      </c>
      <c r="H761" s="33"/>
      <c r="I761" s="38"/>
      <c r="J761" s="50" t="s">
        <v>275</v>
      </c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3">
        <f t="shared" si="55"/>
        <v>1</v>
      </c>
      <c r="V761" s="33">
        <f t="shared" si="56"/>
        <v>1</v>
      </c>
      <c r="W761" s="33">
        <f t="shared" si="57"/>
        <v>0</v>
      </c>
      <c r="X761" s="33">
        <f t="shared" si="58"/>
        <v>0</v>
      </c>
      <c r="Y761" s="33">
        <f ca="1">SUMPRODUCT((I761:INDEX(I761:T761,MONTH(TODAY()))="X")*1)</f>
        <v>0</v>
      </c>
      <c r="Z761" s="39">
        <f t="shared" si="59"/>
        <v>1</v>
      </c>
    </row>
    <row r="762" spans="1:26" x14ac:dyDescent="0.25">
      <c r="A762" s="37" t="str">
        <f>Equipos!C760</f>
        <v>2-119704</v>
      </c>
      <c r="B762" s="33" t="str">
        <f>Equipos!D760</f>
        <v>Monitor Multiparámetros</v>
      </c>
      <c r="C762" s="33" t="str">
        <f>Equipos!E760</f>
        <v>Medicina</v>
      </c>
      <c r="D762" s="33" t="str">
        <f>Equipos!G760</f>
        <v>521-3</v>
      </c>
      <c r="E762" s="33" t="str">
        <f>Equipos!I760</f>
        <v xml:space="preserve">Nihon Kohden </v>
      </c>
      <c r="F762" s="33" t="str">
        <f>Equipos!J760</f>
        <v>PVM-2703</v>
      </c>
      <c r="G762" s="37" t="str">
        <f>Equipos!K760</f>
        <v>0117935.</v>
      </c>
      <c r="H762" s="33"/>
      <c r="I762" s="38"/>
      <c r="J762" s="50" t="s">
        <v>276</v>
      </c>
      <c r="K762" s="50" t="s">
        <v>275</v>
      </c>
      <c r="L762" s="38"/>
      <c r="M762" s="38"/>
      <c r="N762" s="38"/>
      <c r="O762" s="38"/>
      <c r="P762" s="38"/>
      <c r="Q762" s="38"/>
      <c r="R762" s="38"/>
      <c r="S762" s="38"/>
      <c r="T762" s="38"/>
      <c r="U762" s="33">
        <f t="shared" si="55"/>
        <v>2</v>
      </c>
      <c r="V762" s="33">
        <f t="shared" si="56"/>
        <v>1</v>
      </c>
      <c r="W762" s="33">
        <f t="shared" si="57"/>
        <v>0</v>
      </c>
      <c r="X762" s="33">
        <f t="shared" si="58"/>
        <v>0</v>
      </c>
      <c r="Y762" s="33">
        <f ca="1">SUMPRODUCT((I762:INDEX(I762:T762,MONTH(TODAY()))="X")*1)</f>
        <v>0</v>
      </c>
      <c r="Z762" s="39">
        <f t="shared" si="59"/>
        <v>0.5</v>
      </c>
    </row>
    <row r="763" spans="1:26" x14ac:dyDescent="0.25">
      <c r="A763" s="37" t="str">
        <f>Equipos!C761</f>
        <v>2-119705</v>
      </c>
      <c r="B763" s="33" t="str">
        <f>Equipos!D761</f>
        <v>Monitor Multiparámetros</v>
      </c>
      <c r="C763" s="33" t="str">
        <f>Equipos!E761</f>
        <v>Medicina</v>
      </c>
      <c r="D763" s="33" t="str">
        <f>Equipos!G761</f>
        <v>501</v>
      </c>
      <c r="E763" s="33" t="str">
        <f>Equipos!I761</f>
        <v xml:space="preserve">Nihon Kohden </v>
      </c>
      <c r="F763" s="33" t="str">
        <f>Equipos!J761</f>
        <v>PVM-2703</v>
      </c>
      <c r="G763" s="37" t="str">
        <f>Equipos!K761</f>
        <v>0118040.</v>
      </c>
      <c r="H763" s="33"/>
      <c r="I763" s="38"/>
      <c r="J763" s="50" t="s">
        <v>275</v>
      </c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3">
        <f t="shared" si="55"/>
        <v>1</v>
      </c>
      <c r="V763" s="33">
        <f t="shared" si="56"/>
        <v>1</v>
      </c>
      <c r="W763" s="33">
        <f t="shared" si="57"/>
        <v>0</v>
      </c>
      <c r="X763" s="33">
        <f t="shared" si="58"/>
        <v>0</v>
      </c>
      <c r="Y763" s="33">
        <f ca="1">SUMPRODUCT((I763:INDEX(I763:T763,MONTH(TODAY()))="X")*1)</f>
        <v>0</v>
      </c>
      <c r="Z763" s="39">
        <f t="shared" si="59"/>
        <v>1</v>
      </c>
    </row>
    <row r="764" spans="1:26" x14ac:dyDescent="0.25">
      <c r="A764" s="37" t="str">
        <f>Equipos!C762</f>
        <v>2-119706</v>
      </c>
      <c r="B764" s="33" t="str">
        <f>Equipos!D762</f>
        <v>Monitor Multiparámetros</v>
      </c>
      <c r="C764" s="33" t="str">
        <f>Equipos!E762</f>
        <v>Medicina</v>
      </c>
      <c r="D764" s="33" t="str">
        <f>Equipos!G762</f>
        <v>515-3</v>
      </c>
      <c r="E764" s="33" t="str">
        <f>Equipos!I762</f>
        <v xml:space="preserve">Nihon Kohden </v>
      </c>
      <c r="F764" s="33" t="str">
        <f>Equipos!J762</f>
        <v>PVM-2703</v>
      </c>
      <c r="G764" s="37" t="str">
        <f>Equipos!K762</f>
        <v>0118006.</v>
      </c>
      <c r="H764" s="33"/>
      <c r="I764" s="38"/>
      <c r="J764" s="50" t="s">
        <v>275</v>
      </c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3">
        <f t="shared" si="55"/>
        <v>1</v>
      </c>
      <c r="V764" s="33">
        <f t="shared" si="56"/>
        <v>1</v>
      </c>
      <c r="W764" s="33">
        <f t="shared" si="57"/>
        <v>0</v>
      </c>
      <c r="X764" s="33">
        <f t="shared" si="58"/>
        <v>0</v>
      </c>
      <c r="Y764" s="33">
        <f ca="1">SUMPRODUCT((I764:INDEX(I764:T764,MONTH(TODAY()))="X")*1)</f>
        <v>0</v>
      </c>
      <c r="Z764" s="39">
        <f t="shared" si="59"/>
        <v>1</v>
      </c>
    </row>
    <row r="765" spans="1:26" x14ac:dyDescent="0.25">
      <c r="A765" s="37" t="str">
        <f>Equipos!C763</f>
        <v>2-119707</v>
      </c>
      <c r="B765" s="33" t="str">
        <f>Equipos!D763</f>
        <v>Monitor Multiparámetros</v>
      </c>
      <c r="C765" s="33" t="str">
        <f>Equipos!E763</f>
        <v>Urgencia infantil</v>
      </c>
      <c r="D765" s="33">
        <f>Equipos!G763</f>
        <v>0</v>
      </c>
      <c r="E765" s="33" t="str">
        <f>Equipos!I763</f>
        <v xml:space="preserve">Nihon Kohden </v>
      </c>
      <c r="F765" s="33" t="str">
        <f>Equipos!J763</f>
        <v>PVM-2703</v>
      </c>
      <c r="G765" s="37" t="str">
        <f>Equipos!K763</f>
        <v>0117960.</v>
      </c>
      <c r="H765" s="33"/>
      <c r="I765" s="38"/>
      <c r="J765" s="38"/>
      <c r="K765" s="50" t="s">
        <v>275</v>
      </c>
      <c r="L765" s="38"/>
      <c r="M765" s="38"/>
      <c r="N765" s="38"/>
      <c r="O765" s="38"/>
      <c r="P765" s="38"/>
      <c r="Q765" s="38"/>
      <c r="R765" s="38"/>
      <c r="S765" s="38"/>
      <c r="T765" s="38"/>
      <c r="U765" s="33">
        <f t="shared" si="55"/>
        <v>1</v>
      </c>
      <c r="V765" s="33">
        <f t="shared" si="56"/>
        <v>1</v>
      </c>
      <c r="W765" s="33">
        <f t="shared" si="57"/>
        <v>0</v>
      </c>
      <c r="X765" s="33">
        <f t="shared" si="58"/>
        <v>0</v>
      </c>
      <c r="Y765" s="33">
        <f ca="1">SUMPRODUCT((I765:INDEX(I765:T765,MONTH(TODAY()))="X")*1)</f>
        <v>0</v>
      </c>
      <c r="Z765" s="39">
        <f t="shared" si="59"/>
        <v>1</v>
      </c>
    </row>
    <row r="766" spans="1:26" x14ac:dyDescent="0.25">
      <c r="A766" s="37" t="str">
        <f>Equipos!C764</f>
        <v>2-119708</v>
      </c>
      <c r="B766" s="33" t="str">
        <f>Equipos!D764</f>
        <v>Monitor Multiparámetros</v>
      </c>
      <c r="C766" s="33" t="str">
        <f>Equipos!E764</f>
        <v>Urgencia infantil</v>
      </c>
      <c r="D766" s="33">
        <f>Equipos!G764</f>
        <v>0</v>
      </c>
      <c r="E766" s="33" t="str">
        <f>Equipos!I764</f>
        <v xml:space="preserve">Nihon Kohden </v>
      </c>
      <c r="F766" s="33" t="str">
        <f>Equipos!J764</f>
        <v>PVM-2703</v>
      </c>
      <c r="G766" s="37" t="str">
        <f>Equipos!K764</f>
        <v>0117934.</v>
      </c>
      <c r="H766" s="33"/>
      <c r="I766" s="38"/>
      <c r="J766" s="38"/>
      <c r="K766" s="50" t="s">
        <v>275</v>
      </c>
      <c r="L766" s="38"/>
      <c r="M766" s="38"/>
      <c r="N766" s="38"/>
      <c r="O766" s="38"/>
      <c r="P766" s="38"/>
      <c r="Q766" s="38"/>
      <c r="R766" s="38"/>
      <c r="S766" s="38"/>
      <c r="T766" s="38"/>
      <c r="U766" s="33">
        <f t="shared" si="55"/>
        <v>1</v>
      </c>
      <c r="V766" s="33">
        <f t="shared" si="56"/>
        <v>1</v>
      </c>
      <c r="W766" s="33">
        <f t="shared" si="57"/>
        <v>0</v>
      </c>
      <c r="X766" s="33">
        <f t="shared" si="58"/>
        <v>0</v>
      </c>
      <c r="Y766" s="33">
        <f ca="1">SUMPRODUCT((I766:INDEX(I766:T766,MONTH(TODAY()))="X")*1)</f>
        <v>0</v>
      </c>
      <c r="Z766" s="39">
        <f t="shared" si="59"/>
        <v>1</v>
      </c>
    </row>
    <row r="767" spans="1:26" x14ac:dyDescent="0.25">
      <c r="A767" s="37" t="str">
        <f>Equipos!C765</f>
        <v>2-119709</v>
      </c>
      <c r="B767" s="33" t="str">
        <f>Equipos!D765</f>
        <v>Monitor Multiparámetros</v>
      </c>
      <c r="C767" s="33" t="str">
        <f>Equipos!E765</f>
        <v>Urgencia Adulto</v>
      </c>
      <c r="D767" s="33" t="str">
        <f>Equipos!G765</f>
        <v>Box A-2</v>
      </c>
      <c r="E767" s="33" t="str">
        <f>Equipos!I765</f>
        <v xml:space="preserve">Nihon Kohden </v>
      </c>
      <c r="F767" s="33" t="str">
        <f>Equipos!J765</f>
        <v>PVM-2703</v>
      </c>
      <c r="G767" s="37" t="str">
        <f>Equipos!K765</f>
        <v>0117925.</v>
      </c>
      <c r="H767" s="33"/>
      <c r="I767" s="38"/>
      <c r="J767" s="38"/>
      <c r="K767" s="50" t="s">
        <v>275</v>
      </c>
      <c r="L767" s="38"/>
      <c r="M767" s="38"/>
      <c r="N767" s="38"/>
      <c r="O767" s="38"/>
      <c r="P767" s="38"/>
      <c r="Q767" s="38"/>
      <c r="R767" s="38"/>
      <c r="S767" s="38"/>
      <c r="T767" s="38"/>
      <c r="U767" s="33">
        <f t="shared" si="55"/>
        <v>1</v>
      </c>
      <c r="V767" s="33">
        <f t="shared" si="56"/>
        <v>1</v>
      </c>
      <c r="W767" s="33">
        <f t="shared" si="57"/>
        <v>0</v>
      </c>
      <c r="X767" s="33">
        <f t="shared" si="58"/>
        <v>0</v>
      </c>
      <c r="Y767" s="33">
        <f ca="1">SUMPRODUCT((I767:INDEX(I767:T767,MONTH(TODAY()))="X")*1)</f>
        <v>0</v>
      </c>
      <c r="Z767" s="39">
        <f t="shared" si="59"/>
        <v>1</v>
      </c>
    </row>
    <row r="768" spans="1:26" x14ac:dyDescent="0.25">
      <c r="A768" s="37" t="str">
        <f>Equipos!C766</f>
        <v>2-119710</v>
      </c>
      <c r="B768" s="33" t="str">
        <f>Equipos!D766</f>
        <v>Monitor Multiparámetros</v>
      </c>
      <c r="C768" s="33" t="str">
        <f>Equipos!E766</f>
        <v>Urgencia infantil</v>
      </c>
      <c r="D768" s="33" t="str">
        <f>Equipos!G766</f>
        <v>Bodega equipos SUI</v>
      </c>
      <c r="E768" s="33" t="str">
        <f>Equipos!I766</f>
        <v xml:space="preserve">Nihon Kohden </v>
      </c>
      <c r="F768" s="33" t="str">
        <f>Equipos!J766</f>
        <v>PVM-2703</v>
      </c>
      <c r="G768" s="37" t="str">
        <f>Equipos!K766</f>
        <v>0117936.</v>
      </c>
      <c r="H768" s="33"/>
      <c r="I768" s="38"/>
      <c r="J768" s="38"/>
      <c r="K768" s="50" t="s">
        <v>275</v>
      </c>
      <c r="L768" s="38"/>
      <c r="M768" s="38"/>
      <c r="N768" s="38"/>
      <c r="O768" s="38"/>
      <c r="P768" s="38"/>
      <c r="Q768" s="38"/>
      <c r="R768" s="38"/>
      <c r="S768" s="38"/>
      <c r="T768" s="38"/>
      <c r="U768" s="33">
        <f t="shared" si="55"/>
        <v>1</v>
      </c>
      <c r="V768" s="33">
        <f t="shared" si="56"/>
        <v>1</v>
      </c>
      <c r="W768" s="33">
        <f t="shared" si="57"/>
        <v>0</v>
      </c>
      <c r="X768" s="33">
        <f t="shared" si="58"/>
        <v>0</v>
      </c>
      <c r="Y768" s="33">
        <f ca="1">SUMPRODUCT((I768:INDEX(I768:T768,MONTH(TODAY()))="X")*1)</f>
        <v>0</v>
      </c>
      <c r="Z768" s="39">
        <f t="shared" si="59"/>
        <v>1</v>
      </c>
    </row>
    <row r="769" spans="1:26" x14ac:dyDescent="0.25">
      <c r="A769" s="37" t="str">
        <f>Equipos!C767</f>
        <v>2-119711</v>
      </c>
      <c r="B769" s="33" t="str">
        <f>Equipos!D767</f>
        <v>Monitor Multiparámetros</v>
      </c>
      <c r="C769" s="33" t="str">
        <f>Equipos!E767</f>
        <v>Urgencia Adulto</v>
      </c>
      <c r="D769" s="33" t="str">
        <f>Equipos!G767</f>
        <v>Priorización</v>
      </c>
      <c r="E769" s="33" t="str">
        <f>Equipos!I767</f>
        <v xml:space="preserve">Nihon Kohden </v>
      </c>
      <c r="F769" s="33" t="str">
        <f>Equipos!J767</f>
        <v>PVM-2703</v>
      </c>
      <c r="G769" s="37" t="str">
        <f>Equipos!K767</f>
        <v>117954</v>
      </c>
      <c r="H769" s="33"/>
      <c r="I769" s="38"/>
      <c r="J769" s="38"/>
      <c r="K769" s="50" t="s">
        <v>275</v>
      </c>
      <c r="L769" s="38"/>
      <c r="M769" s="38"/>
      <c r="N769" s="38"/>
      <c r="O769" s="38"/>
      <c r="P769" s="38"/>
      <c r="Q769" s="38"/>
      <c r="R769" s="38"/>
      <c r="S769" s="38"/>
      <c r="T769" s="38"/>
      <c r="U769" s="33">
        <f t="shared" si="55"/>
        <v>1</v>
      </c>
      <c r="V769" s="33">
        <f t="shared" si="56"/>
        <v>1</v>
      </c>
      <c r="W769" s="33">
        <f t="shared" si="57"/>
        <v>0</v>
      </c>
      <c r="X769" s="33">
        <f t="shared" si="58"/>
        <v>0</v>
      </c>
      <c r="Y769" s="33">
        <f ca="1">SUMPRODUCT((I769:INDEX(I769:T769,MONTH(TODAY()))="X")*1)</f>
        <v>0</v>
      </c>
      <c r="Z769" s="39">
        <f t="shared" si="59"/>
        <v>1</v>
      </c>
    </row>
    <row r="770" spans="1:26" x14ac:dyDescent="0.25">
      <c r="A770" s="37" t="str">
        <f>Equipos!C768</f>
        <v>2-119713</v>
      </c>
      <c r="B770" s="33" t="str">
        <f>Equipos!D768</f>
        <v>Monitor Multiparámetros</v>
      </c>
      <c r="C770" s="33" t="str">
        <f>Equipos!E768</f>
        <v>Servicio Social</v>
      </c>
      <c r="D770" s="33" t="str">
        <f>Equipos!G768</f>
        <v>Reanimación box 3</v>
      </c>
      <c r="E770" s="33" t="str">
        <f>Equipos!I768</f>
        <v>MATIMED</v>
      </c>
      <c r="F770" s="33" t="str">
        <f>Equipos!J768</f>
        <v>MN-580</v>
      </c>
      <c r="G770" s="37" t="str">
        <f>Equipos!K768</f>
        <v>1810190910101</v>
      </c>
      <c r="H770" s="33"/>
      <c r="I770" s="38"/>
      <c r="J770" s="38"/>
      <c r="K770" s="38"/>
      <c r="L770" s="50" t="s">
        <v>275</v>
      </c>
      <c r="M770" s="38"/>
      <c r="N770" s="38"/>
      <c r="O770" s="38"/>
      <c r="P770" s="38"/>
      <c r="Q770" s="38"/>
      <c r="R770" s="38"/>
      <c r="S770" s="38"/>
      <c r="T770" s="38"/>
      <c r="U770" s="33">
        <f t="shared" si="55"/>
        <v>1</v>
      </c>
      <c r="V770" s="33">
        <f t="shared" si="56"/>
        <v>1</v>
      </c>
      <c r="W770" s="33">
        <f t="shared" si="57"/>
        <v>0</v>
      </c>
      <c r="X770" s="33">
        <f t="shared" si="58"/>
        <v>0</v>
      </c>
      <c r="Y770" s="33">
        <f ca="1">SUMPRODUCT((I770:INDEX(I770:T770,MONTH(TODAY()))="X")*1)</f>
        <v>0</v>
      </c>
      <c r="Z770" s="39">
        <f t="shared" si="59"/>
        <v>1</v>
      </c>
    </row>
    <row r="771" spans="1:26" x14ac:dyDescent="0.25">
      <c r="A771" s="37" t="str">
        <f>Equipos!C769</f>
        <v>2-119741</v>
      </c>
      <c r="B771" s="33" t="str">
        <f>Equipos!D769</f>
        <v>Monitor Multiparámetros</v>
      </c>
      <c r="C771" s="33" t="str">
        <f>Equipos!E769</f>
        <v>UPC 3er Piso</v>
      </c>
      <c r="D771" s="33" t="str">
        <f>Equipos!G769</f>
        <v>UCI 1</v>
      </c>
      <c r="E771" s="33" t="str">
        <f>Equipos!I769</f>
        <v>Drager</v>
      </c>
      <c r="F771" s="33" t="str">
        <f>Equipos!J769</f>
        <v>Infinity Kappa</v>
      </c>
      <c r="G771" s="37" t="str">
        <f>Equipos!K769</f>
        <v>5495679556</v>
      </c>
      <c r="H771" s="33"/>
      <c r="I771" s="38"/>
      <c r="J771" s="38"/>
      <c r="K771" s="38"/>
      <c r="L771" s="38"/>
      <c r="M771" s="50" t="s">
        <v>275</v>
      </c>
      <c r="N771" s="38"/>
      <c r="O771" s="38"/>
      <c r="P771" s="38"/>
      <c r="Q771" s="38"/>
      <c r="R771" s="38"/>
      <c r="S771" s="38"/>
      <c r="T771" s="38"/>
      <c r="U771" s="33">
        <f t="shared" si="55"/>
        <v>1</v>
      </c>
      <c r="V771" s="33">
        <f t="shared" si="56"/>
        <v>1</v>
      </c>
      <c r="W771" s="33">
        <f t="shared" si="57"/>
        <v>0</v>
      </c>
      <c r="X771" s="33">
        <f t="shared" si="58"/>
        <v>0</v>
      </c>
      <c r="Y771" s="33">
        <f ca="1">SUMPRODUCT((I771:INDEX(I771:T771,MONTH(TODAY()))="X")*1)</f>
        <v>0</v>
      </c>
      <c r="Z771" s="39">
        <f t="shared" si="59"/>
        <v>1</v>
      </c>
    </row>
    <row r="772" spans="1:26" x14ac:dyDescent="0.25">
      <c r="A772" s="37" t="str">
        <f>Equipos!C770</f>
        <v>2-119742</v>
      </c>
      <c r="B772" s="33" t="str">
        <f>Equipos!D770</f>
        <v>Monitor Multiparámetros</v>
      </c>
      <c r="C772" s="33" t="str">
        <f>Equipos!E770</f>
        <v>UPC 3er Piso</v>
      </c>
      <c r="D772" s="33" t="str">
        <f>Equipos!G770</f>
        <v>UCI 2</v>
      </c>
      <c r="E772" s="33" t="str">
        <f>Equipos!I770</f>
        <v>Drager</v>
      </c>
      <c r="F772" s="33" t="str">
        <f>Equipos!J770</f>
        <v>Infinity Kappa</v>
      </c>
      <c r="G772" s="37" t="str">
        <f>Equipos!K770</f>
        <v>5495714162</v>
      </c>
      <c r="H772" s="33"/>
      <c r="I772" s="38"/>
      <c r="J772" s="38"/>
      <c r="K772" s="38"/>
      <c r="L772" s="38"/>
      <c r="M772" s="50" t="s">
        <v>275</v>
      </c>
      <c r="N772" s="38"/>
      <c r="O772" s="38"/>
      <c r="P772" s="38"/>
      <c r="Q772" s="38"/>
      <c r="R772" s="38"/>
      <c r="S772" s="38"/>
      <c r="T772" s="38"/>
      <c r="U772" s="33">
        <f t="shared" ref="U772:U835" si="60">V772+W772+X772+COUNTIF(I772:T772,"R")</f>
        <v>1</v>
      </c>
      <c r="V772" s="33">
        <f t="shared" ref="V772:V835" si="61">COUNTIF(I772:T772,"E")</f>
        <v>1</v>
      </c>
      <c r="W772" s="33">
        <f t="shared" ref="W772:W835" si="62">COUNTIF(I772:T772,"X")</f>
        <v>0</v>
      </c>
      <c r="X772" s="33">
        <f t="shared" ref="X772:X835" si="63">COUNTIF(I772:T772,"C2")+COUNTIF(I772:T772,"C3")</f>
        <v>0</v>
      </c>
      <c r="Y772" s="33">
        <f ca="1">SUMPRODUCT((I772:INDEX(I772:T772,MONTH(TODAY()))="X")*1)</f>
        <v>0</v>
      </c>
      <c r="Z772" s="39">
        <f t="shared" ref="Z772:Z835" si="64">IFERROR(V772/U772,"")</f>
        <v>1</v>
      </c>
    </row>
    <row r="773" spans="1:26" x14ac:dyDescent="0.25">
      <c r="A773" s="37" t="str">
        <f>Equipos!C771</f>
        <v>2-119743</v>
      </c>
      <c r="B773" s="33" t="str">
        <f>Equipos!D771</f>
        <v>Monitor Multiparámetros</v>
      </c>
      <c r="C773" s="33" t="str">
        <f>Equipos!E771</f>
        <v>UPC 3er Piso</v>
      </c>
      <c r="D773" s="33" t="str">
        <f>Equipos!G771</f>
        <v>UCI 3</v>
      </c>
      <c r="E773" s="33" t="str">
        <f>Equipos!I771</f>
        <v>Drager</v>
      </c>
      <c r="F773" s="33" t="str">
        <f>Equipos!J771</f>
        <v>Infinity Kappa</v>
      </c>
      <c r="G773" s="37" t="str">
        <f>Equipos!K771</f>
        <v>5495709257</v>
      </c>
      <c r="H773" s="33"/>
      <c r="I773" s="38"/>
      <c r="J773" s="38"/>
      <c r="K773" s="38"/>
      <c r="L773" s="38"/>
      <c r="M773" s="50" t="s">
        <v>275</v>
      </c>
      <c r="N773" s="38"/>
      <c r="O773" s="38"/>
      <c r="P773" s="38"/>
      <c r="Q773" s="38"/>
      <c r="R773" s="38"/>
      <c r="S773" s="38"/>
      <c r="T773" s="38"/>
      <c r="U773" s="33">
        <f t="shared" si="60"/>
        <v>1</v>
      </c>
      <c r="V773" s="33">
        <f t="shared" si="61"/>
        <v>1</v>
      </c>
      <c r="W773" s="33">
        <f t="shared" si="62"/>
        <v>0</v>
      </c>
      <c r="X773" s="33">
        <f t="shared" si="63"/>
        <v>0</v>
      </c>
      <c r="Y773" s="33">
        <f ca="1">SUMPRODUCT((I773:INDEX(I773:T773,MONTH(TODAY()))="X")*1)</f>
        <v>0</v>
      </c>
      <c r="Z773" s="39">
        <f t="shared" si="64"/>
        <v>1</v>
      </c>
    </row>
    <row r="774" spans="1:26" x14ac:dyDescent="0.25">
      <c r="A774" s="37" t="str">
        <f>Equipos!C772</f>
        <v>2-119744</v>
      </c>
      <c r="B774" s="33" t="str">
        <f>Equipos!D772</f>
        <v>Monitor Multiparámetros</v>
      </c>
      <c r="C774" s="33" t="str">
        <f>Equipos!E772</f>
        <v>UPC 3er Piso</v>
      </c>
      <c r="D774" s="33" t="str">
        <f>Equipos!G772</f>
        <v>UCI 5</v>
      </c>
      <c r="E774" s="33" t="str">
        <f>Equipos!I772</f>
        <v>Drager</v>
      </c>
      <c r="F774" s="33" t="str">
        <f>Equipos!J772</f>
        <v>Infinity Kappa</v>
      </c>
      <c r="G774" s="37" t="str">
        <f>Equipos!K772</f>
        <v>5495706162</v>
      </c>
      <c r="H774" s="33"/>
      <c r="I774" s="38"/>
      <c r="J774" s="38"/>
      <c r="K774" s="38"/>
      <c r="L774" s="38"/>
      <c r="M774" s="50" t="s">
        <v>275</v>
      </c>
      <c r="N774" s="38"/>
      <c r="O774" s="38"/>
      <c r="P774" s="38"/>
      <c r="Q774" s="38"/>
      <c r="R774" s="38"/>
      <c r="S774" s="38"/>
      <c r="T774" s="38"/>
      <c r="U774" s="33">
        <f t="shared" si="60"/>
        <v>1</v>
      </c>
      <c r="V774" s="33">
        <f t="shared" si="61"/>
        <v>1</v>
      </c>
      <c r="W774" s="33">
        <f t="shared" si="62"/>
        <v>0</v>
      </c>
      <c r="X774" s="33">
        <f t="shared" si="63"/>
        <v>0</v>
      </c>
      <c r="Y774" s="33">
        <f ca="1">SUMPRODUCT((I774:INDEX(I774:T774,MONTH(TODAY()))="X")*1)</f>
        <v>0</v>
      </c>
      <c r="Z774" s="39">
        <f t="shared" si="64"/>
        <v>1</v>
      </c>
    </row>
    <row r="775" spans="1:26" x14ac:dyDescent="0.25">
      <c r="A775" s="37" t="str">
        <f>Equipos!C773</f>
        <v>2-119745</v>
      </c>
      <c r="B775" s="33" t="str">
        <f>Equipos!D773</f>
        <v>Monitor Multiparámetros</v>
      </c>
      <c r="C775" s="33" t="str">
        <f>Equipos!E773</f>
        <v>UPC 3er Piso</v>
      </c>
      <c r="D775" s="33" t="str">
        <f>Equipos!G773</f>
        <v xml:space="preserve">UCI 7 </v>
      </c>
      <c r="E775" s="33" t="str">
        <f>Equipos!I773</f>
        <v>Drager</v>
      </c>
      <c r="F775" s="33" t="str">
        <f>Equipos!J773</f>
        <v>Infinity Kappa</v>
      </c>
      <c r="G775" s="37" t="str">
        <f>Equipos!K773</f>
        <v>5495686254</v>
      </c>
      <c r="H775" s="33"/>
      <c r="I775" s="38"/>
      <c r="J775" s="38"/>
      <c r="K775" s="38"/>
      <c r="L775" s="38"/>
      <c r="M775" s="50" t="s">
        <v>275</v>
      </c>
      <c r="N775" s="38"/>
      <c r="O775" s="38"/>
      <c r="P775" s="38"/>
      <c r="Q775" s="38"/>
      <c r="R775" s="38"/>
      <c r="S775" s="38"/>
      <c r="T775" s="38"/>
      <c r="U775" s="33">
        <f t="shared" si="60"/>
        <v>1</v>
      </c>
      <c r="V775" s="33">
        <f t="shared" si="61"/>
        <v>1</v>
      </c>
      <c r="W775" s="33">
        <f t="shared" si="62"/>
        <v>0</v>
      </c>
      <c r="X775" s="33">
        <f t="shared" si="63"/>
        <v>0</v>
      </c>
      <c r="Y775" s="33">
        <f ca="1">SUMPRODUCT((I775:INDEX(I775:T775,MONTH(TODAY()))="X")*1)</f>
        <v>0</v>
      </c>
      <c r="Z775" s="39">
        <f t="shared" si="64"/>
        <v>1</v>
      </c>
    </row>
    <row r="776" spans="1:26" x14ac:dyDescent="0.25">
      <c r="A776" s="37" t="str">
        <f>Equipos!C774</f>
        <v>2-120244</v>
      </c>
      <c r="B776" s="33" t="str">
        <f>Equipos!D774</f>
        <v>Monitor Multiparámetros</v>
      </c>
      <c r="C776" s="33" t="str">
        <f>Equipos!E774</f>
        <v>UPC 3er Piso</v>
      </c>
      <c r="D776" s="33" t="str">
        <f>Equipos!G774</f>
        <v>UTI 9</v>
      </c>
      <c r="E776" s="33" t="str">
        <f>Equipos!I774</f>
        <v>SPACELABS HEALTHCARE</v>
      </c>
      <c r="F776" s="33" t="str">
        <f>Equipos!J774</f>
        <v>XPREZZON</v>
      </c>
      <c r="G776" s="37" t="str">
        <f>Equipos!K774</f>
        <v>1393-113289</v>
      </c>
      <c r="H776" s="33"/>
      <c r="I776" s="38"/>
      <c r="J776" s="38"/>
      <c r="K776" s="38"/>
      <c r="L776" s="38"/>
      <c r="M776" s="50" t="s">
        <v>275</v>
      </c>
      <c r="N776" s="38"/>
      <c r="O776" s="38"/>
      <c r="P776" s="38"/>
      <c r="Q776" s="38"/>
      <c r="R776" s="38"/>
      <c r="S776" s="38"/>
      <c r="T776" s="38"/>
      <c r="U776" s="33">
        <f t="shared" si="60"/>
        <v>1</v>
      </c>
      <c r="V776" s="33">
        <f t="shared" si="61"/>
        <v>1</v>
      </c>
      <c r="W776" s="33">
        <f t="shared" si="62"/>
        <v>0</v>
      </c>
      <c r="X776" s="33">
        <f t="shared" si="63"/>
        <v>0</v>
      </c>
      <c r="Y776" s="33">
        <f ca="1">SUMPRODUCT((I776:INDEX(I776:T776,MONTH(TODAY()))="X")*1)</f>
        <v>0</v>
      </c>
      <c r="Z776" s="39">
        <f t="shared" si="64"/>
        <v>1</v>
      </c>
    </row>
    <row r="777" spans="1:26" x14ac:dyDescent="0.25">
      <c r="A777" s="37" t="str">
        <f>Equipos!C775</f>
        <v>2-120245</v>
      </c>
      <c r="B777" s="33" t="str">
        <f>Equipos!D775</f>
        <v>Monitor Multiparámetros</v>
      </c>
      <c r="C777" s="33" t="str">
        <f>Equipos!E775</f>
        <v>UPC 3er Piso</v>
      </c>
      <c r="D777" s="33" t="str">
        <f>Equipos!G775</f>
        <v>UTI 5</v>
      </c>
      <c r="E777" s="33" t="str">
        <f>Equipos!I775</f>
        <v>SPACELABS HEALTHCARE</v>
      </c>
      <c r="F777" s="33" t="str">
        <f>Equipos!J775</f>
        <v>XPREZZON</v>
      </c>
      <c r="G777" s="37" t="str">
        <f>Equipos!K775</f>
        <v>1393-113283</v>
      </c>
      <c r="H777" s="33"/>
      <c r="I777" s="38"/>
      <c r="J777" s="38"/>
      <c r="K777" s="38"/>
      <c r="L777" s="38"/>
      <c r="M777" s="50" t="s">
        <v>275</v>
      </c>
      <c r="N777" s="38"/>
      <c r="O777" s="38"/>
      <c r="P777" s="38"/>
      <c r="Q777" s="38"/>
      <c r="R777" s="38"/>
      <c r="S777" s="38"/>
      <c r="T777" s="38"/>
      <c r="U777" s="33">
        <f t="shared" si="60"/>
        <v>1</v>
      </c>
      <c r="V777" s="33">
        <f t="shared" si="61"/>
        <v>1</v>
      </c>
      <c r="W777" s="33">
        <f t="shared" si="62"/>
        <v>0</v>
      </c>
      <c r="X777" s="33">
        <f t="shared" si="63"/>
        <v>0</v>
      </c>
      <c r="Y777" s="33">
        <f ca="1">SUMPRODUCT((I777:INDEX(I777:T777,MONTH(TODAY()))="X")*1)</f>
        <v>0</v>
      </c>
      <c r="Z777" s="39">
        <f t="shared" si="64"/>
        <v>1</v>
      </c>
    </row>
    <row r="778" spans="1:26" x14ac:dyDescent="0.25">
      <c r="A778" s="37" t="str">
        <f>Equipos!C776</f>
        <v>2-120246</v>
      </c>
      <c r="B778" s="33" t="str">
        <f>Equipos!D776</f>
        <v>Monitor Multiparámetros</v>
      </c>
      <c r="C778" s="33" t="str">
        <f>Equipos!E776</f>
        <v>UPC 3er Piso</v>
      </c>
      <c r="D778" s="33" t="str">
        <f>Equipos!G776</f>
        <v>UTI 8</v>
      </c>
      <c r="E778" s="33" t="str">
        <f>Equipos!I776</f>
        <v>SPACELABS HEALTHCARE</v>
      </c>
      <c r="F778" s="33" t="str">
        <f>Equipos!J776</f>
        <v>XPREZZON</v>
      </c>
      <c r="G778" s="37" t="str">
        <f>Equipos!K776</f>
        <v>1393-113290</v>
      </c>
      <c r="H778" s="33"/>
      <c r="I778" s="38"/>
      <c r="J778" s="38"/>
      <c r="K778" s="38"/>
      <c r="L778" s="38"/>
      <c r="M778" s="50" t="s">
        <v>275</v>
      </c>
      <c r="N778" s="38"/>
      <c r="O778" s="38"/>
      <c r="P778" s="38"/>
      <c r="Q778" s="38"/>
      <c r="R778" s="38"/>
      <c r="S778" s="38"/>
      <c r="T778" s="38"/>
      <c r="U778" s="33">
        <f t="shared" si="60"/>
        <v>1</v>
      </c>
      <c r="V778" s="33">
        <f t="shared" si="61"/>
        <v>1</v>
      </c>
      <c r="W778" s="33">
        <f t="shared" si="62"/>
        <v>0</v>
      </c>
      <c r="X778" s="33">
        <f t="shared" si="63"/>
        <v>0</v>
      </c>
      <c r="Y778" s="33">
        <f ca="1">SUMPRODUCT((I778:INDEX(I778:T778,MONTH(TODAY()))="X")*1)</f>
        <v>0</v>
      </c>
      <c r="Z778" s="39">
        <f t="shared" si="64"/>
        <v>1</v>
      </c>
    </row>
    <row r="779" spans="1:26" x14ac:dyDescent="0.25">
      <c r="A779" s="37" t="str">
        <f>Equipos!C777</f>
        <v>2-120247</v>
      </c>
      <c r="B779" s="33" t="str">
        <f>Equipos!D777</f>
        <v>Monitor Multiparámetros</v>
      </c>
      <c r="C779" s="33" t="str">
        <f>Equipos!E777</f>
        <v>UPC 3er Piso</v>
      </c>
      <c r="D779" s="33" t="str">
        <f>Equipos!G777</f>
        <v>UTI 10</v>
      </c>
      <c r="E779" s="33" t="str">
        <f>Equipos!I777</f>
        <v>SPACELABS HEALTHCARE</v>
      </c>
      <c r="F779" s="33" t="str">
        <f>Equipos!J777</f>
        <v>XPREZZON</v>
      </c>
      <c r="G779" s="37" t="str">
        <f>Equipos!K777</f>
        <v>1393-113276</v>
      </c>
      <c r="H779" s="33"/>
      <c r="I779" s="38"/>
      <c r="J779" s="38"/>
      <c r="K779" s="38"/>
      <c r="L779" s="38"/>
      <c r="M779" s="50" t="s">
        <v>275</v>
      </c>
      <c r="N779" s="38"/>
      <c r="O779" s="38"/>
      <c r="P779" s="38"/>
      <c r="Q779" s="38"/>
      <c r="R779" s="38"/>
      <c r="S779" s="38"/>
      <c r="T779" s="38"/>
      <c r="U779" s="33">
        <f t="shared" si="60"/>
        <v>1</v>
      </c>
      <c r="V779" s="33">
        <f t="shared" si="61"/>
        <v>1</v>
      </c>
      <c r="W779" s="33">
        <f t="shared" si="62"/>
        <v>0</v>
      </c>
      <c r="X779" s="33">
        <f t="shared" si="63"/>
        <v>0</v>
      </c>
      <c r="Y779" s="33">
        <f ca="1">SUMPRODUCT((I779:INDEX(I779:T779,MONTH(TODAY()))="X")*1)</f>
        <v>0</v>
      </c>
      <c r="Z779" s="39">
        <f t="shared" si="64"/>
        <v>1</v>
      </c>
    </row>
    <row r="780" spans="1:26" x14ac:dyDescent="0.25">
      <c r="A780" s="37" t="str">
        <f>Equipos!C778</f>
        <v>2-120248</v>
      </c>
      <c r="B780" s="33" t="str">
        <f>Equipos!D778</f>
        <v>Monitor Multiparámetros</v>
      </c>
      <c r="C780" s="33" t="str">
        <f>Equipos!E778</f>
        <v>UPC 3er Piso</v>
      </c>
      <c r="D780" s="33" t="str">
        <f>Equipos!G778</f>
        <v>UTI 7</v>
      </c>
      <c r="E780" s="33" t="str">
        <f>Equipos!I778</f>
        <v>SPACELABS HEALTHCARE</v>
      </c>
      <c r="F780" s="33" t="str">
        <f>Equipos!J778</f>
        <v>XPREZZON</v>
      </c>
      <c r="G780" s="37" t="str">
        <f>Equipos!K778</f>
        <v>1393-113292</v>
      </c>
      <c r="H780" s="33"/>
      <c r="I780" s="38"/>
      <c r="J780" s="38"/>
      <c r="K780" s="38"/>
      <c r="L780" s="38"/>
      <c r="M780" s="50" t="s">
        <v>275</v>
      </c>
      <c r="N780" s="38"/>
      <c r="O780" s="38"/>
      <c r="P780" s="38"/>
      <c r="Q780" s="38"/>
      <c r="R780" s="38"/>
      <c r="S780" s="38"/>
      <c r="T780" s="38"/>
      <c r="U780" s="33">
        <f t="shared" si="60"/>
        <v>1</v>
      </c>
      <c r="V780" s="33">
        <f t="shared" si="61"/>
        <v>1</v>
      </c>
      <c r="W780" s="33">
        <f t="shared" si="62"/>
        <v>0</v>
      </c>
      <c r="X780" s="33">
        <f t="shared" si="63"/>
        <v>0</v>
      </c>
      <c r="Y780" s="33">
        <f ca="1">SUMPRODUCT((I780:INDEX(I780:T780,MONTH(TODAY()))="X")*1)</f>
        <v>0</v>
      </c>
      <c r="Z780" s="39">
        <f t="shared" si="64"/>
        <v>1</v>
      </c>
    </row>
    <row r="781" spans="1:26" x14ac:dyDescent="0.25">
      <c r="A781" s="37" t="str">
        <f>Equipos!C779</f>
        <v>2-120249</v>
      </c>
      <c r="B781" s="33" t="str">
        <f>Equipos!D779</f>
        <v>Monitor Multiparámetros</v>
      </c>
      <c r="C781" s="33" t="str">
        <f>Equipos!E779</f>
        <v>UPC 3er Piso</v>
      </c>
      <c r="D781" s="33" t="str">
        <f>Equipos!G779</f>
        <v>UTI 6</v>
      </c>
      <c r="E781" s="33" t="str">
        <f>Equipos!I779</f>
        <v>SPACELABS HEALTHCARE</v>
      </c>
      <c r="F781" s="33" t="str">
        <f>Equipos!J779</f>
        <v>XPREZZON</v>
      </c>
      <c r="G781" s="37" t="str">
        <f>Equipos!K779</f>
        <v>1393-113279</v>
      </c>
      <c r="H781" s="33"/>
      <c r="I781" s="38"/>
      <c r="J781" s="38"/>
      <c r="K781" s="38"/>
      <c r="L781" s="38"/>
      <c r="M781" s="50" t="s">
        <v>275</v>
      </c>
      <c r="N781" s="38"/>
      <c r="O781" s="38"/>
      <c r="P781" s="38"/>
      <c r="Q781" s="38"/>
      <c r="R781" s="38"/>
      <c r="S781" s="38"/>
      <c r="T781" s="38"/>
      <c r="U781" s="33">
        <f t="shared" si="60"/>
        <v>1</v>
      </c>
      <c r="V781" s="33">
        <f t="shared" si="61"/>
        <v>1</v>
      </c>
      <c r="W781" s="33">
        <f t="shared" si="62"/>
        <v>0</v>
      </c>
      <c r="X781" s="33">
        <f t="shared" si="63"/>
        <v>0</v>
      </c>
      <c r="Y781" s="33">
        <f ca="1">SUMPRODUCT((I781:INDEX(I781:T781,MONTH(TODAY()))="X")*1)</f>
        <v>0</v>
      </c>
      <c r="Z781" s="39">
        <f t="shared" si="64"/>
        <v>1</v>
      </c>
    </row>
    <row r="782" spans="1:26" x14ac:dyDescent="0.25">
      <c r="A782" s="37" t="str">
        <f>Equipos!C780</f>
        <v>2-124829</v>
      </c>
      <c r="B782" s="33" t="str">
        <f>Equipos!D780</f>
        <v>Monitor Multiparámetros</v>
      </c>
      <c r="C782" s="33" t="str">
        <f>Equipos!E780</f>
        <v>Imagenología</v>
      </c>
      <c r="D782" s="33">
        <f>Equipos!G780</f>
        <v>0</v>
      </c>
      <c r="E782" s="33" t="str">
        <f>Equipos!I780</f>
        <v>SCHILLER</v>
      </c>
      <c r="F782" s="33" t="str">
        <f>Equipos!J780</f>
        <v>MAGELIFE Serenity</v>
      </c>
      <c r="G782" s="37" t="str">
        <f>Equipos!K780</f>
        <v>94999001058</v>
      </c>
      <c r="H782" s="33"/>
      <c r="I782" s="38"/>
      <c r="J782" s="50" t="s">
        <v>277</v>
      </c>
      <c r="K782" s="50" t="s">
        <v>275</v>
      </c>
      <c r="L782" s="38"/>
      <c r="M782" s="38"/>
      <c r="N782" s="38"/>
      <c r="O782" s="38"/>
      <c r="P782" s="38"/>
      <c r="Q782" s="38"/>
      <c r="R782" s="38"/>
      <c r="S782" s="38"/>
      <c r="T782" s="38"/>
      <c r="U782" s="33">
        <f t="shared" si="60"/>
        <v>2</v>
      </c>
      <c r="V782" s="33">
        <f t="shared" si="61"/>
        <v>1</v>
      </c>
      <c r="W782" s="33">
        <f t="shared" si="62"/>
        <v>0</v>
      </c>
      <c r="X782" s="33">
        <f t="shared" si="63"/>
        <v>1</v>
      </c>
      <c r="Y782" s="33">
        <f ca="1">SUMPRODUCT((I782:INDEX(I782:T782,MONTH(TODAY()))="X")*1)</f>
        <v>0</v>
      </c>
      <c r="Z782" s="39">
        <f t="shared" si="64"/>
        <v>0.5</v>
      </c>
    </row>
    <row r="783" spans="1:26" x14ac:dyDescent="0.25">
      <c r="A783" s="37" t="str">
        <f>Equipos!C781</f>
        <v>2-120428</v>
      </c>
      <c r="B783" s="33" t="str">
        <f>Equipos!D781</f>
        <v>Monitor Multiparámetros</v>
      </c>
      <c r="C783" s="33" t="str">
        <f>Equipos!E781</f>
        <v>Urgencia Adulto</v>
      </c>
      <c r="D783" s="33" t="str">
        <f>Equipos!G781</f>
        <v>Reanimación box 3</v>
      </c>
      <c r="E783" s="33" t="str">
        <f>Equipos!I781</f>
        <v>Mindray</v>
      </c>
      <c r="F783" s="33" t="str">
        <f>Equipos!J781</f>
        <v>BeneVision N17</v>
      </c>
      <c r="G783" s="37" t="str">
        <f>Equipos!K781</f>
        <v>F2-04008218</v>
      </c>
      <c r="H783" s="33"/>
      <c r="I783" s="38"/>
      <c r="J783" s="38"/>
      <c r="K783" s="50" t="s">
        <v>275</v>
      </c>
      <c r="L783" s="38"/>
      <c r="M783" s="38"/>
      <c r="N783" s="38"/>
      <c r="O783" s="38"/>
      <c r="P783" s="38"/>
      <c r="Q783" s="38"/>
      <c r="R783" s="38"/>
      <c r="S783" s="38"/>
      <c r="T783" s="38"/>
      <c r="U783" s="33">
        <f t="shared" si="60"/>
        <v>1</v>
      </c>
      <c r="V783" s="33">
        <f t="shared" si="61"/>
        <v>1</v>
      </c>
      <c r="W783" s="33">
        <f t="shared" si="62"/>
        <v>0</v>
      </c>
      <c r="X783" s="33">
        <f t="shared" si="63"/>
        <v>0</v>
      </c>
      <c r="Y783" s="33">
        <f ca="1">SUMPRODUCT((I783:INDEX(I783:T783,MONTH(TODAY()))="X")*1)</f>
        <v>0</v>
      </c>
      <c r="Z783" s="39">
        <f t="shared" si="64"/>
        <v>1</v>
      </c>
    </row>
    <row r="784" spans="1:26" x14ac:dyDescent="0.25">
      <c r="A784" s="37" t="str">
        <f>Equipos!C782</f>
        <v>2-120427</v>
      </c>
      <c r="B784" s="33" t="str">
        <f>Equipos!D782</f>
        <v>Monitor Multiparámetros</v>
      </c>
      <c r="C784" s="33" t="str">
        <f>Equipos!E782</f>
        <v>Urgencia Adulto</v>
      </c>
      <c r="D784" s="33" t="str">
        <f>Equipos!G782</f>
        <v>Box A-1</v>
      </c>
      <c r="E784" s="33" t="str">
        <f>Equipos!I782</f>
        <v>Mindray</v>
      </c>
      <c r="F784" s="33" t="str">
        <f>Equipos!J782</f>
        <v>BeneVision N17</v>
      </c>
      <c r="G784" s="37" t="str">
        <f>Equipos!K782</f>
        <v>F2-04008204</v>
      </c>
      <c r="H784" s="33"/>
      <c r="I784" s="38"/>
      <c r="J784" s="38"/>
      <c r="K784" s="50" t="s">
        <v>276</v>
      </c>
      <c r="L784" s="50" t="s">
        <v>275</v>
      </c>
      <c r="M784" s="38"/>
      <c r="N784" s="38"/>
      <c r="O784" s="38"/>
      <c r="P784" s="38"/>
      <c r="Q784" s="38"/>
      <c r="R784" s="38"/>
      <c r="S784" s="38"/>
      <c r="T784" s="38"/>
      <c r="U784" s="33">
        <f t="shared" si="60"/>
        <v>2</v>
      </c>
      <c r="V784" s="33">
        <f t="shared" si="61"/>
        <v>1</v>
      </c>
      <c r="W784" s="33">
        <f t="shared" si="62"/>
        <v>0</v>
      </c>
      <c r="X784" s="33">
        <f t="shared" si="63"/>
        <v>0</v>
      </c>
      <c r="Y784" s="33">
        <f ca="1">SUMPRODUCT((I784:INDEX(I784:T784,MONTH(TODAY()))="X")*1)</f>
        <v>0</v>
      </c>
      <c r="Z784" s="39">
        <f t="shared" si="64"/>
        <v>0.5</v>
      </c>
    </row>
    <row r="785" spans="1:26" x14ac:dyDescent="0.25">
      <c r="A785" s="37" t="str">
        <f>Equipos!C783</f>
        <v>2-120429</v>
      </c>
      <c r="B785" s="33" t="str">
        <f>Equipos!D783</f>
        <v>Monitor Multiparámetros</v>
      </c>
      <c r="C785" s="33" t="str">
        <f>Equipos!E783</f>
        <v>Urgencia Adulto</v>
      </c>
      <c r="D785" s="33" t="str">
        <f>Equipos!G783</f>
        <v>Reanimación box 2</v>
      </c>
      <c r="E785" s="33" t="str">
        <f>Equipos!I783</f>
        <v>Mindray</v>
      </c>
      <c r="F785" s="33" t="str">
        <f>Equipos!J783</f>
        <v>BeneVision N17</v>
      </c>
      <c r="G785" s="37" t="str">
        <f>Equipos!K783</f>
        <v>F2-04008289</v>
      </c>
      <c r="H785" s="33"/>
      <c r="I785" s="38"/>
      <c r="J785" s="38"/>
      <c r="K785" s="50" t="s">
        <v>275</v>
      </c>
      <c r="L785" s="38"/>
      <c r="M785" s="38"/>
      <c r="N785" s="38"/>
      <c r="O785" s="38"/>
      <c r="P785" s="38"/>
      <c r="Q785" s="38"/>
      <c r="R785" s="38"/>
      <c r="S785" s="38"/>
      <c r="T785" s="38"/>
      <c r="U785" s="33">
        <f t="shared" si="60"/>
        <v>1</v>
      </c>
      <c r="V785" s="33">
        <f t="shared" si="61"/>
        <v>1</v>
      </c>
      <c r="W785" s="33">
        <f t="shared" si="62"/>
        <v>0</v>
      </c>
      <c r="X785" s="33">
        <f t="shared" si="63"/>
        <v>0</v>
      </c>
      <c r="Y785" s="33">
        <f ca="1">SUMPRODUCT((I785:INDEX(I785:T785,MONTH(TODAY()))="X")*1)</f>
        <v>0</v>
      </c>
      <c r="Z785" s="39">
        <f t="shared" si="64"/>
        <v>1</v>
      </c>
    </row>
    <row r="786" spans="1:26" x14ac:dyDescent="0.25">
      <c r="A786" s="37" t="str">
        <f>Equipos!C784</f>
        <v>2-120430</v>
      </c>
      <c r="B786" s="33" t="str">
        <f>Equipos!D784</f>
        <v>Monitor Multiparámetros</v>
      </c>
      <c r="C786" s="33" t="str">
        <f>Equipos!E784</f>
        <v>Urgencia Adulto</v>
      </c>
      <c r="D786" s="33" t="str">
        <f>Equipos!G784</f>
        <v xml:space="preserve">Reanimación box 1 </v>
      </c>
      <c r="E786" s="33" t="str">
        <f>Equipos!I784</f>
        <v>Mindray</v>
      </c>
      <c r="F786" s="33" t="str">
        <f>Equipos!J784</f>
        <v>BeneVision N17</v>
      </c>
      <c r="G786" s="37" t="str">
        <f>Equipos!K784</f>
        <v>F2-04008141</v>
      </c>
      <c r="H786" s="33"/>
      <c r="I786" s="38"/>
      <c r="J786" s="38"/>
      <c r="K786" s="50" t="s">
        <v>275</v>
      </c>
      <c r="L786" s="38"/>
      <c r="M786" s="38"/>
      <c r="N786" s="38"/>
      <c r="O786" s="38"/>
      <c r="P786" s="38"/>
      <c r="Q786" s="38"/>
      <c r="R786" s="38"/>
      <c r="S786" s="38"/>
      <c r="T786" s="38"/>
      <c r="U786" s="33">
        <f t="shared" si="60"/>
        <v>1</v>
      </c>
      <c r="V786" s="33">
        <f t="shared" si="61"/>
        <v>1</v>
      </c>
      <c r="W786" s="33">
        <f t="shared" si="62"/>
        <v>0</v>
      </c>
      <c r="X786" s="33">
        <f t="shared" si="63"/>
        <v>0</v>
      </c>
      <c r="Y786" s="33">
        <f ca="1">SUMPRODUCT((I786:INDEX(I786:T786,MONTH(TODAY()))="X")*1)</f>
        <v>0</v>
      </c>
      <c r="Z786" s="39">
        <f t="shared" si="64"/>
        <v>1</v>
      </c>
    </row>
    <row r="787" spans="1:26" x14ac:dyDescent="0.25">
      <c r="A787" s="37" t="str">
        <f>Equipos!C785</f>
        <v>2-120574</v>
      </c>
      <c r="B787" s="33" t="str">
        <f>Equipos!D785</f>
        <v>Monitor Multiparámetros</v>
      </c>
      <c r="C787" s="33" t="str">
        <f>Equipos!E785</f>
        <v>UPC 3er Piso</v>
      </c>
      <c r="D787" s="33" t="str">
        <f>Equipos!G785</f>
        <v>UTI 2</v>
      </c>
      <c r="E787" s="33" t="str">
        <f>Equipos!I785</f>
        <v>SPACELABS HEALTHCARE</v>
      </c>
      <c r="F787" s="33" t="str">
        <f>Equipos!J785</f>
        <v>XPREZZON</v>
      </c>
      <c r="G787" s="37" t="str">
        <f>Equipos!K785</f>
        <v>1393-114595</v>
      </c>
      <c r="H787" s="33"/>
      <c r="I787" s="38"/>
      <c r="J787" s="38"/>
      <c r="K787" s="38"/>
      <c r="L787" s="38"/>
      <c r="M787" s="50" t="s">
        <v>275</v>
      </c>
      <c r="N787" s="38"/>
      <c r="O787" s="38"/>
      <c r="P787" s="38"/>
      <c r="Q787" s="38"/>
      <c r="R787" s="38"/>
      <c r="S787" s="38"/>
      <c r="T787" s="38"/>
      <c r="U787" s="33">
        <f t="shared" si="60"/>
        <v>1</v>
      </c>
      <c r="V787" s="33">
        <f t="shared" si="61"/>
        <v>1</v>
      </c>
      <c r="W787" s="33">
        <f t="shared" si="62"/>
        <v>0</v>
      </c>
      <c r="X787" s="33">
        <f t="shared" si="63"/>
        <v>0</v>
      </c>
      <c r="Y787" s="33">
        <f ca="1">SUMPRODUCT((I787:INDEX(I787:T787,MONTH(TODAY()))="X")*1)</f>
        <v>0</v>
      </c>
      <c r="Z787" s="39">
        <f t="shared" si="64"/>
        <v>1</v>
      </c>
    </row>
    <row r="788" spans="1:26" x14ac:dyDescent="0.25">
      <c r="A788" s="37" t="str">
        <f>Equipos!C786</f>
        <v>2-120575</v>
      </c>
      <c r="B788" s="33" t="str">
        <f>Equipos!D786</f>
        <v>Monitor Multiparámetros</v>
      </c>
      <c r="C788" s="33" t="str">
        <f>Equipos!E786</f>
        <v>UPC 3er Piso</v>
      </c>
      <c r="D788" s="33" t="str">
        <f>Equipos!G786</f>
        <v>Sala medico</v>
      </c>
      <c r="E788" s="33" t="str">
        <f>Equipos!I786</f>
        <v>SPACELABS HEALTHCARE</v>
      </c>
      <c r="F788" s="33" t="str">
        <f>Equipos!J786</f>
        <v>XPREZZON</v>
      </c>
      <c r="G788" s="37" t="str">
        <f>Equipos!K786</f>
        <v>1393-114598</v>
      </c>
      <c r="H788" s="33"/>
      <c r="I788" s="38"/>
      <c r="J788" s="38"/>
      <c r="K788" s="38"/>
      <c r="L788" s="38"/>
      <c r="M788" s="50" t="s">
        <v>275</v>
      </c>
      <c r="N788" s="38"/>
      <c r="O788" s="38"/>
      <c r="P788" s="38"/>
      <c r="Q788" s="38"/>
      <c r="R788" s="38"/>
      <c r="S788" s="38"/>
      <c r="T788" s="38"/>
      <c r="U788" s="33">
        <f t="shared" si="60"/>
        <v>1</v>
      </c>
      <c r="V788" s="33">
        <f t="shared" si="61"/>
        <v>1</v>
      </c>
      <c r="W788" s="33">
        <f t="shared" si="62"/>
        <v>0</v>
      </c>
      <c r="X788" s="33">
        <f t="shared" si="63"/>
        <v>0</v>
      </c>
      <c r="Y788" s="33">
        <f ca="1">SUMPRODUCT((I788:INDEX(I788:T788,MONTH(TODAY()))="X")*1)</f>
        <v>0</v>
      </c>
      <c r="Z788" s="39">
        <f t="shared" si="64"/>
        <v>1</v>
      </c>
    </row>
    <row r="789" spans="1:26" x14ac:dyDescent="0.25">
      <c r="A789" s="37" t="str">
        <f>Equipos!C787</f>
        <v>2-120576</v>
      </c>
      <c r="B789" s="33" t="str">
        <f>Equipos!D787</f>
        <v>Monitor Multiparámetros</v>
      </c>
      <c r="C789" s="33" t="str">
        <f>Equipos!E787</f>
        <v>UPC 3er Piso</v>
      </c>
      <c r="D789" s="33" t="str">
        <f>Equipos!G787</f>
        <v>Sala medico</v>
      </c>
      <c r="E789" s="33" t="str">
        <f>Equipos!I787</f>
        <v>SPACELABS HEALTHCARE</v>
      </c>
      <c r="F789" s="33" t="str">
        <f>Equipos!J787</f>
        <v>XPREZZON</v>
      </c>
      <c r="G789" s="37" t="str">
        <f>Equipos!K787</f>
        <v>1393-114593</v>
      </c>
      <c r="H789" s="33"/>
      <c r="I789" s="38"/>
      <c r="J789" s="38"/>
      <c r="K789" s="38"/>
      <c r="L789" s="38"/>
      <c r="M789" s="50" t="s">
        <v>275</v>
      </c>
      <c r="N789" s="38"/>
      <c r="O789" s="38"/>
      <c r="P789" s="38"/>
      <c r="Q789" s="38"/>
      <c r="R789" s="38"/>
      <c r="S789" s="38"/>
      <c r="T789" s="38"/>
      <c r="U789" s="33">
        <f t="shared" si="60"/>
        <v>1</v>
      </c>
      <c r="V789" s="33">
        <f t="shared" si="61"/>
        <v>1</v>
      </c>
      <c r="W789" s="33">
        <f t="shared" si="62"/>
        <v>0</v>
      </c>
      <c r="X789" s="33">
        <f t="shared" si="63"/>
        <v>0</v>
      </c>
      <c r="Y789" s="33">
        <f ca="1">SUMPRODUCT((I789:INDEX(I789:T789,MONTH(TODAY()))="X")*1)</f>
        <v>0</v>
      </c>
      <c r="Z789" s="39">
        <f t="shared" si="64"/>
        <v>1</v>
      </c>
    </row>
    <row r="790" spans="1:26" x14ac:dyDescent="0.25">
      <c r="A790" s="37" t="str">
        <f>Equipos!C788</f>
        <v>2-120572</v>
      </c>
      <c r="B790" s="33" t="str">
        <f>Equipos!D788</f>
        <v>Monitor Multiparámetros</v>
      </c>
      <c r="C790" s="33" t="str">
        <f>Equipos!E788</f>
        <v>UPC 3er Piso</v>
      </c>
      <c r="D790" s="33" t="str">
        <f>Equipos!G788</f>
        <v>UTI 4</v>
      </c>
      <c r="E790" s="33" t="str">
        <f>Equipos!I788</f>
        <v>SPACELABS HEALTHCARE</v>
      </c>
      <c r="F790" s="33" t="str">
        <f>Equipos!J788</f>
        <v>XPREZZON</v>
      </c>
      <c r="G790" s="37" t="str">
        <f>Equipos!K788</f>
        <v>1393-114597</v>
      </c>
      <c r="H790" s="33"/>
      <c r="I790" s="38"/>
      <c r="J790" s="38"/>
      <c r="K790" s="38"/>
      <c r="L790" s="38"/>
      <c r="M790" s="50" t="s">
        <v>275</v>
      </c>
      <c r="N790" s="38"/>
      <c r="O790" s="38"/>
      <c r="P790" s="38"/>
      <c r="Q790" s="38"/>
      <c r="R790" s="38"/>
      <c r="S790" s="38"/>
      <c r="T790" s="38"/>
      <c r="U790" s="33">
        <f t="shared" si="60"/>
        <v>1</v>
      </c>
      <c r="V790" s="33">
        <f t="shared" si="61"/>
        <v>1</v>
      </c>
      <c r="W790" s="33">
        <f t="shared" si="62"/>
        <v>0</v>
      </c>
      <c r="X790" s="33">
        <f t="shared" si="63"/>
        <v>0</v>
      </c>
      <c r="Y790" s="33">
        <f ca="1">SUMPRODUCT((I790:INDEX(I790:T790,MONTH(TODAY()))="X")*1)</f>
        <v>0</v>
      </c>
      <c r="Z790" s="39">
        <f t="shared" si="64"/>
        <v>1</v>
      </c>
    </row>
    <row r="791" spans="1:26" x14ac:dyDescent="0.25">
      <c r="A791" s="37" t="str">
        <f>Equipos!C789</f>
        <v>2-120573</v>
      </c>
      <c r="B791" s="33" t="str">
        <f>Equipos!D789</f>
        <v>Monitor Multiparámetros</v>
      </c>
      <c r="C791" s="33" t="str">
        <f>Equipos!E789</f>
        <v>UPC 3er Piso</v>
      </c>
      <c r="D791" s="33" t="str">
        <f>Equipos!G789</f>
        <v>UTI 3</v>
      </c>
      <c r="E791" s="33" t="str">
        <f>Equipos!I789</f>
        <v>SPACELABS HEALTHCARE</v>
      </c>
      <c r="F791" s="33" t="str">
        <f>Equipos!J789</f>
        <v>XPREZZON</v>
      </c>
      <c r="G791" s="37" t="str">
        <f>Equipos!K789</f>
        <v>1393-114596</v>
      </c>
      <c r="H791" s="33"/>
      <c r="I791" s="38"/>
      <c r="J791" s="38"/>
      <c r="K791" s="38"/>
      <c r="L791" s="38"/>
      <c r="M791" s="50" t="s">
        <v>275</v>
      </c>
      <c r="N791" s="38"/>
      <c r="O791" s="38"/>
      <c r="P791" s="38"/>
      <c r="Q791" s="38"/>
      <c r="R791" s="38"/>
      <c r="S791" s="38"/>
      <c r="T791" s="38"/>
      <c r="U791" s="33">
        <f t="shared" si="60"/>
        <v>1</v>
      </c>
      <c r="V791" s="33">
        <f t="shared" si="61"/>
        <v>1</v>
      </c>
      <c r="W791" s="33">
        <f t="shared" si="62"/>
        <v>0</v>
      </c>
      <c r="X791" s="33">
        <f t="shared" si="63"/>
        <v>0</v>
      </c>
      <c r="Y791" s="33">
        <f ca="1">SUMPRODUCT((I791:INDEX(I791:T791,MONTH(TODAY()))="X")*1)</f>
        <v>0</v>
      </c>
      <c r="Z791" s="39">
        <f t="shared" si="64"/>
        <v>1</v>
      </c>
    </row>
    <row r="792" spans="1:26" x14ac:dyDescent="0.25">
      <c r="A792" s="37" t="str">
        <f>Equipos!C790</f>
        <v>2-120776</v>
      </c>
      <c r="B792" s="33" t="str">
        <f>Equipos!D790</f>
        <v>Monitor Multiparámetros</v>
      </c>
      <c r="C792" s="33" t="str">
        <f>Equipos!E790</f>
        <v>UPC 3er Piso</v>
      </c>
      <c r="D792" s="33" t="str">
        <f>Equipos!G790</f>
        <v>Bodega</v>
      </c>
      <c r="E792" s="33" t="str">
        <f>Equipos!I790</f>
        <v>Mindray</v>
      </c>
      <c r="F792" s="33" t="str">
        <f>Equipos!J790</f>
        <v>UMEC12</v>
      </c>
      <c r="G792" s="37" t="str">
        <f>Equipos!K790</f>
        <v>KQ-04036895</v>
      </c>
      <c r="H792" s="33"/>
      <c r="I792" s="38"/>
      <c r="J792" s="38"/>
      <c r="K792" s="38"/>
      <c r="L792" s="38"/>
      <c r="M792" s="50" t="s">
        <v>275</v>
      </c>
      <c r="N792" s="38"/>
      <c r="O792" s="38"/>
      <c r="P792" s="38"/>
      <c r="Q792" s="38"/>
      <c r="R792" s="38"/>
      <c r="S792" s="38"/>
      <c r="T792" s="38"/>
      <c r="U792" s="33">
        <f t="shared" si="60"/>
        <v>1</v>
      </c>
      <c r="V792" s="33">
        <f t="shared" si="61"/>
        <v>1</v>
      </c>
      <c r="W792" s="33">
        <f t="shared" si="62"/>
        <v>0</v>
      </c>
      <c r="X792" s="33">
        <f t="shared" si="63"/>
        <v>0</v>
      </c>
      <c r="Y792" s="33">
        <f ca="1">SUMPRODUCT((I792:INDEX(I792:T792,MONTH(TODAY()))="X")*1)</f>
        <v>0</v>
      </c>
      <c r="Z792" s="39">
        <f t="shared" si="64"/>
        <v>1</v>
      </c>
    </row>
    <row r="793" spans="1:26" x14ac:dyDescent="0.25">
      <c r="A793" s="37" t="str">
        <f>Equipos!C791</f>
        <v>2-120804</v>
      </c>
      <c r="B793" s="33" t="str">
        <f>Equipos!D791</f>
        <v>Monitor Multiparámetros</v>
      </c>
      <c r="C793" s="33" t="str">
        <f>Equipos!E791</f>
        <v>Pabellón CMA</v>
      </c>
      <c r="D793" s="33">
        <f>Equipos!G791</f>
        <v>0</v>
      </c>
      <c r="E793" s="33" t="str">
        <f>Equipos!I791</f>
        <v>General Electric</v>
      </c>
      <c r="F793" s="33" t="str">
        <f>Equipos!J791</f>
        <v>B125</v>
      </c>
      <c r="G793" s="37" t="str">
        <f>Equipos!K791</f>
        <v>SQF20247942WA</v>
      </c>
      <c r="H793" s="33"/>
      <c r="I793" s="38"/>
      <c r="J793" s="38"/>
      <c r="K793" s="38"/>
      <c r="L793" s="38"/>
      <c r="M793" s="50" t="s">
        <v>275</v>
      </c>
      <c r="N793" s="38"/>
      <c r="O793" s="38"/>
      <c r="P793" s="38"/>
      <c r="Q793" s="38"/>
      <c r="R793" s="38"/>
      <c r="S793" s="38"/>
      <c r="T793" s="38"/>
      <c r="U793" s="33">
        <f t="shared" si="60"/>
        <v>1</v>
      </c>
      <c r="V793" s="33">
        <f t="shared" si="61"/>
        <v>1</v>
      </c>
      <c r="W793" s="33">
        <f t="shared" si="62"/>
        <v>0</v>
      </c>
      <c r="X793" s="33">
        <f t="shared" si="63"/>
        <v>0</v>
      </c>
      <c r="Y793" s="33">
        <f ca="1">SUMPRODUCT((I793:INDEX(I793:T793,MONTH(TODAY()))="X")*1)</f>
        <v>0</v>
      </c>
      <c r="Z793" s="39">
        <f t="shared" si="64"/>
        <v>1</v>
      </c>
    </row>
    <row r="794" spans="1:26" x14ac:dyDescent="0.25">
      <c r="A794" s="37" t="str">
        <f>Equipos!C792</f>
        <v>2-120805</v>
      </c>
      <c r="B794" s="33" t="str">
        <f>Equipos!D792</f>
        <v>Monitor Multiparámetros</v>
      </c>
      <c r="C794" s="33" t="str">
        <f>Equipos!E792</f>
        <v>Pabellón CMA</v>
      </c>
      <c r="D794" s="33">
        <f>Equipos!G792</f>
        <v>0</v>
      </c>
      <c r="E794" s="33" t="str">
        <f>Equipos!I792</f>
        <v>General Electric</v>
      </c>
      <c r="F794" s="33" t="str">
        <f>Equipos!J792</f>
        <v>B125</v>
      </c>
      <c r="G794" s="37" t="str">
        <f>Equipos!K792</f>
        <v>SQF20247940WA</v>
      </c>
      <c r="H794" s="33"/>
      <c r="I794" s="38"/>
      <c r="J794" s="38"/>
      <c r="K794" s="38"/>
      <c r="L794" s="38"/>
      <c r="M794" s="50" t="s">
        <v>275</v>
      </c>
      <c r="N794" s="38"/>
      <c r="O794" s="38"/>
      <c r="P794" s="38"/>
      <c r="Q794" s="38"/>
      <c r="R794" s="38"/>
      <c r="S794" s="38"/>
      <c r="T794" s="38"/>
      <c r="U794" s="33">
        <f t="shared" si="60"/>
        <v>1</v>
      </c>
      <c r="V794" s="33">
        <f t="shared" si="61"/>
        <v>1</v>
      </c>
      <c r="W794" s="33">
        <f t="shared" si="62"/>
        <v>0</v>
      </c>
      <c r="X794" s="33">
        <f t="shared" si="63"/>
        <v>0</v>
      </c>
      <c r="Y794" s="33">
        <f ca="1">SUMPRODUCT((I794:INDEX(I794:T794,MONTH(TODAY()))="X")*1)</f>
        <v>0</v>
      </c>
      <c r="Z794" s="39">
        <f t="shared" si="64"/>
        <v>1</v>
      </c>
    </row>
    <row r="795" spans="1:26" x14ac:dyDescent="0.25">
      <c r="A795" s="37" t="str">
        <f>Equipos!C793</f>
        <v>2-120827</v>
      </c>
      <c r="B795" s="33" t="str">
        <f>Equipos!D793</f>
        <v>Monitor Multiparámetros</v>
      </c>
      <c r="C795" s="33" t="str">
        <f>Equipos!E793</f>
        <v>UPC 3er Piso</v>
      </c>
      <c r="D795" s="33" t="str">
        <f>Equipos!G793</f>
        <v>UCI 8</v>
      </c>
      <c r="E795" s="33" t="str">
        <f>Equipos!I793</f>
        <v>Drager</v>
      </c>
      <c r="F795" s="33" t="str">
        <f>Equipos!J793</f>
        <v>Infinity Kappa</v>
      </c>
      <c r="G795" s="37" t="str">
        <f>Equipos!K793</f>
        <v>5495845056</v>
      </c>
      <c r="H795" s="33"/>
      <c r="I795" s="38"/>
      <c r="J795" s="38"/>
      <c r="K795" s="38"/>
      <c r="L795" s="38"/>
      <c r="M795" s="50" t="s">
        <v>275</v>
      </c>
      <c r="N795" s="38"/>
      <c r="O795" s="38"/>
      <c r="P795" s="38"/>
      <c r="Q795" s="38"/>
      <c r="R795" s="38"/>
      <c r="S795" s="38"/>
      <c r="T795" s="38"/>
      <c r="U795" s="33">
        <f t="shared" si="60"/>
        <v>1</v>
      </c>
      <c r="V795" s="33">
        <f t="shared" si="61"/>
        <v>1</v>
      </c>
      <c r="W795" s="33">
        <f t="shared" si="62"/>
        <v>0</v>
      </c>
      <c r="X795" s="33">
        <f t="shared" si="63"/>
        <v>0</v>
      </c>
      <c r="Y795" s="33">
        <f ca="1">SUMPRODUCT((I795:INDEX(I795:T795,MONTH(TODAY()))="X")*1)</f>
        <v>0</v>
      </c>
      <c r="Z795" s="39">
        <f t="shared" si="64"/>
        <v>1</v>
      </c>
    </row>
    <row r="796" spans="1:26" x14ac:dyDescent="0.25">
      <c r="A796" s="37" t="str">
        <f>Equipos!C794</f>
        <v>2-120925</v>
      </c>
      <c r="B796" s="33" t="str">
        <f>Equipos!D794</f>
        <v>Monitor Multiparámetros</v>
      </c>
      <c r="C796" s="33" t="str">
        <f>Equipos!E794</f>
        <v>Urgencia Adulto</v>
      </c>
      <c r="D796" s="33" t="str">
        <f>Equipos!G794</f>
        <v>Observación 4</v>
      </c>
      <c r="E796" s="33" t="str">
        <f>Equipos!I794</f>
        <v>Drager</v>
      </c>
      <c r="F796" s="33" t="str">
        <f>Equipos!J794</f>
        <v>Vista 120</v>
      </c>
      <c r="G796" s="37" t="str">
        <f>Equipos!K794</f>
        <v>VGSNE3867</v>
      </c>
      <c r="H796" s="33"/>
      <c r="I796" s="38"/>
      <c r="J796" s="38"/>
      <c r="K796" s="50" t="s">
        <v>275</v>
      </c>
      <c r="L796" s="38"/>
      <c r="M796" s="38"/>
      <c r="N796" s="38"/>
      <c r="O796" s="38"/>
      <c r="P796" s="38"/>
      <c r="Q796" s="38"/>
      <c r="R796" s="38"/>
      <c r="S796" s="38"/>
      <c r="T796" s="38"/>
      <c r="U796" s="33">
        <f t="shared" si="60"/>
        <v>1</v>
      </c>
      <c r="V796" s="33">
        <f t="shared" si="61"/>
        <v>1</v>
      </c>
      <c r="W796" s="33">
        <f t="shared" si="62"/>
        <v>0</v>
      </c>
      <c r="X796" s="33">
        <f t="shared" si="63"/>
        <v>0</v>
      </c>
      <c r="Y796" s="33">
        <f ca="1">SUMPRODUCT((I796:INDEX(I796:T796,MONTH(TODAY()))="X")*1)</f>
        <v>0</v>
      </c>
      <c r="Z796" s="39">
        <f t="shared" si="64"/>
        <v>1</v>
      </c>
    </row>
    <row r="797" spans="1:26" x14ac:dyDescent="0.25">
      <c r="A797" s="37" t="str">
        <f>Equipos!C795</f>
        <v>2-120924</v>
      </c>
      <c r="B797" s="33" t="str">
        <f>Equipos!D795</f>
        <v>Monitor Multiparámetros</v>
      </c>
      <c r="C797" s="33" t="str">
        <f>Equipos!E795</f>
        <v>Urgencia Adulto</v>
      </c>
      <c r="D797" s="33" t="str">
        <f>Equipos!G795</f>
        <v>Observación 6</v>
      </c>
      <c r="E797" s="33" t="str">
        <f>Equipos!I795</f>
        <v>Drager</v>
      </c>
      <c r="F797" s="33" t="str">
        <f>Equipos!J795</f>
        <v>Vista 120</v>
      </c>
      <c r="G797" s="37" t="str">
        <f>Equipos!K795</f>
        <v>VGSNE3877</v>
      </c>
      <c r="H797" s="33"/>
      <c r="I797" s="38"/>
      <c r="J797" s="38"/>
      <c r="K797" s="50" t="s">
        <v>278</v>
      </c>
      <c r="L797" s="38"/>
      <c r="M797" s="38"/>
      <c r="N797" s="38"/>
      <c r="O797" s="38"/>
      <c r="P797" s="38"/>
      <c r="Q797" s="38"/>
      <c r="R797" s="38"/>
      <c r="S797" s="38"/>
      <c r="T797" s="38"/>
      <c r="U797" s="33">
        <f t="shared" si="60"/>
        <v>1</v>
      </c>
      <c r="V797" s="33">
        <f t="shared" si="61"/>
        <v>0</v>
      </c>
      <c r="W797" s="33">
        <f t="shared" si="62"/>
        <v>0</v>
      </c>
      <c r="X797" s="33">
        <f t="shared" si="63"/>
        <v>1</v>
      </c>
      <c r="Y797" s="33">
        <f ca="1">SUMPRODUCT((I797:INDEX(I797:T797,MONTH(TODAY()))="X")*1)</f>
        <v>0</v>
      </c>
      <c r="Z797" s="39">
        <f t="shared" si="64"/>
        <v>0</v>
      </c>
    </row>
    <row r="798" spans="1:26" x14ac:dyDescent="0.25">
      <c r="A798" s="37" t="str">
        <f>Equipos!C796</f>
        <v>2-120923</v>
      </c>
      <c r="B798" s="33" t="str">
        <f>Equipos!D796</f>
        <v>Monitor Multiparámetros</v>
      </c>
      <c r="C798" s="33" t="str">
        <f>Equipos!E796</f>
        <v>Urgencia Adulto</v>
      </c>
      <c r="D798" s="33" t="str">
        <f>Equipos!G796</f>
        <v>Observación 5</v>
      </c>
      <c r="E798" s="33" t="str">
        <f>Equipos!I796</f>
        <v>Drager</v>
      </c>
      <c r="F798" s="33" t="str">
        <f>Equipos!J796</f>
        <v>Vista 120</v>
      </c>
      <c r="G798" s="37" t="str">
        <f>Equipos!K796</f>
        <v>VGSNE3864</v>
      </c>
      <c r="H798" s="33"/>
      <c r="I798" s="38"/>
      <c r="J798" s="38"/>
      <c r="K798" s="50" t="s">
        <v>275</v>
      </c>
      <c r="L798" s="38"/>
      <c r="M798" s="38"/>
      <c r="N798" s="38"/>
      <c r="O798" s="38"/>
      <c r="P798" s="38"/>
      <c r="Q798" s="38"/>
      <c r="R798" s="38"/>
      <c r="S798" s="38"/>
      <c r="T798" s="38"/>
      <c r="U798" s="33">
        <f t="shared" si="60"/>
        <v>1</v>
      </c>
      <c r="V798" s="33">
        <f t="shared" si="61"/>
        <v>1</v>
      </c>
      <c r="W798" s="33">
        <f t="shared" si="62"/>
        <v>0</v>
      </c>
      <c r="X798" s="33">
        <f t="shared" si="63"/>
        <v>0</v>
      </c>
      <c r="Y798" s="33">
        <f ca="1">SUMPRODUCT((I798:INDEX(I798:T798,MONTH(TODAY()))="X")*1)</f>
        <v>0</v>
      </c>
      <c r="Z798" s="39">
        <f t="shared" si="64"/>
        <v>1</v>
      </c>
    </row>
    <row r="799" spans="1:26" x14ac:dyDescent="0.25">
      <c r="A799" s="37" t="str">
        <f>Equipos!C797</f>
        <v>2-120922</v>
      </c>
      <c r="B799" s="33" t="str">
        <f>Equipos!D797</f>
        <v>Monitor Multiparámetros</v>
      </c>
      <c r="C799" s="33" t="str">
        <f>Equipos!E797</f>
        <v>Urgencia Adulto</v>
      </c>
      <c r="D799" s="33" t="str">
        <f>Equipos!G797</f>
        <v>Box 4 SAR</v>
      </c>
      <c r="E799" s="33" t="str">
        <f>Equipos!I797</f>
        <v>Drager</v>
      </c>
      <c r="F799" s="33" t="str">
        <f>Equipos!J797</f>
        <v>Vista 120</v>
      </c>
      <c r="G799" s="37" t="str">
        <f>Equipos!K797</f>
        <v>VGSNE3830</v>
      </c>
      <c r="H799" s="33"/>
      <c r="I799" s="38"/>
      <c r="J799" s="38"/>
      <c r="K799" s="50" t="s">
        <v>275</v>
      </c>
      <c r="L799" s="38"/>
      <c r="M799" s="38"/>
      <c r="N799" s="38"/>
      <c r="O799" s="38"/>
      <c r="P799" s="38"/>
      <c r="Q799" s="38"/>
      <c r="R799" s="38"/>
      <c r="S799" s="38"/>
      <c r="T799" s="38"/>
      <c r="U799" s="33">
        <f t="shared" si="60"/>
        <v>1</v>
      </c>
      <c r="V799" s="33">
        <f t="shared" si="61"/>
        <v>1</v>
      </c>
      <c r="W799" s="33">
        <f t="shared" si="62"/>
        <v>0</v>
      </c>
      <c r="X799" s="33">
        <f t="shared" si="63"/>
        <v>0</v>
      </c>
      <c r="Y799" s="33">
        <f ca="1">SUMPRODUCT((I799:INDEX(I799:T799,MONTH(TODAY()))="X")*1)</f>
        <v>0</v>
      </c>
      <c r="Z799" s="39">
        <f t="shared" si="64"/>
        <v>1</v>
      </c>
    </row>
    <row r="800" spans="1:26" x14ac:dyDescent="0.25">
      <c r="A800" s="37" t="str">
        <f>Equipos!C798</f>
        <v>2-120949</v>
      </c>
      <c r="B800" s="33" t="str">
        <f>Equipos!D798</f>
        <v>Monitor Multiparámetros</v>
      </c>
      <c r="C800" s="33" t="str">
        <f>Equipos!E798</f>
        <v>Ginecología</v>
      </c>
      <c r="D800" s="33">
        <f>Equipos!G798</f>
        <v>0</v>
      </c>
      <c r="E800" s="33" t="str">
        <f>Equipos!I798</f>
        <v>Mindray</v>
      </c>
      <c r="F800" s="33" t="str">
        <f>Equipos!J798</f>
        <v>UMEC12</v>
      </c>
      <c r="G800" s="37" t="str">
        <f>Equipos!K798</f>
        <v>KQ-04036808</v>
      </c>
      <c r="H800" s="33"/>
      <c r="I800" s="38"/>
      <c r="J800" s="38"/>
      <c r="K800" s="38"/>
      <c r="L800" s="38"/>
      <c r="M800" s="50" t="s">
        <v>275</v>
      </c>
      <c r="N800" s="38"/>
      <c r="O800" s="38"/>
      <c r="P800" s="38"/>
      <c r="Q800" s="38"/>
      <c r="R800" s="38"/>
      <c r="S800" s="38"/>
      <c r="T800" s="38"/>
      <c r="U800" s="33">
        <f t="shared" si="60"/>
        <v>1</v>
      </c>
      <c r="V800" s="33">
        <f t="shared" si="61"/>
        <v>1</v>
      </c>
      <c r="W800" s="33">
        <f t="shared" si="62"/>
        <v>0</v>
      </c>
      <c r="X800" s="33">
        <f t="shared" si="63"/>
        <v>0</v>
      </c>
      <c r="Y800" s="33">
        <f ca="1">SUMPRODUCT((I800:INDEX(I800:T800,MONTH(TODAY()))="X")*1)</f>
        <v>0</v>
      </c>
      <c r="Z800" s="39">
        <f t="shared" si="64"/>
        <v>1</v>
      </c>
    </row>
    <row r="801" spans="1:26" x14ac:dyDescent="0.25">
      <c r="A801" s="37" t="str">
        <f>Equipos!C799</f>
        <v>2-120996</v>
      </c>
      <c r="B801" s="33" t="str">
        <f>Equipos!D799</f>
        <v>Monitor Multiparámetros</v>
      </c>
      <c r="C801" s="33" t="str">
        <f>Equipos!E799</f>
        <v>Urgencia Adulto</v>
      </c>
      <c r="D801" s="33" t="str">
        <f>Equipos!G799</f>
        <v>Box B-5</v>
      </c>
      <c r="E801" s="33" t="str">
        <f>Equipos!I799</f>
        <v xml:space="preserve">Nihon Kohden </v>
      </c>
      <c r="F801" s="33" t="str">
        <f>Equipos!J799</f>
        <v>PVM-4763</v>
      </c>
      <c r="G801" s="37" t="str">
        <f>Equipos!K799</f>
        <v>3319</v>
      </c>
      <c r="H801" s="33"/>
      <c r="I801" s="38"/>
      <c r="J801" s="38"/>
      <c r="K801" s="50" t="s">
        <v>275</v>
      </c>
      <c r="L801" s="38"/>
      <c r="M801" s="38"/>
      <c r="N801" s="38"/>
      <c r="O801" s="38"/>
      <c r="P801" s="38"/>
      <c r="Q801" s="38"/>
      <c r="R801" s="38"/>
      <c r="S801" s="38"/>
      <c r="T801" s="38"/>
      <c r="U801" s="33">
        <f t="shared" si="60"/>
        <v>1</v>
      </c>
      <c r="V801" s="33">
        <f t="shared" si="61"/>
        <v>1</v>
      </c>
      <c r="W801" s="33">
        <f t="shared" si="62"/>
        <v>0</v>
      </c>
      <c r="X801" s="33">
        <f t="shared" si="63"/>
        <v>0</v>
      </c>
      <c r="Y801" s="33">
        <f ca="1">SUMPRODUCT((I801:INDEX(I801:T801,MONTH(TODAY()))="X")*1)</f>
        <v>0</v>
      </c>
      <c r="Z801" s="39">
        <f t="shared" si="64"/>
        <v>1</v>
      </c>
    </row>
    <row r="802" spans="1:26" x14ac:dyDescent="0.25">
      <c r="A802" s="37" t="str">
        <f>Equipos!C800</f>
        <v>2-120994</v>
      </c>
      <c r="B802" s="33" t="str">
        <f>Equipos!D800</f>
        <v>Monitor Multiparámetros</v>
      </c>
      <c r="C802" s="33" t="str">
        <f>Equipos!E800</f>
        <v>Urgencia Adulto</v>
      </c>
      <c r="D802" s="33" t="str">
        <f>Equipos!G800</f>
        <v>Cirug√≠a box 1</v>
      </c>
      <c r="E802" s="33" t="str">
        <f>Equipos!I800</f>
        <v xml:space="preserve">Nihon Kohden </v>
      </c>
      <c r="F802" s="33" t="str">
        <f>Equipos!J800</f>
        <v>PVM-4763</v>
      </c>
      <c r="G802" s="37" t="str">
        <f>Equipos!K800</f>
        <v>3326</v>
      </c>
      <c r="H802" s="33"/>
      <c r="I802" s="38"/>
      <c r="J802" s="38"/>
      <c r="K802" s="50" t="s">
        <v>275</v>
      </c>
      <c r="L802" s="38"/>
      <c r="M802" s="38"/>
      <c r="N802" s="38"/>
      <c r="O802" s="38"/>
      <c r="P802" s="38"/>
      <c r="Q802" s="38"/>
      <c r="R802" s="38"/>
      <c r="S802" s="38"/>
      <c r="T802" s="38"/>
      <c r="U802" s="33">
        <f t="shared" si="60"/>
        <v>1</v>
      </c>
      <c r="V802" s="33">
        <f t="shared" si="61"/>
        <v>1</v>
      </c>
      <c r="W802" s="33">
        <f t="shared" si="62"/>
        <v>0</v>
      </c>
      <c r="X802" s="33">
        <f t="shared" si="63"/>
        <v>0</v>
      </c>
      <c r="Y802" s="33">
        <f ca="1">SUMPRODUCT((I802:INDEX(I802:T802,MONTH(TODAY()))="X")*1)</f>
        <v>0</v>
      </c>
      <c r="Z802" s="39">
        <f t="shared" si="64"/>
        <v>1</v>
      </c>
    </row>
    <row r="803" spans="1:26" x14ac:dyDescent="0.25">
      <c r="A803" s="37" t="str">
        <f>Equipos!C801</f>
        <v>2-120995</v>
      </c>
      <c r="B803" s="33" t="str">
        <f>Equipos!D801</f>
        <v>Monitor Multiparámetros</v>
      </c>
      <c r="C803" s="33" t="str">
        <f>Equipos!E801</f>
        <v>Urgencia Adulto</v>
      </c>
      <c r="D803" s="33" t="str">
        <f>Equipos!G801</f>
        <v>TMT</v>
      </c>
      <c r="E803" s="33" t="str">
        <f>Equipos!I801</f>
        <v xml:space="preserve">Nihon Kohden </v>
      </c>
      <c r="F803" s="33" t="str">
        <f>Equipos!J801</f>
        <v>PVM-4763</v>
      </c>
      <c r="G803" s="37" t="str">
        <f>Equipos!K801</f>
        <v>3318</v>
      </c>
      <c r="H803" s="33"/>
      <c r="I803" s="38"/>
      <c r="J803" s="38"/>
      <c r="K803" s="50" t="s">
        <v>275</v>
      </c>
      <c r="L803" s="38"/>
      <c r="M803" s="38"/>
      <c r="N803" s="38"/>
      <c r="O803" s="38"/>
      <c r="P803" s="38"/>
      <c r="Q803" s="38"/>
      <c r="R803" s="38"/>
      <c r="S803" s="38"/>
      <c r="T803" s="38"/>
      <c r="U803" s="33">
        <f t="shared" si="60"/>
        <v>1</v>
      </c>
      <c r="V803" s="33">
        <f t="shared" si="61"/>
        <v>1</v>
      </c>
      <c r="W803" s="33">
        <f t="shared" si="62"/>
        <v>0</v>
      </c>
      <c r="X803" s="33">
        <f t="shared" si="63"/>
        <v>0</v>
      </c>
      <c r="Y803" s="33">
        <f ca="1">SUMPRODUCT((I803:INDEX(I803:T803,MONTH(TODAY()))="X")*1)</f>
        <v>0</v>
      </c>
      <c r="Z803" s="39">
        <f t="shared" si="64"/>
        <v>1</v>
      </c>
    </row>
    <row r="804" spans="1:26" x14ac:dyDescent="0.25">
      <c r="A804" s="37" t="str">
        <f>Equipos!C802</f>
        <v>2-121004</v>
      </c>
      <c r="B804" s="33" t="str">
        <f>Equipos!D802</f>
        <v>Monitor Multiparámetros</v>
      </c>
      <c r="C804" s="33" t="str">
        <f>Equipos!E802</f>
        <v>Servicio Social</v>
      </c>
      <c r="D804" s="33" t="str">
        <f>Equipos!G802</f>
        <v>Domicilio</v>
      </c>
      <c r="E804" s="33" t="str">
        <f>Equipos!I802</f>
        <v>Creative Medical</v>
      </c>
      <c r="F804" s="33" t="str">
        <f>Equipos!J802</f>
        <v>UP-7000</v>
      </c>
      <c r="G804" s="37" t="str">
        <f>Equipos!K802</f>
        <v>J3300QF04734</v>
      </c>
      <c r="H804" s="33"/>
      <c r="I804" s="38"/>
      <c r="J804" s="38"/>
      <c r="K804" s="38"/>
      <c r="L804" s="50" t="s">
        <v>275</v>
      </c>
      <c r="M804" s="38"/>
      <c r="N804" s="38"/>
      <c r="O804" s="38"/>
      <c r="P804" s="38"/>
      <c r="Q804" s="38"/>
      <c r="R804" s="38"/>
      <c r="S804" s="38"/>
      <c r="T804" s="38"/>
      <c r="U804" s="33">
        <f t="shared" si="60"/>
        <v>1</v>
      </c>
      <c r="V804" s="33">
        <f t="shared" si="61"/>
        <v>1</v>
      </c>
      <c r="W804" s="33">
        <f t="shared" si="62"/>
        <v>0</v>
      </c>
      <c r="X804" s="33">
        <f t="shared" si="63"/>
        <v>0</v>
      </c>
      <c r="Y804" s="33">
        <f ca="1">SUMPRODUCT((I804:INDEX(I804:T804,MONTH(TODAY()))="X")*1)</f>
        <v>0</v>
      </c>
      <c r="Z804" s="39">
        <f t="shared" si="64"/>
        <v>1</v>
      </c>
    </row>
    <row r="805" spans="1:26" x14ac:dyDescent="0.25">
      <c r="A805" s="37" t="str">
        <f>Equipos!C803</f>
        <v>2-121002</v>
      </c>
      <c r="B805" s="33" t="str">
        <f>Equipos!D803</f>
        <v>Monitor Multiparámetros</v>
      </c>
      <c r="C805" s="33" t="str">
        <f>Equipos!E803</f>
        <v>Servicio Social</v>
      </c>
      <c r="D805" s="33" t="str">
        <f>Equipos!G803</f>
        <v>Domicilio</v>
      </c>
      <c r="E805" s="33" t="str">
        <f>Equipos!I803</f>
        <v>Sinohero</v>
      </c>
      <c r="F805" s="33" t="str">
        <f>Equipos!J803</f>
        <v>H5</v>
      </c>
      <c r="G805" s="37" t="str">
        <f>Equipos!K803</f>
        <v>PSHH501479</v>
      </c>
      <c r="H805" s="33"/>
      <c r="I805" s="38"/>
      <c r="J805" s="38"/>
      <c r="K805" s="38"/>
      <c r="L805" s="50" t="s">
        <v>276</v>
      </c>
      <c r="M805" s="50" t="s">
        <v>275</v>
      </c>
      <c r="N805" s="38"/>
      <c r="O805" s="38"/>
      <c r="P805" s="38"/>
      <c r="Q805" s="38"/>
      <c r="R805" s="38"/>
      <c r="S805" s="38"/>
      <c r="T805" s="38"/>
      <c r="U805" s="33">
        <f t="shared" si="60"/>
        <v>2</v>
      </c>
      <c r="V805" s="33">
        <f t="shared" si="61"/>
        <v>1</v>
      </c>
      <c r="W805" s="33">
        <f t="shared" si="62"/>
        <v>0</v>
      </c>
      <c r="X805" s="33">
        <f t="shared" si="63"/>
        <v>0</v>
      </c>
      <c r="Y805" s="33">
        <f ca="1">SUMPRODUCT((I805:INDEX(I805:T805,MONTH(TODAY()))="X")*1)</f>
        <v>0</v>
      </c>
      <c r="Z805" s="39">
        <f t="shared" si="64"/>
        <v>0.5</v>
      </c>
    </row>
    <row r="806" spans="1:26" x14ac:dyDescent="0.25">
      <c r="A806" s="37" t="str">
        <f>Equipos!C804</f>
        <v>2-121003</v>
      </c>
      <c r="B806" s="33" t="str">
        <f>Equipos!D804</f>
        <v>Monitor Multiparámetros</v>
      </c>
      <c r="C806" s="33" t="str">
        <f>Equipos!E804</f>
        <v>Servicio Social</v>
      </c>
      <c r="D806" s="33" t="str">
        <f>Equipos!G804</f>
        <v>Oficina Supervisora</v>
      </c>
      <c r="E806" s="33" t="str">
        <f>Equipos!I804</f>
        <v>Creative Medical</v>
      </c>
      <c r="F806" s="33" t="str">
        <f>Equipos!J804</f>
        <v>UP-7000</v>
      </c>
      <c r="G806" s="37" t="str">
        <f>Equipos!K804</f>
        <v>J3300QF04724</v>
      </c>
      <c r="H806" s="33"/>
      <c r="I806" s="38"/>
      <c r="J806" s="38"/>
      <c r="K806" s="38"/>
      <c r="L806" s="50" t="s">
        <v>275</v>
      </c>
      <c r="M806" s="38"/>
      <c r="N806" s="38"/>
      <c r="O806" s="38"/>
      <c r="P806" s="38"/>
      <c r="Q806" s="38"/>
      <c r="R806" s="38"/>
      <c r="S806" s="38"/>
      <c r="T806" s="38"/>
      <c r="U806" s="33">
        <f t="shared" si="60"/>
        <v>1</v>
      </c>
      <c r="V806" s="33">
        <f t="shared" si="61"/>
        <v>1</v>
      </c>
      <c r="W806" s="33">
        <f t="shared" si="62"/>
        <v>0</v>
      </c>
      <c r="X806" s="33">
        <f t="shared" si="63"/>
        <v>0</v>
      </c>
      <c r="Y806" s="33">
        <f ca="1">SUMPRODUCT((I806:INDEX(I806:T806,MONTH(TODAY()))="X")*1)</f>
        <v>0</v>
      </c>
      <c r="Z806" s="39">
        <f t="shared" si="64"/>
        <v>1</v>
      </c>
    </row>
    <row r="807" spans="1:26" x14ac:dyDescent="0.25">
      <c r="A807" s="37" t="str">
        <f>Equipos!C805</f>
        <v>2-121190</v>
      </c>
      <c r="B807" s="33" t="str">
        <f>Equipos!D805</f>
        <v>Monitor Multiparámetros</v>
      </c>
      <c r="C807" s="33" t="str">
        <f>Equipos!E805</f>
        <v>Medicina</v>
      </c>
      <c r="D807" s="33" t="str">
        <f>Equipos!G805</f>
        <v>511-2E</v>
      </c>
      <c r="E807" s="33" t="str">
        <f>Equipos!I805</f>
        <v xml:space="preserve">Nihon Kohden </v>
      </c>
      <c r="F807" s="33" t="str">
        <f>Equipos!J805</f>
        <v>BSM-3562K</v>
      </c>
      <c r="G807" s="37" t="str">
        <f>Equipos!K805</f>
        <v>29791</v>
      </c>
      <c r="H807" s="33"/>
      <c r="I807" s="38"/>
      <c r="J807" s="50" t="s">
        <v>275</v>
      </c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3">
        <f t="shared" si="60"/>
        <v>1</v>
      </c>
      <c r="V807" s="33">
        <f t="shared" si="61"/>
        <v>1</v>
      </c>
      <c r="W807" s="33">
        <f t="shared" si="62"/>
        <v>0</v>
      </c>
      <c r="X807" s="33">
        <f t="shared" si="63"/>
        <v>0</v>
      </c>
      <c r="Y807" s="33">
        <f ca="1">SUMPRODUCT((I807:INDEX(I807:T807,MONTH(TODAY()))="X")*1)</f>
        <v>0</v>
      </c>
      <c r="Z807" s="39">
        <f t="shared" si="64"/>
        <v>1</v>
      </c>
    </row>
    <row r="808" spans="1:26" x14ac:dyDescent="0.25">
      <c r="A808" s="37" t="str">
        <f>Equipos!C806</f>
        <v>2-121191</v>
      </c>
      <c r="B808" s="33" t="str">
        <f>Equipos!D806</f>
        <v>Monitor Multiparámetros</v>
      </c>
      <c r="C808" s="33" t="str">
        <f>Equipos!E806</f>
        <v>Medicina</v>
      </c>
      <c r="D808" s="33" t="str">
        <f>Equipos!G806</f>
        <v>510-3E</v>
      </c>
      <c r="E808" s="33" t="str">
        <f>Equipos!I806</f>
        <v xml:space="preserve">Nihon Kohden </v>
      </c>
      <c r="F808" s="33" t="str">
        <f>Equipos!J806</f>
        <v>BSM-3562K</v>
      </c>
      <c r="G808" s="37" t="str">
        <f>Equipos!K806</f>
        <v>29792</v>
      </c>
      <c r="H808" s="33"/>
      <c r="I808" s="38"/>
      <c r="J808" s="50" t="s">
        <v>275</v>
      </c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3">
        <f t="shared" si="60"/>
        <v>1</v>
      </c>
      <c r="V808" s="33">
        <f t="shared" si="61"/>
        <v>1</v>
      </c>
      <c r="W808" s="33">
        <f t="shared" si="62"/>
        <v>0</v>
      </c>
      <c r="X808" s="33">
        <f t="shared" si="63"/>
        <v>0</v>
      </c>
      <c r="Y808" s="33">
        <f ca="1">SUMPRODUCT((I808:INDEX(I808:T808,MONTH(TODAY()))="X")*1)</f>
        <v>0</v>
      </c>
      <c r="Z808" s="39">
        <f t="shared" si="64"/>
        <v>1</v>
      </c>
    </row>
    <row r="809" spans="1:26" x14ac:dyDescent="0.25">
      <c r="A809" s="37" t="str">
        <f>Equipos!C807</f>
        <v>2-121192</v>
      </c>
      <c r="B809" s="33" t="str">
        <f>Equipos!D807</f>
        <v>Monitor Multiparámetros</v>
      </c>
      <c r="C809" s="33" t="str">
        <f>Equipos!E807</f>
        <v>Medicina</v>
      </c>
      <c r="D809" s="33" t="str">
        <f>Equipos!G807</f>
        <v>518-1</v>
      </c>
      <c r="E809" s="33" t="str">
        <f>Equipos!I807</f>
        <v xml:space="preserve">Nihon Kohden </v>
      </c>
      <c r="F809" s="33" t="str">
        <f>Equipos!J807</f>
        <v>BSM-3562K</v>
      </c>
      <c r="G809" s="37" t="str">
        <f>Equipos!K807</f>
        <v>29805</v>
      </c>
      <c r="H809" s="33"/>
      <c r="I809" s="38"/>
      <c r="J809" s="50" t="s">
        <v>275</v>
      </c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3">
        <f t="shared" si="60"/>
        <v>1</v>
      </c>
      <c r="V809" s="33">
        <f t="shared" si="61"/>
        <v>1</v>
      </c>
      <c r="W809" s="33">
        <f t="shared" si="62"/>
        <v>0</v>
      </c>
      <c r="X809" s="33">
        <f t="shared" si="63"/>
        <v>0</v>
      </c>
      <c r="Y809" s="33">
        <f ca="1">SUMPRODUCT((I809:INDEX(I809:T809,MONTH(TODAY()))="X")*1)</f>
        <v>0</v>
      </c>
      <c r="Z809" s="39">
        <f t="shared" si="64"/>
        <v>1</v>
      </c>
    </row>
    <row r="810" spans="1:26" x14ac:dyDescent="0.25">
      <c r="A810" s="37" t="str">
        <f>Equipos!C808</f>
        <v>2-121193</v>
      </c>
      <c r="B810" s="33" t="str">
        <f>Equipos!D808</f>
        <v>Monitor Multiparámetros</v>
      </c>
      <c r="C810" s="33" t="str">
        <f>Equipos!E808</f>
        <v>Medicina</v>
      </c>
      <c r="D810" s="33" t="str">
        <f>Equipos!G808</f>
        <v>512-3E</v>
      </c>
      <c r="E810" s="33" t="str">
        <f>Equipos!I808</f>
        <v xml:space="preserve">Nihon Kohden </v>
      </c>
      <c r="F810" s="33" t="str">
        <f>Equipos!J808</f>
        <v>BSM-3562K</v>
      </c>
      <c r="G810" s="37" t="str">
        <f>Equipos!K808</f>
        <v>29811</v>
      </c>
      <c r="H810" s="33"/>
      <c r="I810" s="38"/>
      <c r="J810" s="50" t="s">
        <v>275</v>
      </c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3">
        <f t="shared" si="60"/>
        <v>1</v>
      </c>
      <c r="V810" s="33">
        <f t="shared" si="61"/>
        <v>1</v>
      </c>
      <c r="W810" s="33">
        <f t="shared" si="62"/>
        <v>0</v>
      </c>
      <c r="X810" s="33">
        <f t="shared" si="63"/>
        <v>0</v>
      </c>
      <c r="Y810" s="33">
        <f ca="1">SUMPRODUCT((I810:INDEX(I810:T810,MONTH(TODAY()))="X")*1)</f>
        <v>0</v>
      </c>
      <c r="Z810" s="39">
        <f t="shared" si="64"/>
        <v>1</v>
      </c>
    </row>
    <row r="811" spans="1:26" x14ac:dyDescent="0.25">
      <c r="A811" s="37" t="str">
        <f>Equipos!C809</f>
        <v>2-121194</v>
      </c>
      <c r="B811" s="33" t="str">
        <f>Equipos!D809</f>
        <v>Monitor Multiparámetros</v>
      </c>
      <c r="C811" s="33" t="str">
        <f>Equipos!E809</f>
        <v>Medicina</v>
      </c>
      <c r="D811" s="33" t="str">
        <f>Equipos!G809</f>
        <v>501-3</v>
      </c>
      <c r="E811" s="33" t="str">
        <f>Equipos!I809</f>
        <v xml:space="preserve">Nihon Kohden </v>
      </c>
      <c r="F811" s="33" t="str">
        <f>Equipos!J809</f>
        <v>BSM-3562K</v>
      </c>
      <c r="G811" s="37" t="str">
        <f>Equipos!K809</f>
        <v>29814</v>
      </c>
      <c r="H811" s="33"/>
      <c r="I811" s="38"/>
      <c r="J811" s="50" t="s">
        <v>275</v>
      </c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3">
        <f t="shared" si="60"/>
        <v>1</v>
      </c>
      <c r="V811" s="33">
        <f t="shared" si="61"/>
        <v>1</v>
      </c>
      <c r="W811" s="33">
        <f t="shared" si="62"/>
        <v>0</v>
      </c>
      <c r="X811" s="33">
        <f t="shared" si="63"/>
        <v>0</v>
      </c>
      <c r="Y811" s="33">
        <f ca="1">SUMPRODUCT((I811:INDEX(I811:T811,MONTH(TODAY()))="X")*1)</f>
        <v>0</v>
      </c>
      <c r="Z811" s="39">
        <f t="shared" si="64"/>
        <v>1</v>
      </c>
    </row>
    <row r="812" spans="1:26" x14ac:dyDescent="0.25">
      <c r="A812" s="37" t="str">
        <f>Equipos!C810</f>
        <v>2-121195</v>
      </c>
      <c r="B812" s="33" t="str">
        <f>Equipos!D810</f>
        <v>Monitor Multiparámetros</v>
      </c>
      <c r="C812" s="33" t="str">
        <f>Equipos!E810</f>
        <v>Medicina</v>
      </c>
      <c r="D812" s="33" t="str">
        <f>Equipos!G810</f>
        <v>503-2E</v>
      </c>
      <c r="E812" s="33" t="str">
        <f>Equipos!I810</f>
        <v xml:space="preserve">Nihon Kohden </v>
      </c>
      <c r="F812" s="33" t="str">
        <f>Equipos!J810</f>
        <v>BSM-3562K</v>
      </c>
      <c r="G812" s="37" t="str">
        <f>Equipos!K810</f>
        <v>29815</v>
      </c>
      <c r="H812" s="33"/>
      <c r="I812" s="38"/>
      <c r="J812" s="50" t="s">
        <v>275</v>
      </c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3">
        <f t="shared" si="60"/>
        <v>1</v>
      </c>
      <c r="V812" s="33">
        <f t="shared" si="61"/>
        <v>1</v>
      </c>
      <c r="W812" s="33">
        <f t="shared" si="62"/>
        <v>0</v>
      </c>
      <c r="X812" s="33">
        <f t="shared" si="63"/>
        <v>0</v>
      </c>
      <c r="Y812" s="33">
        <f ca="1">SUMPRODUCT((I812:INDEX(I812:T812,MONTH(TODAY()))="X")*1)</f>
        <v>0</v>
      </c>
      <c r="Z812" s="39">
        <f t="shared" si="64"/>
        <v>1</v>
      </c>
    </row>
    <row r="813" spans="1:26" x14ac:dyDescent="0.25">
      <c r="A813" s="37" t="str">
        <f>Equipos!C811</f>
        <v>2-121196</v>
      </c>
      <c r="B813" s="33" t="str">
        <f>Equipos!D811</f>
        <v>Monitor Multiparámetros</v>
      </c>
      <c r="C813" s="33" t="str">
        <f>Equipos!E811</f>
        <v>Medicina</v>
      </c>
      <c r="D813" s="33" t="str">
        <f>Equipos!G811</f>
        <v>503-1E</v>
      </c>
      <c r="E813" s="33" t="str">
        <f>Equipos!I811</f>
        <v xml:space="preserve">Nihon Kohden </v>
      </c>
      <c r="F813" s="33" t="str">
        <f>Equipos!J811</f>
        <v>BSM-3562K</v>
      </c>
      <c r="G813" s="37" t="str">
        <f>Equipos!K811</f>
        <v>29816</v>
      </c>
      <c r="H813" s="33"/>
      <c r="I813" s="38"/>
      <c r="J813" s="50" t="s">
        <v>275</v>
      </c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3">
        <f t="shared" si="60"/>
        <v>1</v>
      </c>
      <c r="V813" s="33">
        <f t="shared" si="61"/>
        <v>1</v>
      </c>
      <c r="W813" s="33">
        <f t="shared" si="62"/>
        <v>0</v>
      </c>
      <c r="X813" s="33">
        <f t="shared" si="63"/>
        <v>0</v>
      </c>
      <c r="Y813" s="33">
        <f ca="1">SUMPRODUCT((I813:INDEX(I813:T813,MONTH(TODAY()))="X")*1)</f>
        <v>0</v>
      </c>
      <c r="Z813" s="39">
        <f t="shared" si="64"/>
        <v>1</v>
      </c>
    </row>
    <row r="814" spans="1:26" x14ac:dyDescent="0.25">
      <c r="A814" s="37" t="str">
        <f>Equipos!C812</f>
        <v>2-121197</v>
      </c>
      <c r="B814" s="33" t="str">
        <f>Equipos!D812</f>
        <v>Monitor Multiparámetros</v>
      </c>
      <c r="C814" s="33" t="str">
        <f>Equipos!E812</f>
        <v>Medicina</v>
      </c>
      <c r="D814" s="33" t="str">
        <f>Equipos!G812</f>
        <v>502-3E</v>
      </c>
      <c r="E814" s="33" t="str">
        <f>Equipos!I812</f>
        <v xml:space="preserve">Nihon Kohden </v>
      </c>
      <c r="F814" s="33" t="str">
        <f>Equipos!J812</f>
        <v>BSM-3562K</v>
      </c>
      <c r="G814" s="37" t="str">
        <f>Equipos!K812</f>
        <v>29817</v>
      </c>
      <c r="H814" s="33"/>
      <c r="I814" s="38"/>
      <c r="J814" s="50" t="s">
        <v>275</v>
      </c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3">
        <f t="shared" si="60"/>
        <v>1</v>
      </c>
      <c r="V814" s="33">
        <f t="shared" si="61"/>
        <v>1</v>
      </c>
      <c r="W814" s="33">
        <f t="shared" si="62"/>
        <v>0</v>
      </c>
      <c r="X814" s="33">
        <f t="shared" si="63"/>
        <v>0</v>
      </c>
      <c r="Y814" s="33">
        <f ca="1">SUMPRODUCT((I814:INDEX(I814:T814,MONTH(TODAY()))="X")*1)</f>
        <v>0</v>
      </c>
      <c r="Z814" s="39">
        <f t="shared" si="64"/>
        <v>1</v>
      </c>
    </row>
    <row r="815" spans="1:26" x14ac:dyDescent="0.25">
      <c r="A815" s="37" t="str">
        <f>Equipos!C813</f>
        <v>2-121198</v>
      </c>
      <c r="B815" s="33" t="str">
        <f>Equipos!D813</f>
        <v>Monitor Multiparámetros</v>
      </c>
      <c r="C815" s="33" t="str">
        <f>Equipos!E813</f>
        <v>Medicina</v>
      </c>
      <c r="D815" s="33" t="str">
        <f>Equipos!G813</f>
        <v>502-1</v>
      </c>
      <c r="E815" s="33" t="str">
        <f>Equipos!I813</f>
        <v xml:space="preserve">Nihon Kohden </v>
      </c>
      <c r="F815" s="33" t="str">
        <f>Equipos!J813</f>
        <v>BSM-3562K</v>
      </c>
      <c r="G815" s="37" t="str">
        <f>Equipos!K813</f>
        <v>29800</v>
      </c>
      <c r="H815" s="33"/>
      <c r="I815" s="38"/>
      <c r="J815" s="50" t="s">
        <v>275</v>
      </c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3">
        <f t="shared" si="60"/>
        <v>1</v>
      </c>
      <c r="V815" s="33">
        <f t="shared" si="61"/>
        <v>1</v>
      </c>
      <c r="W815" s="33">
        <f t="shared" si="62"/>
        <v>0</v>
      </c>
      <c r="X815" s="33">
        <f t="shared" si="63"/>
        <v>0</v>
      </c>
      <c r="Y815" s="33">
        <f ca="1">SUMPRODUCT((I815:INDEX(I815:T815,MONTH(TODAY()))="X")*1)</f>
        <v>0</v>
      </c>
      <c r="Z815" s="39">
        <f t="shared" si="64"/>
        <v>1</v>
      </c>
    </row>
    <row r="816" spans="1:26" x14ac:dyDescent="0.25">
      <c r="A816" s="37" t="str">
        <f>Equipos!C814</f>
        <v>2-121232</v>
      </c>
      <c r="B816" s="33" t="str">
        <f>Equipos!D814</f>
        <v>Monitor Multiparámetros</v>
      </c>
      <c r="C816" s="33" t="str">
        <f>Equipos!E814</f>
        <v>Medicina</v>
      </c>
      <c r="D816" s="33" t="str">
        <f>Equipos!G814</f>
        <v>508-3</v>
      </c>
      <c r="E816" s="33" t="str">
        <f>Equipos!I814</f>
        <v>EDAN</v>
      </c>
      <c r="F816" s="33" t="str">
        <f>Equipos!J814</f>
        <v>X12</v>
      </c>
      <c r="G816" s="37" t="str">
        <f>Equipos!K814</f>
        <v>261594-M21407240019</v>
      </c>
      <c r="H816" s="33"/>
      <c r="I816" s="38"/>
      <c r="J816" s="50" t="s">
        <v>275</v>
      </c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3">
        <f t="shared" si="60"/>
        <v>1</v>
      </c>
      <c r="V816" s="33">
        <f t="shared" si="61"/>
        <v>1</v>
      </c>
      <c r="W816" s="33">
        <f t="shared" si="62"/>
        <v>0</v>
      </c>
      <c r="X816" s="33">
        <f t="shared" si="63"/>
        <v>0</v>
      </c>
      <c r="Y816" s="33">
        <f ca="1">SUMPRODUCT((I816:INDEX(I816:T816,MONTH(TODAY()))="X")*1)</f>
        <v>0</v>
      </c>
      <c r="Z816" s="39">
        <f t="shared" si="64"/>
        <v>1</v>
      </c>
    </row>
    <row r="817" spans="1:26" x14ac:dyDescent="0.25">
      <c r="A817" s="37" t="str">
        <f>Equipos!C815</f>
        <v>2-121233</v>
      </c>
      <c r="B817" s="33" t="str">
        <f>Equipos!D815</f>
        <v>Monitor Multiparámetros</v>
      </c>
      <c r="C817" s="33" t="str">
        <f>Equipos!E815</f>
        <v>Medicina</v>
      </c>
      <c r="D817" s="33" t="str">
        <f>Equipos!G815</f>
        <v>504</v>
      </c>
      <c r="E817" s="33" t="str">
        <f>Equipos!I815</f>
        <v>EDAN</v>
      </c>
      <c r="F817" s="33" t="str">
        <f>Equipos!J815</f>
        <v>X12</v>
      </c>
      <c r="G817" s="37" t="str">
        <f>Equipos!K815</f>
        <v>261594-M21407240011</v>
      </c>
      <c r="H817" s="33"/>
      <c r="I817" s="38"/>
      <c r="J817" s="50" t="s">
        <v>275</v>
      </c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3">
        <f t="shared" si="60"/>
        <v>1</v>
      </c>
      <c r="V817" s="33">
        <f t="shared" si="61"/>
        <v>1</v>
      </c>
      <c r="W817" s="33">
        <f t="shared" si="62"/>
        <v>0</v>
      </c>
      <c r="X817" s="33">
        <f t="shared" si="63"/>
        <v>0</v>
      </c>
      <c r="Y817" s="33">
        <f ca="1">SUMPRODUCT((I817:INDEX(I817:T817,MONTH(TODAY()))="X")*1)</f>
        <v>0</v>
      </c>
      <c r="Z817" s="39">
        <f t="shared" si="64"/>
        <v>1</v>
      </c>
    </row>
    <row r="818" spans="1:26" x14ac:dyDescent="0.25">
      <c r="A818" s="37" t="str">
        <f>Equipos!C816</f>
        <v>2-121234</v>
      </c>
      <c r="B818" s="33" t="str">
        <f>Equipos!D816</f>
        <v>Monitor Multiparámetros</v>
      </c>
      <c r="C818" s="33" t="str">
        <f>Equipos!E816</f>
        <v>Medicina</v>
      </c>
      <c r="D818" s="33" t="str">
        <f>Equipos!G816</f>
        <v>596-1</v>
      </c>
      <c r="E818" s="33" t="str">
        <f>Equipos!I816</f>
        <v>EDAN</v>
      </c>
      <c r="F818" s="33" t="str">
        <f>Equipos!J816</f>
        <v>X12</v>
      </c>
      <c r="G818" s="37" t="str">
        <f>Equipos!K816</f>
        <v>261594-M21406070014</v>
      </c>
      <c r="H818" s="33"/>
      <c r="I818" s="38"/>
      <c r="J818" s="50" t="s">
        <v>276</v>
      </c>
      <c r="K818" s="50" t="s">
        <v>275</v>
      </c>
      <c r="L818" s="38"/>
      <c r="M818" s="38"/>
      <c r="N818" s="38"/>
      <c r="O818" s="38"/>
      <c r="P818" s="38"/>
      <c r="Q818" s="38"/>
      <c r="R818" s="38"/>
      <c r="S818" s="38"/>
      <c r="T818" s="38"/>
      <c r="U818" s="33">
        <f t="shared" si="60"/>
        <v>2</v>
      </c>
      <c r="V818" s="33">
        <f t="shared" si="61"/>
        <v>1</v>
      </c>
      <c r="W818" s="33">
        <f t="shared" si="62"/>
        <v>0</v>
      </c>
      <c r="X818" s="33">
        <f t="shared" si="63"/>
        <v>0</v>
      </c>
      <c r="Y818" s="33">
        <f ca="1">SUMPRODUCT((I818:INDEX(I818:T818,MONTH(TODAY()))="X")*1)</f>
        <v>0</v>
      </c>
      <c r="Z818" s="39">
        <f t="shared" si="64"/>
        <v>0.5</v>
      </c>
    </row>
    <row r="819" spans="1:26" x14ac:dyDescent="0.25">
      <c r="A819" s="37" t="str">
        <f>Equipos!C817</f>
        <v>2-121235</v>
      </c>
      <c r="B819" s="33" t="str">
        <f>Equipos!D817</f>
        <v>Monitor Multiparámetros</v>
      </c>
      <c r="C819" s="33" t="str">
        <f>Equipos!E817</f>
        <v>Medicina</v>
      </c>
      <c r="D819" s="33" t="str">
        <f>Equipos!G817</f>
        <v>527</v>
      </c>
      <c r="E819" s="33" t="str">
        <f>Equipos!I817</f>
        <v>EDAN</v>
      </c>
      <c r="F819" s="33" t="str">
        <f>Equipos!J817</f>
        <v>X12</v>
      </c>
      <c r="G819" s="37" t="str">
        <f>Equipos!K817</f>
        <v>261594-M21407000058</v>
      </c>
      <c r="H819" s="33"/>
      <c r="I819" s="38"/>
      <c r="J819" s="50" t="s">
        <v>275</v>
      </c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3">
        <f t="shared" si="60"/>
        <v>1</v>
      </c>
      <c r="V819" s="33">
        <f t="shared" si="61"/>
        <v>1</v>
      </c>
      <c r="W819" s="33">
        <f t="shared" si="62"/>
        <v>0</v>
      </c>
      <c r="X819" s="33">
        <f t="shared" si="63"/>
        <v>0</v>
      </c>
      <c r="Y819" s="33">
        <f ca="1">SUMPRODUCT((I819:INDEX(I819:T819,MONTH(TODAY()))="X")*1)</f>
        <v>0</v>
      </c>
      <c r="Z819" s="39">
        <f t="shared" si="64"/>
        <v>1</v>
      </c>
    </row>
    <row r="820" spans="1:26" x14ac:dyDescent="0.25">
      <c r="A820" s="37" t="str">
        <f>Equipos!C818</f>
        <v>2-121236</v>
      </c>
      <c r="B820" s="33" t="str">
        <f>Equipos!D818</f>
        <v>Monitor Multiparámetros</v>
      </c>
      <c r="C820" s="33" t="str">
        <f>Equipos!E818</f>
        <v>Medicina</v>
      </c>
      <c r="D820" s="33" t="str">
        <f>Equipos!G818</f>
        <v>596-3</v>
      </c>
      <c r="E820" s="33" t="str">
        <f>Equipos!I818</f>
        <v>EDAN</v>
      </c>
      <c r="F820" s="33" t="str">
        <f>Equipos!J818</f>
        <v>X12</v>
      </c>
      <c r="G820" s="37" t="str">
        <f>Equipos!K818</f>
        <v>261594-M21407240059</v>
      </c>
      <c r="H820" s="33"/>
      <c r="I820" s="38"/>
      <c r="J820" s="50" t="s">
        <v>275</v>
      </c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3">
        <f t="shared" si="60"/>
        <v>1</v>
      </c>
      <c r="V820" s="33">
        <f t="shared" si="61"/>
        <v>1</v>
      </c>
      <c r="W820" s="33">
        <f t="shared" si="62"/>
        <v>0</v>
      </c>
      <c r="X820" s="33">
        <f t="shared" si="63"/>
        <v>0</v>
      </c>
      <c r="Y820" s="33">
        <f ca="1">SUMPRODUCT((I820:INDEX(I820:T820,MONTH(TODAY()))="X")*1)</f>
        <v>0</v>
      </c>
      <c r="Z820" s="39">
        <f t="shared" si="64"/>
        <v>1</v>
      </c>
    </row>
    <row r="821" spans="1:26" x14ac:dyDescent="0.25">
      <c r="A821" s="37" t="str">
        <f>Equipos!C819</f>
        <v>2-121237</v>
      </c>
      <c r="B821" s="33" t="str">
        <f>Equipos!D819</f>
        <v>Monitor Multiparámetros</v>
      </c>
      <c r="C821" s="33" t="str">
        <f>Equipos!E819</f>
        <v>Medicina</v>
      </c>
      <c r="D821" s="33" t="str">
        <f>Equipos!G819</f>
        <v>509-2</v>
      </c>
      <c r="E821" s="33" t="str">
        <f>Equipos!I819</f>
        <v>EDAN</v>
      </c>
      <c r="F821" s="33" t="str">
        <f>Equipos!J819</f>
        <v>X12</v>
      </c>
      <c r="G821" s="37" t="str">
        <f>Equipos!K819</f>
        <v>261594-M21407240073</v>
      </c>
      <c r="H821" s="33"/>
      <c r="I821" s="38"/>
      <c r="J821" s="50" t="s">
        <v>275</v>
      </c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3">
        <f t="shared" si="60"/>
        <v>1</v>
      </c>
      <c r="V821" s="33">
        <f t="shared" si="61"/>
        <v>1</v>
      </c>
      <c r="W821" s="33">
        <f t="shared" si="62"/>
        <v>0</v>
      </c>
      <c r="X821" s="33">
        <f t="shared" si="63"/>
        <v>0</v>
      </c>
      <c r="Y821" s="33">
        <f ca="1">SUMPRODUCT((I821:INDEX(I821:T821,MONTH(TODAY()))="X")*1)</f>
        <v>0</v>
      </c>
      <c r="Z821" s="39">
        <f t="shared" si="64"/>
        <v>1</v>
      </c>
    </row>
    <row r="822" spans="1:26" x14ac:dyDescent="0.25">
      <c r="A822" s="37" t="str">
        <f>Equipos!C820</f>
        <v>2-121238</v>
      </c>
      <c r="B822" s="33" t="str">
        <f>Equipos!D820</f>
        <v>Monitor Multiparámetros</v>
      </c>
      <c r="C822" s="33" t="str">
        <f>Equipos!E820</f>
        <v>Medicina</v>
      </c>
      <c r="D822" s="33" t="str">
        <f>Equipos!G820</f>
        <v>Sala 598</v>
      </c>
      <c r="E822" s="33" t="str">
        <f>Equipos!I820</f>
        <v>EDAN</v>
      </c>
      <c r="F822" s="33" t="str">
        <f>Equipos!J820</f>
        <v>X12</v>
      </c>
      <c r="G822" s="37" t="str">
        <f>Equipos!K820</f>
        <v>261594-M21407240071</v>
      </c>
      <c r="H822" s="33"/>
      <c r="I822" s="38"/>
      <c r="J822" s="50" t="s">
        <v>275</v>
      </c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3">
        <f t="shared" si="60"/>
        <v>1</v>
      </c>
      <c r="V822" s="33">
        <f t="shared" si="61"/>
        <v>1</v>
      </c>
      <c r="W822" s="33">
        <f t="shared" si="62"/>
        <v>0</v>
      </c>
      <c r="X822" s="33">
        <f t="shared" si="63"/>
        <v>0</v>
      </c>
      <c r="Y822" s="33">
        <f ca="1">SUMPRODUCT((I822:INDEX(I822:T822,MONTH(TODAY()))="X")*1)</f>
        <v>0</v>
      </c>
      <c r="Z822" s="39">
        <f t="shared" si="64"/>
        <v>1</v>
      </c>
    </row>
    <row r="823" spans="1:26" x14ac:dyDescent="0.25">
      <c r="A823" s="37" t="str">
        <f>Equipos!C821</f>
        <v>2-121239</v>
      </c>
      <c r="B823" s="33" t="str">
        <f>Equipos!D821</f>
        <v>Monitor Multiparámetros</v>
      </c>
      <c r="C823" s="33" t="str">
        <f>Equipos!E821</f>
        <v>Medicina (Prestado a medicina cardiovascular)</v>
      </c>
      <c r="D823" s="33">
        <f>Equipos!G821</f>
        <v>0</v>
      </c>
      <c r="E823" s="33" t="str">
        <f>Equipos!I821</f>
        <v>EDAN</v>
      </c>
      <c r="F823" s="33" t="str">
        <f>Equipos!J821</f>
        <v>X12</v>
      </c>
      <c r="G823" s="37" t="str">
        <f>Equipos!K821</f>
        <v>261594-M21407240024</v>
      </c>
      <c r="H823" s="33"/>
      <c r="I823" s="38"/>
      <c r="J823" s="50" t="s">
        <v>276</v>
      </c>
      <c r="K823" s="50" t="s">
        <v>275</v>
      </c>
      <c r="L823" s="38"/>
      <c r="M823" s="38"/>
      <c r="N823" s="38"/>
      <c r="O823" s="38"/>
      <c r="P823" s="38"/>
      <c r="Q823" s="38"/>
      <c r="R823" s="38"/>
      <c r="S823" s="38"/>
      <c r="T823" s="38"/>
      <c r="U823" s="33">
        <f t="shared" si="60"/>
        <v>2</v>
      </c>
      <c r="V823" s="33">
        <f t="shared" si="61"/>
        <v>1</v>
      </c>
      <c r="W823" s="33">
        <f t="shared" si="62"/>
        <v>0</v>
      </c>
      <c r="X823" s="33">
        <f t="shared" si="63"/>
        <v>0</v>
      </c>
      <c r="Y823" s="33">
        <f ca="1">SUMPRODUCT((I823:INDEX(I823:T823,MONTH(TODAY()))="X")*1)</f>
        <v>0</v>
      </c>
      <c r="Z823" s="39">
        <f t="shared" si="64"/>
        <v>0.5</v>
      </c>
    </row>
    <row r="824" spans="1:26" x14ac:dyDescent="0.25">
      <c r="A824" s="37" t="str">
        <f>Equipos!C822</f>
        <v>2-121240</v>
      </c>
      <c r="B824" s="33" t="str">
        <f>Equipos!D822</f>
        <v>Monitor Multiparámetros</v>
      </c>
      <c r="C824" s="33" t="str">
        <f>Equipos!E822</f>
        <v>Medicina</v>
      </c>
      <c r="D824" s="33" t="str">
        <f>Equipos!G822</f>
        <v>Sala 597</v>
      </c>
      <c r="E824" s="33" t="str">
        <f>Equipos!I822</f>
        <v>EDAN</v>
      </c>
      <c r="F824" s="33" t="str">
        <f>Equipos!J822</f>
        <v>X12</v>
      </c>
      <c r="G824" s="37" t="str">
        <f>Equipos!K822</f>
        <v>261594-M21407000083</v>
      </c>
      <c r="H824" s="33"/>
      <c r="I824" s="38"/>
      <c r="J824" s="50" t="s">
        <v>275</v>
      </c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3">
        <f t="shared" si="60"/>
        <v>1</v>
      </c>
      <c r="V824" s="33">
        <f t="shared" si="61"/>
        <v>1</v>
      </c>
      <c r="W824" s="33">
        <f t="shared" si="62"/>
        <v>0</v>
      </c>
      <c r="X824" s="33">
        <f t="shared" si="63"/>
        <v>0</v>
      </c>
      <c r="Y824" s="33">
        <f ca="1">SUMPRODUCT((I824:INDEX(I824:T824,MONTH(TODAY()))="X")*1)</f>
        <v>0</v>
      </c>
      <c r="Z824" s="39">
        <f t="shared" si="64"/>
        <v>1</v>
      </c>
    </row>
    <row r="825" spans="1:26" x14ac:dyDescent="0.25">
      <c r="A825" s="37" t="str">
        <f>Equipos!C823</f>
        <v>2-121241</v>
      </c>
      <c r="B825" s="33" t="str">
        <f>Equipos!D823</f>
        <v>Monitor Multiparámetros</v>
      </c>
      <c r="C825" s="33" t="str">
        <f>Equipos!E823</f>
        <v>Medicina</v>
      </c>
      <c r="D825" s="33">
        <f>Equipos!G823</f>
        <v>0</v>
      </c>
      <c r="E825" s="33" t="str">
        <f>Equipos!I823</f>
        <v>EDAN</v>
      </c>
      <c r="F825" s="33" t="str">
        <f>Equipos!J823</f>
        <v>X12</v>
      </c>
      <c r="G825" s="37" t="str">
        <f>Equipos!K823</f>
        <v>261594-M21406070011</v>
      </c>
      <c r="H825" s="33"/>
      <c r="I825" s="38"/>
      <c r="J825" s="50" t="s">
        <v>278</v>
      </c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3">
        <f t="shared" si="60"/>
        <v>1</v>
      </c>
      <c r="V825" s="33">
        <f t="shared" si="61"/>
        <v>0</v>
      </c>
      <c r="W825" s="33">
        <f t="shared" si="62"/>
        <v>0</v>
      </c>
      <c r="X825" s="33">
        <f t="shared" si="63"/>
        <v>1</v>
      </c>
      <c r="Y825" s="33">
        <f ca="1">SUMPRODUCT((I825:INDEX(I825:T825,MONTH(TODAY()))="X")*1)</f>
        <v>0</v>
      </c>
      <c r="Z825" s="39">
        <f t="shared" si="64"/>
        <v>0</v>
      </c>
    </row>
    <row r="826" spans="1:26" x14ac:dyDescent="0.25">
      <c r="A826" s="37" t="str">
        <f>Equipos!C824</f>
        <v>2-121304</v>
      </c>
      <c r="B826" s="33" t="str">
        <f>Equipos!D824</f>
        <v>Monitor Multiparámetros</v>
      </c>
      <c r="C826" s="33" t="str">
        <f>Equipos!E824</f>
        <v>Medicina</v>
      </c>
      <c r="D826" s="33">
        <f>Equipos!G824</f>
        <v>0</v>
      </c>
      <c r="E826" s="33" t="str">
        <f>Equipos!I824</f>
        <v>Bistos</v>
      </c>
      <c r="F826" s="33" t="str">
        <f>Equipos!J824</f>
        <v>BT-770</v>
      </c>
      <c r="G826" s="37" t="str">
        <f>Equipos!K824</f>
        <v>DGLC0120</v>
      </c>
      <c r="H826" s="33"/>
      <c r="I826" s="38"/>
      <c r="J826" s="50" t="s">
        <v>278</v>
      </c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3">
        <f t="shared" si="60"/>
        <v>1</v>
      </c>
      <c r="V826" s="33">
        <f t="shared" si="61"/>
        <v>0</v>
      </c>
      <c r="W826" s="33">
        <f t="shared" si="62"/>
        <v>0</v>
      </c>
      <c r="X826" s="33">
        <f t="shared" si="63"/>
        <v>1</v>
      </c>
      <c r="Y826" s="33">
        <f ca="1">SUMPRODUCT((I826:INDEX(I826:T826,MONTH(TODAY()))="X")*1)</f>
        <v>0</v>
      </c>
      <c r="Z826" s="39">
        <f t="shared" si="64"/>
        <v>0</v>
      </c>
    </row>
    <row r="827" spans="1:26" x14ac:dyDescent="0.25">
      <c r="A827" s="37" t="str">
        <f>Equipos!C825</f>
        <v>2-121305</v>
      </c>
      <c r="B827" s="33" t="str">
        <f>Equipos!D825</f>
        <v>Monitor Multiparámetros</v>
      </c>
      <c r="C827" s="33" t="str">
        <f>Equipos!E825</f>
        <v>Medicina (Prestado a medicina cardiovascular)</v>
      </c>
      <c r="D827" s="33">
        <f>Equipos!G825</f>
        <v>0</v>
      </c>
      <c r="E827" s="33" t="str">
        <f>Equipos!I825</f>
        <v>Bistos</v>
      </c>
      <c r="F827" s="33" t="str">
        <f>Equipos!J825</f>
        <v>BT-770</v>
      </c>
      <c r="G827" s="37" t="str">
        <f>Equipos!K825</f>
        <v>DGLC0121</v>
      </c>
      <c r="H827" s="33"/>
      <c r="I827" s="38"/>
      <c r="J827" s="50" t="s">
        <v>276</v>
      </c>
      <c r="K827" s="50" t="s">
        <v>275</v>
      </c>
      <c r="L827" s="38"/>
      <c r="M827" s="38"/>
      <c r="N827" s="38"/>
      <c r="O827" s="38"/>
      <c r="P827" s="38"/>
      <c r="Q827" s="38"/>
      <c r="R827" s="38"/>
      <c r="S827" s="38"/>
      <c r="T827" s="38"/>
      <c r="U827" s="33">
        <f t="shared" si="60"/>
        <v>2</v>
      </c>
      <c r="V827" s="33">
        <f t="shared" si="61"/>
        <v>1</v>
      </c>
      <c r="W827" s="33">
        <f t="shared" si="62"/>
        <v>0</v>
      </c>
      <c r="X827" s="33">
        <f t="shared" si="63"/>
        <v>0</v>
      </c>
      <c r="Y827" s="33">
        <f ca="1">SUMPRODUCT((I827:INDEX(I827:T827,MONTH(TODAY()))="X")*1)</f>
        <v>0</v>
      </c>
      <c r="Z827" s="39">
        <f t="shared" si="64"/>
        <v>0.5</v>
      </c>
    </row>
    <row r="828" spans="1:26" x14ac:dyDescent="0.25">
      <c r="A828" s="37" t="str">
        <f>Equipos!C826</f>
        <v>2-121306</v>
      </c>
      <c r="B828" s="33" t="str">
        <f>Equipos!D826</f>
        <v>Monitor Multiparámetros</v>
      </c>
      <c r="C828" s="33" t="str">
        <f>Equipos!E826</f>
        <v>Medicina (Prestado a medicina cardiovascular)</v>
      </c>
      <c r="D828" s="33">
        <f>Equipos!G826</f>
        <v>0</v>
      </c>
      <c r="E828" s="33" t="str">
        <f>Equipos!I826</f>
        <v>Bistos</v>
      </c>
      <c r="F828" s="33" t="str">
        <f>Equipos!J826</f>
        <v>BT-770</v>
      </c>
      <c r="G828" s="37" t="str">
        <f>Equipos!K826</f>
        <v>DGLC0118</v>
      </c>
      <c r="H828" s="33"/>
      <c r="I828" s="38"/>
      <c r="J828" s="50" t="s">
        <v>276</v>
      </c>
      <c r="K828" s="50" t="s">
        <v>275</v>
      </c>
      <c r="L828" s="38"/>
      <c r="M828" s="38"/>
      <c r="N828" s="38"/>
      <c r="O828" s="38"/>
      <c r="P828" s="38"/>
      <c r="Q828" s="38"/>
      <c r="R828" s="38"/>
      <c r="S828" s="38"/>
      <c r="T828" s="38"/>
      <c r="U828" s="33">
        <f t="shared" si="60"/>
        <v>2</v>
      </c>
      <c r="V828" s="33">
        <f t="shared" si="61"/>
        <v>1</v>
      </c>
      <c r="W828" s="33">
        <f t="shared" si="62"/>
        <v>0</v>
      </c>
      <c r="X828" s="33">
        <f t="shared" si="63"/>
        <v>0</v>
      </c>
      <c r="Y828" s="33">
        <f ca="1">SUMPRODUCT((I828:INDEX(I828:T828,MONTH(TODAY()))="X")*1)</f>
        <v>0</v>
      </c>
      <c r="Z828" s="39">
        <f t="shared" si="64"/>
        <v>0.5</v>
      </c>
    </row>
    <row r="829" spans="1:26" x14ac:dyDescent="0.25">
      <c r="A829" s="37" t="str">
        <f>Equipos!C827</f>
        <v>2-121307</v>
      </c>
      <c r="B829" s="33" t="str">
        <f>Equipos!D827</f>
        <v>Monitor Multiparámetros</v>
      </c>
      <c r="C829" s="33" t="str">
        <f>Equipos!E827</f>
        <v>Medicina</v>
      </c>
      <c r="D829" s="33">
        <f>Equipos!G827</f>
        <v>0</v>
      </c>
      <c r="E829" s="33" t="str">
        <f>Equipos!I827</f>
        <v>Bistos</v>
      </c>
      <c r="F829" s="33" t="str">
        <f>Equipos!J827</f>
        <v>BT-770</v>
      </c>
      <c r="G829" s="37" t="str">
        <f>Equipos!K827</f>
        <v>DGLC0126</v>
      </c>
      <c r="H829" s="33"/>
      <c r="I829" s="38"/>
      <c r="J829" s="50" t="s">
        <v>275</v>
      </c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3">
        <f t="shared" si="60"/>
        <v>1</v>
      </c>
      <c r="V829" s="33">
        <f t="shared" si="61"/>
        <v>1</v>
      </c>
      <c r="W829" s="33">
        <f t="shared" si="62"/>
        <v>0</v>
      </c>
      <c r="X829" s="33">
        <f t="shared" si="63"/>
        <v>0</v>
      </c>
      <c r="Y829" s="33">
        <f ca="1">SUMPRODUCT((I829:INDEX(I829:T829,MONTH(TODAY()))="X")*1)</f>
        <v>0</v>
      </c>
      <c r="Z829" s="39">
        <f t="shared" si="64"/>
        <v>1</v>
      </c>
    </row>
    <row r="830" spans="1:26" x14ac:dyDescent="0.25">
      <c r="A830" s="37" t="str">
        <f>Equipos!C828</f>
        <v>2-121308</v>
      </c>
      <c r="B830" s="33" t="str">
        <f>Equipos!D828</f>
        <v>Monitor Multiparámetros</v>
      </c>
      <c r="C830" s="33" t="str">
        <f>Equipos!E828</f>
        <v>Medicina (Prestado a Cirugía Infantil )</v>
      </c>
      <c r="D830" s="33">
        <f>Equipos!G828</f>
        <v>0</v>
      </c>
      <c r="E830" s="33" t="str">
        <f>Equipos!I828</f>
        <v>Bistos</v>
      </c>
      <c r="F830" s="33" t="str">
        <f>Equipos!J828</f>
        <v>BT-770</v>
      </c>
      <c r="G830" s="37" t="str">
        <f>Equipos!K828</f>
        <v>DGLC0138</v>
      </c>
      <c r="H830" s="33"/>
      <c r="I830" s="50" t="s">
        <v>276</v>
      </c>
      <c r="J830" s="50" t="s">
        <v>275</v>
      </c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3">
        <f t="shared" si="60"/>
        <v>2</v>
      </c>
      <c r="V830" s="33">
        <f t="shared" si="61"/>
        <v>1</v>
      </c>
      <c r="W830" s="33">
        <f t="shared" si="62"/>
        <v>0</v>
      </c>
      <c r="X830" s="33">
        <f t="shared" si="63"/>
        <v>0</v>
      </c>
      <c r="Y830" s="33">
        <f ca="1">SUMPRODUCT((I830:INDEX(I830:T830,MONTH(TODAY()))="X")*1)</f>
        <v>0</v>
      </c>
      <c r="Z830" s="39">
        <f t="shared" si="64"/>
        <v>0.5</v>
      </c>
    </row>
    <row r="831" spans="1:26" x14ac:dyDescent="0.25">
      <c r="A831" s="37" t="str">
        <f>Equipos!C829</f>
        <v>2-121309</v>
      </c>
      <c r="B831" s="33" t="str">
        <f>Equipos!D829</f>
        <v>Monitor Multiparámetros</v>
      </c>
      <c r="C831" s="33" t="str">
        <f>Equipos!E829</f>
        <v>Medicina</v>
      </c>
      <c r="D831" s="33">
        <f>Equipos!G829</f>
        <v>0</v>
      </c>
      <c r="E831" s="33" t="str">
        <f>Equipos!I829</f>
        <v>Bistos</v>
      </c>
      <c r="F831" s="33" t="str">
        <f>Equipos!J829</f>
        <v>BT-770</v>
      </c>
      <c r="G831" s="37" t="str">
        <f>Equipos!K829</f>
        <v>DGLC0124</v>
      </c>
      <c r="H831" s="33"/>
      <c r="I831" s="38"/>
      <c r="J831" s="50" t="s">
        <v>275</v>
      </c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3">
        <f t="shared" si="60"/>
        <v>1</v>
      </c>
      <c r="V831" s="33">
        <f t="shared" si="61"/>
        <v>1</v>
      </c>
      <c r="W831" s="33">
        <f t="shared" si="62"/>
        <v>0</v>
      </c>
      <c r="X831" s="33">
        <f t="shared" si="63"/>
        <v>0</v>
      </c>
      <c r="Y831" s="33">
        <f ca="1">SUMPRODUCT((I831:INDEX(I831:T831,MONTH(TODAY()))="X")*1)</f>
        <v>0</v>
      </c>
      <c r="Z831" s="39">
        <f t="shared" si="64"/>
        <v>1</v>
      </c>
    </row>
    <row r="832" spans="1:26" x14ac:dyDescent="0.25">
      <c r="A832" s="37" t="str">
        <f>Equipos!C830</f>
        <v>2-121310</v>
      </c>
      <c r="B832" s="33" t="str">
        <f>Equipos!D830</f>
        <v>Monitor Multiparámetros</v>
      </c>
      <c r="C832" s="33" t="str">
        <f>Equipos!E830</f>
        <v>Medicina</v>
      </c>
      <c r="D832" s="33">
        <f>Equipos!G830</f>
        <v>0</v>
      </c>
      <c r="E832" s="33" t="str">
        <f>Equipos!I830</f>
        <v>Bistos</v>
      </c>
      <c r="F832" s="33" t="str">
        <f>Equipos!J830</f>
        <v>BT-770</v>
      </c>
      <c r="G832" s="37" t="str">
        <f>Equipos!K830</f>
        <v>DGLC0137</v>
      </c>
      <c r="H832" s="33"/>
      <c r="I832" s="38"/>
      <c r="J832" s="50" t="s">
        <v>275</v>
      </c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3">
        <f t="shared" si="60"/>
        <v>1</v>
      </c>
      <c r="V832" s="33">
        <f t="shared" si="61"/>
        <v>1</v>
      </c>
      <c r="W832" s="33">
        <f t="shared" si="62"/>
        <v>0</v>
      </c>
      <c r="X832" s="33">
        <f t="shared" si="63"/>
        <v>0</v>
      </c>
      <c r="Y832" s="33">
        <f ca="1">SUMPRODUCT((I832:INDEX(I832:T832,MONTH(TODAY()))="X")*1)</f>
        <v>0</v>
      </c>
      <c r="Z832" s="39">
        <f t="shared" si="64"/>
        <v>1</v>
      </c>
    </row>
    <row r="833" spans="1:26" x14ac:dyDescent="0.25">
      <c r="A833" s="37" t="str">
        <f>Equipos!C831</f>
        <v>2-121311</v>
      </c>
      <c r="B833" s="33" t="str">
        <f>Equipos!D831</f>
        <v>Monitor Multiparámetros</v>
      </c>
      <c r="C833" s="33" t="str">
        <f>Equipos!E831</f>
        <v>Medicina</v>
      </c>
      <c r="D833" s="33">
        <f>Equipos!G831</f>
        <v>0</v>
      </c>
      <c r="E833" s="33" t="str">
        <f>Equipos!I831</f>
        <v>Bistos</v>
      </c>
      <c r="F833" s="33" t="str">
        <f>Equipos!J831</f>
        <v>BT-770</v>
      </c>
      <c r="G833" s="37" t="str">
        <f>Equipos!K831</f>
        <v>DGLC0134</v>
      </c>
      <c r="H833" s="33"/>
      <c r="I833" s="38"/>
      <c r="J833" s="50" t="s">
        <v>275</v>
      </c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3">
        <f t="shared" si="60"/>
        <v>1</v>
      </c>
      <c r="V833" s="33">
        <f t="shared" si="61"/>
        <v>1</v>
      </c>
      <c r="W833" s="33">
        <f t="shared" si="62"/>
        <v>0</v>
      </c>
      <c r="X833" s="33">
        <f t="shared" si="63"/>
        <v>0</v>
      </c>
      <c r="Y833" s="33">
        <f ca="1">SUMPRODUCT((I833:INDEX(I833:T833,MONTH(TODAY()))="X")*1)</f>
        <v>0</v>
      </c>
      <c r="Z833" s="39">
        <f t="shared" si="64"/>
        <v>1</v>
      </c>
    </row>
    <row r="834" spans="1:26" x14ac:dyDescent="0.25">
      <c r="A834" s="37" t="str">
        <f>Equipos!C832</f>
        <v>2-121312</v>
      </c>
      <c r="B834" s="33" t="str">
        <f>Equipos!D832</f>
        <v>Monitor Multiparámetros</v>
      </c>
      <c r="C834" s="33" t="str">
        <f>Equipos!E832</f>
        <v>Medicina (Prestado a Pediatría)</v>
      </c>
      <c r="D834" s="33" t="str">
        <f>Equipos!G832</f>
        <v>EP 696</v>
      </c>
      <c r="E834" s="33" t="str">
        <f>Equipos!I832</f>
        <v>Bistos</v>
      </c>
      <c r="F834" s="33" t="str">
        <f>Equipos!J832</f>
        <v>BT-770</v>
      </c>
      <c r="G834" s="37" t="str">
        <f>Equipos!K832</f>
        <v>DGLC0115</v>
      </c>
      <c r="H834" s="33"/>
      <c r="I834" s="50" t="s">
        <v>276</v>
      </c>
      <c r="J834" s="50" t="s">
        <v>275</v>
      </c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3">
        <f t="shared" si="60"/>
        <v>2</v>
      </c>
      <c r="V834" s="33">
        <f t="shared" si="61"/>
        <v>1</v>
      </c>
      <c r="W834" s="33">
        <f t="shared" si="62"/>
        <v>0</v>
      </c>
      <c r="X834" s="33">
        <f t="shared" si="63"/>
        <v>0</v>
      </c>
      <c r="Y834" s="33">
        <f ca="1">SUMPRODUCT((I834:INDEX(I834:T834,MONTH(TODAY()))="X")*1)</f>
        <v>0</v>
      </c>
      <c r="Z834" s="39">
        <f t="shared" si="64"/>
        <v>0.5</v>
      </c>
    </row>
    <row r="835" spans="1:26" x14ac:dyDescent="0.25">
      <c r="A835" s="37" t="str">
        <f>Equipos!C833</f>
        <v>2-121313</v>
      </c>
      <c r="B835" s="33" t="str">
        <f>Equipos!D833</f>
        <v>Monitor Multiparámetros</v>
      </c>
      <c r="C835" s="33" t="str">
        <f>Equipos!E833</f>
        <v>Pediatría</v>
      </c>
      <c r="D835" s="33" t="str">
        <f>Equipos!G833</f>
        <v>Peditría Segunda Infancia</v>
      </c>
      <c r="E835" s="33" t="str">
        <f>Equipos!I833</f>
        <v>Bistos</v>
      </c>
      <c r="F835" s="33" t="str">
        <f>Equipos!J833</f>
        <v>BT-770</v>
      </c>
      <c r="G835" s="37" t="str">
        <f>Equipos!K833</f>
        <v>DGLC0136</v>
      </c>
      <c r="H835" s="33"/>
      <c r="I835" s="50" t="s">
        <v>276</v>
      </c>
      <c r="J835" s="50" t="s">
        <v>275</v>
      </c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3">
        <f t="shared" si="60"/>
        <v>2</v>
      </c>
      <c r="V835" s="33">
        <f t="shared" si="61"/>
        <v>1</v>
      </c>
      <c r="W835" s="33">
        <f t="shared" si="62"/>
        <v>0</v>
      </c>
      <c r="X835" s="33">
        <f t="shared" si="63"/>
        <v>0</v>
      </c>
      <c r="Y835" s="33">
        <f ca="1">SUMPRODUCT((I835:INDEX(I835:T835,MONTH(TODAY()))="X")*1)</f>
        <v>0</v>
      </c>
      <c r="Z835" s="39">
        <f t="shared" si="64"/>
        <v>0.5</v>
      </c>
    </row>
    <row r="836" spans="1:26" x14ac:dyDescent="0.25">
      <c r="A836" s="37" t="str">
        <f>Equipos!C834</f>
        <v>2-121314</v>
      </c>
      <c r="B836" s="33" t="str">
        <f>Equipos!D834</f>
        <v>Monitor Multiparámetros</v>
      </c>
      <c r="C836" s="33" t="str">
        <f>Equipos!E834</f>
        <v>Medicina</v>
      </c>
      <c r="D836" s="33">
        <f>Equipos!G834</f>
        <v>0</v>
      </c>
      <c r="E836" s="33" t="str">
        <f>Equipos!I834</f>
        <v>Bistos</v>
      </c>
      <c r="F836" s="33" t="str">
        <f>Equipos!J834</f>
        <v>BT-770</v>
      </c>
      <c r="G836" s="37" t="str">
        <f>Equipos!K834</f>
        <v>DGLC0133</v>
      </c>
      <c r="H836" s="33"/>
      <c r="I836" s="38"/>
      <c r="J836" s="50" t="s">
        <v>275</v>
      </c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3">
        <f t="shared" ref="U836:U899" si="65">V836+W836+X836+COUNTIF(I836:T836,"R")</f>
        <v>1</v>
      </c>
      <c r="V836" s="33">
        <f t="shared" ref="V836:V899" si="66">COUNTIF(I836:T836,"E")</f>
        <v>1</v>
      </c>
      <c r="W836" s="33">
        <f t="shared" ref="W836:W899" si="67">COUNTIF(I836:T836,"X")</f>
        <v>0</v>
      </c>
      <c r="X836" s="33">
        <f t="shared" ref="X836:X899" si="68">COUNTIF(I836:T836,"C2")+COUNTIF(I836:T836,"C3")</f>
        <v>0</v>
      </c>
      <c r="Y836" s="33">
        <f ca="1">SUMPRODUCT((I836:INDEX(I836:T836,MONTH(TODAY()))="X")*1)</f>
        <v>0</v>
      </c>
      <c r="Z836" s="39">
        <f t="shared" ref="Z836:Z899" si="69">IFERROR(V836/U836,"")</f>
        <v>1</v>
      </c>
    </row>
    <row r="837" spans="1:26" x14ac:dyDescent="0.25">
      <c r="A837" s="37" t="str">
        <f>Equipos!C835</f>
        <v>2-121315</v>
      </c>
      <c r="B837" s="33" t="str">
        <f>Equipos!D835</f>
        <v>Monitor Multiparámetros</v>
      </c>
      <c r="C837" s="33" t="str">
        <f>Equipos!E835</f>
        <v>Medicina</v>
      </c>
      <c r="D837" s="33">
        <f>Equipos!G835</f>
        <v>0</v>
      </c>
      <c r="E837" s="33" t="str">
        <f>Equipos!I835</f>
        <v>Bistos</v>
      </c>
      <c r="F837" s="33" t="str">
        <f>Equipos!J835</f>
        <v>BT-770</v>
      </c>
      <c r="G837" s="37" t="str">
        <f>Equipos!K835</f>
        <v>DGL70654</v>
      </c>
      <c r="H837" s="33"/>
      <c r="I837" s="38"/>
      <c r="J837" s="50" t="s">
        <v>275</v>
      </c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3">
        <f t="shared" si="65"/>
        <v>1</v>
      </c>
      <c r="V837" s="33">
        <f t="shared" si="66"/>
        <v>1</v>
      </c>
      <c r="W837" s="33">
        <f t="shared" si="67"/>
        <v>0</v>
      </c>
      <c r="X837" s="33">
        <f t="shared" si="68"/>
        <v>0</v>
      </c>
      <c r="Y837" s="33">
        <f ca="1">SUMPRODUCT((I837:INDEX(I837:T837,MONTH(TODAY()))="X")*1)</f>
        <v>0</v>
      </c>
      <c r="Z837" s="39">
        <f t="shared" si="69"/>
        <v>1</v>
      </c>
    </row>
    <row r="838" spans="1:26" x14ac:dyDescent="0.25">
      <c r="A838" s="37" t="str">
        <f>Equipos!C836</f>
        <v>2-121316</v>
      </c>
      <c r="B838" s="33" t="str">
        <f>Equipos!D836</f>
        <v>Monitor Multiparámetros</v>
      </c>
      <c r="C838" s="33" t="str">
        <f>Equipos!E836</f>
        <v>Medicina</v>
      </c>
      <c r="D838" s="33">
        <f>Equipos!G836</f>
        <v>0</v>
      </c>
      <c r="E838" s="33" t="str">
        <f>Equipos!I836</f>
        <v>Bistos</v>
      </c>
      <c r="F838" s="33" t="str">
        <f>Equipos!J836</f>
        <v>BT-770</v>
      </c>
      <c r="G838" s="37" t="str">
        <f>Equipos!K836</f>
        <v>DGLC0112</v>
      </c>
      <c r="H838" s="33"/>
      <c r="I838" s="38"/>
      <c r="J838" s="50" t="s">
        <v>275</v>
      </c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3">
        <f t="shared" si="65"/>
        <v>1</v>
      </c>
      <c r="V838" s="33">
        <f t="shared" si="66"/>
        <v>1</v>
      </c>
      <c r="W838" s="33">
        <f t="shared" si="67"/>
        <v>0</v>
      </c>
      <c r="X838" s="33">
        <f t="shared" si="68"/>
        <v>0</v>
      </c>
      <c r="Y838" s="33">
        <f ca="1">SUMPRODUCT((I838:INDEX(I838:T838,MONTH(TODAY()))="X")*1)</f>
        <v>0</v>
      </c>
      <c r="Z838" s="39">
        <f t="shared" si="69"/>
        <v>1</v>
      </c>
    </row>
    <row r="839" spans="1:26" x14ac:dyDescent="0.25">
      <c r="A839" s="37" t="str">
        <f>Equipos!C837</f>
        <v>2-121317</v>
      </c>
      <c r="B839" s="33" t="str">
        <f>Equipos!D837</f>
        <v>Monitor Multiparámetros</v>
      </c>
      <c r="C839" s="33" t="str">
        <f>Equipos!E837</f>
        <v>Medicina (Prestado a Pediatría)</v>
      </c>
      <c r="D839" s="33" t="str">
        <f>Equipos!G837</f>
        <v>EPA-P6</v>
      </c>
      <c r="E839" s="33" t="str">
        <f>Equipos!I837</f>
        <v>Bistos</v>
      </c>
      <c r="F839" s="33" t="str">
        <f>Equipos!J837</f>
        <v>BT-770</v>
      </c>
      <c r="G839" s="37" t="str">
        <f>Equipos!K837</f>
        <v>DGLC0125</v>
      </c>
      <c r="H839" s="33"/>
      <c r="I839" s="50" t="s">
        <v>276</v>
      </c>
      <c r="J839" s="50" t="s">
        <v>275</v>
      </c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3">
        <f t="shared" si="65"/>
        <v>2</v>
      </c>
      <c r="V839" s="33">
        <f t="shared" si="66"/>
        <v>1</v>
      </c>
      <c r="W839" s="33">
        <f t="shared" si="67"/>
        <v>0</v>
      </c>
      <c r="X839" s="33">
        <f t="shared" si="68"/>
        <v>0</v>
      </c>
      <c r="Y839" s="33">
        <f ca="1">SUMPRODUCT((I839:INDEX(I839:T839,MONTH(TODAY()))="X")*1)</f>
        <v>0</v>
      </c>
      <c r="Z839" s="39">
        <f t="shared" si="69"/>
        <v>0.5</v>
      </c>
    </row>
    <row r="840" spans="1:26" x14ac:dyDescent="0.25">
      <c r="A840" s="37" t="str">
        <f>Equipos!C838</f>
        <v>2-121318</v>
      </c>
      <c r="B840" s="33" t="str">
        <f>Equipos!D838</f>
        <v>Monitor Multiparámetros</v>
      </c>
      <c r="C840" s="33" t="str">
        <f>Equipos!E838</f>
        <v>Medicina (Prestado a medicina cardiovascular)</v>
      </c>
      <c r="D840" s="33">
        <f>Equipos!G838</f>
        <v>0</v>
      </c>
      <c r="E840" s="33" t="str">
        <f>Equipos!I838</f>
        <v>Bistos</v>
      </c>
      <c r="F840" s="33" t="str">
        <f>Equipos!J838</f>
        <v>BT-770</v>
      </c>
      <c r="G840" s="37" t="str">
        <f>Equipos!K838</f>
        <v>DGL70658</v>
      </c>
      <c r="H840" s="33"/>
      <c r="I840" s="38"/>
      <c r="J840" s="50" t="s">
        <v>276</v>
      </c>
      <c r="K840" s="50" t="s">
        <v>275</v>
      </c>
      <c r="L840" s="38"/>
      <c r="M840" s="38"/>
      <c r="N840" s="38"/>
      <c r="O840" s="38"/>
      <c r="P840" s="38"/>
      <c r="Q840" s="38"/>
      <c r="R840" s="38"/>
      <c r="S840" s="38"/>
      <c r="T840" s="38"/>
      <c r="U840" s="33">
        <f t="shared" si="65"/>
        <v>2</v>
      </c>
      <c r="V840" s="33">
        <f t="shared" si="66"/>
        <v>1</v>
      </c>
      <c r="W840" s="33">
        <f t="shared" si="67"/>
        <v>0</v>
      </c>
      <c r="X840" s="33">
        <f t="shared" si="68"/>
        <v>0</v>
      </c>
      <c r="Y840" s="33">
        <f ca="1">SUMPRODUCT((I840:INDEX(I840:T840,MONTH(TODAY()))="X")*1)</f>
        <v>0</v>
      </c>
      <c r="Z840" s="39">
        <f t="shared" si="69"/>
        <v>0.5</v>
      </c>
    </row>
    <row r="841" spans="1:26" x14ac:dyDescent="0.25">
      <c r="A841" s="37" t="str">
        <f>Equipos!C839</f>
        <v>2-121319</v>
      </c>
      <c r="B841" s="33" t="str">
        <f>Equipos!D839</f>
        <v>Monitor Multiparámetros</v>
      </c>
      <c r="C841" s="33" t="str">
        <f>Equipos!E839</f>
        <v>Medicina</v>
      </c>
      <c r="D841" s="33">
        <f>Equipos!G839</f>
        <v>0</v>
      </c>
      <c r="E841" s="33" t="str">
        <f>Equipos!I839</f>
        <v>Bistos</v>
      </c>
      <c r="F841" s="33" t="str">
        <f>Equipos!J839</f>
        <v>BT-770</v>
      </c>
      <c r="G841" s="37" t="str">
        <f>Equipos!K839</f>
        <v>DGLC0128</v>
      </c>
      <c r="H841" s="33"/>
      <c r="I841" s="38"/>
      <c r="J841" s="50" t="s">
        <v>278</v>
      </c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3">
        <f t="shared" si="65"/>
        <v>1</v>
      </c>
      <c r="V841" s="33">
        <f t="shared" si="66"/>
        <v>0</v>
      </c>
      <c r="W841" s="33">
        <f t="shared" si="67"/>
        <v>0</v>
      </c>
      <c r="X841" s="33">
        <f t="shared" si="68"/>
        <v>1</v>
      </c>
      <c r="Y841" s="33">
        <f ca="1">SUMPRODUCT((I841:INDEX(I841:T841,MONTH(TODAY()))="X")*1)</f>
        <v>0</v>
      </c>
      <c r="Z841" s="39">
        <f t="shared" si="69"/>
        <v>0</v>
      </c>
    </row>
    <row r="842" spans="1:26" x14ac:dyDescent="0.25">
      <c r="A842" s="37" t="str">
        <f>Equipos!C840</f>
        <v>2-121320</v>
      </c>
      <c r="B842" s="33" t="str">
        <f>Equipos!D840</f>
        <v>Monitor Multiparámetros</v>
      </c>
      <c r="C842" s="33" t="str">
        <f>Equipos!E840</f>
        <v>Medicina</v>
      </c>
      <c r="D842" s="33">
        <f>Equipos!G840</f>
        <v>0</v>
      </c>
      <c r="E842" s="33" t="str">
        <f>Equipos!I840</f>
        <v>Bistos</v>
      </c>
      <c r="F842" s="33" t="str">
        <f>Equipos!J840</f>
        <v>BT-770</v>
      </c>
      <c r="G842" s="37" t="str">
        <f>Equipos!K840</f>
        <v>DGL70653</v>
      </c>
      <c r="H842" s="33"/>
      <c r="I842" s="38"/>
      <c r="J842" s="50" t="s">
        <v>275</v>
      </c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3">
        <f t="shared" si="65"/>
        <v>1</v>
      </c>
      <c r="V842" s="33">
        <f t="shared" si="66"/>
        <v>1</v>
      </c>
      <c r="W842" s="33">
        <f t="shared" si="67"/>
        <v>0</v>
      </c>
      <c r="X842" s="33">
        <f t="shared" si="68"/>
        <v>0</v>
      </c>
      <c r="Y842" s="33">
        <f ca="1">SUMPRODUCT((I842:INDEX(I842:T842,MONTH(TODAY()))="X")*1)</f>
        <v>0</v>
      </c>
      <c r="Z842" s="39">
        <f t="shared" si="69"/>
        <v>1</v>
      </c>
    </row>
    <row r="843" spans="1:26" x14ac:dyDescent="0.25">
      <c r="A843" s="37" t="str">
        <f>Equipos!C841</f>
        <v>2-121321</v>
      </c>
      <c r="B843" s="33" t="str">
        <f>Equipos!D841</f>
        <v>Monitor Multiparámetros</v>
      </c>
      <c r="C843" s="33" t="str">
        <f>Equipos!E841</f>
        <v>Medicina</v>
      </c>
      <c r="D843" s="33">
        <f>Equipos!G841</f>
        <v>0</v>
      </c>
      <c r="E843" s="33" t="str">
        <f>Equipos!I841</f>
        <v>Bistos</v>
      </c>
      <c r="F843" s="33" t="str">
        <f>Equipos!J841</f>
        <v>BT-770</v>
      </c>
      <c r="G843" s="37" t="str">
        <f>Equipos!K841</f>
        <v>DGLC0122</v>
      </c>
      <c r="H843" s="33"/>
      <c r="I843" s="38"/>
      <c r="J843" s="50" t="s">
        <v>275</v>
      </c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3">
        <f t="shared" si="65"/>
        <v>1</v>
      </c>
      <c r="V843" s="33">
        <f t="shared" si="66"/>
        <v>1</v>
      </c>
      <c r="W843" s="33">
        <f t="shared" si="67"/>
        <v>0</v>
      </c>
      <c r="X843" s="33">
        <f t="shared" si="68"/>
        <v>0</v>
      </c>
      <c r="Y843" s="33">
        <f ca="1">SUMPRODUCT((I843:INDEX(I843:T843,MONTH(TODAY()))="X")*1)</f>
        <v>0</v>
      </c>
      <c r="Z843" s="39">
        <f t="shared" si="69"/>
        <v>1</v>
      </c>
    </row>
    <row r="844" spans="1:26" x14ac:dyDescent="0.25">
      <c r="A844" s="37" t="str">
        <f>Equipos!C842</f>
        <v>2-121322</v>
      </c>
      <c r="B844" s="33" t="str">
        <f>Equipos!D842</f>
        <v>Monitor Multiparámetros</v>
      </c>
      <c r="C844" s="33" t="str">
        <f>Equipos!E842</f>
        <v>Medicina</v>
      </c>
      <c r="D844" s="33">
        <f>Equipos!G842</f>
        <v>0</v>
      </c>
      <c r="E844" s="33" t="str">
        <f>Equipos!I842</f>
        <v>Bistos</v>
      </c>
      <c r="F844" s="33" t="str">
        <f>Equipos!J842</f>
        <v>BT-770</v>
      </c>
      <c r="G844" s="37" t="str">
        <f>Equipos!K842</f>
        <v>DGL70649</v>
      </c>
      <c r="H844" s="33"/>
      <c r="I844" s="38"/>
      <c r="J844" s="50" t="s">
        <v>275</v>
      </c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3">
        <f t="shared" si="65"/>
        <v>1</v>
      </c>
      <c r="V844" s="33">
        <f t="shared" si="66"/>
        <v>1</v>
      </c>
      <c r="W844" s="33">
        <f t="shared" si="67"/>
        <v>0</v>
      </c>
      <c r="X844" s="33">
        <f t="shared" si="68"/>
        <v>0</v>
      </c>
      <c r="Y844" s="33">
        <f ca="1">SUMPRODUCT((I844:INDEX(I844:T844,MONTH(TODAY()))="X")*1)</f>
        <v>0</v>
      </c>
      <c r="Z844" s="39">
        <f t="shared" si="69"/>
        <v>1</v>
      </c>
    </row>
    <row r="845" spans="1:26" x14ac:dyDescent="0.25">
      <c r="A845" s="37" t="str">
        <f>Equipos!C843</f>
        <v>2-121323</v>
      </c>
      <c r="B845" s="33" t="str">
        <f>Equipos!D843</f>
        <v>Monitor Multiparámetros</v>
      </c>
      <c r="C845" s="33" t="str">
        <f>Equipos!E843</f>
        <v>Medicina</v>
      </c>
      <c r="D845" s="33" t="str">
        <f>Equipos!G843</f>
        <v>Sala de equipos</v>
      </c>
      <c r="E845" s="33" t="str">
        <f>Equipos!I843</f>
        <v>Bistos</v>
      </c>
      <c r="F845" s="33" t="str">
        <f>Equipos!J843</f>
        <v>BT-770</v>
      </c>
      <c r="G845" s="37" t="str">
        <f>Equipos!K843</f>
        <v>DGLC0109</v>
      </c>
      <c r="H845" s="33"/>
      <c r="I845" s="38"/>
      <c r="J845" s="50" t="s">
        <v>275</v>
      </c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3">
        <f t="shared" si="65"/>
        <v>1</v>
      </c>
      <c r="V845" s="33">
        <f t="shared" si="66"/>
        <v>1</v>
      </c>
      <c r="W845" s="33">
        <f t="shared" si="67"/>
        <v>0</v>
      </c>
      <c r="X845" s="33">
        <f t="shared" si="68"/>
        <v>0</v>
      </c>
      <c r="Y845" s="33">
        <f ca="1">SUMPRODUCT((I845:INDEX(I845:T845,MONTH(TODAY()))="X")*1)</f>
        <v>0</v>
      </c>
      <c r="Z845" s="39">
        <f t="shared" si="69"/>
        <v>1</v>
      </c>
    </row>
    <row r="846" spans="1:26" x14ac:dyDescent="0.25">
      <c r="A846" s="37" t="str">
        <f>Equipos!C844</f>
        <v>2-121324</v>
      </c>
      <c r="B846" s="33" t="str">
        <f>Equipos!D844</f>
        <v>Monitor Multiparámetros</v>
      </c>
      <c r="C846" s="33" t="str">
        <f>Equipos!E844</f>
        <v>Medicina (Prestado a medicina cardiovascular)</v>
      </c>
      <c r="D846" s="33">
        <f>Equipos!G844</f>
        <v>0</v>
      </c>
      <c r="E846" s="33" t="str">
        <f>Equipos!I844</f>
        <v>Bistos</v>
      </c>
      <c r="F846" s="33" t="str">
        <f>Equipos!J844</f>
        <v>BT-770</v>
      </c>
      <c r="G846" s="37" t="str">
        <f>Equipos!K844</f>
        <v>DGL70650</v>
      </c>
      <c r="H846" s="33"/>
      <c r="I846" s="38"/>
      <c r="J846" s="50" t="s">
        <v>276</v>
      </c>
      <c r="K846" s="50" t="s">
        <v>275</v>
      </c>
      <c r="L846" s="38"/>
      <c r="M846" s="38"/>
      <c r="N846" s="38"/>
      <c r="O846" s="38"/>
      <c r="P846" s="38"/>
      <c r="Q846" s="38"/>
      <c r="R846" s="38"/>
      <c r="S846" s="38"/>
      <c r="T846" s="38"/>
      <c r="U846" s="33">
        <f t="shared" si="65"/>
        <v>2</v>
      </c>
      <c r="V846" s="33">
        <f t="shared" si="66"/>
        <v>1</v>
      </c>
      <c r="W846" s="33">
        <f t="shared" si="67"/>
        <v>0</v>
      </c>
      <c r="X846" s="33">
        <f t="shared" si="68"/>
        <v>0</v>
      </c>
      <c r="Y846" s="33">
        <f ca="1">SUMPRODUCT((I846:INDEX(I846:T846,MONTH(TODAY()))="X")*1)</f>
        <v>0</v>
      </c>
      <c r="Z846" s="39">
        <f t="shared" si="69"/>
        <v>0.5</v>
      </c>
    </row>
    <row r="847" spans="1:26" x14ac:dyDescent="0.25">
      <c r="A847" s="37" t="str">
        <f>Equipos!C845</f>
        <v>2-121325</v>
      </c>
      <c r="B847" s="33" t="str">
        <f>Equipos!D845</f>
        <v>Monitor Multiparámetros</v>
      </c>
      <c r="C847" s="33" t="str">
        <f>Equipos!E845</f>
        <v>Medicina</v>
      </c>
      <c r="D847" s="33">
        <f>Equipos!G845</f>
        <v>0</v>
      </c>
      <c r="E847" s="33" t="str">
        <f>Equipos!I845</f>
        <v>Bistos</v>
      </c>
      <c r="F847" s="33" t="str">
        <f>Equipos!J845</f>
        <v>BT-770</v>
      </c>
      <c r="G847" s="37" t="str">
        <f>Equipos!K845</f>
        <v>DGLC0127</v>
      </c>
      <c r="H847" s="33"/>
      <c r="I847" s="38"/>
      <c r="J847" s="50" t="s">
        <v>275</v>
      </c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3">
        <f t="shared" si="65"/>
        <v>1</v>
      </c>
      <c r="V847" s="33">
        <f t="shared" si="66"/>
        <v>1</v>
      </c>
      <c r="W847" s="33">
        <f t="shared" si="67"/>
        <v>0</v>
      </c>
      <c r="X847" s="33">
        <f t="shared" si="68"/>
        <v>0</v>
      </c>
      <c r="Y847" s="33">
        <f ca="1">SUMPRODUCT((I847:INDEX(I847:T847,MONTH(TODAY()))="X")*1)</f>
        <v>0</v>
      </c>
      <c r="Z847" s="39">
        <f t="shared" si="69"/>
        <v>1</v>
      </c>
    </row>
    <row r="848" spans="1:26" x14ac:dyDescent="0.25">
      <c r="A848" s="37" t="str">
        <f>Equipos!C846</f>
        <v>2-121326</v>
      </c>
      <c r="B848" s="33" t="str">
        <f>Equipos!D846</f>
        <v>Monitor Multiparámetros</v>
      </c>
      <c r="C848" s="33" t="str">
        <f>Equipos!E846</f>
        <v>Hospitalización Domiciliaria</v>
      </c>
      <c r="D848" s="33">
        <f>Equipos!G846</f>
        <v>0</v>
      </c>
      <c r="E848" s="33" t="str">
        <f>Equipos!I846</f>
        <v>Bistos</v>
      </c>
      <c r="F848" s="33" t="str">
        <f>Equipos!J846</f>
        <v>BT-770</v>
      </c>
      <c r="G848" s="37" t="str">
        <f>Equipos!K846</f>
        <v>DGL70652</v>
      </c>
      <c r="H848" s="33"/>
      <c r="I848" s="38"/>
      <c r="J848" s="50" t="s">
        <v>276</v>
      </c>
      <c r="K848" s="50" t="s">
        <v>275</v>
      </c>
      <c r="L848" s="38"/>
      <c r="M848" s="38"/>
      <c r="N848" s="38"/>
      <c r="O848" s="38"/>
      <c r="P848" s="38"/>
      <c r="Q848" s="38"/>
      <c r="R848" s="38"/>
      <c r="S848" s="38"/>
      <c r="T848" s="38"/>
      <c r="U848" s="33">
        <f t="shared" si="65"/>
        <v>2</v>
      </c>
      <c r="V848" s="33">
        <f t="shared" si="66"/>
        <v>1</v>
      </c>
      <c r="W848" s="33">
        <f t="shared" si="67"/>
        <v>0</v>
      </c>
      <c r="X848" s="33">
        <f t="shared" si="68"/>
        <v>0</v>
      </c>
      <c r="Y848" s="33">
        <f ca="1">SUMPRODUCT((I848:INDEX(I848:T848,MONTH(TODAY()))="X")*1)</f>
        <v>0</v>
      </c>
      <c r="Z848" s="39">
        <f t="shared" si="69"/>
        <v>0.5</v>
      </c>
    </row>
    <row r="849" spans="1:26" x14ac:dyDescent="0.25">
      <c r="A849" s="37" t="str">
        <f>Equipos!C847</f>
        <v>2-121327</v>
      </c>
      <c r="B849" s="33" t="str">
        <f>Equipos!D847</f>
        <v>Monitor Multiparámetros</v>
      </c>
      <c r="C849" s="33" t="str">
        <f>Equipos!E847</f>
        <v>Medicina</v>
      </c>
      <c r="D849" s="33">
        <f>Equipos!G847</f>
        <v>0</v>
      </c>
      <c r="E849" s="33" t="str">
        <f>Equipos!I847</f>
        <v>Bistos</v>
      </c>
      <c r="F849" s="33" t="str">
        <f>Equipos!J847</f>
        <v>BT-770</v>
      </c>
      <c r="G849" s="37" t="str">
        <f>Equipos!K847</f>
        <v>DGLC0114</v>
      </c>
      <c r="H849" s="33"/>
      <c r="I849" s="38"/>
      <c r="J849" s="50" t="s">
        <v>275</v>
      </c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3">
        <f t="shared" si="65"/>
        <v>1</v>
      </c>
      <c r="V849" s="33">
        <f t="shared" si="66"/>
        <v>1</v>
      </c>
      <c r="W849" s="33">
        <f t="shared" si="67"/>
        <v>0</v>
      </c>
      <c r="X849" s="33">
        <f t="shared" si="68"/>
        <v>0</v>
      </c>
      <c r="Y849" s="33">
        <f ca="1">SUMPRODUCT((I849:INDEX(I849:T849,MONTH(TODAY()))="X")*1)</f>
        <v>0</v>
      </c>
      <c r="Z849" s="39">
        <f t="shared" si="69"/>
        <v>1</v>
      </c>
    </row>
    <row r="850" spans="1:26" x14ac:dyDescent="0.25">
      <c r="A850" s="37" t="str">
        <f>Equipos!C848</f>
        <v>2-121328</v>
      </c>
      <c r="B850" s="33" t="str">
        <f>Equipos!D848</f>
        <v>Monitor Multiparámetros</v>
      </c>
      <c r="C850" s="33" t="str">
        <f>Equipos!E848</f>
        <v>Medicina</v>
      </c>
      <c r="D850" s="33" t="str">
        <f>Equipos!G848</f>
        <v>EPA-P6</v>
      </c>
      <c r="E850" s="33" t="str">
        <f>Equipos!I848</f>
        <v>Bistos</v>
      </c>
      <c r="F850" s="33" t="str">
        <f>Equipos!J848</f>
        <v>BT-770</v>
      </c>
      <c r="G850" s="37" t="str">
        <f>Equipos!K848</f>
        <v>DGLC0119</v>
      </c>
      <c r="H850" s="33"/>
      <c r="I850" s="38"/>
      <c r="J850" s="50" t="s">
        <v>275</v>
      </c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3">
        <f t="shared" si="65"/>
        <v>1</v>
      </c>
      <c r="V850" s="33">
        <f t="shared" si="66"/>
        <v>1</v>
      </c>
      <c r="W850" s="33">
        <f t="shared" si="67"/>
        <v>0</v>
      </c>
      <c r="X850" s="33">
        <f t="shared" si="68"/>
        <v>0</v>
      </c>
      <c r="Y850" s="33">
        <f ca="1">SUMPRODUCT((I850:INDEX(I850:T850,MONTH(TODAY()))="X")*1)</f>
        <v>0</v>
      </c>
      <c r="Z850" s="39">
        <f t="shared" si="69"/>
        <v>1</v>
      </c>
    </row>
    <row r="851" spans="1:26" x14ac:dyDescent="0.25">
      <c r="A851" s="37" t="str">
        <f>Equipos!C849</f>
        <v>2-121329</v>
      </c>
      <c r="B851" s="33" t="str">
        <f>Equipos!D849</f>
        <v>Monitor Multiparámetros</v>
      </c>
      <c r="C851" s="33" t="str">
        <f>Equipos!E849</f>
        <v>Medicina</v>
      </c>
      <c r="D851" s="33">
        <f>Equipos!G849</f>
        <v>0</v>
      </c>
      <c r="E851" s="33" t="str">
        <f>Equipos!I849</f>
        <v>Bistos</v>
      </c>
      <c r="F851" s="33" t="str">
        <f>Equipos!J849</f>
        <v>BT-770</v>
      </c>
      <c r="G851" s="37" t="str">
        <f>Equipos!K849</f>
        <v>DGLC0129</v>
      </c>
      <c r="H851" s="33"/>
      <c r="I851" s="38"/>
      <c r="J851" s="50" t="s">
        <v>275</v>
      </c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3">
        <f t="shared" si="65"/>
        <v>1</v>
      </c>
      <c r="V851" s="33">
        <f t="shared" si="66"/>
        <v>1</v>
      </c>
      <c r="W851" s="33">
        <f t="shared" si="67"/>
        <v>0</v>
      </c>
      <c r="X851" s="33">
        <f t="shared" si="68"/>
        <v>0</v>
      </c>
      <c r="Y851" s="33">
        <f ca="1">SUMPRODUCT((I851:INDEX(I851:T851,MONTH(TODAY()))="X")*1)</f>
        <v>0</v>
      </c>
      <c r="Z851" s="39">
        <f t="shared" si="69"/>
        <v>1</v>
      </c>
    </row>
    <row r="852" spans="1:26" x14ac:dyDescent="0.25">
      <c r="A852" s="37" t="str">
        <f>Equipos!C850</f>
        <v>2-121330</v>
      </c>
      <c r="B852" s="33" t="str">
        <f>Equipos!D850</f>
        <v>Monitor Multiparámetros</v>
      </c>
      <c r="C852" s="33" t="str">
        <f>Equipos!E850</f>
        <v>Medicina</v>
      </c>
      <c r="D852" s="33">
        <f>Equipos!G850</f>
        <v>0</v>
      </c>
      <c r="E852" s="33" t="str">
        <f>Equipos!I850</f>
        <v>Bistos</v>
      </c>
      <c r="F852" s="33" t="str">
        <f>Equipos!J850</f>
        <v>BT-770</v>
      </c>
      <c r="G852" s="37" t="str">
        <f>Equipos!K850</f>
        <v>DGLC0123</v>
      </c>
      <c r="H852" s="33"/>
      <c r="I852" s="38"/>
      <c r="J852" s="50" t="s">
        <v>275</v>
      </c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3">
        <f t="shared" si="65"/>
        <v>1</v>
      </c>
      <c r="V852" s="33">
        <f t="shared" si="66"/>
        <v>1</v>
      </c>
      <c r="W852" s="33">
        <f t="shared" si="67"/>
        <v>0</v>
      </c>
      <c r="X852" s="33">
        <f t="shared" si="68"/>
        <v>0</v>
      </c>
      <c r="Y852" s="33">
        <f ca="1">SUMPRODUCT((I852:INDEX(I852:T852,MONTH(TODAY()))="X")*1)</f>
        <v>0</v>
      </c>
      <c r="Z852" s="39">
        <f t="shared" si="69"/>
        <v>1</v>
      </c>
    </row>
    <row r="853" spans="1:26" x14ac:dyDescent="0.25">
      <c r="A853" s="37" t="str">
        <f>Equipos!C851</f>
        <v>2-121331</v>
      </c>
      <c r="B853" s="33" t="str">
        <f>Equipos!D851</f>
        <v>Monitor Multiparámetros</v>
      </c>
      <c r="C853" s="33" t="str">
        <f>Equipos!E851</f>
        <v>Medicina</v>
      </c>
      <c r="D853" s="33">
        <f>Equipos!G851</f>
        <v>0</v>
      </c>
      <c r="E853" s="33" t="str">
        <f>Equipos!I851</f>
        <v>Bistos</v>
      </c>
      <c r="F853" s="33" t="str">
        <f>Equipos!J851</f>
        <v>BT-770</v>
      </c>
      <c r="G853" s="37" t="str">
        <f>Equipos!K851</f>
        <v>DGLC0131</v>
      </c>
      <c r="H853" s="33"/>
      <c r="I853" s="38"/>
      <c r="J853" s="50" t="s">
        <v>275</v>
      </c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3">
        <f t="shared" si="65"/>
        <v>1</v>
      </c>
      <c r="V853" s="33">
        <f t="shared" si="66"/>
        <v>1</v>
      </c>
      <c r="W853" s="33">
        <f t="shared" si="67"/>
        <v>0</v>
      </c>
      <c r="X853" s="33">
        <f t="shared" si="68"/>
        <v>0</v>
      </c>
      <c r="Y853" s="33">
        <f ca="1">SUMPRODUCT((I853:INDEX(I853:T853,MONTH(TODAY()))="X")*1)</f>
        <v>0</v>
      </c>
      <c r="Z853" s="39">
        <f t="shared" si="69"/>
        <v>1</v>
      </c>
    </row>
    <row r="854" spans="1:26" x14ac:dyDescent="0.25">
      <c r="A854" s="37" t="str">
        <f>Equipos!C852</f>
        <v>2-121332</v>
      </c>
      <c r="B854" s="33" t="str">
        <f>Equipos!D852</f>
        <v>Monitor Multiparámetros</v>
      </c>
      <c r="C854" s="33" t="str">
        <f>Equipos!E852</f>
        <v>Cirugía Infantil</v>
      </c>
      <c r="D854" s="33" t="str">
        <f>Equipos!G852</f>
        <v>6to piso</v>
      </c>
      <c r="E854" s="33" t="str">
        <f>Equipos!I852</f>
        <v>Bistos</v>
      </c>
      <c r="F854" s="33" t="str">
        <f>Equipos!J852</f>
        <v>BT-770</v>
      </c>
      <c r="G854" s="37" t="str">
        <f>Equipos!K852</f>
        <v>DGLC0111</v>
      </c>
      <c r="H854" s="33"/>
      <c r="I854" s="50" t="s">
        <v>276</v>
      </c>
      <c r="J854" s="50" t="s">
        <v>275</v>
      </c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3">
        <f t="shared" si="65"/>
        <v>2</v>
      </c>
      <c r="V854" s="33">
        <f t="shared" si="66"/>
        <v>1</v>
      </c>
      <c r="W854" s="33">
        <f t="shared" si="67"/>
        <v>0</v>
      </c>
      <c r="X854" s="33">
        <f t="shared" si="68"/>
        <v>0</v>
      </c>
      <c r="Y854" s="33">
        <f ca="1">SUMPRODUCT((I854:INDEX(I854:T854,MONTH(TODAY()))="X")*1)</f>
        <v>0</v>
      </c>
      <c r="Z854" s="39">
        <f t="shared" si="69"/>
        <v>0.5</v>
      </c>
    </row>
    <row r="855" spans="1:26" x14ac:dyDescent="0.25">
      <c r="A855" s="37" t="str">
        <f>Equipos!C853</f>
        <v>2-121333</v>
      </c>
      <c r="B855" s="33" t="str">
        <f>Equipos!D853</f>
        <v>Monitor Multiparámetros</v>
      </c>
      <c r="C855" s="33" t="str">
        <f>Equipos!E853</f>
        <v>Medicina</v>
      </c>
      <c r="D855" s="33">
        <f>Equipos!G853</f>
        <v>0</v>
      </c>
      <c r="E855" s="33" t="str">
        <f>Equipos!I853</f>
        <v>Bistos</v>
      </c>
      <c r="F855" s="33" t="str">
        <f>Equipos!J853</f>
        <v>BT-770</v>
      </c>
      <c r="G855" s="37" t="str">
        <f>Equipos!K853</f>
        <v>DGLC0113</v>
      </c>
      <c r="H855" s="33"/>
      <c r="I855" s="38"/>
      <c r="J855" s="50" t="s">
        <v>275</v>
      </c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3">
        <f t="shared" si="65"/>
        <v>1</v>
      </c>
      <c r="V855" s="33">
        <f t="shared" si="66"/>
        <v>1</v>
      </c>
      <c r="W855" s="33">
        <f t="shared" si="67"/>
        <v>0</v>
      </c>
      <c r="X855" s="33">
        <f t="shared" si="68"/>
        <v>0</v>
      </c>
      <c r="Y855" s="33">
        <f ca="1">SUMPRODUCT((I855:INDEX(I855:T855,MONTH(TODAY()))="X")*1)</f>
        <v>0</v>
      </c>
      <c r="Z855" s="39">
        <f t="shared" si="69"/>
        <v>1</v>
      </c>
    </row>
    <row r="856" spans="1:26" x14ac:dyDescent="0.25">
      <c r="A856" s="37" t="str">
        <f>Equipos!C854</f>
        <v>2-121334</v>
      </c>
      <c r="B856" s="33" t="str">
        <f>Equipos!D854</f>
        <v>Monitor Multiparámetros</v>
      </c>
      <c r="C856" s="33" t="str">
        <f>Equipos!E854</f>
        <v>Medicina</v>
      </c>
      <c r="D856" s="33">
        <f>Equipos!G854</f>
        <v>0</v>
      </c>
      <c r="E856" s="33" t="str">
        <f>Equipos!I854</f>
        <v>Bistos</v>
      </c>
      <c r="F856" s="33" t="str">
        <f>Equipos!J854</f>
        <v>BT-770</v>
      </c>
      <c r="G856" s="37" t="str">
        <f>Equipos!K854</f>
        <v>DGLC0110</v>
      </c>
      <c r="H856" s="33"/>
      <c r="I856" s="38"/>
      <c r="J856" s="50" t="s">
        <v>275</v>
      </c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3">
        <f t="shared" si="65"/>
        <v>1</v>
      </c>
      <c r="V856" s="33">
        <f t="shared" si="66"/>
        <v>1</v>
      </c>
      <c r="W856" s="33">
        <f t="shared" si="67"/>
        <v>0</v>
      </c>
      <c r="X856" s="33">
        <f t="shared" si="68"/>
        <v>0</v>
      </c>
      <c r="Y856" s="33">
        <f ca="1">SUMPRODUCT((I856:INDEX(I856:T856,MONTH(TODAY()))="X")*1)</f>
        <v>0</v>
      </c>
      <c r="Z856" s="39">
        <f t="shared" si="69"/>
        <v>1</v>
      </c>
    </row>
    <row r="857" spans="1:26" x14ac:dyDescent="0.25">
      <c r="A857" s="37" t="str">
        <f>Equipos!C855</f>
        <v>2-121335</v>
      </c>
      <c r="B857" s="33" t="str">
        <f>Equipos!D855</f>
        <v>Monitor Multiparámetros</v>
      </c>
      <c r="C857" s="33" t="str">
        <f>Equipos!E855</f>
        <v>Medicina</v>
      </c>
      <c r="D857" s="33">
        <f>Equipos!G855</f>
        <v>0</v>
      </c>
      <c r="E857" s="33" t="str">
        <f>Equipos!I855</f>
        <v>Bistos</v>
      </c>
      <c r="F857" s="33" t="str">
        <f>Equipos!J855</f>
        <v>BT-770</v>
      </c>
      <c r="G857" s="37" t="str">
        <f>Equipos!K855</f>
        <v>DGL70655</v>
      </c>
      <c r="H857" s="33"/>
      <c r="I857" s="38"/>
      <c r="J857" s="50" t="s">
        <v>275</v>
      </c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3">
        <f t="shared" si="65"/>
        <v>1</v>
      </c>
      <c r="V857" s="33">
        <f t="shared" si="66"/>
        <v>1</v>
      </c>
      <c r="W857" s="33">
        <f t="shared" si="67"/>
        <v>0</v>
      </c>
      <c r="X857" s="33">
        <f t="shared" si="68"/>
        <v>0</v>
      </c>
      <c r="Y857" s="33">
        <f ca="1">SUMPRODUCT((I857:INDEX(I857:T857,MONTH(TODAY()))="X")*1)</f>
        <v>0</v>
      </c>
      <c r="Z857" s="39">
        <f t="shared" si="69"/>
        <v>1</v>
      </c>
    </row>
    <row r="858" spans="1:26" x14ac:dyDescent="0.25">
      <c r="A858" s="37" t="str">
        <f>Equipos!C856</f>
        <v>2-121336</v>
      </c>
      <c r="B858" s="33" t="str">
        <f>Equipos!D856</f>
        <v>Monitor Multiparámetros</v>
      </c>
      <c r="C858" s="33" t="str">
        <f>Equipos!E856</f>
        <v>Medicina</v>
      </c>
      <c r="D858" s="33">
        <f>Equipos!G856</f>
        <v>0</v>
      </c>
      <c r="E858" s="33" t="str">
        <f>Equipos!I856</f>
        <v>Bistos</v>
      </c>
      <c r="F858" s="33" t="str">
        <f>Equipos!J856</f>
        <v>BT-770</v>
      </c>
      <c r="G858" s="37" t="str">
        <f>Equipos!K856</f>
        <v>DGL80024</v>
      </c>
      <c r="H858" s="33"/>
      <c r="I858" s="38"/>
      <c r="J858" s="50" t="s">
        <v>275</v>
      </c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3">
        <f t="shared" si="65"/>
        <v>1</v>
      </c>
      <c r="V858" s="33">
        <f t="shared" si="66"/>
        <v>1</v>
      </c>
      <c r="W858" s="33">
        <f t="shared" si="67"/>
        <v>0</v>
      </c>
      <c r="X858" s="33">
        <f t="shared" si="68"/>
        <v>0</v>
      </c>
      <c r="Y858" s="33">
        <f ca="1">SUMPRODUCT((I858:INDEX(I858:T858,MONTH(TODAY()))="X")*1)</f>
        <v>0</v>
      </c>
      <c r="Z858" s="39">
        <f t="shared" si="69"/>
        <v>1</v>
      </c>
    </row>
    <row r="859" spans="1:26" x14ac:dyDescent="0.25">
      <c r="A859" s="37" t="str">
        <f>Equipos!C857</f>
        <v>2-121337</v>
      </c>
      <c r="B859" s="33" t="str">
        <f>Equipos!D857</f>
        <v>Monitor Multiparámetros</v>
      </c>
      <c r="C859" s="33" t="str">
        <f>Equipos!E857</f>
        <v>Medicina</v>
      </c>
      <c r="D859" s="33">
        <f>Equipos!G857</f>
        <v>0</v>
      </c>
      <c r="E859" s="33" t="str">
        <f>Equipos!I857</f>
        <v>Bistos</v>
      </c>
      <c r="F859" s="33" t="str">
        <f>Equipos!J857</f>
        <v>BT-770</v>
      </c>
      <c r="G859" s="37" t="str">
        <f>Equipos!K857</f>
        <v>DGL80022</v>
      </c>
      <c r="H859" s="33"/>
      <c r="I859" s="38"/>
      <c r="J859" s="50" t="s">
        <v>275</v>
      </c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3">
        <f t="shared" si="65"/>
        <v>1</v>
      </c>
      <c r="V859" s="33">
        <f t="shared" si="66"/>
        <v>1</v>
      </c>
      <c r="W859" s="33">
        <f t="shared" si="67"/>
        <v>0</v>
      </c>
      <c r="X859" s="33">
        <f t="shared" si="68"/>
        <v>0</v>
      </c>
      <c r="Y859" s="33">
        <f ca="1">SUMPRODUCT((I859:INDEX(I859:T859,MONTH(TODAY()))="X")*1)</f>
        <v>0</v>
      </c>
      <c r="Z859" s="39">
        <f t="shared" si="69"/>
        <v>1</v>
      </c>
    </row>
    <row r="860" spans="1:26" x14ac:dyDescent="0.25">
      <c r="A860" s="37" t="str">
        <f>Equipos!C858</f>
        <v>2-121338</v>
      </c>
      <c r="B860" s="33" t="str">
        <f>Equipos!D858</f>
        <v>Monitor Multiparámetros</v>
      </c>
      <c r="C860" s="33" t="str">
        <f>Equipos!E858</f>
        <v>Medicina</v>
      </c>
      <c r="D860" s="33">
        <f>Equipos!G858</f>
        <v>0</v>
      </c>
      <c r="E860" s="33" t="str">
        <f>Equipos!I858</f>
        <v>Bistos</v>
      </c>
      <c r="F860" s="33" t="str">
        <f>Equipos!J858</f>
        <v>BT-770</v>
      </c>
      <c r="G860" s="37" t="str">
        <f>Equipos!K858</f>
        <v>DGL80023</v>
      </c>
      <c r="H860" s="33"/>
      <c r="I860" s="38"/>
      <c r="J860" s="50" t="s">
        <v>275</v>
      </c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3">
        <f t="shared" si="65"/>
        <v>1</v>
      </c>
      <c r="V860" s="33">
        <f t="shared" si="66"/>
        <v>1</v>
      </c>
      <c r="W860" s="33">
        <f t="shared" si="67"/>
        <v>0</v>
      </c>
      <c r="X860" s="33">
        <f t="shared" si="68"/>
        <v>0</v>
      </c>
      <c r="Y860" s="33">
        <f ca="1">SUMPRODUCT((I860:INDEX(I860:T860,MONTH(TODAY()))="X")*1)</f>
        <v>0</v>
      </c>
      <c r="Z860" s="39">
        <f t="shared" si="69"/>
        <v>1</v>
      </c>
    </row>
    <row r="861" spans="1:26" x14ac:dyDescent="0.25">
      <c r="A861" s="37" t="str">
        <f>Equipos!C859</f>
        <v>2-121499</v>
      </c>
      <c r="B861" s="33" t="str">
        <f>Equipos!D859</f>
        <v>Monitor Multiparámetros</v>
      </c>
      <c r="C861" s="33" t="str">
        <f>Equipos!E859</f>
        <v>Pabellón Quirúrgico</v>
      </c>
      <c r="D861" s="33" t="str">
        <f>Equipos!G859</f>
        <v>Pabellón 5</v>
      </c>
      <c r="E861" s="33" t="str">
        <f>Equipos!I859</f>
        <v>Drager</v>
      </c>
      <c r="F861" s="33" t="str">
        <f>Equipos!J859</f>
        <v>M540</v>
      </c>
      <c r="G861" s="37" t="str">
        <f>Equipos!K859</f>
        <v>5613165575</v>
      </c>
      <c r="H861" s="33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3">
        <f t="shared" si="65"/>
        <v>0</v>
      </c>
      <c r="V861" s="33">
        <f t="shared" si="66"/>
        <v>0</v>
      </c>
      <c r="W861" s="33">
        <f t="shared" si="67"/>
        <v>0</v>
      </c>
      <c r="X861" s="33">
        <f t="shared" si="68"/>
        <v>0</v>
      </c>
      <c r="Y861" s="33">
        <f ca="1">SUMPRODUCT((I861:INDEX(I861:T861,MONTH(TODAY()))="X")*1)</f>
        <v>0</v>
      </c>
      <c r="Z861" s="39" t="str">
        <f t="shared" si="69"/>
        <v/>
      </c>
    </row>
    <row r="862" spans="1:26" x14ac:dyDescent="0.25">
      <c r="A862" s="37" t="str">
        <f>Equipos!C860</f>
        <v>2-121524</v>
      </c>
      <c r="B862" s="33" t="str">
        <f>Equipos!D860</f>
        <v>Monitor Multiparámetros</v>
      </c>
      <c r="C862" s="33" t="str">
        <f>Equipos!E860</f>
        <v>Endoscopía</v>
      </c>
      <c r="D862" s="33" t="str">
        <f>Equipos!G860</f>
        <v>CDT</v>
      </c>
      <c r="E862" s="33" t="str">
        <f>Equipos!I860</f>
        <v>Bistos</v>
      </c>
      <c r="F862" s="33" t="str">
        <f>Equipos!J860</f>
        <v>BT-770</v>
      </c>
      <c r="G862" s="37" t="str">
        <f>Equipos!K860</f>
        <v>DGM40020</v>
      </c>
      <c r="H862" s="33"/>
      <c r="I862" s="38"/>
      <c r="J862" s="38"/>
      <c r="K862" s="50" t="s">
        <v>276</v>
      </c>
      <c r="L862" s="50" t="s">
        <v>275</v>
      </c>
      <c r="M862" s="38"/>
      <c r="N862" s="38"/>
      <c r="O862" s="38"/>
      <c r="P862" s="38"/>
      <c r="Q862" s="38"/>
      <c r="R862" s="38"/>
      <c r="S862" s="38"/>
      <c r="T862" s="38"/>
      <c r="U862" s="33">
        <f t="shared" si="65"/>
        <v>2</v>
      </c>
      <c r="V862" s="33">
        <f t="shared" si="66"/>
        <v>1</v>
      </c>
      <c r="W862" s="33">
        <f t="shared" si="67"/>
        <v>0</v>
      </c>
      <c r="X862" s="33">
        <f t="shared" si="68"/>
        <v>0</v>
      </c>
      <c r="Y862" s="33">
        <f ca="1">SUMPRODUCT((I862:INDEX(I862:T862,MONTH(TODAY()))="X")*1)</f>
        <v>0</v>
      </c>
      <c r="Z862" s="39">
        <f t="shared" si="69"/>
        <v>0.5</v>
      </c>
    </row>
    <row r="863" spans="1:26" x14ac:dyDescent="0.25">
      <c r="A863" s="37" t="str">
        <f>Equipos!C861</f>
        <v>2-121525</v>
      </c>
      <c r="B863" s="33" t="str">
        <f>Equipos!D861</f>
        <v>Monitor Multiparámetros</v>
      </c>
      <c r="C863" s="33" t="str">
        <f>Equipos!E861</f>
        <v>Endoscopía</v>
      </c>
      <c r="D863" s="33" t="str">
        <f>Equipos!G861</f>
        <v>CDT</v>
      </c>
      <c r="E863" s="33" t="str">
        <f>Equipos!I861</f>
        <v>Bistos</v>
      </c>
      <c r="F863" s="33" t="str">
        <f>Equipos!J861</f>
        <v>BT-770</v>
      </c>
      <c r="G863" s="37" t="str">
        <f>Equipos!K861</f>
        <v>DGM40018</v>
      </c>
      <c r="H863" s="33"/>
      <c r="I863" s="38"/>
      <c r="J863" s="38"/>
      <c r="K863" s="50" t="s">
        <v>276</v>
      </c>
      <c r="L863" s="50" t="s">
        <v>275</v>
      </c>
      <c r="M863" s="38"/>
      <c r="N863" s="38"/>
      <c r="O863" s="38"/>
      <c r="P863" s="38"/>
      <c r="Q863" s="38"/>
      <c r="R863" s="38"/>
      <c r="S863" s="38"/>
      <c r="T863" s="38"/>
      <c r="U863" s="33">
        <f t="shared" si="65"/>
        <v>2</v>
      </c>
      <c r="V863" s="33">
        <f t="shared" si="66"/>
        <v>1</v>
      </c>
      <c r="W863" s="33">
        <f t="shared" si="67"/>
        <v>0</v>
      </c>
      <c r="X863" s="33">
        <f t="shared" si="68"/>
        <v>0</v>
      </c>
      <c r="Y863" s="33">
        <f ca="1">SUMPRODUCT((I863:INDEX(I863:T863,MONTH(TODAY()))="X")*1)</f>
        <v>0</v>
      </c>
      <c r="Z863" s="39">
        <f t="shared" si="69"/>
        <v>0.5</v>
      </c>
    </row>
    <row r="864" spans="1:26" x14ac:dyDescent="0.25">
      <c r="A864" s="37" t="str">
        <f>Equipos!C862</f>
        <v>2-121526</v>
      </c>
      <c r="B864" s="33" t="str">
        <f>Equipos!D862</f>
        <v>Monitor Multiparámetros</v>
      </c>
      <c r="C864" s="33" t="str">
        <f>Equipos!E862</f>
        <v>Medicina</v>
      </c>
      <c r="D864" s="33">
        <f>Equipos!G862</f>
        <v>0</v>
      </c>
      <c r="E864" s="33" t="str">
        <f>Equipos!I862</f>
        <v>Bistos</v>
      </c>
      <c r="F864" s="33" t="str">
        <f>Equipos!J862</f>
        <v>BT-770</v>
      </c>
      <c r="G864" s="37" t="str">
        <f>Equipos!K862</f>
        <v>DGM40013</v>
      </c>
      <c r="H864" s="33"/>
      <c r="I864" s="38"/>
      <c r="J864" s="50" t="s">
        <v>275</v>
      </c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3">
        <f t="shared" si="65"/>
        <v>1</v>
      </c>
      <c r="V864" s="33">
        <f t="shared" si="66"/>
        <v>1</v>
      </c>
      <c r="W864" s="33">
        <f t="shared" si="67"/>
        <v>0</v>
      </c>
      <c r="X864" s="33">
        <f t="shared" si="68"/>
        <v>0</v>
      </c>
      <c r="Y864" s="33">
        <f ca="1">SUMPRODUCT((I864:INDEX(I864:T864,MONTH(TODAY()))="X")*1)</f>
        <v>0</v>
      </c>
      <c r="Z864" s="39">
        <f t="shared" si="69"/>
        <v>1</v>
      </c>
    </row>
    <row r="865" spans="1:26" x14ac:dyDescent="0.25">
      <c r="A865" s="37" t="str">
        <f>Equipos!C863</f>
        <v>2-121527</v>
      </c>
      <c r="B865" s="33" t="str">
        <f>Equipos!D863</f>
        <v>Monitor Multiparámetros</v>
      </c>
      <c r="C865" s="33" t="str">
        <f>Equipos!E863</f>
        <v>Medicina</v>
      </c>
      <c r="D865" s="33" t="str">
        <f>Equipos!G863</f>
        <v>Sala de equipos EPA</v>
      </c>
      <c r="E865" s="33" t="str">
        <f>Equipos!I863</f>
        <v>Bistos</v>
      </c>
      <c r="F865" s="33" t="str">
        <f>Equipos!J863</f>
        <v>BT-770</v>
      </c>
      <c r="G865" s="37" t="str">
        <f>Equipos!K863</f>
        <v>DGM40037</v>
      </c>
      <c r="H865" s="33"/>
      <c r="I865" s="38"/>
      <c r="J865" s="50" t="s">
        <v>275</v>
      </c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3">
        <f t="shared" si="65"/>
        <v>1</v>
      </c>
      <c r="V865" s="33">
        <f t="shared" si="66"/>
        <v>1</v>
      </c>
      <c r="W865" s="33">
        <f t="shared" si="67"/>
        <v>0</v>
      </c>
      <c r="X865" s="33">
        <f t="shared" si="68"/>
        <v>0</v>
      </c>
      <c r="Y865" s="33">
        <f ca="1">SUMPRODUCT((I865:INDEX(I865:T865,MONTH(TODAY()))="X")*1)</f>
        <v>0</v>
      </c>
      <c r="Z865" s="39">
        <f t="shared" si="69"/>
        <v>1</v>
      </c>
    </row>
    <row r="866" spans="1:26" x14ac:dyDescent="0.25">
      <c r="A866" s="37" t="str">
        <f>Equipos!C864</f>
        <v>2-121528</v>
      </c>
      <c r="B866" s="33" t="str">
        <f>Equipos!D864</f>
        <v>Monitor Multiparámetros</v>
      </c>
      <c r="C866" s="33" t="str">
        <f>Equipos!E864</f>
        <v>Medicina</v>
      </c>
      <c r="D866" s="33">
        <f>Equipos!G864</f>
        <v>0</v>
      </c>
      <c r="E866" s="33" t="str">
        <f>Equipos!I864</f>
        <v>Bistos</v>
      </c>
      <c r="F866" s="33" t="str">
        <f>Equipos!J864</f>
        <v>BT-770</v>
      </c>
      <c r="G866" s="37" t="str">
        <f>Equipos!K864</f>
        <v>DGM40028</v>
      </c>
      <c r="H866" s="33"/>
      <c r="I866" s="38"/>
      <c r="J866" s="50" t="s">
        <v>275</v>
      </c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3">
        <f t="shared" si="65"/>
        <v>1</v>
      </c>
      <c r="V866" s="33">
        <f t="shared" si="66"/>
        <v>1</v>
      </c>
      <c r="W866" s="33">
        <f t="shared" si="67"/>
        <v>0</v>
      </c>
      <c r="X866" s="33">
        <f t="shared" si="68"/>
        <v>0</v>
      </c>
      <c r="Y866" s="33">
        <f ca="1">SUMPRODUCT((I866:INDEX(I866:T866,MONTH(TODAY()))="X")*1)</f>
        <v>0</v>
      </c>
      <c r="Z866" s="39">
        <f t="shared" si="69"/>
        <v>1</v>
      </c>
    </row>
    <row r="867" spans="1:26" x14ac:dyDescent="0.25">
      <c r="A867" s="37" t="str">
        <f>Equipos!C865</f>
        <v>2-121529</v>
      </c>
      <c r="B867" s="33" t="str">
        <f>Equipos!D865</f>
        <v>Monitor Multiparámetros</v>
      </c>
      <c r="C867" s="33" t="str">
        <f>Equipos!E865</f>
        <v>Cirugía Infantil</v>
      </c>
      <c r="D867" s="33" t="str">
        <f>Equipos!G865</f>
        <v>6to piso</v>
      </c>
      <c r="E867" s="33" t="str">
        <f>Equipos!I865</f>
        <v>Bistos</v>
      </c>
      <c r="F867" s="33" t="str">
        <f>Equipos!J865</f>
        <v>BT-770</v>
      </c>
      <c r="G867" s="37" t="str">
        <f>Equipos!K865</f>
        <v>DGM40016</v>
      </c>
      <c r="H867" s="33"/>
      <c r="I867" s="50" t="s">
        <v>276</v>
      </c>
      <c r="J867" s="50" t="s">
        <v>275</v>
      </c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3">
        <f t="shared" si="65"/>
        <v>2</v>
      </c>
      <c r="V867" s="33">
        <f t="shared" si="66"/>
        <v>1</v>
      </c>
      <c r="W867" s="33">
        <f t="shared" si="67"/>
        <v>0</v>
      </c>
      <c r="X867" s="33">
        <f t="shared" si="68"/>
        <v>0</v>
      </c>
      <c r="Y867" s="33">
        <f ca="1">SUMPRODUCT((I867:INDEX(I867:T867,MONTH(TODAY()))="X")*1)</f>
        <v>0</v>
      </c>
      <c r="Z867" s="39">
        <f t="shared" si="69"/>
        <v>0.5</v>
      </c>
    </row>
    <row r="868" spans="1:26" x14ac:dyDescent="0.25">
      <c r="A868" s="37" t="str">
        <f>Equipos!C866</f>
        <v>2-121530</v>
      </c>
      <c r="B868" s="33" t="str">
        <f>Equipos!D866</f>
        <v>Monitor Multiparámetros</v>
      </c>
      <c r="C868" s="33" t="str">
        <f>Equipos!E866</f>
        <v>Medicina</v>
      </c>
      <c r="D868" s="33" t="str">
        <f>Equipos!G866</f>
        <v>Sala de procedimiento TNA</v>
      </c>
      <c r="E868" s="33" t="str">
        <f>Equipos!I866</f>
        <v>Bistos</v>
      </c>
      <c r="F868" s="33" t="str">
        <f>Equipos!J866</f>
        <v>BT-770</v>
      </c>
      <c r="G868" s="37" t="str">
        <f>Equipos!K866</f>
        <v>DGM40026</v>
      </c>
      <c r="H868" s="33"/>
      <c r="I868" s="38"/>
      <c r="J868" s="50" t="s">
        <v>275</v>
      </c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3">
        <f t="shared" si="65"/>
        <v>1</v>
      </c>
      <c r="V868" s="33">
        <f t="shared" si="66"/>
        <v>1</v>
      </c>
      <c r="W868" s="33">
        <f t="shared" si="67"/>
        <v>0</v>
      </c>
      <c r="X868" s="33">
        <f t="shared" si="68"/>
        <v>0</v>
      </c>
      <c r="Y868" s="33">
        <f ca="1">SUMPRODUCT((I868:INDEX(I868:T868,MONTH(TODAY()))="X")*1)</f>
        <v>0</v>
      </c>
      <c r="Z868" s="39">
        <f t="shared" si="69"/>
        <v>1</v>
      </c>
    </row>
    <row r="869" spans="1:26" x14ac:dyDescent="0.25">
      <c r="A869" s="37" t="str">
        <f>Equipos!C867</f>
        <v>2-121531</v>
      </c>
      <c r="B869" s="33" t="str">
        <f>Equipos!D867</f>
        <v>Monitor Multiparámetros</v>
      </c>
      <c r="C869" s="33" t="str">
        <f>Equipos!E867</f>
        <v>Medicina</v>
      </c>
      <c r="D869" s="33" t="str">
        <f>Equipos!G867</f>
        <v>597-4</v>
      </c>
      <c r="E869" s="33" t="str">
        <f>Equipos!I867</f>
        <v>Bistos</v>
      </c>
      <c r="F869" s="33" t="str">
        <f>Equipos!J867</f>
        <v>BT-770</v>
      </c>
      <c r="G869" s="37" t="str">
        <f>Equipos!K867</f>
        <v>DGM40019</v>
      </c>
      <c r="H869" s="33"/>
      <c r="I869" s="38"/>
      <c r="J869" s="50" t="s">
        <v>275</v>
      </c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3">
        <f t="shared" si="65"/>
        <v>1</v>
      </c>
      <c r="V869" s="33">
        <f t="shared" si="66"/>
        <v>1</v>
      </c>
      <c r="W869" s="33">
        <f t="shared" si="67"/>
        <v>0</v>
      </c>
      <c r="X869" s="33">
        <f t="shared" si="68"/>
        <v>0</v>
      </c>
      <c r="Y869" s="33">
        <f ca="1">SUMPRODUCT((I869:INDEX(I869:T869,MONTH(TODAY()))="X")*1)</f>
        <v>0</v>
      </c>
      <c r="Z869" s="39">
        <f t="shared" si="69"/>
        <v>1</v>
      </c>
    </row>
    <row r="870" spans="1:26" x14ac:dyDescent="0.25">
      <c r="A870" s="37" t="str">
        <f>Equipos!C868</f>
        <v>2-121532</v>
      </c>
      <c r="B870" s="33" t="str">
        <f>Equipos!D868</f>
        <v>Monitor Multiparámetros</v>
      </c>
      <c r="C870" s="33" t="str">
        <f>Equipos!E868</f>
        <v>Medicina</v>
      </c>
      <c r="D870" s="33">
        <f>Equipos!G868</f>
        <v>0</v>
      </c>
      <c r="E870" s="33" t="str">
        <f>Equipos!I868</f>
        <v>Bistos</v>
      </c>
      <c r="F870" s="33" t="str">
        <f>Equipos!J868</f>
        <v>BT-770</v>
      </c>
      <c r="G870" s="37" t="str">
        <f>Equipos!K868</f>
        <v>DGM40041</v>
      </c>
      <c r="H870" s="33"/>
      <c r="I870" s="38"/>
      <c r="J870" s="50" t="s">
        <v>275</v>
      </c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3">
        <f t="shared" si="65"/>
        <v>1</v>
      </c>
      <c r="V870" s="33">
        <f t="shared" si="66"/>
        <v>1</v>
      </c>
      <c r="W870" s="33">
        <f t="shared" si="67"/>
        <v>0</v>
      </c>
      <c r="X870" s="33">
        <f t="shared" si="68"/>
        <v>0</v>
      </c>
      <c r="Y870" s="33">
        <f ca="1">SUMPRODUCT((I870:INDEX(I870:T870,MONTH(TODAY()))="X")*1)</f>
        <v>0</v>
      </c>
      <c r="Z870" s="39">
        <f t="shared" si="69"/>
        <v>1</v>
      </c>
    </row>
    <row r="871" spans="1:26" x14ac:dyDescent="0.25">
      <c r="A871" s="37" t="str">
        <f>Equipos!C869</f>
        <v>2-121533</v>
      </c>
      <c r="B871" s="33" t="str">
        <f>Equipos!D869</f>
        <v>Monitor Multiparámetros</v>
      </c>
      <c r="C871" s="33" t="str">
        <f>Equipos!E869</f>
        <v>Medicina (Prestado a medicina cardiovascular)</v>
      </c>
      <c r="D871" s="33">
        <f>Equipos!G869</f>
        <v>0</v>
      </c>
      <c r="E871" s="33" t="str">
        <f>Equipos!I869</f>
        <v>Bistos</v>
      </c>
      <c r="F871" s="33" t="str">
        <f>Equipos!J869</f>
        <v>BT-770</v>
      </c>
      <c r="G871" s="37" t="str">
        <f>Equipos!K869</f>
        <v>DGM40042</v>
      </c>
      <c r="H871" s="33"/>
      <c r="I871" s="38"/>
      <c r="J871" s="50" t="s">
        <v>276</v>
      </c>
      <c r="K871" s="50" t="s">
        <v>275</v>
      </c>
      <c r="L871" s="38"/>
      <c r="M871" s="38"/>
      <c r="N871" s="38"/>
      <c r="O871" s="38"/>
      <c r="P871" s="38"/>
      <c r="Q871" s="38"/>
      <c r="R871" s="38"/>
      <c r="S871" s="38"/>
      <c r="T871" s="38"/>
      <c r="U871" s="33">
        <f t="shared" si="65"/>
        <v>2</v>
      </c>
      <c r="V871" s="33">
        <f t="shared" si="66"/>
        <v>1</v>
      </c>
      <c r="W871" s="33">
        <f t="shared" si="67"/>
        <v>0</v>
      </c>
      <c r="X871" s="33">
        <f t="shared" si="68"/>
        <v>0</v>
      </c>
      <c r="Y871" s="33">
        <f ca="1">SUMPRODUCT((I871:INDEX(I871:T871,MONTH(TODAY()))="X")*1)</f>
        <v>0</v>
      </c>
      <c r="Z871" s="39">
        <f t="shared" si="69"/>
        <v>0.5</v>
      </c>
    </row>
    <row r="872" spans="1:26" x14ac:dyDescent="0.25">
      <c r="A872" s="37" t="str">
        <f>Equipos!C870</f>
        <v>2-121534</v>
      </c>
      <c r="B872" s="33" t="str">
        <f>Equipos!D870</f>
        <v>Monitor Multiparámetros</v>
      </c>
      <c r="C872" s="33" t="str">
        <f>Equipos!E870</f>
        <v>Medicina (Prestado a medicina cardiovascular)</v>
      </c>
      <c r="D872" s="33">
        <f>Equipos!G870</f>
        <v>0</v>
      </c>
      <c r="E872" s="33" t="str">
        <f>Equipos!I870</f>
        <v>Bistos</v>
      </c>
      <c r="F872" s="33" t="str">
        <f>Equipos!J870</f>
        <v>BT-770</v>
      </c>
      <c r="G872" s="37" t="str">
        <f>Equipos!K870</f>
        <v>DGM40023</v>
      </c>
      <c r="H872" s="33"/>
      <c r="I872" s="38"/>
      <c r="J872" s="50" t="s">
        <v>276</v>
      </c>
      <c r="K872" s="50" t="s">
        <v>275</v>
      </c>
      <c r="L872" s="38"/>
      <c r="M872" s="38"/>
      <c r="N872" s="38"/>
      <c r="O872" s="38"/>
      <c r="P872" s="38"/>
      <c r="Q872" s="38"/>
      <c r="R872" s="38"/>
      <c r="S872" s="38"/>
      <c r="T872" s="38"/>
      <c r="U872" s="33">
        <f t="shared" si="65"/>
        <v>2</v>
      </c>
      <c r="V872" s="33">
        <f t="shared" si="66"/>
        <v>1</v>
      </c>
      <c r="W872" s="33">
        <f t="shared" si="67"/>
        <v>0</v>
      </c>
      <c r="X872" s="33">
        <f t="shared" si="68"/>
        <v>0</v>
      </c>
      <c r="Y872" s="33">
        <f ca="1">SUMPRODUCT((I872:INDEX(I872:T872,MONTH(TODAY()))="X")*1)</f>
        <v>0</v>
      </c>
      <c r="Z872" s="39">
        <f t="shared" si="69"/>
        <v>0.5</v>
      </c>
    </row>
    <row r="873" spans="1:26" x14ac:dyDescent="0.25">
      <c r="A873" s="37" t="str">
        <f>Equipos!C871</f>
        <v>2-121535</v>
      </c>
      <c r="B873" s="33" t="str">
        <f>Equipos!D871</f>
        <v>Monitor Multiparámetros</v>
      </c>
      <c r="C873" s="33" t="str">
        <f>Equipos!E871</f>
        <v>Medicina</v>
      </c>
      <c r="D873" s="33" t="str">
        <f>Equipos!G871</f>
        <v>598-2</v>
      </c>
      <c r="E873" s="33" t="str">
        <f>Equipos!I871</f>
        <v>Bistos</v>
      </c>
      <c r="F873" s="33" t="str">
        <f>Equipos!J871</f>
        <v>BT-770</v>
      </c>
      <c r="G873" s="37" t="str">
        <f>Equipos!K871</f>
        <v>DGM40032</v>
      </c>
      <c r="H873" s="33"/>
      <c r="I873" s="38"/>
      <c r="J873" s="50" t="s">
        <v>275</v>
      </c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3">
        <f t="shared" si="65"/>
        <v>1</v>
      </c>
      <c r="V873" s="33">
        <f t="shared" si="66"/>
        <v>1</v>
      </c>
      <c r="W873" s="33">
        <f t="shared" si="67"/>
        <v>0</v>
      </c>
      <c r="X873" s="33">
        <f t="shared" si="68"/>
        <v>0</v>
      </c>
      <c r="Y873" s="33">
        <f ca="1">SUMPRODUCT((I873:INDEX(I873:T873,MONTH(TODAY()))="X")*1)</f>
        <v>0</v>
      </c>
      <c r="Z873" s="39">
        <f t="shared" si="69"/>
        <v>1</v>
      </c>
    </row>
    <row r="874" spans="1:26" x14ac:dyDescent="0.25">
      <c r="A874" s="37" t="str">
        <f>Equipos!C872</f>
        <v>2-121536</v>
      </c>
      <c r="B874" s="33" t="str">
        <f>Equipos!D872</f>
        <v>Monitor Multiparámetros</v>
      </c>
      <c r="C874" s="33" t="str">
        <f>Equipos!E872</f>
        <v>Pediatría</v>
      </c>
      <c r="D874" s="33" t="str">
        <f>Equipos!G872</f>
        <v>EP 699</v>
      </c>
      <c r="E874" s="33" t="str">
        <f>Equipos!I872</f>
        <v>Bistos</v>
      </c>
      <c r="F874" s="33" t="str">
        <f>Equipos!J872</f>
        <v>BT-770</v>
      </c>
      <c r="G874" s="37" t="str">
        <f>Equipos!K872</f>
        <v>DGM40040</v>
      </c>
      <c r="H874" s="33"/>
      <c r="I874" s="50" t="s">
        <v>278</v>
      </c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3">
        <f t="shared" si="65"/>
        <v>1</v>
      </c>
      <c r="V874" s="33">
        <f t="shared" si="66"/>
        <v>0</v>
      </c>
      <c r="W874" s="33">
        <f t="shared" si="67"/>
        <v>0</v>
      </c>
      <c r="X874" s="33">
        <f t="shared" si="68"/>
        <v>1</v>
      </c>
      <c r="Y874" s="33">
        <f ca="1">SUMPRODUCT((I874:INDEX(I874:T874,MONTH(TODAY()))="X")*1)</f>
        <v>0</v>
      </c>
      <c r="Z874" s="39">
        <f t="shared" si="69"/>
        <v>0</v>
      </c>
    </row>
    <row r="875" spans="1:26" x14ac:dyDescent="0.25">
      <c r="A875" s="37" t="str">
        <f>Equipos!C873</f>
        <v>2-121537</v>
      </c>
      <c r="B875" s="33" t="str">
        <f>Equipos!D873</f>
        <v>Monitor Multiparámetros</v>
      </c>
      <c r="C875" s="33" t="str">
        <f>Equipos!E873</f>
        <v>Pediatría</v>
      </c>
      <c r="D875" s="33" t="str">
        <f>Equipos!G873</f>
        <v>Lactantes</v>
      </c>
      <c r="E875" s="33" t="str">
        <f>Equipos!I873</f>
        <v>Bistos</v>
      </c>
      <c r="F875" s="33" t="str">
        <f>Equipos!J873</f>
        <v>BT-770</v>
      </c>
      <c r="G875" s="37" t="str">
        <f>Equipos!K873</f>
        <v>DGM40021</v>
      </c>
      <c r="H875" s="33"/>
      <c r="I875" s="50" t="s">
        <v>278</v>
      </c>
      <c r="J875" s="50" t="s">
        <v>275</v>
      </c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3">
        <f t="shared" si="65"/>
        <v>2</v>
      </c>
      <c r="V875" s="33">
        <f t="shared" si="66"/>
        <v>1</v>
      </c>
      <c r="W875" s="33">
        <f t="shared" si="67"/>
        <v>0</v>
      </c>
      <c r="X875" s="33">
        <f t="shared" si="68"/>
        <v>1</v>
      </c>
      <c r="Y875" s="33">
        <f ca="1">SUMPRODUCT((I875:INDEX(I875:T875,MONTH(TODAY()))="X")*1)</f>
        <v>0</v>
      </c>
      <c r="Z875" s="39">
        <f t="shared" si="69"/>
        <v>0.5</v>
      </c>
    </row>
    <row r="876" spans="1:26" x14ac:dyDescent="0.25">
      <c r="A876" s="37" t="str">
        <f>Equipos!C874</f>
        <v>2-121538</v>
      </c>
      <c r="B876" s="33" t="str">
        <f>Equipos!D874</f>
        <v>Monitor Multiparámetros</v>
      </c>
      <c r="C876" s="33" t="str">
        <f>Equipos!E874</f>
        <v>Pediatría</v>
      </c>
      <c r="D876" s="33" t="str">
        <f>Equipos!G874</f>
        <v>Lactantes</v>
      </c>
      <c r="E876" s="33" t="str">
        <f>Equipos!I874</f>
        <v>Bistos</v>
      </c>
      <c r="F876" s="33" t="str">
        <f>Equipos!J874</f>
        <v>BT-770</v>
      </c>
      <c r="G876" s="37" t="str">
        <f>Equipos!K874</f>
        <v>DGM40036</v>
      </c>
      <c r="H876" s="33"/>
      <c r="I876" s="50" t="s">
        <v>278</v>
      </c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3">
        <f t="shared" si="65"/>
        <v>1</v>
      </c>
      <c r="V876" s="33">
        <f t="shared" si="66"/>
        <v>0</v>
      </c>
      <c r="W876" s="33">
        <f t="shared" si="67"/>
        <v>0</v>
      </c>
      <c r="X876" s="33">
        <f t="shared" si="68"/>
        <v>1</v>
      </c>
      <c r="Y876" s="33">
        <f ca="1">SUMPRODUCT((I876:INDEX(I876:T876,MONTH(TODAY()))="X")*1)</f>
        <v>0</v>
      </c>
      <c r="Z876" s="39">
        <f t="shared" si="69"/>
        <v>0</v>
      </c>
    </row>
    <row r="877" spans="1:26" x14ac:dyDescent="0.25">
      <c r="A877" s="37" t="str">
        <f>Equipos!C875</f>
        <v>2-121539</v>
      </c>
      <c r="B877" s="33" t="str">
        <f>Equipos!D875</f>
        <v>Monitor Multiparámetros</v>
      </c>
      <c r="C877" s="33" t="str">
        <f>Equipos!E875</f>
        <v>Pediatría</v>
      </c>
      <c r="D877" s="33" t="str">
        <f>Equipos!G875</f>
        <v>EP 699</v>
      </c>
      <c r="E877" s="33" t="str">
        <f>Equipos!I875</f>
        <v>Bistos</v>
      </c>
      <c r="F877" s="33" t="str">
        <f>Equipos!J875</f>
        <v>BT-770</v>
      </c>
      <c r="G877" s="37" t="str">
        <f>Equipos!K875</f>
        <v>DGM40015</v>
      </c>
      <c r="H877" s="33"/>
      <c r="I877" s="50" t="s">
        <v>278</v>
      </c>
      <c r="J877" s="50" t="s">
        <v>275</v>
      </c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3">
        <f t="shared" si="65"/>
        <v>2</v>
      </c>
      <c r="V877" s="33">
        <f t="shared" si="66"/>
        <v>1</v>
      </c>
      <c r="W877" s="33">
        <f t="shared" si="67"/>
        <v>0</v>
      </c>
      <c r="X877" s="33">
        <f t="shared" si="68"/>
        <v>1</v>
      </c>
      <c r="Y877" s="33">
        <f ca="1">SUMPRODUCT((I877:INDEX(I877:T877,MONTH(TODAY()))="X")*1)</f>
        <v>0</v>
      </c>
      <c r="Z877" s="39">
        <f t="shared" si="69"/>
        <v>0.5</v>
      </c>
    </row>
    <row r="878" spans="1:26" x14ac:dyDescent="0.25">
      <c r="A878" s="37" t="str">
        <f>Equipos!C876</f>
        <v>2-121540</v>
      </c>
      <c r="B878" s="33" t="str">
        <f>Equipos!D876</f>
        <v>Monitor Multiparámetros</v>
      </c>
      <c r="C878" s="33" t="str">
        <f>Equipos!E876</f>
        <v>Pediatría</v>
      </c>
      <c r="D878" s="33">
        <f>Equipos!G876</f>
        <v>0</v>
      </c>
      <c r="E878" s="33" t="str">
        <f>Equipos!I876</f>
        <v>Bistos</v>
      </c>
      <c r="F878" s="33" t="str">
        <f>Equipos!J876</f>
        <v>BT-770</v>
      </c>
      <c r="G878" s="37" t="str">
        <f>Equipos!K876</f>
        <v>DGM40031</v>
      </c>
      <c r="H878" s="33"/>
      <c r="I878" s="50" t="s">
        <v>276</v>
      </c>
      <c r="J878" s="50" t="s">
        <v>275</v>
      </c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3">
        <f t="shared" si="65"/>
        <v>2</v>
      </c>
      <c r="V878" s="33">
        <f t="shared" si="66"/>
        <v>1</v>
      </c>
      <c r="W878" s="33">
        <f t="shared" si="67"/>
        <v>0</v>
      </c>
      <c r="X878" s="33">
        <f t="shared" si="68"/>
        <v>0</v>
      </c>
      <c r="Y878" s="33">
        <f ca="1">SUMPRODUCT((I878:INDEX(I878:T878,MONTH(TODAY()))="X")*1)</f>
        <v>0</v>
      </c>
      <c r="Z878" s="39">
        <f t="shared" si="69"/>
        <v>0.5</v>
      </c>
    </row>
    <row r="879" spans="1:26" x14ac:dyDescent="0.25">
      <c r="A879" s="37" t="str">
        <f>Equipos!C877</f>
        <v>2-121541</v>
      </c>
      <c r="B879" s="33" t="str">
        <f>Equipos!D877</f>
        <v>Monitor Multiparámetros</v>
      </c>
      <c r="C879" s="33" t="str">
        <f>Equipos!E877</f>
        <v>Pediatría</v>
      </c>
      <c r="D879" s="33" t="str">
        <f>Equipos!G877</f>
        <v>EP 696</v>
      </c>
      <c r="E879" s="33" t="str">
        <f>Equipos!I877</f>
        <v>Bistos</v>
      </c>
      <c r="F879" s="33" t="str">
        <f>Equipos!J877</f>
        <v>BT-770</v>
      </c>
      <c r="G879" s="37" t="str">
        <f>Equipos!K877</f>
        <v>DGM40038</v>
      </c>
      <c r="H879" s="33"/>
      <c r="I879" s="50" t="s">
        <v>276</v>
      </c>
      <c r="J879" s="50" t="s">
        <v>275</v>
      </c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3">
        <f t="shared" si="65"/>
        <v>2</v>
      </c>
      <c r="V879" s="33">
        <f t="shared" si="66"/>
        <v>1</v>
      </c>
      <c r="W879" s="33">
        <f t="shared" si="67"/>
        <v>0</v>
      </c>
      <c r="X879" s="33">
        <f t="shared" si="68"/>
        <v>0</v>
      </c>
      <c r="Y879" s="33">
        <f ca="1">SUMPRODUCT((I879:INDEX(I879:T879,MONTH(TODAY()))="X")*1)</f>
        <v>0</v>
      </c>
      <c r="Z879" s="39">
        <f t="shared" si="69"/>
        <v>0.5</v>
      </c>
    </row>
    <row r="880" spans="1:26" x14ac:dyDescent="0.25">
      <c r="A880" s="37" t="str">
        <f>Equipos!C878</f>
        <v>2-121542</v>
      </c>
      <c r="B880" s="33" t="str">
        <f>Equipos!D878</f>
        <v>Monitor Multiparámetros</v>
      </c>
      <c r="C880" s="33" t="str">
        <f>Equipos!E878</f>
        <v>Pediatría</v>
      </c>
      <c r="D880" s="33" t="str">
        <f>Equipos!G878</f>
        <v>TB 605</v>
      </c>
      <c r="E880" s="33" t="str">
        <f>Equipos!I878</f>
        <v>Bistos</v>
      </c>
      <c r="F880" s="33" t="str">
        <f>Equipos!J878</f>
        <v>BT-770</v>
      </c>
      <c r="G880" s="37" t="str">
        <f>Equipos!K878</f>
        <v>DGM40030</v>
      </c>
      <c r="H880" s="33"/>
      <c r="I880" s="50" t="s">
        <v>276</v>
      </c>
      <c r="J880" s="50" t="s">
        <v>275</v>
      </c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3">
        <f t="shared" si="65"/>
        <v>2</v>
      </c>
      <c r="V880" s="33">
        <f t="shared" si="66"/>
        <v>1</v>
      </c>
      <c r="W880" s="33">
        <f t="shared" si="67"/>
        <v>0</v>
      </c>
      <c r="X880" s="33">
        <f t="shared" si="68"/>
        <v>0</v>
      </c>
      <c r="Y880" s="33">
        <f ca="1">SUMPRODUCT((I880:INDEX(I880:T880,MONTH(TODAY()))="X")*1)</f>
        <v>0</v>
      </c>
      <c r="Z880" s="39">
        <f t="shared" si="69"/>
        <v>0.5</v>
      </c>
    </row>
    <row r="881" spans="1:26" x14ac:dyDescent="0.25">
      <c r="A881" s="37" t="str">
        <f>Equipos!C879</f>
        <v>2-121543</v>
      </c>
      <c r="B881" s="33" t="str">
        <f>Equipos!D879</f>
        <v>Monitor Multiparámetros</v>
      </c>
      <c r="C881" s="33" t="str">
        <f>Equipos!E879</f>
        <v>Pediatría</v>
      </c>
      <c r="D881" s="33" t="str">
        <f>Equipos!G879</f>
        <v>EP 695</v>
      </c>
      <c r="E881" s="33" t="str">
        <f>Equipos!I879</f>
        <v>Bistos</v>
      </c>
      <c r="F881" s="33" t="str">
        <f>Equipos!J879</f>
        <v>BT-770</v>
      </c>
      <c r="G881" s="37" t="str">
        <f>Equipos!K879</f>
        <v>DGM40029</v>
      </c>
      <c r="H881" s="33"/>
      <c r="I881" s="50" t="s">
        <v>276</v>
      </c>
      <c r="J881" s="50" t="s">
        <v>275</v>
      </c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3">
        <f t="shared" si="65"/>
        <v>2</v>
      </c>
      <c r="V881" s="33">
        <f t="shared" si="66"/>
        <v>1</v>
      </c>
      <c r="W881" s="33">
        <f t="shared" si="67"/>
        <v>0</v>
      </c>
      <c r="X881" s="33">
        <f t="shared" si="68"/>
        <v>0</v>
      </c>
      <c r="Y881" s="33">
        <f ca="1">SUMPRODUCT((I881:INDEX(I881:T881,MONTH(TODAY()))="X")*1)</f>
        <v>0</v>
      </c>
      <c r="Z881" s="39">
        <f t="shared" si="69"/>
        <v>0.5</v>
      </c>
    </row>
    <row r="882" spans="1:26" x14ac:dyDescent="0.25">
      <c r="A882" s="37" t="str">
        <f>Equipos!C880</f>
        <v>2-121564</v>
      </c>
      <c r="B882" s="33" t="str">
        <f>Equipos!D880</f>
        <v>Monitor Multiparámetros</v>
      </c>
      <c r="C882" s="33" t="str">
        <f>Equipos!E880</f>
        <v>Urgencias Gineco-Obstétricas</v>
      </c>
      <c r="D882" s="33" t="str">
        <f>Equipos!G880</f>
        <v>Preparto</v>
      </c>
      <c r="E882" s="33" t="str">
        <f>Equipos!I880</f>
        <v xml:space="preserve">Nihon Kohden </v>
      </c>
      <c r="F882" s="33" t="str">
        <f>Equipos!J880</f>
        <v>PVM-2701</v>
      </c>
      <c r="G882" s="37" t="str">
        <f>Equipos!K880</f>
        <v>132816</v>
      </c>
      <c r="H882" s="33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3">
        <f t="shared" si="65"/>
        <v>0</v>
      </c>
      <c r="V882" s="33">
        <f t="shared" si="66"/>
        <v>0</v>
      </c>
      <c r="W882" s="33">
        <f t="shared" si="67"/>
        <v>0</v>
      </c>
      <c r="X882" s="33">
        <f t="shared" si="68"/>
        <v>0</v>
      </c>
      <c r="Y882" s="33">
        <f ca="1">SUMPRODUCT((I882:INDEX(I882:T882,MONTH(TODAY()))="X")*1)</f>
        <v>0</v>
      </c>
      <c r="Z882" s="39" t="str">
        <f t="shared" si="69"/>
        <v/>
      </c>
    </row>
    <row r="883" spans="1:26" x14ac:dyDescent="0.25">
      <c r="A883" s="37" t="str">
        <f>Equipos!C881</f>
        <v>2-121565</v>
      </c>
      <c r="B883" s="33" t="str">
        <f>Equipos!D881</f>
        <v>Monitor Multiparámetros</v>
      </c>
      <c r="C883" s="33" t="str">
        <f>Equipos!E881</f>
        <v>Urgencias Gineco-Obstétricas</v>
      </c>
      <c r="D883" s="33" t="str">
        <f>Equipos!G881</f>
        <v>Preparto</v>
      </c>
      <c r="E883" s="33" t="str">
        <f>Equipos!I881</f>
        <v xml:space="preserve">Nihon Kohden </v>
      </c>
      <c r="F883" s="33" t="str">
        <f>Equipos!J881</f>
        <v>PVM-2701</v>
      </c>
      <c r="G883" s="37" t="str">
        <f>Equipos!K881</f>
        <v>132818</v>
      </c>
      <c r="H883" s="33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3">
        <f t="shared" si="65"/>
        <v>0</v>
      </c>
      <c r="V883" s="33">
        <f t="shared" si="66"/>
        <v>0</v>
      </c>
      <c r="W883" s="33">
        <f t="shared" si="67"/>
        <v>0</v>
      </c>
      <c r="X883" s="33">
        <f t="shared" si="68"/>
        <v>0</v>
      </c>
      <c r="Y883" s="33">
        <f ca="1">SUMPRODUCT((I883:INDEX(I883:T883,MONTH(TODAY()))="X")*1)</f>
        <v>0</v>
      </c>
      <c r="Z883" s="39" t="str">
        <f t="shared" si="69"/>
        <v/>
      </c>
    </row>
    <row r="884" spans="1:26" x14ac:dyDescent="0.25">
      <c r="A884" s="37" t="str">
        <f>Equipos!C882</f>
        <v>2-121566</v>
      </c>
      <c r="B884" s="33" t="str">
        <f>Equipos!D882</f>
        <v>Monitor Multiparámetros</v>
      </c>
      <c r="C884" s="33" t="str">
        <f>Equipos!E882</f>
        <v>Urgencias Gineco-Obstétricas</v>
      </c>
      <c r="D884" s="33" t="str">
        <f>Equipos!G882</f>
        <v>Preparto</v>
      </c>
      <c r="E884" s="33" t="str">
        <f>Equipos!I882</f>
        <v xml:space="preserve">Nihon Kohden </v>
      </c>
      <c r="F884" s="33" t="str">
        <f>Equipos!J882</f>
        <v>PVM-2701</v>
      </c>
      <c r="G884" s="37" t="str">
        <f>Equipos!K882</f>
        <v>132819</v>
      </c>
      <c r="H884" s="33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3">
        <f t="shared" si="65"/>
        <v>0</v>
      </c>
      <c r="V884" s="33">
        <f t="shared" si="66"/>
        <v>0</v>
      </c>
      <c r="W884" s="33">
        <f t="shared" si="67"/>
        <v>0</v>
      </c>
      <c r="X884" s="33">
        <f t="shared" si="68"/>
        <v>0</v>
      </c>
      <c r="Y884" s="33">
        <f ca="1">SUMPRODUCT((I884:INDEX(I884:T884,MONTH(TODAY()))="X")*1)</f>
        <v>0</v>
      </c>
      <c r="Z884" s="39" t="str">
        <f t="shared" si="69"/>
        <v/>
      </c>
    </row>
    <row r="885" spans="1:26" x14ac:dyDescent="0.25">
      <c r="A885" s="37" t="str">
        <f>Equipos!C883</f>
        <v>2-121691</v>
      </c>
      <c r="B885" s="33" t="str">
        <f>Equipos!D883</f>
        <v>Monitor Multiparámetros</v>
      </c>
      <c r="C885" s="33" t="str">
        <f>Equipos!E883</f>
        <v>Hemato Oncología Adulto</v>
      </c>
      <c r="D885" s="33">
        <f>Equipos!G883</f>
        <v>0</v>
      </c>
      <c r="E885" s="33" t="str">
        <f>Equipos!I883</f>
        <v xml:space="preserve">Nihon Kohden </v>
      </c>
      <c r="F885" s="33" t="str">
        <f>Equipos!J883</f>
        <v>PVM-4763K</v>
      </c>
      <c r="G885" s="37" t="str">
        <f>Equipos!K883</f>
        <v>2943</v>
      </c>
      <c r="H885" s="33"/>
      <c r="I885" s="38"/>
      <c r="J885" s="38"/>
      <c r="K885" s="50" t="s">
        <v>276</v>
      </c>
      <c r="L885" s="50" t="s">
        <v>275</v>
      </c>
      <c r="M885" s="38"/>
      <c r="N885" s="38"/>
      <c r="O885" s="38"/>
      <c r="P885" s="38"/>
      <c r="Q885" s="38"/>
      <c r="R885" s="38"/>
      <c r="S885" s="38"/>
      <c r="T885" s="38"/>
      <c r="U885" s="33">
        <f t="shared" si="65"/>
        <v>2</v>
      </c>
      <c r="V885" s="33">
        <f t="shared" si="66"/>
        <v>1</v>
      </c>
      <c r="W885" s="33">
        <f t="shared" si="67"/>
        <v>0</v>
      </c>
      <c r="X885" s="33">
        <f t="shared" si="68"/>
        <v>0</v>
      </c>
      <c r="Y885" s="33">
        <f ca="1">SUMPRODUCT((I885:INDEX(I885:T885,MONTH(TODAY()))="X")*1)</f>
        <v>0</v>
      </c>
      <c r="Z885" s="39">
        <f t="shared" si="69"/>
        <v>0.5</v>
      </c>
    </row>
    <row r="886" spans="1:26" x14ac:dyDescent="0.25">
      <c r="A886" s="37" t="str">
        <f>Equipos!C884</f>
        <v>2-121692</v>
      </c>
      <c r="B886" s="33" t="str">
        <f>Equipos!D884</f>
        <v>Monitor Multiparámetros</v>
      </c>
      <c r="C886" s="33" t="str">
        <f>Equipos!E884</f>
        <v>Hemato Oncología Adulto</v>
      </c>
      <c r="D886" s="33">
        <f>Equipos!G884</f>
        <v>0</v>
      </c>
      <c r="E886" s="33" t="str">
        <f>Equipos!I884</f>
        <v xml:space="preserve">Nihon Kohden </v>
      </c>
      <c r="F886" s="33" t="str">
        <f>Equipos!J884</f>
        <v>PVM-4763K</v>
      </c>
      <c r="G886" s="37" t="str">
        <f>Equipos!K884</f>
        <v>2731</v>
      </c>
      <c r="H886" s="33"/>
      <c r="I886" s="38"/>
      <c r="J886" s="50" t="s">
        <v>276</v>
      </c>
      <c r="K886" s="50" t="s">
        <v>278</v>
      </c>
      <c r="L886" s="38"/>
      <c r="M886" s="50" t="s">
        <v>275</v>
      </c>
      <c r="N886" s="38"/>
      <c r="O886" s="38"/>
      <c r="P886" s="38"/>
      <c r="Q886" s="38"/>
      <c r="R886" s="38"/>
      <c r="S886" s="38"/>
      <c r="T886" s="38"/>
      <c r="U886" s="33">
        <f t="shared" si="65"/>
        <v>3</v>
      </c>
      <c r="V886" s="33">
        <f t="shared" si="66"/>
        <v>1</v>
      </c>
      <c r="W886" s="33">
        <f t="shared" si="67"/>
        <v>0</v>
      </c>
      <c r="X886" s="33">
        <f t="shared" si="68"/>
        <v>1</v>
      </c>
      <c r="Y886" s="33">
        <f ca="1">SUMPRODUCT((I886:INDEX(I886:T886,MONTH(TODAY()))="X")*1)</f>
        <v>0</v>
      </c>
      <c r="Z886" s="39">
        <f t="shared" si="69"/>
        <v>0.33333333333333331</v>
      </c>
    </row>
    <row r="887" spans="1:26" x14ac:dyDescent="0.25">
      <c r="A887" s="37" t="str">
        <f>Equipos!C885</f>
        <v>2-121693</v>
      </c>
      <c r="B887" s="33" t="str">
        <f>Equipos!D885</f>
        <v>Monitor Multiparámetros</v>
      </c>
      <c r="C887" s="33" t="str">
        <f>Equipos!E885</f>
        <v>Hemato Oncología Adulto</v>
      </c>
      <c r="D887" s="33">
        <f>Equipos!G885</f>
        <v>0</v>
      </c>
      <c r="E887" s="33" t="str">
        <f>Equipos!I885</f>
        <v xml:space="preserve">Nihon Kohden </v>
      </c>
      <c r="F887" s="33" t="str">
        <f>Equipos!J885</f>
        <v>PVM-4763K</v>
      </c>
      <c r="G887" s="37" t="str">
        <f>Equipos!K885</f>
        <v>2915</v>
      </c>
      <c r="H887" s="33"/>
      <c r="I887" s="38"/>
      <c r="J887" s="38"/>
      <c r="K887" s="50" t="s">
        <v>278</v>
      </c>
      <c r="L887" s="38"/>
      <c r="M887" s="38"/>
      <c r="N887" s="38"/>
      <c r="O887" s="38"/>
      <c r="P887" s="38"/>
      <c r="Q887" s="38"/>
      <c r="R887" s="38"/>
      <c r="S887" s="38"/>
      <c r="T887" s="38"/>
      <c r="U887" s="33">
        <f t="shared" si="65"/>
        <v>1</v>
      </c>
      <c r="V887" s="33">
        <f t="shared" si="66"/>
        <v>0</v>
      </c>
      <c r="W887" s="33">
        <f t="shared" si="67"/>
        <v>0</v>
      </c>
      <c r="X887" s="33">
        <f t="shared" si="68"/>
        <v>1</v>
      </c>
      <c r="Y887" s="33">
        <f ca="1">SUMPRODUCT((I887:INDEX(I887:T887,MONTH(TODAY()))="X")*1)</f>
        <v>0</v>
      </c>
      <c r="Z887" s="39">
        <f t="shared" si="69"/>
        <v>0</v>
      </c>
    </row>
    <row r="888" spans="1:26" x14ac:dyDescent="0.25">
      <c r="A888" s="37" t="str">
        <f>Equipos!C886</f>
        <v>2-121694</v>
      </c>
      <c r="B888" s="33" t="str">
        <f>Equipos!D886</f>
        <v>Monitor Multiparámetros</v>
      </c>
      <c r="C888" s="33" t="str">
        <f>Equipos!E886</f>
        <v>Hemato Oncología Adulto</v>
      </c>
      <c r="D888" s="33">
        <f>Equipos!G886</f>
        <v>0</v>
      </c>
      <c r="E888" s="33" t="str">
        <f>Equipos!I886</f>
        <v xml:space="preserve">Nihon Kohden </v>
      </c>
      <c r="F888" s="33" t="str">
        <f>Equipos!J886</f>
        <v>PVM-4763K</v>
      </c>
      <c r="G888" s="37" t="str">
        <f>Equipos!K886</f>
        <v>02922.</v>
      </c>
      <c r="H888" s="33"/>
      <c r="I888" s="38"/>
      <c r="J888" s="38"/>
      <c r="K888" s="50" t="s">
        <v>276</v>
      </c>
      <c r="L888" s="50" t="s">
        <v>275</v>
      </c>
      <c r="M888" s="38"/>
      <c r="N888" s="38"/>
      <c r="O888" s="38"/>
      <c r="P888" s="38"/>
      <c r="Q888" s="38"/>
      <c r="R888" s="38"/>
      <c r="S888" s="38"/>
      <c r="T888" s="38"/>
      <c r="U888" s="33">
        <f t="shared" si="65"/>
        <v>2</v>
      </c>
      <c r="V888" s="33">
        <f t="shared" si="66"/>
        <v>1</v>
      </c>
      <c r="W888" s="33">
        <f t="shared" si="67"/>
        <v>0</v>
      </c>
      <c r="X888" s="33">
        <f t="shared" si="68"/>
        <v>0</v>
      </c>
      <c r="Y888" s="33">
        <f ca="1">SUMPRODUCT((I888:INDEX(I888:T888,MONTH(TODAY()))="X")*1)</f>
        <v>0</v>
      </c>
      <c r="Z888" s="39">
        <f t="shared" si="69"/>
        <v>0.5</v>
      </c>
    </row>
    <row r="889" spans="1:26" x14ac:dyDescent="0.25">
      <c r="A889" s="37" t="str">
        <f>Equipos!C887</f>
        <v>2-118718</v>
      </c>
      <c r="B889" s="33" t="str">
        <f>Equipos!D887</f>
        <v>Monitor Multiparámetros</v>
      </c>
      <c r="C889" s="33" t="str">
        <f>Equipos!E887</f>
        <v>Servicio Social</v>
      </c>
      <c r="D889" s="33" t="str">
        <f>Equipos!G887</f>
        <v>Domicilio</v>
      </c>
      <c r="E889" s="33" t="str">
        <f>Equipos!I887</f>
        <v>General Meditech</v>
      </c>
      <c r="F889" s="33" t="str">
        <f>Equipos!J887</f>
        <v>G3H</v>
      </c>
      <c r="G889" s="37" t="str">
        <f>Equipos!K887</f>
        <v>G3HQ40045</v>
      </c>
      <c r="H889" s="33"/>
      <c r="I889" s="38"/>
      <c r="J889" s="38"/>
      <c r="K889" s="38"/>
      <c r="L889" s="50" t="s">
        <v>276</v>
      </c>
      <c r="M889" s="50" t="s">
        <v>275</v>
      </c>
      <c r="N889" s="38"/>
      <c r="O889" s="38"/>
      <c r="P889" s="38"/>
      <c r="Q889" s="38"/>
      <c r="R889" s="38"/>
      <c r="S889" s="38"/>
      <c r="T889" s="38"/>
      <c r="U889" s="33">
        <f t="shared" si="65"/>
        <v>2</v>
      </c>
      <c r="V889" s="33">
        <f t="shared" si="66"/>
        <v>1</v>
      </c>
      <c r="W889" s="33">
        <f t="shared" si="67"/>
        <v>0</v>
      </c>
      <c r="X889" s="33">
        <f t="shared" si="68"/>
        <v>0</v>
      </c>
      <c r="Y889" s="33">
        <f ca="1">SUMPRODUCT((I889:INDEX(I889:T889,MONTH(TODAY()))="X")*1)</f>
        <v>0</v>
      </c>
      <c r="Z889" s="39">
        <f t="shared" si="69"/>
        <v>0.5</v>
      </c>
    </row>
    <row r="890" spans="1:26" x14ac:dyDescent="0.25">
      <c r="A890" s="37" t="str">
        <f>Equipos!C888</f>
        <v>2-117350</v>
      </c>
      <c r="B890" s="33" t="str">
        <f>Equipos!D888</f>
        <v>Monitor Multiparámetros</v>
      </c>
      <c r="C890" s="33" t="str">
        <f>Equipos!E888</f>
        <v>Servicio Social</v>
      </c>
      <c r="D890" s="33" t="str">
        <f>Equipos!G888</f>
        <v>Domicilio</v>
      </c>
      <c r="E890" s="33" t="str">
        <f>Equipos!I888</f>
        <v>General Meditech</v>
      </c>
      <c r="F890" s="33" t="str">
        <f>Equipos!J888</f>
        <v>G3F</v>
      </c>
      <c r="G890" s="37" t="str">
        <f>Equipos!K888</f>
        <v>G3FPB0029</v>
      </c>
      <c r="H890" s="33"/>
      <c r="I890" s="38"/>
      <c r="J890" s="38"/>
      <c r="K890" s="38"/>
      <c r="L890" s="50" t="s">
        <v>275</v>
      </c>
      <c r="M890" s="38"/>
      <c r="N890" s="38"/>
      <c r="O890" s="38"/>
      <c r="P890" s="38"/>
      <c r="Q890" s="38"/>
      <c r="R890" s="38"/>
      <c r="S890" s="38"/>
      <c r="T890" s="38"/>
      <c r="U890" s="33">
        <f t="shared" si="65"/>
        <v>1</v>
      </c>
      <c r="V890" s="33">
        <f t="shared" si="66"/>
        <v>1</v>
      </c>
      <c r="W890" s="33">
        <f t="shared" si="67"/>
        <v>0</v>
      </c>
      <c r="X890" s="33">
        <f t="shared" si="68"/>
        <v>0</v>
      </c>
      <c r="Y890" s="33">
        <f ca="1">SUMPRODUCT((I890:INDEX(I890:T890,MONTH(TODAY()))="X")*1)</f>
        <v>0</v>
      </c>
      <c r="Z890" s="39">
        <f t="shared" si="69"/>
        <v>1</v>
      </c>
    </row>
    <row r="891" spans="1:26" x14ac:dyDescent="0.25">
      <c r="A891" s="37" t="str">
        <f>Equipos!C889</f>
        <v>2-121711</v>
      </c>
      <c r="B891" s="33" t="str">
        <f>Equipos!D889</f>
        <v>Monitor Multiparámetros</v>
      </c>
      <c r="C891" s="33" t="str">
        <f>Equipos!E889</f>
        <v>CDT</v>
      </c>
      <c r="D891" s="33" t="str">
        <f>Equipos!G889</f>
        <v>Box 6</v>
      </c>
      <c r="E891" s="33" t="str">
        <f>Equipos!I889</f>
        <v>Philips</v>
      </c>
      <c r="F891" s="33" t="str">
        <f>Equipos!J889</f>
        <v>CM100</v>
      </c>
      <c r="G891" s="37" t="str">
        <f>Equipos!K889</f>
        <v>CN92392265</v>
      </c>
      <c r="H891" s="33"/>
      <c r="I891" s="38"/>
      <c r="J891" s="38"/>
      <c r="K891" s="50" t="s">
        <v>276</v>
      </c>
      <c r="L891" s="50" t="s">
        <v>275</v>
      </c>
      <c r="M891" s="38"/>
      <c r="N891" s="38"/>
      <c r="O891" s="38"/>
      <c r="P891" s="38"/>
      <c r="Q891" s="38"/>
      <c r="R891" s="38"/>
      <c r="S891" s="38"/>
      <c r="T891" s="38"/>
      <c r="U891" s="33">
        <f t="shared" si="65"/>
        <v>2</v>
      </c>
      <c r="V891" s="33">
        <f t="shared" si="66"/>
        <v>1</v>
      </c>
      <c r="W891" s="33">
        <f t="shared" si="67"/>
        <v>0</v>
      </c>
      <c r="X891" s="33">
        <f t="shared" si="68"/>
        <v>0</v>
      </c>
      <c r="Y891" s="33">
        <f ca="1">SUMPRODUCT((I891:INDEX(I891:T891,MONTH(TODAY()))="X")*1)</f>
        <v>0</v>
      </c>
      <c r="Z891" s="39">
        <f t="shared" si="69"/>
        <v>0.5</v>
      </c>
    </row>
    <row r="892" spans="1:26" x14ac:dyDescent="0.25">
      <c r="A892" s="37" t="str">
        <f>Equipos!C890</f>
        <v>2-121712</v>
      </c>
      <c r="B892" s="33" t="str">
        <f>Equipos!D890</f>
        <v>Monitor Multiparámetros</v>
      </c>
      <c r="C892" s="33" t="str">
        <f>Equipos!E890</f>
        <v>Quimioterapia Ambulatoria Adulto</v>
      </c>
      <c r="D892" s="33" t="str">
        <f>Equipos!G890</f>
        <v>EPC-P2</v>
      </c>
      <c r="E892" s="33" t="str">
        <f>Equipos!I890</f>
        <v>Philips</v>
      </c>
      <c r="F892" s="33" t="str">
        <f>Equipos!J890</f>
        <v>CM100</v>
      </c>
      <c r="G892" s="37" t="str">
        <f>Equipos!K890</f>
        <v>CN92373992</v>
      </c>
      <c r="H892" s="33"/>
      <c r="I892" s="38"/>
      <c r="J892" s="38"/>
      <c r="K892" s="50" t="s">
        <v>276</v>
      </c>
      <c r="L892" s="50" t="s">
        <v>275</v>
      </c>
      <c r="M892" s="38"/>
      <c r="N892" s="38"/>
      <c r="O892" s="38"/>
      <c r="P892" s="38"/>
      <c r="Q892" s="38"/>
      <c r="R892" s="38"/>
      <c r="S892" s="38"/>
      <c r="T892" s="38"/>
      <c r="U892" s="33">
        <f t="shared" si="65"/>
        <v>2</v>
      </c>
      <c r="V892" s="33">
        <f t="shared" si="66"/>
        <v>1</v>
      </c>
      <c r="W892" s="33">
        <f t="shared" si="67"/>
        <v>0</v>
      </c>
      <c r="X892" s="33">
        <f t="shared" si="68"/>
        <v>0</v>
      </c>
      <c r="Y892" s="33">
        <f ca="1">SUMPRODUCT((I892:INDEX(I892:T892,MONTH(TODAY()))="X")*1)</f>
        <v>0</v>
      </c>
      <c r="Z892" s="39">
        <f t="shared" si="69"/>
        <v>0.5</v>
      </c>
    </row>
    <row r="893" spans="1:26" x14ac:dyDescent="0.25">
      <c r="A893" s="37" t="str">
        <f>Equipos!C891</f>
        <v>2-121714</v>
      </c>
      <c r="B893" s="33" t="str">
        <f>Equipos!D891</f>
        <v>Monitor Multiparámetros</v>
      </c>
      <c r="C893" s="33" t="str">
        <f>Equipos!E891</f>
        <v>Quimioterapia Ambulatoria Adulto</v>
      </c>
      <c r="D893" s="33" t="str">
        <f>Equipos!G891</f>
        <v>EPC-P2</v>
      </c>
      <c r="E893" s="33" t="str">
        <f>Equipos!I891</f>
        <v>Philips</v>
      </c>
      <c r="F893" s="33" t="str">
        <f>Equipos!J891</f>
        <v>CM100</v>
      </c>
      <c r="G893" s="37" t="str">
        <f>Equipos!K891</f>
        <v>CN92392228</v>
      </c>
      <c r="H893" s="33"/>
      <c r="I893" s="38"/>
      <c r="J893" s="38"/>
      <c r="K893" s="50" t="s">
        <v>276</v>
      </c>
      <c r="L893" s="50" t="s">
        <v>275</v>
      </c>
      <c r="M893" s="38"/>
      <c r="N893" s="38"/>
      <c r="O893" s="38"/>
      <c r="P893" s="38"/>
      <c r="Q893" s="38"/>
      <c r="R893" s="38"/>
      <c r="S893" s="38"/>
      <c r="T893" s="38"/>
      <c r="U893" s="33">
        <f t="shared" si="65"/>
        <v>2</v>
      </c>
      <c r="V893" s="33">
        <f t="shared" si="66"/>
        <v>1</v>
      </c>
      <c r="W893" s="33">
        <f t="shared" si="67"/>
        <v>0</v>
      </c>
      <c r="X893" s="33">
        <f t="shared" si="68"/>
        <v>0</v>
      </c>
      <c r="Y893" s="33">
        <f ca="1">SUMPRODUCT((I893:INDEX(I893:T893,MONTH(TODAY()))="X")*1)</f>
        <v>0</v>
      </c>
      <c r="Z893" s="39">
        <f t="shared" si="69"/>
        <v>0.5</v>
      </c>
    </row>
    <row r="894" spans="1:26" x14ac:dyDescent="0.25">
      <c r="A894" s="37" t="str">
        <f>Equipos!C892</f>
        <v>2-121715</v>
      </c>
      <c r="B894" s="33" t="str">
        <f>Equipos!D892</f>
        <v>Monitor Multiparámetros</v>
      </c>
      <c r="C894" s="33" t="str">
        <f>Equipos!E892</f>
        <v>Quimioterapia Ambulatoria Adulto</v>
      </c>
      <c r="D894" s="33" t="str">
        <f>Equipos!G892</f>
        <v>EPC-P2</v>
      </c>
      <c r="E894" s="33" t="str">
        <f>Equipos!I892</f>
        <v>Philips</v>
      </c>
      <c r="F894" s="33" t="str">
        <f>Equipos!J892</f>
        <v>CM100</v>
      </c>
      <c r="G894" s="37" t="str">
        <f>Equipos!K892</f>
        <v>CN92392229</v>
      </c>
      <c r="H894" s="33"/>
      <c r="I894" s="38"/>
      <c r="J894" s="38"/>
      <c r="K894" s="50" t="s">
        <v>276</v>
      </c>
      <c r="L894" s="50" t="s">
        <v>275</v>
      </c>
      <c r="M894" s="38"/>
      <c r="N894" s="38"/>
      <c r="O894" s="38"/>
      <c r="P894" s="38"/>
      <c r="Q894" s="38"/>
      <c r="R894" s="38"/>
      <c r="S894" s="38"/>
      <c r="T894" s="38"/>
      <c r="U894" s="33">
        <f t="shared" si="65"/>
        <v>2</v>
      </c>
      <c r="V894" s="33">
        <f t="shared" si="66"/>
        <v>1</v>
      </c>
      <c r="W894" s="33">
        <f t="shared" si="67"/>
        <v>0</v>
      </c>
      <c r="X894" s="33">
        <f t="shared" si="68"/>
        <v>0</v>
      </c>
      <c r="Y894" s="33">
        <f ca="1">SUMPRODUCT((I894:INDEX(I894:T894,MONTH(TODAY()))="X")*1)</f>
        <v>0</v>
      </c>
      <c r="Z894" s="39">
        <f t="shared" si="69"/>
        <v>0.5</v>
      </c>
    </row>
    <row r="895" spans="1:26" x14ac:dyDescent="0.25">
      <c r="A895" s="37" t="str">
        <f>Equipos!C893</f>
        <v>2-121716</v>
      </c>
      <c r="B895" s="33" t="str">
        <f>Equipos!D893</f>
        <v>Monitor Multiparámetros</v>
      </c>
      <c r="C895" s="33" t="str">
        <f>Equipos!E893</f>
        <v>Quimioterapia Ambulatoria Adulto</v>
      </c>
      <c r="D895" s="33" t="str">
        <f>Equipos!G893</f>
        <v>EPC-P2</v>
      </c>
      <c r="E895" s="33" t="str">
        <f>Equipos!I893</f>
        <v>Philips</v>
      </c>
      <c r="F895" s="33" t="str">
        <f>Equipos!J893</f>
        <v>CM100</v>
      </c>
      <c r="G895" s="37" t="str">
        <f>Equipos!K893</f>
        <v>CN92392230</v>
      </c>
      <c r="H895" s="33"/>
      <c r="I895" s="38"/>
      <c r="J895" s="38"/>
      <c r="K895" s="50" t="s">
        <v>276</v>
      </c>
      <c r="L895" s="50" t="s">
        <v>275</v>
      </c>
      <c r="M895" s="38"/>
      <c r="N895" s="38"/>
      <c r="O895" s="38"/>
      <c r="P895" s="38"/>
      <c r="Q895" s="38"/>
      <c r="R895" s="38"/>
      <c r="S895" s="38"/>
      <c r="T895" s="38"/>
      <c r="U895" s="33">
        <f t="shared" si="65"/>
        <v>2</v>
      </c>
      <c r="V895" s="33">
        <f t="shared" si="66"/>
        <v>1</v>
      </c>
      <c r="W895" s="33">
        <f t="shared" si="67"/>
        <v>0</v>
      </c>
      <c r="X895" s="33">
        <f t="shared" si="68"/>
        <v>0</v>
      </c>
      <c r="Y895" s="33">
        <f ca="1">SUMPRODUCT((I895:INDEX(I895:T895,MONTH(TODAY()))="X")*1)</f>
        <v>0</v>
      </c>
      <c r="Z895" s="39">
        <f t="shared" si="69"/>
        <v>0.5</v>
      </c>
    </row>
    <row r="896" spans="1:26" x14ac:dyDescent="0.25">
      <c r="A896" s="37" t="str">
        <f>Equipos!C894</f>
        <v>2-121717</v>
      </c>
      <c r="B896" s="33" t="str">
        <f>Equipos!D894</f>
        <v>Monitor Multiparámetros</v>
      </c>
      <c r="C896" s="33" t="str">
        <f>Equipos!E894</f>
        <v>Quimioterapia Ambulatoria Adulto</v>
      </c>
      <c r="D896" s="33" t="str">
        <f>Equipos!G894</f>
        <v>EPC-P2</v>
      </c>
      <c r="E896" s="33" t="str">
        <f>Equipos!I894</f>
        <v>Philips</v>
      </c>
      <c r="F896" s="33" t="str">
        <f>Equipos!J894</f>
        <v>CM100</v>
      </c>
      <c r="G896" s="37" t="str">
        <f>Equipos!K894</f>
        <v>CN92392264</v>
      </c>
      <c r="H896" s="33"/>
      <c r="I896" s="38"/>
      <c r="J896" s="38"/>
      <c r="K896" s="50" t="s">
        <v>276</v>
      </c>
      <c r="L896" s="50" t="s">
        <v>275</v>
      </c>
      <c r="M896" s="38"/>
      <c r="N896" s="38"/>
      <c r="O896" s="38"/>
      <c r="P896" s="38"/>
      <c r="Q896" s="38"/>
      <c r="R896" s="38"/>
      <c r="S896" s="38"/>
      <c r="T896" s="38"/>
      <c r="U896" s="33">
        <f t="shared" si="65"/>
        <v>2</v>
      </c>
      <c r="V896" s="33">
        <f t="shared" si="66"/>
        <v>1</v>
      </c>
      <c r="W896" s="33">
        <f t="shared" si="67"/>
        <v>0</v>
      </c>
      <c r="X896" s="33">
        <f t="shared" si="68"/>
        <v>0</v>
      </c>
      <c r="Y896" s="33">
        <f ca="1">SUMPRODUCT((I896:INDEX(I896:T896,MONTH(TODAY()))="X")*1)</f>
        <v>0</v>
      </c>
      <c r="Z896" s="39">
        <f t="shared" si="69"/>
        <v>0.5</v>
      </c>
    </row>
    <row r="897" spans="1:26" x14ac:dyDescent="0.25">
      <c r="A897" s="37" t="str">
        <f>Equipos!C895</f>
        <v>2-121791</v>
      </c>
      <c r="B897" s="33" t="str">
        <f>Equipos!D895</f>
        <v>Monitor Multiparámetros</v>
      </c>
      <c r="C897" s="33" t="str">
        <f>Equipos!E895</f>
        <v>Endoscopía</v>
      </c>
      <c r="D897" s="33">
        <f>Equipos!G895</f>
        <v>0</v>
      </c>
      <c r="E897" s="33" t="str">
        <f>Equipos!I895</f>
        <v>Philips</v>
      </c>
      <c r="F897" s="33" t="str">
        <f>Equipos!J895</f>
        <v>CM120</v>
      </c>
      <c r="G897" s="37" t="str">
        <f>Equipos!K895</f>
        <v>CN92395201</v>
      </c>
      <c r="H897" s="33"/>
      <c r="I897" s="38"/>
      <c r="J897" s="38"/>
      <c r="K897" s="50" t="s">
        <v>276</v>
      </c>
      <c r="L897" s="50" t="s">
        <v>275</v>
      </c>
      <c r="M897" s="38"/>
      <c r="N897" s="38"/>
      <c r="O897" s="38"/>
      <c r="P897" s="38"/>
      <c r="Q897" s="38"/>
      <c r="R897" s="38"/>
      <c r="S897" s="38"/>
      <c r="T897" s="38"/>
      <c r="U897" s="33">
        <f t="shared" si="65"/>
        <v>2</v>
      </c>
      <c r="V897" s="33">
        <f t="shared" si="66"/>
        <v>1</v>
      </c>
      <c r="W897" s="33">
        <f t="shared" si="67"/>
        <v>0</v>
      </c>
      <c r="X897" s="33">
        <f t="shared" si="68"/>
        <v>0</v>
      </c>
      <c r="Y897" s="33">
        <f ca="1">SUMPRODUCT((I897:INDEX(I897:T897,MONTH(TODAY()))="X")*1)</f>
        <v>0</v>
      </c>
      <c r="Z897" s="39">
        <f t="shared" si="69"/>
        <v>0.5</v>
      </c>
    </row>
    <row r="898" spans="1:26" x14ac:dyDescent="0.25">
      <c r="A898" s="37" t="str">
        <f>Equipos!C896</f>
        <v>2-121792</v>
      </c>
      <c r="B898" s="33" t="str">
        <f>Equipos!D896</f>
        <v>Monitor Multiparámetros</v>
      </c>
      <c r="C898" s="33" t="str">
        <f>Equipos!E896</f>
        <v>Endoscopía</v>
      </c>
      <c r="D898" s="33">
        <f>Equipos!G896</f>
        <v>0</v>
      </c>
      <c r="E898" s="33" t="str">
        <f>Equipos!I896</f>
        <v>Philips</v>
      </c>
      <c r="F898" s="33" t="str">
        <f>Equipos!J896</f>
        <v>CM120</v>
      </c>
      <c r="G898" s="37" t="str">
        <f>Equipos!K896</f>
        <v>CN92395203</v>
      </c>
      <c r="H898" s="33"/>
      <c r="I898" s="38"/>
      <c r="J898" s="38"/>
      <c r="K898" s="50" t="s">
        <v>276</v>
      </c>
      <c r="L898" s="50" t="s">
        <v>275</v>
      </c>
      <c r="M898" s="38"/>
      <c r="N898" s="38"/>
      <c r="O898" s="38"/>
      <c r="P898" s="38"/>
      <c r="Q898" s="38"/>
      <c r="R898" s="38"/>
      <c r="S898" s="38"/>
      <c r="T898" s="38"/>
      <c r="U898" s="33">
        <f t="shared" si="65"/>
        <v>2</v>
      </c>
      <c r="V898" s="33">
        <f t="shared" si="66"/>
        <v>1</v>
      </c>
      <c r="W898" s="33">
        <f t="shared" si="67"/>
        <v>0</v>
      </c>
      <c r="X898" s="33">
        <f t="shared" si="68"/>
        <v>0</v>
      </c>
      <c r="Y898" s="33">
        <f ca="1">SUMPRODUCT((I898:INDEX(I898:T898,MONTH(TODAY()))="X")*1)</f>
        <v>0</v>
      </c>
      <c r="Z898" s="39">
        <f t="shared" si="69"/>
        <v>0.5</v>
      </c>
    </row>
    <row r="899" spans="1:26" x14ac:dyDescent="0.25">
      <c r="A899" s="37" t="str">
        <f>Equipos!C897</f>
        <v>2-121554</v>
      </c>
      <c r="B899" s="33" t="str">
        <f>Equipos!D897</f>
        <v>Monitor Multiparámetros</v>
      </c>
      <c r="C899" s="33" t="str">
        <f>Equipos!E897</f>
        <v>Urgencia Infantil</v>
      </c>
      <c r="D899" s="33" t="str">
        <f>Equipos!G897</f>
        <v>SUI Box 2</v>
      </c>
      <c r="E899" s="33" t="str">
        <f>Equipos!I897</f>
        <v xml:space="preserve">Nihon Kohden </v>
      </c>
      <c r="F899" s="33" t="str">
        <f>Equipos!J897</f>
        <v>PVM-2701</v>
      </c>
      <c r="G899" s="37" t="str">
        <f>Equipos!K897</f>
        <v>0132821.</v>
      </c>
      <c r="H899" s="33"/>
      <c r="I899" s="38"/>
      <c r="J899" s="38"/>
      <c r="K899" s="50" t="s">
        <v>275</v>
      </c>
      <c r="L899" s="38"/>
      <c r="M899" s="38"/>
      <c r="N899" s="38"/>
      <c r="O899" s="38"/>
      <c r="P899" s="38"/>
      <c r="Q899" s="38"/>
      <c r="R899" s="38"/>
      <c r="S899" s="38"/>
      <c r="T899" s="38"/>
      <c r="U899" s="33">
        <f t="shared" si="65"/>
        <v>1</v>
      </c>
      <c r="V899" s="33">
        <f t="shared" si="66"/>
        <v>1</v>
      </c>
      <c r="W899" s="33">
        <f t="shared" si="67"/>
        <v>0</v>
      </c>
      <c r="X899" s="33">
        <f t="shared" si="68"/>
        <v>0</v>
      </c>
      <c r="Y899" s="33">
        <f ca="1">SUMPRODUCT((I899:INDEX(I899:T899,MONTH(TODAY()))="X")*1)</f>
        <v>0</v>
      </c>
      <c r="Z899" s="39">
        <f t="shared" si="69"/>
        <v>1</v>
      </c>
    </row>
    <row r="900" spans="1:26" x14ac:dyDescent="0.25">
      <c r="A900" s="37" t="str">
        <f>Equipos!C898</f>
        <v>2-121555</v>
      </c>
      <c r="B900" s="33" t="str">
        <f>Equipos!D898</f>
        <v>Monitor Multiparámetros</v>
      </c>
      <c r="C900" s="33" t="str">
        <f>Equipos!E898</f>
        <v>Urgencia Infantil</v>
      </c>
      <c r="D900" s="33" t="str">
        <f>Equipos!G898</f>
        <v>SUI Box 3</v>
      </c>
      <c r="E900" s="33" t="str">
        <f>Equipos!I898</f>
        <v xml:space="preserve">Nihon Kohden </v>
      </c>
      <c r="F900" s="33" t="str">
        <f>Equipos!J898</f>
        <v>PVM-2701</v>
      </c>
      <c r="G900" s="37" t="str">
        <f>Equipos!K898</f>
        <v>0132822.</v>
      </c>
      <c r="H900" s="33"/>
      <c r="I900" s="38"/>
      <c r="J900" s="38"/>
      <c r="K900" s="50" t="s">
        <v>275</v>
      </c>
      <c r="L900" s="38"/>
      <c r="M900" s="38"/>
      <c r="N900" s="38"/>
      <c r="O900" s="38"/>
      <c r="P900" s="38"/>
      <c r="Q900" s="38"/>
      <c r="R900" s="38"/>
      <c r="S900" s="38"/>
      <c r="T900" s="38"/>
      <c r="U900" s="33">
        <f t="shared" ref="U900:U963" si="70">V900+W900+X900+COUNTIF(I900:T900,"R")</f>
        <v>1</v>
      </c>
      <c r="V900" s="33">
        <f t="shared" ref="V900:V963" si="71">COUNTIF(I900:T900,"E")</f>
        <v>1</v>
      </c>
      <c r="W900" s="33">
        <f t="shared" ref="W900:W963" si="72">COUNTIF(I900:T900,"X")</f>
        <v>0</v>
      </c>
      <c r="X900" s="33">
        <f t="shared" ref="X900:X963" si="73">COUNTIF(I900:T900,"C2")+COUNTIF(I900:T900,"C3")</f>
        <v>0</v>
      </c>
      <c r="Y900" s="33">
        <f ca="1">SUMPRODUCT((I900:INDEX(I900:T900,MONTH(TODAY()))="X")*1)</f>
        <v>0</v>
      </c>
      <c r="Z900" s="39">
        <f t="shared" ref="Z900:Z963" si="74">IFERROR(V900/U900,"")</f>
        <v>1</v>
      </c>
    </row>
    <row r="901" spans="1:26" x14ac:dyDescent="0.25">
      <c r="A901" s="37" t="str">
        <f>Equipos!C899</f>
        <v>2-121556</v>
      </c>
      <c r="B901" s="33" t="str">
        <f>Equipos!D899</f>
        <v>Monitor Multiparámetros</v>
      </c>
      <c r="C901" s="33" t="str">
        <f>Equipos!E899</f>
        <v>Urgencia Infantil</v>
      </c>
      <c r="D901" s="33" t="str">
        <f>Equipos!G899</f>
        <v>SUI IRA</v>
      </c>
      <c r="E901" s="33" t="str">
        <f>Equipos!I899</f>
        <v xml:space="preserve">Nihon Kohden </v>
      </c>
      <c r="F901" s="33" t="str">
        <f>Equipos!J899</f>
        <v>PVM-2701</v>
      </c>
      <c r="G901" s="37" t="str">
        <f>Equipos!K899</f>
        <v>0132823.</v>
      </c>
      <c r="H901" s="33"/>
      <c r="I901" s="38"/>
      <c r="J901" s="38"/>
      <c r="K901" s="50" t="s">
        <v>275</v>
      </c>
      <c r="L901" s="38"/>
      <c r="M901" s="38"/>
      <c r="N901" s="38"/>
      <c r="O901" s="38"/>
      <c r="P901" s="38"/>
      <c r="Q901" s="38"/>
      <c r="R901" s="38"/>
      <c r="S901" s="38"/>
      <c r="T901" s="38"/>
      <c r="U901" s="33">
        <f t="shared" si="70"/>
        <v>1</v>
      </c>
      <c r="V901" s="33">
        <f t="shared" si="71"/>
        <v>1</v>
      </c>
      <c r="W901" s="33">
        <f t="shared" si="72"/>
        <v>0</v>
      </c>
      <c r="X901" s="33">
        <f t="shared" si="73"/>
        <v>0</v>
      </c>
      <c r="Y901" s="33">
        <f ca="1">SUMPRODUCT((I901:INDEX(I901:T901,MONTH(TODAY()))="X")*1)</f>
        <v>0</v>
      </c>
      <c r="Z901" s="39">
        <f t="shared" si="74"/>
        <v>1</v>
      </c>
    </row>
    <row r="902" spans="1:26" x14ac:dyDescent="0.25">
      <c r="A902" s="37" t="str">
        <f>Equipos!C900</f>
        <v>2-121557</v>
      </c>
      <c r="B902" s="33" t="str">
        <f>Equipos!D900</f>
        <v>Monitor Multiparámetros</v>
      </c>
      <c r="C902" s="33" t="str">
        <f>Equipos!E900</f>
        <v>Urgencia Infantil</v>
      </c>
      <c r="D902" s="33" t="str">
        <f>Equipos!G900</f>
        <v>SUI Observaci√≥n</v>
      </c>
      <c r="E902" s="33" t="str">
        <f>Equipos!I900</f>
        <v xml:space="preserve">Nihon Kohden </v>
      </c>
      <c r="F902" s="33" t="str">
        <f>Equipos!J900</f>
        <v>PVM-2701</v>
      </c>
      <c r="G902" s="37" t="str">
        <f>Equipos!K900</f>
        <v>0132824.</v>
      </c>
      <c r="H902" s="33"/>
      <c r="I902" s="38"/>
      <c r="J902" s="38"/>
      <c r="K902" s="50" t="s">
        <v>275</v>
      </c>
      <c r="L902" s="38"/>
      <c r="M902" s="38"/>
      <c r="N902" s="38"/>
      <c r="O902" s="38"/>
      <c r="P902" s="38"/>
      <c r="Q902" s="38"/>
      <c r="R902" s="38"/>
      <c r="S902" s="38"/>
      <c r="T902" s="38"/>
      <c r="U902" s="33">
        <f t="shared" si="70"/>
        <v>1</v>
      </c>
      <c r="V902" s="33">
        <f t="shared" si="71"/>
        <v>1</v>
      </c>
      <c r="W902" s="33">
        <f t="shared" si="72"/>
        <v>0</v>
      </c>
      <c r="X902" s="33">
        <f t="shared" si="73"/>
        <v>0</v>
      </c>
      <c r="Y902" s="33">
        <f ca="1">SUMPRODUCT((I902:INDEX(I902:T902,MONTH(TODAY()))="X")*1)</f>
        <v>0</v>
      </c>
      <c r="Z902" s="39">
        <f t="shared" si="74"/>
        <v>1</v>
      </c>
    </row>
    <row r="903" spans="1:26" x14ac:dyDescent="0.25">
      <c r="A903" s="37" t="str">
        <f>Equipos!C901</f>
        <v>2-121558</v>
      </c>
      <c r="B903" s="33" t="str">
        <f>Equipos!D901</f>
        <v>Monitor Multiparámetros</v>
      </c>
      <c r="C903" s="33" t="str">
        <f>Equipos!E901</f>
        <v>Urgencia Infantil</v>
      </c>
      <c r="D903" s="33" t="str">
        <f>Equipos!G901</f>
        <v>SUI Box 4</v>
      </c>
      <c r="E903" s="33" t="str">
        <f>Equipos!I901</f>
        <v xml:space="preserve">Nihon Kohden </v>
      </c>
      <c r="F903" s="33" t="str">
        <f>Equipos!J901</f>
        <v>PVM-2701</v>
      </c>
      <c r="G903" s="37" t="str">
        <f>Equipos!K901</f>
        <v>0132825.</v>
      </c>
      <c r="H903" s="33"/>
      <c r="I903" s="38"/>
      <c r="J903" s="38"/>
      <c r="K903" s="50" t="s">
        <v>275</v>
      </c>
      <c r="L903" s="38"/>
      <c r="M903" s="38"/>
      <c r="N903" s="38"/>
      <c r="O903" s="38"/>
      <c r="P903" s="38"/>
      <c r="Q903" s="38"/>
      <c r="R903" s="38"/>
      <c r="S903" s="38"/>
      <c r="T903" s="38"/>
      <c r="U903" s="33">
        <f t="shared" si="70"/>
        <v>1</v>
      </c>
      <c r="V903" s="33">
        <f t="shared" si="71"/>
        <v>1</v>
      </c>
      <c r="W903" s="33">
        <f t="shared" si="72"/>
        <v>0</v>
      </c>
      <c r="X903" s="33">
        <f t="shared" si="73"/>
        <v>0</v>
      </c>
      <c r="Y903" s="33">
        <f ca="1">SUMPRODUCT((I903:INDEX(I903:T903,MONTH(TODAY()))="X")*1)</f>
        <v>0</v>
      </c>
      <c r="Z903" s="39">
        <f t="shared" si="74"/>
        <v>1</v>
      </c>
    </row>
    <row r="904" spans="1:26" x14ac:dyDescent="0.25">
      <c r="A904" s="37" t="str">
        <f>Equipos!C902</f>
        <v>2-121559</v>
      </c>
      <c r="B904" s="33" t="str">
        <f>Equipos!D902</f>
        <v>Monitor Multiparámetros</v>
      </c>
      <c r="C904" s="33" t="str">
        <f>Equipos!E902</f>
        <v>Urgencia Infantil</v>
      </c>
      <c r="D904" s="33" t="str">
        <f>Equipos!G902</f>
        <v>SUI Box 1</v>
      </c>
      <c r="E904" s="33" t="str">
        <f>Equipos!I902</f>
        <v xml:space="preserve">Nihon Kohden </v>
      </c>
      <c r="F904" s="33" t="str">
        <f>Equipos!J902</f>
        <v>PVM-2701</v>
      </c>
      <c r="G904" s="37" t="str">
        <f>Equipos!K902</f>
        <v>0132826.</v>
      </c>
      <c r="H904" s="33"/>
      <c r="I904" s="38"/>
      <c r="J904" s="38"/>
      <c r="K904" s="50" t="s">
        <v>275</v>
      </c>
      <c r="L904" s="38"/>
      <c r="M904" s="38"/>
      <c r="N904" s="38"/>
      <c r="O904" s="38"/>
      <c r="P904" s="38"/>
      <c r="Q904" s="38"/>
      <c r="R904" s="38"/>
      <c r="S904" s="38"/>
      <c r="T904" s="38"/>
      <c r="U904" s="33">
        <f t="shared" si="70"/>
        <v>1</v>
      </c>
      <c r="V904" s="33">
        <f t="shared" si="71"/>
        <v>1</v>
      </c>
      <c r="W904" s="33">
        <f t="shared" si="72"/>
        <v>0</v>
      </c>
      <c r="X904" s="33">
        <f t="shared" si="73"/>
        <v>0</v>
      </c>
      <c r="Y904" s="33">
        <f ca="1">SUMPRODUCT((I904:INDEX(I904:T904,MONTH(TODAY()))="X")*1)</f>
        <v>0</v>
      </c>
      <c r="Z904" s="39">
        <f t="shared" si="74"/>
        <v>1</v>
      </c>
    </row>
    <row r="905" spans="1:26" x14ac:dyDescent="0.25">
      <c r="A905" s="37" t="str">
        <f>Equipos!C903</f>
        <v>2-121560</v>
      </c>
      <c r="B905" s="33" t="str">
        <f>Equipos!D903</f>
        <v>Monitor Multiparámetros</v>
      </c>
      <c r="C905" s="33" t="str">
        <f>Equipos!E903</f>
        <v>Urgencia Infantil</v>
      </c>
      <c r="D905" s="33" t="str">
        <f>Equipos!G903</f>
        <v xml:space="preserve">SUI TMT </v>
      </c>
      <c r="E905" s="33" t="str">
        <f>Equipos!I903</f>
        <v xml:space="preserve">Nihon Kohden </v>
      </c>
      <c r="F905" s="33" t="str">
        <f>Equipos!J903</f>
        <v>PVM-2701</v>
      </c>
      <c r="G905" s="37" t="str">
        <f>Equipos!K903</f>
        <v>0132829.</v>
      </c>
      <c r="H905" s="33"/>
      <c r="I905" s="38"/>
      <c r="J905" s="38"/>
      <c r="K905" s="50" t="s">
        <v>275</v>
      </c>
      <c r="L905" s="38"/>
      <c r="M905" s="38"/>
      <c r="N905" s="38"/>
      <c r="O905" s="38"/>
      <c r="P905" s="38"/>
      <c r="Q905" s="38"/>
      <c r="R905" s="38"/>
      <c r="S905" s="38"/>
      <c r="T905" s="38"/>
      <c r="U905" s="33">
        <f t="shared" si="70"/>
        <v>1</v>
      </c>
      <c r="V905" s="33">
        <f t="shared" si="71"/>
        <v>1</v>
      </c>
      <c r="W905" s="33">
        <f t="shared" si="72"/>
        <v>0</v>
      </c>
      <c r="X905" s="33">
        <f t="shared" si="73"/>
        <v>0</v>
      </c>
      <c r="Y905" s="33">
        <f ca="1">SUMPRODUCT((I905:INDEX(I905:T905,MONTH(TODAY()))="X")*1)</f>
        <v>0</v>
      </c>
      <c r="Z905" s="39">
        <f t="shared" si="74"/>
        <v>1</v>
      </c>
    </row>
    <row r="906" spans="1:26" x14ac:dyDescent="0.25">
      <c r="A906" s="37" t="str">
        <f>Equipos!C904</f>
        <v>2-121561</v>
      </c>
      <c r="B906" s="33" t="str">
        <f>Equipos!D904</f>
        <v>Monitor Multiparámetros</v>
      </c>
      <c r="C906" s="33" t="str">
        <f>Equipos!E904</f>
        <v>Urgencia Infantil</v>
      </c>
      <c r="D906" s="33" t="str">
        <f>Equipos!G904</f>
        <v>Priorización SUI</v>
      </c>
      <c r="E906" s="33" t="str">
        <f>Equipos!I904</f>
        <v xml:space="preserve">Nihon Kohden </v>
      </c>
      <c r="F906" s="33" t="str">
        <f>Equipos!J904</f>
        <v>PVM-2701</v>
      </c>
      <c r="G906" s="37" t="str">
        <f>Equipos!K904</f>
        <v>0132834.</v>
      </c>
      <c r="H906" s="33"/>
      <c r="I906" s="38"/>
      <c r="J906" s="38"/>
      <c r="K906" s="50" t="s">
        <v>275</v>
      </c>
      <c r="L906" s="38"/>
      <c r="M906" s="38"/>
      <c r="N906" s="38"/>
      <c r="O906" s="38"/>
      <c r="P906" s="38"/>
      <c r="Q906" s="38"/>
      <c r="R906" s="38"/>
      <c r="S906" s="38"/>
      <c r="T906" s="38"/>
      <c r="U906" s="33">
        <f t="shared" si="70"/>
        <v>1</v>
      </c>
      <c r="V906" s="33">
        <f t="shared" si="71"/>
        <v>1</v>
      </c>
      <c r="W906" s="33">
        <f t="shared" si="72"/>
        <v>0</v>
      </c>
      <c r="X906" s="33">
        <f t="shared" si="73"/>
        <v>0</v>
      </c>
      <c r="Y906" s="33">
        <f ca="1">SUMPRODUCT((I906:INDEX(I906:T906,MONTH(TODAY()))="X")*1)</f>
        <v>0</v>
      </c>
      <c r="Z906" s="39">
        <f t="shared" si="74"/>
        <v>1</v>
      </c>
    </row>
    <row r="907" spans="1:26" x14ac:dyDescent="0.25">
      <c r="A907" s="37" t="str">
        <f>Equipos!C905</f>
        <v>2-121562</v>
      </c>
      <c r="B907" s="33" t="str">
        <f>Equipos!D905</f>
        <v>Monitor Multiparámetros</v>
      </c>
      <c r="C907" s="33" t="str">
        <f>Equipos!E905</f>
        <v>Urgencia Infantil</v>
      </c>
      <c r="D907" s="33" t="str">
        <f>Equipos!G905</f>
        <v>SUI Observaci√≥n</v>
      </c>
      <c r="E907" s="33" t="str">
        <f>Equipos!I905</f>
        <v xml:space="preserve">Nihon Kohden </v>
      </c>
      <c r="F907" s="33" t="str">
        <f>Equipos!J905</f>
        <v>BSM-3763</v>
      </c>
      <c r="G907" s="37" t="str">
        <f>Equipos!K905</f>
        <v>19109.</v>
      </c>
      <c r="H907" s="33"/>
      <c r="I907" s="38"/>
      <c r="J907" s="38"/>
      <c r="K907" s="50" t="s">
        <v>275</v>
      </c>
      <c r="L907" s="38"/>
      <c r="M907" s="38"/>
      <c r="N907" s="38"/>
      <c r="O907" s="38"/>
      <c r="P907" s="38"/>
      <c r="Q907" s="38"/>
      <c r="R907" s="38"/>
      <c r="S907" s="38"/>
      <c r="T907" s="38"/>
      <c r="U907" s="33">
        <f t="shared" si="70"/>
        <v>1</v>
      </c>
      <c r="V907" s="33">
        <f t="shared" si="71"/>
        <v>1</v>
      </c>
      <c r="W907" s="33">
        <f t="shared" si="72"/>
        <v>0</v>
      </c>
      <c r="X907" s="33">
        <f t="shared" si="73"/>
        <v>0</v>
      </c>
      <c r="Y907" s="33">
        <f ca="1">SUMPRODUCT((I907:INDEX(I907:T907,MONTH(TODAY()))="X")*1)</f>
        <v>0</v>
      </c>
      <c r="Z907" s="39">
        <f t="shared" si="74"/>
        <v>1</v>
      </c>
    </row>
    <row r="908" spans="1:26" x14ac:dyDescent="0.25">
      <c r="A908" s="37" t="str">
        <f>Equipos!C906</f>
        <v>2-121563</v>
      </c>
      <c r="B908" s="33" t="str">
        <f>Equipos!D906</f>
        <v>Monitor Multiparámetros</v>
      </c>
      <c r="C908" s="33" t="str">
        <f>Equipos!E906</f>
        <v>Urgencia Infantil</v>
      </c>
      <c r="D908" s="33" t="str">
        <f>Equipos!G906</f>
        <v>Reanimación SUI</v>
      </c>
      <c r="E908" s="33" t="str">
        <f>Equipos!I906</f>
        <v xml:space="preserve">Nihon Kohden </v>
      </c>
      <c r="F908" s="33" t="str">
        <f>Equipos!J906</f>
        <v>BSM-1763</v>
      </c>
      <c r="G908" s="37" t="str">
        <f>Equipos!K906</f>
        <v>08813.</v>
      </c>
      <c r="H908" s="33"/>
      <c r="I908" s="38"/>
      <c r="J908" s="38"/>
      <c r="K908" s="50" t="s">
        <v>275</v>
      </c>
      <c r="L908" s="38"/>
      <c r="M908" s="38"/>
      <c r="N908" s="38"/>
      <c r="O908" s="38"/>
      <c r="P908" s="38"/>
      <c r="Q908" s="38"/>
      <c r="R908" s="38"/>
      <c r="S908" s="38"/>
      <c r="T908" s="38"/>
      <c r="U908" s="33">
        <f t="shared" si="70"/>
        <v>1</v>
      </c>
      <c r="V908" s="33">
        <f t="shared" si="71"/>
        <v>1</v>
      </c>
      <c r="W908" s="33">
        <f t="shared" si="72"/>
        <v>0</v>
      </c>
      <c r="X908" s="33">
        <f t="shared" si="73"/>
        <v>0</v>
      </c>
      <c r="Y908" s="33">
        <f ca="1">SUMPRODUCT((I908:INDEX(I908:T908,MONTH(TODAY()))="X")*1)</f>
        <v>0</v>
      </c>
      <c r="Z908" s="39">
        <f t="shared" si="74"/>
        <v>1</v>
      </c>
    </row>
    <row r="909" spans="1:26" x14ac:dyDescent="0.25">
      <c r="A909" s="37" t="str">
        <f>Equipos!C907</f>
        <v>2-121798</v>
      </c>
      <c r="B909" s="33" t="str">
        <f>Equipos!D907</f>
        <v>Monitor Multiparámetros</v>
      </c>
      <c r="C909" s="33" t="str">
        <f>Equipos!E907</f>
        <v>Pabellón CMA</v>
      </c>
      <c r="D909" s="33">
        <f>Equipos!G907</f>
        <v>0</v>
      </c>
      <c r="E909" s="33" t="str">
        <f>Equipos!I907</f>
        <v>Mindray</v>
      </c>
      <c r="F909" s="33" t="str">
        <f>Equipos!J907</f>
        <v>BeneVision N1</v>
      </c>
      <c r="G909" s="37" t="str">
        <f>Equipos!K907</f>
        <v>AA3-14033891</v>
      </c>
      <c r="H909" s="33"/>
      <c r="I909" s="38"/>
      <c r="J909" s="38"/>
      <c r="K909" s="38"/>
      <c r="L909" s="38"/>
      <c r="M909" s="50" t="s">
        <v>275</v>
      </c>
      <c r="N909" s="38"/>
      <c r="O909" s="38"/>
      <c r="P909" s="38"/>
      <c r="Q909" s="38"/>
      <c r="R909" s="38"/>
      <c r="S909" s="38"/>
      <c r="T909" s="38"/>
      <c r="U909" s="33">
        <f t="shared" si="70"/>
        <v>1</v>
      </c>
      <c r="V909" s="33">
        <f t="shared" si="71"/>
        <v>1</v>
      </c>
      <c r="W909" s="33">
        <f t="shared" si="72"/>
        <v>0</v>
      </c>
      <c r="X909" s="33">
        <f t="shared" si="73"/>
        <v>0</v>
      </c>
      <c r="Y909" s="33">
        <f ca="1">SUMPRODUCT((I909:INDEX(I909:T909,MONTH(TODAY()))="X")*1)</f>
        <v>0</v>
      </c>
      <c r="Z909" s="39">
        <f t="shared" si="74"/>
        <v>1</v>
      </c>
    </row>
    <row r="910" spans="1:26" x14ac:dyDescent="0.25">
      <c r="A910" s="37" t="str">
        <f>Equipos!C908</f>
        <v>2-122346</v>
      </c>
      <c r="B910" s="33" t="str">
        <f>Equipos!D908</f>
        <v>Monitor Multiparámetros</v>
      </c>
      <c r="C910" s="33" t="str">
        <f>Equipos!E908</f>
        <v>Ginecología</v>
      </c>
      <c r="D910" s="33">
        <f>Equipos!G908</f>
        <v>0</v>
      </c>
      <c r="E910" s="33" t="str">
        <f>Equipos!I908</f>
        <v>Philips</v>
      </c>
      <c r="F910" s="33" t="str">
        <f>Equipos!J908</f>
        <v>CM100</v>
      </c>
      <c r="G910" s="37" t="str">
        <f>Equipos!K908</f>
        <v>CN92392254</v>
      </c>
      <c r="H910" s="33"/>
      <c r="I910" s="38"/>
      <c r="J910" s="38"/>
      <c r="K910" s="38"/>
      <c r="L910" s="38"/>
      <c r="M910" s="50" t="s">
        <v>275</v>
      </c>
      <c r="N910" s="38"/>
      <c r="O910" s="38"/>
      <c r="P910" s="38"/>
      <c r="Q910" s="38"/>
      <c r="R910" s="38"/>
      <c r="S910" s="38"/>
      <c r="T910" s="38"/>
      <c r="U910" s="33">
        <f t="shared" si="70"/>
        <v>1</v>
      </c>
      <c r="V910" s="33">
        <f t="shared" si="71"/>
        <v>1</v>
      </c>
      <c r="W910" s="33">
        <f t="shared" si="72"/>
        <v>0</v>
      </c>
      <c r="X910" s="33">
        <f t="shared" si="73"/>
        <v>0</v>
      </c>
      <c r="Y910" s="33">
        <f ca="1">SUMPRODUCT((I910:INDEX(I910:T910,MONTH(TODAY()))="X")*1)</f>
        <v>0</v>
      </c>
      <c r="Z910" s="39">
        <f t="shared" si="74"/>
        <v>1</v>
      </c>
    </row>
    <row r="911" spans="1:26" x14ac:dyDescent="0.25">
      <c r="A911" s="37" t="str">
        <f>Equipos!C909</f>
        <v>2-124761</v>
      </c>
      <c r="B911" s="33" t="str">
        <f>Equipos!D909</f>
        <v>Monitor Multiparámetros</v>
      </c>
      <c r="C911" s="33" t="str">
        <f>Equipos!E909</f>
        <v>Servicio Social</v>
      </c>
      <c r="D911" s="33">
        <f>Equipos!G909</f>
        <v>0</v>
      </c>
      <c r="E911" s="33" t="str">
        <f>Equipos!I909</f>
        <v>Sinohero</v>
      </c>
      <c r="F911" s="33" t="str">
        <f>Equipos!J909</f>
        <v>H5</v>
      </c>
      <c r="G911" s="37" t="str">
        <f>Equipos!K909</f>
        <v>22060100008</v>
      </c>
      <c r="H911" s="33"/>
      <c r="I911" s="38"/>
      <c r="J911" s="38"/>
      <c r="K911" s="38"/>
      <c r="L911" s="50" t="s">
        <v>275</v>
      </c>
      <c r="M911" s="38"/>
      <c r="N911" s="38"/>
      <c r="O911" s="38"/>
      <c r="P911" s="38"/>
      <c r="Q911" s="38"/>
      <c r="R911" s="38"/>
      <c r="S911" s="38"/>
      <c r="T911" s="38"/>
      <c r="U911" s="33">
        <f t="shared" si="70"/>
        <v>1</v>
      </c>
      <c r="V911" s="33">
        <f t="shared" si="71"/>
        <v>1</v>
      </c>
      <c r="W911" s="33">
        <f t="shared" si="72"/>
        <v>0</v>
      </c>
      <c r="X911" s="33">
        <f t="shared" si="73"/>
        <v>0</v>
      </c>
      <c r="Y911" s="33">
        <f ca="1">SUMPRODUCT((I911:INDEX(I911:T911,MONTH(TODAY()))="X")*1)</f>
        <v>0</v>
      </c>
      <c r="Z911" s="39">
        <f t="shared" si="74"/>
        <v>1</v>
      </c>
    </row>
    <row r="912" spans="1:26" x14ac:dyDescent="0.25">
      <c r="A912" s="37" t="str">
        <f>Equipos!C910</f>
        <v>2-124762</v>
      </c>
      <c r="B912" s="33" t="str">
        <f>Equipos!D910</f>
        <v>Monitor Multiparámetros</v>
      </c>
      <c r="C912" s="33" t="str">
        <f>Equipos!E910</f>
        <v>Servicio Social</v>
      </c>
      <c r="D912" s="33">
        <f>Equipos!G910</f>
        <v>0</v>
      </c>
      <c r="E912" s="33" t="str">
        <f>Equipos!I910</f>
        <v>Sinohero</v>
      </c>
      <c r="F912" s="33" t="str">
        <f>Equipos!J910</f>
        <v>H5</v>
      </c>
      <c r="G912" s="37" t="str">
        <f>Equipos!K910</f>
        <v>22060100003</v>
      </c>
      <c r="H912" s="33"/>
      <c r="I912" s="38"/>
      <c r="J912" s="38"/>
      <c r="K912" s="38"/>
      <c r="L912" s="50" t="s">
        <v>276</v>
      </c>
      <c r="M912" s="38"/>
      <c r="N912" s="38"/>
      <c r="O912" s="38"/>
      <c r="P912" s="38"/>
      <c r="Q912" s="38"/>
      <c r="R912" s="38"/>
      <c r="S912" s="38"/>
      <c r="T912" s="38"/>
      <c r="U912" s="33">
        <f t="shared" si="70"/>
        <v>1</v>
      </c>
      <c r="V912" s="33">
        <f t="shared" si="71"/>
        <v>0</v>
      </c>
      <c r="W912" s="33">
        <f t="shared" si="72"/>
        <v>0</v>
      </c>
      <c r="X912" s="33">
        <f t="shared" si="73"/>
        <v>0</v>
      </c>
      <c r="Y912" s="33">
        <f ca="1">SUMPRODUCT((I912:INDEX(I912:T912,MONTH(TODAY()))="X")*1)</f>
        <v>0</v>
      </c>
      <c r="Z912" s="39">
        <f t="shared" si="74"/>
        <v>0</v>
      </c>
    </row>
    <row r="913" spans="1:26" x14ac:dyDescent="0.25">
      <c r="A913" s="37" t="str">
        <f>Equipos!C911</f>
        <v>2-124831</v>
      </c>
      <c r="B913" s="33" t="str">
        <f>Equipos!D911</f>
        <v>Monitor Multiparámetros</v>
      </c>
      <c r="C913" s="33" t="str">
        <f>Equipos!E911</f>
        <v>Urgencia Adulto</v>
      </c>
      <c r="D913" s="33">
        <f>Equipos!G911</f>
        <v>0</v>
      </c>
      <c r="E913" s="33" t="str">
        <f>Equipos!I911</f>
        <v>Drager</v>
      </c>
      <c r="F913" s="33" t="str">
        <f>Equipos!J911</f>
        <v>Vista 120 S</v>
      </c>
      <c r="G913" s="37" t="str">
        <f>Equipos!K911</f>
        <v>S2SRC0509</v>
      </c>
      <c r="H913" s="33"/>
      <c r="I913" s="38"/>
      <c r="J913" s="38"/>
      <c r="K913" s="50" t="s">
        <v>275</v>
      </c>
      <c r="L913" s="38"/>
      <c r="M913" s="38"/>
      <c r="N913" s="38"/>
      <c r="O913" s="38"/>
      <c r="P913" s="38"/>
      <c r="Q913" s="38"/>
      <c r="R913" s="38"/>
      <c r="S913" s="38"/>
      <c r="T913" s="38"/>
      <c r="U913" s="33">
        <f t="shared" si="70"/>
        <v>1</v>
      </c>
      <c r="V913" s="33">
        <f t="shared" si="71"/>
        <v>1</v>
      </c>
      <c r="W913" s="33">
        <f t="shared" si="72"/>
        <v>0</v>
      </c>
      <c r="X913" s="33">
        <f t="shared" si="73"/>
        <v>0</v>
      </c>
      <c r="Y913" s="33">
        <f ca="1">SUMPRODUCT((I913:INDEX(I913:T913,MONTH(TODAY()))="X")*1)</f>
        <v>0</v>
      </c>
      <c r="Z913" s="39">
        <f t="shared" si="74"/>
        <v>1</v>
      </c>
    </row>
    <row r="914" spans="1:26" x14ac:dyDescent="0.25">
      <c r="A914" s="37" t="str">
        <f>Equipos!C912</f>
        <v>2-124832</v>
      </c>
      <c r="B914" s="33" t="str">
        <f>Equipos!D912</f>
        <v>Monitor Multiparámetros</v>
      </c>
      <c r="C914" s="33" t="str">
        <f>Equipos!E912</f>
        <v>Urgencia Adulto</v>
      </c>
      <c r="D914" s="33">
        <f>Equipos!G912</f>
        <v>0</v>
      </c>
      <c r="E914" s="33" t="str">
        <f>Equipos!I912</f>
        <v>Drager</v>
      </c>
      <c r="F914" s="33" t="str">
        <f>Equipos!J912</f>
        <v>Vista 120 S</v>
      </c>
      <c r="G914" s="37" t="str">
        <f>Equipos!K912</f>
        <v>S2SNE1555</v>
      </c>
      <c r="H914" s="33"/>
      <c r="I914" s="38"/>
      <c r="J914" s="38"/>
      <c r="K914" s="50" t="s">
        <v>275</v>
      </c>
      <c r="L914" s="38"/>
      <c r="M914" s="38"/>
      <c r="N914" s="38"/>
      <c r="O914" s="38"/>
      <c r="P914" s="38"/>
      <c r="Q914" s="38"/>
      <c r="R914" s="38"/>
      <c r="S914" s="38"/>
      <c r="T914" s="38"/>
      <c r="U914" s="33">
        <f t="shared" si="70"/>
        <v>1</v>
      </c>
      <c r="V914" s="33">
        <f t="shared" si="71"/>
        <v>1</v>
      </c>
      <c r="W914" s="33">
        <f t="shared" si="72"/>
        <v>0</v>
      </c>
      <c r="X914" s="33">
        <f t="shared" si="73"/>
        <v>0</v>
      </c>
      <c r="Y914" s="33">
        <f ca="1">SUMPRODUCT((I914:INDEX(I914:T914,MONTH(TODAY()))="X")*1)</f>
        <v>0</v>
      </c>
      <c r="Z914" s="39">
        <f t="shared" si="74"/>
        <v>1</v>
      </c>
    </row>
    <row r="915" spans="1:26" x14ac:dyDescent="0.25">
      <c r="A915" s="37" t="str">
        <f>Equipos!C913</f>
        <v>2-124842</v>
      </c>
      <c r="B915" s="33" t="str">
        <f>Equipos!D913</f>
        <v>Monitor Multiparámetros</v>
      </c>
      <c r="C915" s="33" t="str">
        <f>Equipos!E913</f>
        <v>Urgencia Adulto</v>
      </c>
      <c r="D915" s="33">
        <f>Equipos!G913</f>
        <v>0</v>
      </c>
      <c r="E915" s="33" t="str">
        <f>Equipos!I913</f>
        <v>Drager</v>
      </c>
      <c r="F915" s="33" t="str">
        <f>Equipos!J913</f>
        <v>Vista 120</v>
      </c>
      <c r="G915" s="37" t="str">
        <f>Equipos!K913</f>
        <v>VGSRC0520</v>
      </c>
      <c r="H915" s="33"/>
      <c r="I915" s="38"/>
      <c r="J915" s="38"/>
      <c r="K915" s="50" t="s">
        <v>275</v>
      </c>
      <c r="L915" s="38"/>
      <c r="M915" s="38"/>
      <c r="N915" s="38"/>
      <c r="O915" s="38"/>
      <c r="P915" s="38"/>
      <c r="Q915" s="38"/>
      <c r="R915" s="38"/>
      <c r="S915" s="38"/>
      <c r="T915" s="38"/>
      <c r="U915" s="33">
        <f t="shared" si="70"/>
        <v>1</v>
      </c>
      <c r="V915" s="33">
        <f t="shared" si="71"/>
        <v>1</v>
      </c>
      <c r="W915" s="33">
        <f t="shared" si="72"/>
        <v>0</v>
      </c>
      <c r="X915" s="33">
        <f t="shared" si="73"/>
        <v>0</v>
      </c>
      <c r="Y915" s="33">
        <f ca="1">SUMPRODUCT((I915:INDEX(I915:T915,MONTH(TODAY()))="X")*1)</f>
        <v>0</v>
      </c>
      <c r="Z915" s="39">
        <f t="shared" si="74"/>
        <v>1</v>
      </c>
    </row>
    <row r="916" spans="1:26" x14ac:dyDescent="0.25">
      <c r="A916" s="37" t="str">
        <f>Equipos!C914</f>
        <v>2-124843</v>
      </c>
      <c r="B916" s="33" t="str">
        <f>Equipos!D914</f>
        <v>Monitor Multiparámetros</v>
      </c>
      <c r="C916" s="33" t="str">
        <f>Equipos!E914</f>
        <v>Urgencia Adulto</v>
      </c>
      <c r="D916" s="33">
        <f>Equipos!G914</f>
        <v>0</v>
      </c>
      <c r="E916" s="33" t="str">
        <f>Equipos!I914</f>
        <v>Drager</v>
      </c>
      <c r="F916" s="33" t="str">
        <f>Equipos!J914</f>
        <v>Vista 120</v>
      </c>
      <c r="G916" s="37" t="str">
        <f>Equipos!K914</f>
        <v>VGSRC0467</v>
      </c>
      <c r="H916" s="33"/>
      <c r="I916" s="38"/>
      <c r="J916" s="38"/>
      <c r="K916" s="50" t="s">
        <v>275</v>
      </c>
      <c r="L916" s="38"/>
      <c r="M916" s="38"/>
      <c r="N916" s="38"/>
      <c r="O916" s="38"/>
      <c r="P916" s="38"/>
      <c r="Q916" s="38"/>
      <c r="R916" s="38"/>
      <c r="S916" s="38"/>
      <c r="T916" s="38"/>
      <c r="U916" s="33">
        <f t="shared" si="70"/>
        <v>1</v>
      </c>
      <c r="V916" s="33">
        <f t="shared" si="71"/>
        <v>1</v>
      </c>
      <c r="W916" s="33">
        <f t="shared" si="72"/>
        <v>0</v>
      </c>
      <c r="X916" s="33">
        <f t="shared" si="73"/>
        <v>0</v>
      </c>
      <c r="Y916" s="33">
        <f ca="1">SUMPRODUCT((I916:INDEX(I916:T916,MONTH(TODAY()))="X")*1)</f>
        <v>0</v>
      </c>
      <c r="Z916" s="39">
        <f t="shared" si="74"/>
        <v>1</v>
      </c>
    </row>
    <row r="917" spans="1:26" x14ac:dyDescent="0.25">
      <c r="A917" s="37" t="str">
        <f>Equipos!C915</f>
        <v>2-124844</v>
      </c>
      <c r="B917" s="33" t="str">
        <f>Equipos!D915</f>
        <v>Monitor Multiparámetros</v>
      </c>
      <c r="C917" s="33" t="str">
        <f>Equipos!E915</f>
        <v>Urgencia Adulto</v>
      </c>
      <c r="D917" s="33">
        <f>Equipos!G915</f>
        <v>0</v>
      </c>
      <c r="E917" s="33" t="str">
        <f>Equipos!I915</f>
        <v>Drager</v>
      </c>
      <c r="F917" s="33" t="str">
        <f>Equipos!J915</f>
        <v>Vista 120</v>
      </c>
      <c r="G917" s="37" t="str">
        <f>Equipos!K915</f>
        <v>VGSRC0512</v>
      </c>
      <c r="H917" s="33"/>
      <c r="I917" s="38"/>
      <c r="J917" s="38"/>
      <c r="K917" s="50" t="s">
        <v>275</v>
      </c>
      <c r="L917" s="38"/>
      <c r="M917" s="38"/>
      <c r="N917" s="38"/>
      <c r="O917" s="38"/>
      <c r="P917" s="38"/>
      <c r="Q917" s="38"/>
      <c r="R917" s="38"/>
      <c r="S917" s="38"/>
      <c r="T917" s="38"/>
      <c r="U917" s="33">
        <f t="shared" si="70"/>
        <v>1</v>
      </c>
      <c r="V917" s="33">
        <f t="shared" si="71"/>
        <v>1</v>
      </c>
      <c r="W917" s="33">
        <f t="shared" si="72"/>
        <v>0</v>
      </c>
      <c r="X917" s="33">
        <f t="shared" si="73"/>
        <v>0</v>
      </c>
      <c r="Y917" s="33">
        <f ca="1">SUMPRODUCT((I917:INDEX(I917:T917,MONTH(TODAY()))="X")*1)</f>
        <v>0</v>
      </c>
      <c r="Z917" s="39">
        <f t="shared" si="74"/>
        <v>1</v>
      </c>
    </row>
    <row r="918" spans="1:26" x14ac:dyDescent="0.25">
      <c r="A918" s="37" t="str">
        <f>Equipos!C916</f>
        <v>2-124845</v>
      </c>
      <c r="B918" s="33" t="str">
        <f>Equipos!D916</f>
        <v>Monitor Multiparámetros</v>
      </c>
      <c r="C918" s="33" t="str">
        <f>Equipos!E916</f>
        <v>Urgencia Adulto</v>
      </c>
      <c r="D918" s="33">
        <f>Equipos!G916</f>
        <v>0</v>
      </c>
      <c r="E918" s="33" t="str">
        <f>Equipos!I916</f>
        <v>Drager</v>
      </c>
      <c r="F918" s="33" t="str">
        <f>Equipos!J916</f>
        <v>Vista 120</v>
      </c>
      <c r="G918" s="37" t="str">
        <f>Equipos!K916</f>
        <v>VGSRC0472</v>
      </c>
      <c r="H918" s="33"/>
      <c r="I918" s="38"/>
      <c r="J918" s="38"/>
      <c r="K918" s="50" t="s">
        <v>275</v>
      </c>
      <c r="L918" s="38"/>
      <c r="M918" s="38"/>
      <c r="N918" s="38"/>
      <c r="O918" s="38"/>
      <c r="P918" s="38"/>
      <c r="Q918" s="38"/>
      <c r="R918" s="38"/>
      <c r="S918" s="38"/>
      <c r="T918" s="38"/>
      <c r="U918" s="33">
        <f t="shared" si="70"/>
        <v>1</v>
      </c>
      <c r="V918" s="33">
        <f t="shared" si="71"/>
        <v>1</v>
      </c>
      <c r="W918" s="33">
        <f t="shared" si="72"/>
        <v>0</v>
      </c>
      <c r="X918" s="33">
        <f t="shared" si="73"/>
        <v>0</v>
      </c>
      <c r="Y918" s="33">
        <f ca="1">SUMPRODUCT((I918:INDEX(I918:T918,MONTH(TODAY()))="X")*1)</f>
        <v>0</v>
      </c>
      <c r="Z918" s="39">
        <f t="shared" si="74"/>
        <v>1</v>
      </c>
    </row>
    <row r="919" spans="1:26" x14ac:dyDescent="0.25">
      <c r="A919" s="37" t="str">
        <f>Equipos!C917</f>
        <v>2-124846</v>
      </c>
      <c r="B919" s="33" t="str">
        <f>Equipos!D917</f>
        <v>Monitor Multiparámetros</v>
      </c>
      <c r="C919" s="33" t="str">
        <f>Equipos!E917</f>
        <v>Urgencia Adulto</v>
      </c>
      <c r="D919" s="33">
        <f>Equipos!G917</f>
        <v>0</v>
      </c>
      <c r="E919" s="33" t="str">
        <f>Equipos!I917</f>
        <v>Drager</v>
      </c>
      <c r="F919" s="33" t="str">
        <f>Equipos!J917</f>
        <v>Vista 120</v>
      </c>
      <c r="G919" s="37" t="str">
        <f>Equipos!K917</f>
        <v>VGSRC0490</v>
      </c>
      <c r="H919" s="33"/>
      <c r="I919" s="38"/>
      <c r="J919" s="38"/>
      <c r="K919" s="50" t="s">
        <v>275</v>
      </c>
      <c r="L919" s="38"/>
      <c r="M919" s="38"/>
      <c r="N919" s="38"/>
      <c r="O919" s="38"/>
      <c r="P919" s="38"/>
      <c r="Q919" s="38"/>
      <c r="R919" s="38"/>
      <c r="S919" s="38"/>
      <c r="T919" s="38"/>
      <c r="U919" s="33">
        <f t="shared" si="70"/>
        <v>1</v>
      </c>
      <c r="V919" s="33">
        <f t="shared" si="71"/>
        <v>1</v>
      </c>
      <c r="W919" s="33">
        <f t="shared" si="72"/>
        <v>0</v>
      </c>
      <c r="X919" s="33">
        <f t="shared" si="73"/>
        <v>0</v>
      </c>
      <c r="Y919" s="33">
        <f ca="1">SUMPRODUCT((I919:INDEX(I919:T919,MONTH(TODAY()))="X")*1)</f>
        <v>0</v>
      </c>
      <c r="Z919" s="39">
        <f t="shared" si="74"/>
        <v>1</v>
      </c>
    </row>
    <row r="920" spans="1:26" x14ac:dyDescent="0.25">
      <c r="A920" s="37" t="str">
        <f>Equipos!C918</f>
        <v>2-124847</v>
      </c>
      <c r="B920" s="33" t="str">
        <f>Equipos!D918</f>
        <v>Monitor Multiparámetros</v>
      </c>
      <c r="C920" s="33" t="str">
        <f>Equipos!E918</f>
        <v>Urgencia Adulto</v>
      </c>
      <c r="D920" s="33">
        <f>Equipos!G918</f>
        <v>0</v>
      </c>
      <c r="E920" s="33" t="str">
        <f>Equipos!I918</f>
        <v>Drager</v>
      </c>
      <c r="F920" s="33" t="str">
        <f>Equipos!J918</f>
        <v>Vista 120</v>
      </c>
      <c r="G920" s="37" t="str">
        <f>Equipos!K918</f>
        <v>VGSRC0495</v>
      </c>
      <c r="H920" s="33"/>
      <c r="I920" s="38"/>
      <c r="J920" s="38"/>
      <c r="K920" s="50" t="s">
        <v>275</v>
      </c>
      <c r="L920" s="38"/>
      <c r="M920" s="38"/>
      <c r="N920" s="38"/>
      <c r="O920" s="38"/>
      <c r="P920" s="38"/>
      <c r="Q920" s="38"/>
      <c r="R920" s="38"/>
      <c r="S920" s="38"/>
      <c r="T920" s="38"/>
      <c r="U920" s="33">
        <f t="shared" si="70"/>
        <v>1</v>
      </c>
      <c r="V920" s="33">
        <f t="shared" si="71"/>
        <v>1</v>
      </c>
      <c r="W920" s="33">
        <f t="shared" si="72"/>
        <v>0</v>
      </c>
      <c r="X920" s="33">
        <f t="shared" si="73"/>
        <v>0</v>
      </c>
      <c r="Y920" s="33">
        <f ca="1">SUMPRODUCT((I920:INDEX(I920:T920,MONTH(TODAY()))="X")*1)</f>
        <v>0</v>
      </c>
      <c r="Z920" s="39">
        <f t="shared" si="74"/>
        <v>1</v>
      </c>
    </row>
    <row r="921" spans="1:26" x14ac:dyDescent="0.25">
      <c r="A921" s="37" t="str">
        <f>Equipos!C919</f>
        <v>2-124848</v>
      </c>
      <c r="B921" s="33" t="str">
        <f>Equipos!D919</f>
        <v>Monitor Multiparámetros</v>
      </c>
      <c r="C921" s="33" t="str">
        <f>Equipos!E919</f>
        <v>Urgencia Adulto</v>
      </c>
      <c r="D921" s="33">
        <f>Equipos!G919</f>
        <v>0</v>
      </c>
      <c r="E921" s="33" t="str">
        <f>Equipos!I919</f>
        <v>Drager</v>
      </c>
      <c r="F921" s="33" t="str">
        <f>Equipos!J919</f>
        <v>Vista 120</v>
      </c>
      <c r="G921" s="37" t="str">
        <f>Equipos!K919</f>
        <v>VGSRC0521</v>
      </c>
      <c r="H921" s="33"/>
      <c r="I921" s="38"/>
      <c r="J921" s="38"/>
      <c r="K921" s="50" t="s">
        <v>275</v>
      </c>
      <c r="L921" s="38"/>
      <c r="M921" s="38"/>
      <c r="N921" s="38"/>
      <c r="O921" s="38"/>
      <c r="P921" s="38"/>
      <c r="Q921" s="38"/>
      <c r="R921" s="38"/>
      <c r="S921" s="38"/>
      <c r="T921" s="38"/>
      <c r="U921" s="33">
        <f t="shared" si="70"/>
        <v>1</v>
      </c>
      <c r="V921" s="33">
        <f t="shared" si="71"/>
        <v>1</v>
      </c>
      <c r="W921" s="33">
        <f t="shared" si="72"/>
        <v>0</v>
      </c>
      <c r="X921" s="33">
        <f t="shared" si="73"/>
        <v>0</v>
      </c>
      <c r="Y921" s="33">
        <f ca="1">SUMPRODUCT((I921:INDEX(I921:T921,MONTH(TODAY()))="X")*1)</f>
        <v>0</v>
      </c>
      <c r="Z921" s="39">
        <f t="shared" si="74"/>
        <v>1</v>
      </c>
    </row>
    <row r="922" spans="1:26" x14ac:dyDescent="0.25">
      <c r="A922" s="37" t="str">
        <f>Equipos!C920</f>
        <v>2-124849</v>
      </c>
      <c r="B922" s="33" t="str">
        <f>Equipos!D920</f>
        <v>Monitor Multiparámetros</v>
      </c>
      <c r="C922" s="33" t="str">
        <f>Equipos!E920</f>
        <v>Urgencia Adulto</v>
      </c>
      <c r="D922" s="33">
        <f>Equipos!G920</f>
        <v>0</v>
      </c>
      <c r="E922" s="33" t="str">
        <f>Equipos!I920</f>
        <v>Drager</v>
      </c>
      <c r="F922" s="33" t="str">
        <f>Equipos!J920</f>
        <v>Vista 120</v>
      </c>
      <c r="G922" s="37" t="str">
        <f>Equipos!K920</f>
        <v>VGSRC0543</v>
      </c>
      <c r="H922" s="33"/>
      <c r="I922" s="38"/>
      <c r="J922" s="38"/>
      <c r="K922" s="50" t="s">
        <v>275</v>
      </c>
      <c r="L922" s="38"/>
      <c r="M922" s="38"/>
      <c r="N922" s="38"/>
      <c r="O922" s="38"/>
      <c r="P922" s="38"/>
      <c r="Q922" s="38"/>
      <c r="R922" s="38"/>
      <c r="S922" s="38"/>
      <c r="T922" s="38"/>
      <c r="U922" s="33">
        <f t="shared" si="70"/>
        <v>1</v>
      </c>
      <c r="V922" s="33">
        <f t="shared" si="71"/>
        <v>1</v>
      </c>
      <c r="W922" s="33">
        <f t="shared" si="72"/>
        <v>0</v>
      </c>
      <c r="X922" s="33">
        <f t="shared" si="73"/>
        <v>0</v>
      </c>
      <c r="Y922" s="33">
        <f ca="1">SUMPRODUCT((I922:INDEX(I922:T922,MONTH(TODAY()))="X")*1)</f>
        <v>0</v>
      </c>
      <c r="Z922" s="39">
        <f t="shared" si="74"/>
        <v>1</v>
      </c>
    </row>
    <row r="923" spans="1:26" x14ac:dyDescent="0.25">
      <c r="A923" s="37" t="str">
        <f>Equipos!C921</f>
        <v>2-124850</v>
      </c>
      <c r="B923" s="33" t="str">
        <f>Equipos!D921</f>
        <v>Monitor Multiparámetros</v>
      </c>
      <c r="C923" s="33" t="str">
        <f>Equipos!E921</f>
        <v>Urgencia Adulto</v>
      </c>
      <c r="D923" s="33">
        <f>Equipos!G921</f>
        <v>0</v>
      </c>
      <c r="E923" s="33" t="str">
        <f>Equipos!I921</f>
        <v>Drager</v>
      </c>
      <c r="F923" s="33" t="str">
        <f>Equipos!J921</f>
        <v>Vista 120</v>
      </c>
      <c r="G923" s="37" t="str">
        <f>Equipos!K921</f>
        <v>VGSRC0538</v>
      </c>
      <c r="H923" s="33"/>
      <c r="I923" s="38"/>
      <c r="J923" s="38"/>
      <c r="K923" s="50" t="s">
        <v>275</v>
      </c>
      <c r="L923" s="38"/>
      <c r="M923" s="38"/>
      <c r="N923" s="38"/>
      <c r="O923" s="38"/>
      <c r="P923" s="38"/>
      <c r="Q923" s="38"/>
      <c r="R923" s="38"/>
      <c r="S923" s="38"/>
      <c r="T923" s="38"/>
      <c r="U923" s="33">
        <f t="shared" si="70"/>
        <v>1</v>
      </c>
      <c r="V923" s="33">
        <f t="shared" si="71"/>
        <v>1</v>
      </c>
      <c r="W923" s="33">
        <f t="shared" si="72"/>
        <v>0</v>
      </c>
      <c r="X923" s="33">
        <f t="shared" si="73"/>
        <v>0</v>
      </c>
      <c r="Y923" s="33">
        <f ca="1">SUMPRODUCT((I923:INDEX(I923:T923,MONTH(TODAY()))="X")*1)</f>
        <v>0</v>
      </c>
      <c r="Z923" s="39">
        <f t="shared" si="74"/>
        <v>1</v>
      </c>
    </row>
    <row r="924" spans="1:26" x14ac:dyDescent="0.25">
      <c r="A924" s="37" t="str">
        <f>Equipos!C922</f>
        <v>2-133676</v>
      </c>
      <c r="B924" s="33" t="str">
        <f>Equipos!D922</f>
        <v>Monitor Multiparámetros</v>
      </c>
      <c r="C924" s="33" t="str">
        <f>Equipos!E922</f>
        <v>CDT</v>
      </c>
      <c r="D924" s="33" t="str">
        <f>Equipos!G922</f>
        <v>CDT Administracion / CEM 3ER PISO</v>
      </c>
      <c r="E924" s="33" t="str">
        <f>Equipos!I922</f>
        <v>Northern</v>
      </c>
      <c r="F924" s="33" t="str">
        <f>Equipos!J922</f>
        <v>Aquarius ECG</v>
      </c>
      <c r="G924" s="37" t="str">
        <f>Equipos!K922</f>
        <v>JH01B910008</v>
      </c>
      <c r="H924" s="33"/>
      <c r="I924" s="38"/>
      <c r="J924" s="38"/>
      <c r="K924" s="50" t="s">
        <v>276</v>
      </c>
      <c r="L924" s="50" t="s">
        <v>275</v>
      </c>
      <c r="M924" s="38"/>
      <c r="N924" s="38"/>
      <c r="O924" s="38"/>
      <c r="P924" s="38"/>
      <c r="Q924" s="38"/>
      <c r="R924" s="38"/>
      <c r="S924" s="38"/>
      <c r="T924" s="38"/>
      <c r="U924" s="33">
        <f t="shared" si="70"/>
        <v>2</v>
      </c>
      <c r="V924" s="33">
        <f t="shared" si="71"/>
        <v>1</v>
      </c>
      <c r="W924" s="33">
        <f t="shared" si="72"/>
        <v>0</v>
      </c>
      <c r="X924" s="33">
        <f t="shared" si="73"/>
        <v>0</v>
      </c>
      <c r="Y924" s="33">
        <f ca="1">SUMPRODUCT((I924:INDEX(I924:T924,MONTH(TODAY()))="X")*1)</f>
        <v>0</v>
      </c>
      <c r="Z924" s="39">
        <f t="shared" si="74"/>
        <v>0.5</v>
      </c>
    </row>
    <row r="925" spans="1:26" x14ac:dyDescent="0.25">
      <c r="A925" s="37" t="str">
        <f>Equipos!C923</f>
        <v>2-133677</v>
      </c>
      <c r="B925" s="33" t="str">
        <f>Equipos!D923</f>
        <v>Monitor Multiparámetros</v>
      </c>
      <c r="C925" s="33" t="str">
        <f>Equipos!E923</f>
        <v>CDT</v>
      </c>
      <c r="D925" s="33" t="str">
        <f>Equipos!G923</f>
        <v>CDT Administracion / Seran reubicados</v>
      </c>
      <c r="E925" s="33" t="str">
        <f>Equipos!I923</f>
        <v>Northern</v>
      </c>
      <c r="F925" s="33" t="str">
        <f>Equipos!J923</f>
        <v>Aquarius ECG</v>
      </c>
      <c r="G925" s="37" t="str">
        <f>Equipos!K923</f>
        <v>JH01B910020</v>
      </c>
      <c r="H925" s="33"/>
      <c r="I925" s="38"/>
      <c r="J925" s="38"/>
      <c r="K925" s="50" t="s">
        <v>276</v>
      </c>
      <c r="L925" s="50" t="s">
        <v>275</v>
      </c>
      <c r="M925" s="38"/>
      <c r="N925" s="38"/>
      <c r="O925" s="38"/>
      <c r="P925" s="38"/>
      <c r="Q925" s="38"/>
      <c r="R925" s="38"/>
      <c r="S925" s="38"/>
      <c r="T925" s="38"/>
      <c r="U925" s="33">
        <f t="shared" si="70"/>
        <v>2</v>
      </c>
      <c r="V925" s="33">
        <f t="shared" si="71"/>
        <v>1</v>
      </c>
      <c r="W925" s="33">
        <f t="shared" si="72"/>
        <v>0</v>
      </c>
      <c r="X925" s="33">
        <f t="shared" si="73"/>
        <v>0</v>
      </c>
      <c r="Y925" s="33">
        <f ca="1">SUMPRODUCT((I925:INDEX(I925:T925,MONTH(TODAY()))="X")*1)</f>
        <v>0</v>
      </c>
      <c r="Z925" s="39">
        <f t="shared" si="74"/>
        <v>0.5</v>
      </c>
    </row>
    <row r="926" spans="1:26" x14ac:dyDescent="0.25">
      <c r="A926" s="37" t="str">
        <f>Equipos!C924</f>
        <v>2-133678</v>
      </c>
      <c r="B926" s="33" t="str">
        <f>Equipos!D924</f>
        <v>Monitor Multiparámetros</v>
      </c>
      <c r="C926" s="33" t="str">
        <f>Equipos!E924</f>
        <v>CDT</v>
      </c>
      <c r="D926" s="33" t="str">
        <f>Equipos!G924</f>
        <v>CDT Administracion / CEM 3ER PISO</v>
      </c>
      <c r="E926" s="33" t="str">
        <f>Equipos!I924</f>
        <v>Northern</v>
      </c>
      <c r="F926" s="33" t="str">
        <f>Equipos!J924</f>
        <v>Aquarius ECG</v>
      </c>
      <c r="G926" s="37" t="str">
        <f>Equipos!K924</f>
        <v>JH01B910011</v>
      </c>
      <c r="H926" s="33"/>
      <c r="I926" s="38"/>
      <c r="J926" s="38"/>
      <c r="K926" s="50" t="s">
        <v>276</v>
      </c>
      <c r="L926" s="50" t="s">
        <v>275</v>
      </c>
      <c r="M926" s="38"/>
      <c r="N926" s="38"/>
      <c r="O926" s="38"/>
      <c r="P926" s="38"/>
      <c r="Q926" s="38"/>
      <c r="R926" s="38"/>
      <c r="S926" s="38"/>
      <c r="T926" s="38"/>
      <c r="U926" s="33">
        <f t="shared" si="70"/>
        <v>2</v>
      </c>
      <c r="V926" s="33">
        <f t="shared" si="71"/>
        <v>1</v>
      </c>
      <c r="W926" s="33">
        <f t="shared" si="72"/>
        <v>0</v>
      </c>
      <c r="X926" s="33">
        <f t="shared" si="73"/>
        <v>0</v>
      </c>
      <c r="Y926" s="33">
        <f ca="1">SUMPRODUCT((I926:INDEX(I926:T926,MONTH(TODAY()))="X")*1)</f>
        <v>0</v>
      </c>
      <c r="Z926" s="39">
        <f t="shared" si="74"/>
        <v>0.5</v>
      </c>
    </row>
    <row r="927" spans="1:26" x14ac:dyDescent="0.25">
      <c r="A927" s="37" t="str">
        <f>Equipos!C925</f>
        <v>2-133679</v>
      </c>
      <c r="B927" s="33" t="str">
        <f>Equipos!D925</f>
        <v>Monitor Multiparámetros</v>
      </c>
      <c r="C927" s="33" t="str">
        <f>Equipos!E925</f>
        <v>CDT</v>
      </c>
      <c r="D927" s="33" t="str">
        <f>Equipos!G925</f>
        <v>CDT Administracion / Seran reubicados</v>
      </c>
      <c r="E927" s="33" t="str">
        <f>Equipos!I925</f>
        <v>Northern</v>
      </c>
      <c r="F927" s="33" t="str">
        <f>Equipos!J925</f>
        <v>Aquarius ECG</v>
      </c>
      <c r="G927" s="37" t="str">
        <f>Equipos!K925</f>
        <v>JH01B910002</v>
      </c>
      <c r="H927" s="33"/>
      <c r="I927" s="38"/>
      <c r="J927" s="38"/>
      <c r="K927" s="50" t="s">
        <v>276</v>
      </c>
      <c r="L927" s="50" t="s">
        <v>275</v>
      </c>
      <c r="M927" s="38"/>
      <c r="N927" s="38"/>
      <c r="O927" s="38"/>
      <c r="P927" s="38"/>
      <c r="Q927" s="38"/>
      <c r="R927" s="38"/>
      <c r="S927" s="38"/>
      <c r="T927" s="38"/>
      <c r="U927" s="33">
        <f t="shared" si="70"/>
        <v>2</v>
      </c>
      <c r="V927" s="33">
        <f t="shared" si="71"/>
        <v>1</v>
      </c>
      <c r="W927" s="33">
        <f t="shared" si="72"/>
        <v>0</v>
      </c>
      <c r="X927" s="33">
        <f t="shared" si="73"/>
        <v>0</v>
      </c>
      <c r="Y927" s="33">
        <f ca="1">SUMPRODUCT((I927:INDEX(I927:T927,MONTH(TODAY()))="X")*1)</f>
        <v>0</v>
      </c>
      <c r="Z927" s="39">
        <f t="shared" si="74"/>
        <v>0.5</v>
      </c>
    </row>
    <row r="928" spans="1:26" x14ac:dyDescent="0.25">
      <c r="A928" s="37">
        <f>Equipos!C926</f>
        <v>0</v>
      </c>
      <c r="B928" s="33" t="str">
        <f>Equipos!D926</f>
        <v>Máquina Diálisis</v>
      </c>
      <c r="C928" s="33">
        <f>Equipos!E926</f>
        <v>0</v>
      </c>
      <c r="D928" s="33">
        <f>Equipos!G926</f>
        <v>0</v>
      </c>
      <c r="E928" s="33">
        <f>Equipos!I926</f>
        <v>0</v>
      </c>
      <c r="F928" s="33">
        <f>Equipos!J926</f>
        <v>0</v>
      </c>
      <c r="G928" s="37">
        <f>Equipos!K926</f>
        <v>0</v>
      </c>
      <c r="H928" s="33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3">
        <f t="shared" si="70"/>
        <v>0</v>
      </c>
      <c r="V928" s="33">
        <f t="shared" si="71"/>
        <v>0</v>
      </c>
      <c r="W928" s="33">
        <f t="shared" si="72"/>
        <v>0</v>
      </c>
      <c r="X928" s="33">
        <f t="shared" si="73"/>
        <v>0</v>
      </c>
      <c r="Y928" s="33">
        <f ca="1">SUMPRODUCT((I928:INDEX(I928:T928,MONTH(TODAY()))="X")*1)</f>
        <v>0</v>
      </c>
      <c r="Z928" s="39" t="str">
        <f t="shared" si="74"/>
        <v/>
      </c>
    </row>
    <row r="929" spans="1:26" x14ac:dyDescent="0.25">
      <c r="A929" s="37">
        <f>Equipos!C927</f>
        <v>0</v>
      </c>
      <c r="B929" s="33" t="str">
        <f>Equipos!D927</f>
        <v>Máquina Diálisis</v>
      </c>
      <c r="C929" s="33">
        <f>Equipos!E927</f>
        <v>0</v>
      </c>
      <c r="D929" s="33">
        <f>Equipos!G927</f>
        <v>0</v>
      </c>
      <c r="E929" s="33">
        <f>Equipos!I927</f>
        <v>0</v>
      </c>
      <c r="F929" s="33">
        <f>Equipos!J927</f>
        <v>0</v>
      </c>
      <c r="G929" s="37">
        <f>Equipos!K927</f>
        <v>0</v>
      </c>
      <c r="H929" s="33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3">
        <f t="shared" si="70"/>
        <v>0</v>
      </c>
      <c r="V929" s="33">
        <f t="shared" si="71"/>
        <v>0</v>
      </c>
      <c r="W929" s="33">
        <f t="shared" si="72"/>
        <v>0</v>
      </c>
      <c r="X929" s="33">
        <f t="shared" si="73"/>
        <v>0</v>
      </c>
      <c r="Y929" s="33">
        <f ca="1">SUMPRODUCT((I929:INDEX(I929:T929,MONTH(TODAY()))="X")*1)</f>
        <v>0</v>
      </c>
      <c r="Z929" s="39" t="str">
        <f t="shared" si="74"/>
        <v/>
      </c>
    </row>
    <row r="930" spans="1:26" x14ac:dyDescent="0.25">
      <c r="A930" s="37">
        <f>Equipos!C928</f>
        <v>0</v>
      </c>
      <c r="B930" s="33" t="str">
        <f>Equipos!D928</f>
        <v>Máquina Diálisis</v>
      </c>
      <c r="C930" s="33">
        <f>Equipos!E928</f>
        <v>0</v>
      </c>
      <c r="D930" s="33">
        <f>Equipos!G928</f>
        <v>0</v>
      </c>
      <c r="E930" s="33">
        <f>Equipos!I928</f>
        <v>0</v>
      </c>
      <c r="F930" s="33">
        <f>Equipos!J928</f>
        <v>0</v>
      </c>
      <c r="G930" s="37">
        <f>Equipos!K928</f>
        <v>0</v>
      </c>
      <c r="H930" s="33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3">
        <f t="shared" si="70"/>
        <v>0</v>
      </c>
      <c r="V930" s="33">
        <f t="shared" si="71"/>
        <v>0</v>
      </c>
      <c r="W930" s="33">
        <f t="shared" si="72"/>
        <v>0</v>
      </c>
      <c r="X930" s="33">
        <f t="shared" si="73"/>
        <v>0</v>
      </c>
      <c r="Y930" s="33">
        <f ca="1">SUMPRODUCT((I930:INDEX(I930:T930,MONTH(TODAY()))="X")*1)</f>
        <v>0</v>
      </c>
      <c r="Z930" s="39" t="str">
        <f t="shared" si="74"/>
        <v/>
      </c>
    </row>
    <row r="931" spans="1:26" x14ac:dyDescent="0.25">
      <c r="A931" s="37">
        <f>Equipos!C929</f>
        <v>0</v>
      </c>
      <c r="B931" s="33" t="str">
        <f>Equipos!D929</f>
        <v>Máquina Diálisis</v>
      </c>
      <c r="C931" s="33">
        <f>Equipos!E929</f>
        <v>0</v>
      </c>
      <c r="D931" s="33">
        <f>Equipos!G929</f>
        <v>0</v>
      </c>
      <c r="E931" s="33">
        <f>Equipos!I929</f>
        <v>0</v>
      </c>
      <c r="F931" s="33">
        <f>Equipos!J929</f>
        <v>0</v>
      </c>
      <c r="G931" s="37">
        <f>Equipos!K929</f>
        <v>0</v>
      </c>
      <c r="H931" s="33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3">
        <f t="shared" si="70"/>
        <v>0</v>
      </c>
      <c r="V931" s="33">
        <f t="shared" si="71"/>
        <v>0</v>
      </c>
      <c r="W931" s="33">
        <f t="shared" si="72"/>
        <v>0</v>
      </c>
      <c r="X931" s="33">
        <f t="shared" si="73"/>
        <v>0</v>
      </c>
      <c r="Y931" s="33">
        <f ca="1">SUMPRODUCT((I931:INDEX(I931:T931,MONTH(TODAY()))="X")*1)</f>
        <v>0</v>
      </c>
      <c r="Z931" s="39" t="str">
        <f t="shared" si="74"/>
        <v/>
      </c>
    </row>
    <row r="932" spans="1:26" x14ac:dyDescent="0.25">
      <c r="A932" s="37" t="str">
        <f>Equipos!C930</f>
        <v>2-006455</v>
      </c>
      <c r="B932" s="33" t="str">
        <f>Equipos!D930</f>
        <v>Máquina Diálisis</v>
      </c>
      <c r="C932" s="33" t="str">
        <f>Equipos!E930</f>
        <v>Hemodiálisis</v>
      </c>
      <c r="D932" s="33" t="str">
        <f>Equipos!G930</f>
        <v>EPB-P1</v>
      </c>
      <c r="E932" s="33" t="str">
        <f>Equipos!I930</f>
        <v>Fresenius</v>
      </c>
      <c r="F932" s="33" t="str">
        <f>Equipos!J930</f>
        <v>4008B(s)</v>
      </c>
      <c r="G932" s="37" t="str">
        <f>Equipos!K930</f>
        <v>8VCAJN47</v>
      </c>
      <c r="H932" s="33"/>
      <c r="I932" s="50" t="s">
        <v>279</v>
      </c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3">
        <f t="shared" si="70"/>
        <v>0</v>
      </c>
      <c r="V932" s="33">
        <f t="shared" si="71"/>
        <v>0</v>
      </c>
      <c r="W932" s="33">
        <f t="shared" si="72"/>
        <v>0</v>
      </c>
      <c r="X932" s="33">
        <f t="shared" si="73"/>
        <v>0</v>
      </c>
      <c r="Y932" s="33">
        <f ca="1">SUMPRODUCT((I932:INDEX(I932:T932,MONTH(TODAY()))="X")*1)</f>
        <v>0</v>
      </c>
      <c r="Z932" s="39" t="str">
        <f t="shared" si="74"/>
        <v/>
      </c>
    </row>
    <row r="933" spans="1:26" x14ac:dyDescent="0.25">
      <c r="A933" s="37" t="str">
        <f>Equipos!C931</f>
        <v>2-006460</v>
      </c>
      <c r="B933" s="33" t="str">
        <f>Equipos!D931</f>
        <v>Máquina Diálisis</v>
      </c>
      <c r="C933" s="33" t="str">
        <f>Equipos!E931</f>
        <v>Hemodiálisis</v>
      </c>
      <c r="D933" s="33" t="str">
        <f>Equipos!G931</f>
        <v>EPB-P1</v>
      </c>
      <c r="E933" s="33" t="str">
        <f>Equipos!I931</f>
        <v>Fresenius</v>
      </c>
      <c r="F933" s="33" t="str">
        <f>Equipos!J931</f>
        <v>4008B(s)</v>
      </c>
      <c r="G933" s="37" t="str">
        <f>Equipos!K931</f>
        <v>9VCAPR03</v>
      </c>
      <c r="H933" s="33"/>
      <c r="I933" s="38"/>
      <c r="J933" s="50" t="s">
        <v>279</v>
      </c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3">
        <f t="shared" si="70"/>
        <v>0</v>
      </c>
      <c r="V933" s="33">
        <f t="shared" si="71"/>
        <v>0</v>
      </c>
      <c r="W933" s="33">
        <f t="shared" si="72"/>
        <v>0</v>
      </c>
      <c r="X933" s="33">
        <f t="shared" si="73"/>
        <v>0</v>
      </c>
      <c r="Y933" s="33">
        <f ca="1">SUMPRODUCT((I933:INDEX(I933:T933,MONTH(TODAY()))="X")*1)</f>
        <v>0</v>
      </c>
      <c r="Z933" s="39" t="str">
        <f t="shared" si="74"/>
        <v/>
      </c>
    </row>
    <row r="934" spans="1:26" x14ac:dyDescent="0.25">
      <c r="A934" s="37">
        <f>Equipos!C932</f>
        <v>0</v>
      </c>
      <c r="B934" s="33" t="str">
        <f>Equipos!D932</f>
        <v>Máquina Diálisis</v>
      </c>
      <c r="C934" s="33">
        <f>Equipos!E932</f>
        <v>0</v>
      </c>
      <c r="D934" s="33">
        <f>Equipos!G932</f>
        <v>0</v>
      </c>
      <c r="E934" s="33">
        <f>Equipos!I932</f>
        <v>0</v>
      </c>
      <c r="F934" s="33">
        <f>Equipos!J932</f>
        <v>0</v>
      </c>
      <c r="G934" s="37">
        <f>Equipos!K932</f>
        <v>0</v>
      </c>
      <c r="H934" s="33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3">
        <f t="shared" si="70"/>
        <v>0</v>
      </c>
      <c r="V934" s="33">
        <f t="shared" si="71"/>
        <v>0</v>
      </c>
      <c r="W934" s="33">
        <f t="shared" si="72"/>
        <v>0</v>
      </c>
      <c r="X934" s="33">
        <f t="shared" si="73"/>
        <v>0</v>
      </c>
      <c r="Y934" s="33">
        <f ca="1">SUMPRODUCT((I934:INDEX(I934:T934,MONTH(TODAY()))="X")*1)</f>
        <v>0</v>
      </c>
      <c r="Z934" s="39" t="str">
        <f t="shared" si="74"/>
        <v/>
      </c>
    </row>
    <row r="935" spans="1:26" x14ac:dyDescent="0.25">
      <c r="A935" s="37" t="str">
        <f>Equipos!C933</f>
        <v>2-113999</v>
      </c>
      <c r="B935" s="33" t="str">
        <f>Equipos!D933</f>
        <v>Máquina Diálisis</v>
      </c>
      <c r="C935" s="33" t="str">
        <f>Equipos!E933</f>
        <v>UPC Adulto</v>
      </c>
      <c r="D935" s="33">
        <f>Equipos!G933</f>
        <v>0</v>
      </c>
      <c r="E935" s="33" t="str">
        <f>Equipos!I933</f>
        <v>Fresenius</v>
      </c>
      <c r="F935" s="33" t="str">
        <f>Equipos!J933</f>
        <v>4008B(s)</v>
      </c>
      <c r="G935" s="37" t="str">
        <f>Equipos!K933</f>
        <v>8VCAJN39</v>
      </c>
      <c r="H935" s="33"/>
      <c r="I935" s="38"/>
      <c r="J935" s="38"/>
      <c r="K935" s="38"/>
      <c r="L935" s="50" t="s">
        <v>276</v>
      </c>
      <c r="M935" s="50" t="s">
        <v>275</v>
      </c>
      <c r="N935" s="38"/>
      <c r="O935" s="38"/>
      <c r="P935" s="38"/>
      <c r="Q935" s="38"/>
      <c r="R935" s="38"/>
      <c r="S935" s="38"/>
      <c r="T935" s="38"/>
      <c r="U935" s="33">
        <f t="shared" si="70"/>
        <v>2</v>
      </c>
      <c r="V935" s="33">
        <f t="shared" si="71"/>
        <v>1</v>
      </c>
      <c r="W935" s="33">
        <f t="shared" si="72"/>
        <v>0</v>
      </c>
      <c r="X935" s="33">
        <f t="shared" si="73"/>
        <v>0</v>
      </c>
      <c r="Y935" s="33">
        <f ca="1">SUMPRODUCT((I935:INDEX(I935:T935,MONTH(TODAY()))="X")*1)</f>
        <v>0</v>
      </c>
      <c r="Z935" s="39">
        <f t="shared" si="74"/>
        <v>0.5</v>
      </c>
    </row>
    <row r="936" spans="1:26" x14ac:dyDescent="0.25">
      <c r="A936" s="37">
        <f>Equipos!C934</f>
        <v>0</v>
      </c>
      <c r="B936" s="33" t="str">
        <f>Equipos!D934</f>
        <v>Máquina Diálisis</v>
      </c>
      <c r="C936" s="33">
        <f>Equipos!E934</f>
        <v>0</v>
      </c>
      <c r="D936" s="33">
        <f>Equipos!G934</f>
        <v>0</v>
      </c>
      <c r="E936" s="33">
        <f>Equipos!I934</f>
        <v>0</v>
      </c>
      <c r="F936" s="33">
        <f>Equipos!J934</f>
        <v>0</v>
      </c>
      <c r="G936" s="37">
        <f>Equipos!K934</f>
        <v>0</v>
      </c>
      <c r="H936" s="33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3">
        <f t="shared" si="70"/>
        <v>0</v>
      </c>
      <c r="V936" s="33">
        <f t="shared" si="71"/>
        <v>0</v>
      </c>
      <c r="W936" s="33">
        <f t="shared" si="72"/>
        <v>0</v>
      </c>
      <c r="X936" s="33">
        <f t="shared" si="73"/>
        <v>0</v>
      </c>
      <c r="Y936" s="33">
        <f ca="1">SUMPRODUCT((I936:INDEX(I936:T936,MONTH(TODAY()))="X")*1)</f>
        <v>0</v>
      </c>
      <c r="Z936" s="39" t="str">
        <f t="shared" si="74"/>
        <v/>
      </c>
    </row>
    <row r="937" spans="1:26" x14ac:dyDescent="0.25">
      <c r="A937" s="37">
        <f>Equipos!C935</f>
        <v>0</v>
      </c>
      <c r="B937" s="33" t="str">
        <f>Equipos!D935</f>
        <v>Máquina Diálisis</v>
      </c>
      <c r="C937" s="33">
        <f>Equipos!E935</f>
        <v>0</v>
      </c>
      <c r="D937" s="33">
        <f>Equipos!G935</f>
        <v>0</v>
      </c>
      <c r="E937" s="33">
        <f>Equipos!I935</f>
        <v>0</v>
      </c>
      <c r="F937" s="33">
        <f>Equipos!J935</f>
        <v>0</v>
      </c>
      <c r="G937" s="37">
        <f>Equipos!K935</f>
        <v>0</v>
      </c>
      <c r="H937" s="33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3">
        <f t="shared" si="70"/>
        <v>0</v>
      </c>
      <c r="V937" s="33">
        <f t="shared" si="71"/>
        <v>0</v>
      </c>
      <c r="W937" s="33">
        <f t="shared" si="72"/>
        <v>0</v>
      </c>
      <c r="X937" s="33">
        <f t="shared" si="73"/>
        <v>0</v>
      </c>
      <c r="Y937" s="33">
        <f ca="1">SUMPRODUCT((I937:INDEX(I937:T937,MONTH(TODAY()))="X")*1)</f>
        <v>0</v>
      </c>
      <c r="Z937" s="39" t="str">
        <f t="shared" si="74"/>
        <v/>
      </c>
    </row>
    <row r="938" spans="1:26" x14ac:dyDescent="0.25">
      <c r="A938" s="37">
        <f>Equipos!C936</f>
        <v>0</v>
      </c>
      <c r="B938" s="33" t="str">
        <f>Equipos!D936</f>
        <v>Máquina Diálisis</v>
      </c>
      <c r="C938" s="33">
        <f>Equipos!E936</f>
        <v>0</v>
      </c>
      <c r="D938" s="33">
        <f>Equipos!G936</f>
        <v>0</v>
      </c>
      <c r="E938" s="33">
        <f>Equipos!I936</f>
        <v>0</v>
      </c>
      <c r="F938" s="33">
        <f>Equipos!J936</f>
        <v>0</v>
      </c>
      <c r="G938" s="37">
        <f>Equipos!K936</f>
        <v>0</v>
      </c>
      <c r="H938" s="33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3">
        <f t="shared" si="70"/>
        <v>0</v>
      </c>
      <c r="V938" s="33">
        <f t="shared" si="71"/>
        <v>0</v>
      </c>
      <c r="W938" s="33">
        <f t="shared" si="72"/>
        <v>0</v>
      </c>
      <c r="X938" s="33">
        <f t="shared" si="73"/>
        <v>0</v>
      </c>
      <c r="Y938" s="33">
        <f ca="1">SUMPRODUCT((I938:INDEX(I938:T938,MONTH(TODAY()))="X")*1)</f>
        <v>0</v>
      </c>
      <c r="Z938" s="39" t="str">
        <f t="shared" si="74"/>
        <v/>
      </c>
    </row>
    <row r="939" spans="1:26" x14ac:dyDescent="0.25">
      <c r="A939" s="37" t="str">
        <f>Equipos!C937</f>
        <v>2-133198</v>
      </c>
      <c r="B939" s="33" t="str">
        <f>Equipos!D937</f>
        <v>Máquina Diálisis</v>
      </c>
      <c r="C939" s="33" t="str">
        <f>Equipos!E937</f>
        <v>UPC Adulto</v>
      </c>
      <c r="D939" s="33">
        <f>Equipos!G937</f>
        <v>0</v>
      </c>
      <c r="E939" s="33" t="str">
        <f>Equipos!I937</f>
        <v>Fresenius</v>
      </c>
      <c r="F939" s="33" t="str">
        <f>Equipos!J937</f>
        <v>MultiFiltrate PRO</v>
      </c>
      <c r="G939" s="37" t="str">
        <f>Equipos!K937</f>
        <v>2FTG6886</v>
      </c>
      <c r="H939" s="33"/>
      <c r="I939" s="38"/>
      <c r="J939" s="38"/>
      <c r="K939" s="38"/>
      <c r="L939" s="50" t="s">
        <v>275</v>
      </c>
      <c r="M939" s="38"/>
      <c r="N939" s="38"/>
      <c r="O939" s="38"/>
      <c r="P939" s="38"/>
      <c r="Q939" s="38"/>
      <c r="R939" s="38"/>
      <c r="S939" s="38"/>
      <c r="T939" s="38"/>
      <c r="U939" s="33">
        <f t="shared" si="70"/>
        <v>1</v>
      </c>
      <c r="V939" s="33">
        <f t="shared" si="71"/>
        <v>1</v>
      </c>
      <c r="W939" s="33">
        <f t="shared" si="72"/>
        <v>0</v>
      </c>
      <c r="X939" s="33">
        <f t="shared" si="73"/>
        <v>0</v>
      </c>
      <c r="Y939" s="33">
        <f ca="1">SUMPRODUCT((I939:INDEX(I939:T939,MONTH(TODAY()))="X")*1)</f>
        <v>0</v>
      </c>
      <c r="Z939" s="39">
        <f t="shared" si="74"/>
        <v>1</v>
      </c>
    </row>
    <row r="940" spans="1:26" x14ac:dyDescent="0.25">
      <c r="A940" s="37" t="str">
        <f>Equipos!C938</f>
        <v>2-133199</v>
      </c>
      <c r="B940" s="33" t="str">
        <f>Equipos!D938</f>
        <v>Máquina Diálisis</v>
      </c>
      <c r="C940" s="33" t="str">
        <f>Equipos!E938</f>
        <v>UPC Adulto</v>
      </c>
      <c r="D940" s="33">
        <f>Equipos!G938</f>
        <v>0</v>
      </c>
      <c r="E940" s="33" t="str">
        <f>Equipos!I938</f>
        <v>Fresenius</v>
      </c>
      <c r="F940" s="33" t="str">
        <f>Equipos!J938</f>
        <v>MultiFiltrate PRO</v>
      </c>
      <c r="G940" s="37" t="str">
        <f>Equipos!K938</f>
        <v>2FTG6885</v>
      </c>
      <c r="H940" s="33"/>
      <c r="I940" s="38"/>
      <c r="J940" s="38"/>
      <c r="K940" s="38"/>
      <c r="L940" s="50" t="s">
        <v>275</v>
      </c>
      <c r="M940" s="38"/>
      <c r="N940" s="38"/>
      <c r="O940" s="38"/>
      <c r="P940" s="38"/>
      <c r="Q940" s="38"/>
      <c r="R940" s="38"/>
      <c r="S940" s="38"/>
      <c r="T940" s="38"/>
      <c r="U940" s="33">
        <f t="shared" si="70"/>
        <v>1</v>
      </c>
      <c r="V940" s="33">
        <f t="shared" si="71"/>
        <v>1</v>
      </c>
      <c r="W940" s="33">
        <f t="shared" si="72"/>
        <v>0</v>
      </c>
      <c r="X940" s="33">
        <f t="shared" si="73"/>
        <v>0</v>
      </c>
      <c r="Y940" s="33">
        <f ca="1">SUMPRODUCT((I940:INDEX(I940:T940,MONTH(TODAY()))="X")*1)</f>
        <v>0</v>
      </c>
      <c r="Z940" s="39">
        <f t="shared" si="74"/>
        <v>1</v>
      </c>
    </row>
    <row r="941" spans="1:26" x14ac:dyDescent="0.25">
      <c r="A941" s="37" t="str">
        <f>Equipos!C939</f>
        <v>2-133200</v>
      </c>
      <c r="B941" s="33" t="str">
        <f>Equipos!D939</f>
        <v>Máquina Diálisis</v>
      </c>
      <c r="C941" s="33" t="str">
        <f>Equipos!E939</f>
        <v>UPC Adulto</v>
      </c>
      <c r="D941" s="33">
        <f>Equipos!G939</f>
        <v>0</v>
      </c>
      <c r="E941" s="33" t="str">
        <f>Equipos!I939</f>
        <v>Fresenius</v>
      </c>
      <c r="F941" s="33" t="str">
        <f>Equipos!J939</f>
        <v>MultiFiltrate PRO</v>
      </c>
      <c r="G941" s="37" t="str">
        <f>Equipos!K939</f>
        <v>2FTG6884</v>
      </c>
      <c r="H941" s="33"/>
      <c r="I941" s="38"/>
      <c r="J941" s="38"/>
      <c r="K941" s="38"/>
      <c r="L941" s="50" t="s">
        <v>275</v>
      </c>
      <c r="M941" s="38"/>
      <c r="N941" s="38"/>
      <c r="O941" s="38"/>
      <c r="P941" s="38"/>
      <c r="Q941" s="38"/>
      <c r="R941" s="38"/>
      <c r="S941" s="38"/>
      <c r="T941" s="38"/>
      <c r="U941" s="33">
        <f t="shared" si="70"/>
        <v>1</v>
      </c>
      <c r="V941" s="33">
        <f t="shared" si="71"/>
        <v>1</v>
      </c>
      <c r="W941" s="33">
        <f t="shared" si="72"/>
        <v>0</v>
      </c>
      <c r="X941" s="33">
        <f t="shared" si="73"/>
        <v>0</v>
      </c>
      <c r="Y941" s="33">
        <f ca="1">SUMPRODUCT((I941:INDEX(I941:T941,MONTH(TODAY()))="X")*1)</f>
        <v>0</v>
      </c>
      <c r="Z941" s="39">
        <f t="shared" si="74"/>
        <v>1</v>
      </c>
    </row>
    <row r="942" spans="1:26" x14ac:dyDescent="0.25">
      <c r="A942" s="37">
        <f>Equipos!C940</f>
        <v>0</v>
      </c>
      <c r="B942" s="33" t="str">
        <f>Equipos!D940</f>
        <v>Máquina Diálisis</v>
      </c>
      <c r="C942" s="33">
        <f>Equipos!E940</f>
        <v>0</v>
      </c>
      <c r="D942" s="33">
        <f>Equipos!G940</f>
        <v>0</v>
      </c>
      <c r="E942" s="33">
        <f>Equipos!I940</f>
        <v>0</v>
      </c>
      <c r="F942" s="33">
        <f>Equipos!J940</f>
        <v>0</v>
      </c>
      <c r="G942" s="37">
        <f>Equipos!K940</f>
        <v>0</v>
      </c>
      <c r="H942" s="33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3">
        <f t="shared" si="70"/>
        <v>0</v>
      </c>
      <c r="V942" s="33">
        <f t="shared" si="71"/>
        <v>0</v>
      </c>
      <c r="W942" s="33">
        <f t="shared" si="72"/>
        <v>0</v>
      </c>
      <c r="X942" s="33">
        <f t="shared" si="73"/>
        <v>0</v>
      </c>
      <c r="Y942" s="33">
        <f ca="1">SUMPRODUCT((I942:INDEX(I942:T942,MONTH(TODAY()))="X")*1)</f>
        <v>0</v>
      </c>
      <c r="Z942" s="39" t="str">
        <f t="shared" si="74"/>
        <v/>
      </c>
    </row>
    <row r="943" spans="1:26" x14ac:dyDescent="0.25">
      <c r="A943" s="37">
        <f>Equipos!C941</f>
        <v>0</v>
      </c>
      <c r="B943" s="33" t="str">
        <f>Equipos!D941</f>
        <v>Máquina Diálisis</v>
      </c>
      <c r="C943" s="33">
        <f>Equipos!E941</f>
        <v>0</v>
      </c>
      <c r="D943" s="33">
        <f>Equipos!G941</f>
        <v>0</v>
      </c>
      <c r="E943" s="33">
        <f>Equipos!I941</f>
        <v>0</v>
      </c>
      <c r="F943" s="33">
        <f>Equipos!J941</f>
        <v>0</v>
      </c>
      <c r="G943" s="37">
        <f>Equipos!K941</f>
        <v>0</v>
      </c>
      <c r="H943" s="33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3">
        <f t="shared" si="70"/>
        <v>0</v>
      </c>
      <c r="V943" s="33">
        <f t="shared" si="71"/>
        <v>0</v>
      </c>
      <c r="W943" s="33">
        <f t="shared" si="72"/>
        <v>0</v>
      </c>
      <c r="X943" s="33">
        <f t="shared" si="73"/>
        <v>0</v>
      </c>
      <c r="Y943" s="33">
        <f ca="1">SUMPRODUCT((I943:INDEX(I943:T943,MONTH(TODAY()))="X")*1)</f>
        <v>0</v>
      </c>
      <c r="Z943" s="39" t="str">
        <f t="shared" si="74"/>
        <v/>
      </c>
    </row>
    <row r="944" spans="1:26" x14ac:dyDescent="0.25">
      <c r="A944" s="37">
        <f>Equipos!C942</f>
        <v>0</v>
      </c>
      <c r="B944" s="33" t="str">
        <f>Equipos!D942</f>
        <v>Máquina Diálisis</v>
      </c>
      <c r="C944" s="33">
        <f>Equipos!E942</f>
        <v>0</v>
      </c>
      <c r="D944" s="33">
        <f>Equipos!G942</f>
        <v>0</v>
      </c>
      <c r="E944" s="33">
        <f>Equipos!I942</f>
        <v>0</v>
      </c>
      <c r="F944" s="33">
        <f>Equipos!J942</f>
        <v>0</v>
      </c>
      <c r="G944" s="37">
        <f>Equipos!K942</f>
        <v>0</v>
      </c>
      <c r="H944" s="33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3">
        <f t="shared" si="70"/>
        <v>0</v>
      </c>
      <c r="V944" s="33">
        <f t="shared" si="71"/>
        <v>0</v>
      </c>
      <c r="W944" s="33">
        <f t="shared" si="72"/>
        <v>0</v>
      </c>
      <c r="X944" s="33">
        <f t="shared" si="73"/>
        <v>0</v>
      </c>
      <c r="Y944" s="33">
        <f ca="1">SUMPRODUCT((I944:INDEX(I944:T944,MONTH(TODAY()))="X")*1)</f>
        <v>0</v>
      </c>
      <c r="Z944" s="39" t="str">
        <f t="shared" si="74"/>
        <v/>
      </c>
    </row>
    <row r="945" spans="1:26" x14ac:dyDescent="0.25">
      <c r="A945" s="37">
        <f>Equipos!C943</f>
        <v>0</v>
      </c>
      <c r="B945" s="33" t="str">
        <f>Equipos!D943</f>
        <v>Máquina Diálisis</v>
      </c>
      <c r="C945" s="33">
        <f>Equipos!E943</f>
        <v>0</v>
      </c>
      <c r="D945" s="33">
        <f>Equipos!G943</f>
        <v>0</v>
      </c>
      <c r="E945" s="33">
        <f>Equipos!I943</f>
        <v>0</v>
      </c>
      <c r="F945" s="33">
        <f>Equipos!J943</f>
        <v>0</v>
      </c>
      <c r="G945" s="37">
        <f>Equipos!K943</f>
        <v>0</v>
      </c>
      <c r="H945" s="33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3">
        <f t="shared" si="70"/>
        <v>0</v>
      </c>
      <c r="V945" s="33">
        <f t="shared" si="71"/>
        <v>0</v>
      </c>
      <c r="W945" s="33">
        <f t="shared" si="72"/>
        <v>0</v>
      </c>
      <c r="X945" s="33">
        <f t="shared" si="73"/>
        <v>0</v>
      </c>
      <c r="Y945" s="33">
        <f ca="1">SUMPRODUCT((I945:INDEX(I945:T945,MONTH(TODAY()))="X")*1)</f>
        <v>0</v>
      </c>
      <c r="Z945" s="39" t="str">
        <f t="shared" si="74"/>
        <v/>
      </c>
    </row>
    <row r="946" spans="1:26" x14ac:dyDescent="0.25">
      <c r="A946" s="37" t="str">
        <f>Equipos!C944</f>
        <v>2-006456</v>
      </c>
      <c r="B946" s="33" t="str">
        <f>Equipos!D944</f>
        <v>Máquina Diálisis</v>
      </c>
      <c r="C946" s="33" t="str">
        <f>Equipos!E944</f>
        <v>Hemodiálisis</v>
      </c>
      <c r="D946" s="33" t="str">
        <f>Equipos!G944</f>
        <v>EPB-P1</v>
      </c>
      <c r="E946" s="33" t="str">
        <f>Equipos!I944</f>
        <v>Fresenius</v>
      </c>
      <c r="F946" s="33" t="str">
        <f>Equipos!J944</f>
        <v>4008B</v>
      </c>
      <c r="G946" s="37" t="str">
        <f>Equipos!K944</f>
        <v>OV5APR17</v>
      </c>
      <c r="H946" s="33"/>
      <c r="I946" s="38"/>
      <c r="J946" s="38"/>
      <c r="K946" s="38"/>
      <c r="L946" s="38"/>
      <c r="M946" s="50" t="s">
        <v>275</v>
      </c>
      <c r="N946" s="38"/>
      <c r="O946" s="38"/>
      <c r="P946" s="38"/>
      <c r="Q946" s="38"/>
      <c r="R946" s="38"/>
      <c r="S946" s="38"/>
      <c r="T946" s="38"/>
      <c r="U946" s="33">
        <f t="shared" si="70"/>
        <v>1</v>
      </c>
      <c r="V946" s="33">
        <f t="shared" si="71"/>
        <v>1</v>
      </c>
      <c r="W946" s="33">
        <f t="shared" si="72"/>
        <v>0</v>
      </c>
      <c r="X946" s="33">
        <f t="shared" si="73"/>
        <v>0</v>
      </c>
      <c r="Y946" s="33">
        <f ca="1">SUMPRODUCT((I946:INDEX(I946:T946,MONTH(TODAY()))="X")*1)</f>
        <v>0</v>
      </c>
      <c r="Z946" s="39">
        <f t="shared" si="74"/>
        <v>1</v>
      </c>
    </row>
    <row r="947" spans="1:26" x14ac:dyDescent="0.25">
      <c r="A947" s="37" t="str">
        <f>Equipos!C945</f>
        <v>2-016016</v>
      </c>
      <c r="B947" s="33" t="str">
        <f>Equipos!D945</f>
        <v>Máquina Diálisis</v>
      </c>
      <c r="C947" s="33" t="str">
        <f>Equipos!E945</f>
        <v>UPC Pediátrica</v>
      </c>
      <c r="D947" s="33">
        <f>Equipos!G945</f>
        <v>0</v>
      </c>
      <c r="E947" s="33" t="str">
        <f>Equipos!I945</f>
        <v>Gambro</v>
      </c>
      <c r="F947" s="33" t="str">
        <f>Equipos!J945</f>
        <v>Prismaflex</v>
      </c>
      <c r="G947" s="37" t="str">
        <f>Equipos!K945</f>
        <v>PA10283</v>
      </c>
      <c r="H947" s="33"/>
      <c r="I947" s="38"/>
      <c r="J947" s="38"/>
      <c r="K947" s="38"/>
      <c r="L947" s="50" t="s">
        <v>275</v>
      </c>
      <c r="M947" s="38"/>
      <c r="N947" s="38"/>
      <c r="O947" s="38"/>
      <c r="P947" s="38"/>
      <c r="Q947" s="38"/>
      <c r="R947" s="38"/>
      <c r="S947" s="38"/>
      <c r="T947" s="38"/>
      <c r="U947" s="33">
        <f t="shared" si="70"/>
        <v>1</v>
      </c>
      <c r="V947" s="33">
        <f t="shared" si="71"/>
        <v>1</v>
      </c>
      <c r="W947" s="33">
        <f t="shared" si="72"/>
        <v>0</v>
      </c>
      <c r="X947" s="33">
        <f t="shared" si="73"/>
        <v>0</v>
      </c>
      <c r="Y947" s="33">
        <f ca="1">SUMPRODUCT((I947:INDEX(I947:T947,MONTH(TODAY()))="X")*1)</f>
        <v>0</v>
      </c>
      <c r="Z947" s="39">
        <f t="shared" si="74"/>
        <v>1</v>
      </c>
    </row>
    <row r="948" spans="1:26" x14ac:dyDescent="0.25">
      <c r="A948" s="37" t="str">
        <f>Equipos!C946</f>
        <v>2-013586</v>
      </c>
      <c r="B948" s="33" t="str">
        <f>Equipos!D946</f>
        <v>Máquina Diálisis</v>
      </c>
      <c r="C948" s="33" t="str">
        <f>Equipos!E946</f>
        <v>UPC Adulto</v>
      </c>
      <c r="D948" s="33">
        <f>Equipos!G946</f>
        <v>0</v>
      </c>
      <c r="E948" s="33" t="str">
        <f>Equipos!I946</f>
        <v>Fresenius</v>
      </c>
      <c r="F948" s="33" t="str">
        <f>Equipos!J946</f>
        <v>4008S</v>
      </c>
      <c r="G948" s="37" t="str">
        <f>Equipos!K946</f>
        <v>5SXAEL56</v>
      </c>
      <c r="H948" s="33"/>
      <c r="I948" s="38"/>
      <c r="J948" s="38"/>
      <c r="K948" s="38"/>
      <c r="L948" s="50" t="s">
        <v>275</v>
      </c>
      <c r="M948" s="38"/>
      <c r="N948" s="38"/>
      <c r="O948" s="38"/>
      <c r="P948" s="38"/>
      <c r="Q948" s="38"/>
      <c r="R948" s="38"/>
      <c r="S948" s="38"/>
      <c r="T948" s="38"/>
      <c r="U948" s="33">
        <f t="shared" si="70"/>
        <v>1</v>
      </c>
      <c r="V948" s="33">
        <f t="shared" si="71"/>
        <v>1</v>
      </c>
      <c r="W948" s="33">
        <f t="shared" si="72"/>
        <v>0</v>
      </c>
      <c r="X948" s="33">
        <f t="shared" si="73"/>
        <v>0</v>
      </c>
      <c r="Y948" s="33">
        <f ca="1">SUMPRODUCT((I948:INDEX(I948:T948,MONTH(TODAY()))="X")*1)</f>
        <v>0</v>
      </c>
      <c r="Z948" s="39">
        <f t="shared" si="74"/>
        <v>1</v>
      </c>
    </row>
    <row r="949" spans="1:26" x14ac:dyDescent="0.25">
      <c r="A949" s="37" t="str">
        <f>Equipos!C947</f>
        <v>2-111213</v>
      </c>
      <c r="B949" s="33" t="str">
        <f>Equipos!D947</f>
        <v>Máquina Diálisis</v>
      </c>
      <c r="C949" s="33" t="str">
        <f>Equipos!E947</f>
        <v>UPC Adulto</v>
      </c>
      <c r="D949" s="33">
        <f>Equipos!G947</f>
        <v>0</v>
      </c>
      <c r="E949" s="33" t="str">
        <f>Equipos!I947</f>
        <v>Fresenius</v>
      </c>
      <c r="F949" s="33" t="str">
        <f>Equipos!J947</f>
        <v>4008S</v>
      </c>
      <c r="G949" s="37" t="str">
        <f>Equipos!K947</f>
        <v>5SXAEL57</v>
      </c>
      <c r="H949" s="33"/>
      <c r="I949" s="38"/>
      <c r="J949" s="38"/>
      <c r="K949" s="38"/>
      <c r="L949" s="50" t="s">
        <v>275</v>
      </c>
      <c r="M949" s="38"/>
      <c r="N949" s="38"/>
      <c r="O949" s="38"/>
      <c r="P949" s="38"/>
      <c r="Q949" s="38"/>
      <c r="R949" s="38"/>
      <c r="S949" s="38"/>
      <c r="T949" s="38"/>
      <c r="U949" s="33">
        <f t="shared" si="70"/>
        <v>1</v>
      </c>
      <c r="V949" s="33">
        <f t="shared" si="71"/>
        <v>1</v>
      </c>
      <c r="W949" s="33">
        <f t="shared" si="72"/>
        <v>0</v>
      </c>
      <c r="X949" s="33">
        <f t="shared" si="73"/>
        <v>0</v>
      </c>
      <c r="Y949" s="33">
        <f ca="1">SUMPRODUCT((I949:INDEX(I949:T949,MONTH(TODAY()))="X")*1)</f>
        <v>0</v>
      </c>
      <c r="Z949" s="39">
        <f t="shared" si="74"/>
        <v>1</v>
      </c>
    </row>
    <row r="950" spans="1:26" x14ac:dyDescent="0.25">
      <c r="A950" s="37" t="str">
        <f>Equipos!C948</f>
        <v>2-027619</v>
      </c>
      <c r="B950" s="33" t="str">
        <f>Equipos!D948</f>
        <v>Máquina Diálisis</v>
      </c>
      <c r="C950" s="33" t="str">
        <f>Equipos!E948</f>
        <v>UPC Adulto</v>
      </c>
      <c r="D950" s="33">
        <f>Equipos!G948</f>
        <v>0</v>
      </c>
      <c r="E950" s="33" t="str">
        <f>Equipos!I948</f>
        <v>Fresenius</v>
      </c>
      <c r="F950" s="33" t="str">
        <f>Equipos!J948</f>
        <v>4008S</v>
      </c>
      <c r="G950" s="37" t="str">
        <f>Equipos!K948</f>
        <v>5SXAEL58</v>
      </c>
      <c r="H950" s="33"/>
      <c r="I950" s="38"/>
      <c r="J950" s="38"/>
      <c r="K950" s="38"/>
      <c r="L950" s="50" t="s">
        <v>275</v>
      </c>
      <c r="M950" s="38"/>
      <c r="N950" s="38"/>
      <c r="O950" s="38"/>
      <c r="P950" s="38"/>
      <c r="Q950" s="38"/>
      <c r="R950" s="38"/>
      <c r="S950" s="38"/>
      <c r="T950" s="38"/>
      <c r="U950" s="33">
        <f t="shared" si="70"/>
        <v>1</v>
      </c>
      <c r="V950" s="33">
        <f t="shared" si="71"/>
        <v>1</v>
      </c>
      <c r="W950" s="33">
        <f t="shared" si="72"/>
        <v>0</v>
      </c>
      <c r="X950" s="33">
        <f t="shared" si="73"/>
        <v>0</v>
      </c>
      <c r="Y950" s="33">
        <f ca="1">SUMPRODUCT((I950:INDEX(I950:T950,MONTH(TODAY()))="X")*1)</f>
        <v>0</v>
      </c>
      <c r="Z950" s="39">
        <f t="shared" si="74"/>
        <v>1</v>
      </c>
    </row>
    <row r="951" spans="1:26" x14ac:dyDescent="0.25">
      <c r="A951" s="37">
        <f>Equipos!C949</f>
        <v>0</v>
      </c>
      <c r="B951" s="33" t="str">
        <f>Equipos!D949</f>
        <v>Máquina Diálisis</v>
      </c>
      <c r="C951" s="33">
        <f>Equipos!E949</f>
        <v>0</v>
      </c>
      <c r="D951" s="33">
        <f>Equipos!G949</f>
        <v>0</v>
      </c>
      <c r="E951" s="33">
        <f>Equipos!I949</f>
        <v>0</v>
      </c>
      <c r="F951" s="33">
        <f>Equipos!J949</f>
        <v>0</v>
      </c>
      <c r="G951" s="37">
        <f>Equipos!K949</f>
        <v>0</v>
      </c>
      <c r="H951" s="33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3">
        <f t="shared" si="70"/>
        <v>0</v>
      </c>
      <c r="V951" s="33">
        <f t="shared" si="71"/>
        <v>0</v>
      </c>
      <c r="W951" s="33">
        <f t="shared" si="72"/>
        <v>0</v>
      </c>
      <c r="X951" s="33">
        <f t="shared" si="73"/>
        <v>0</v>
      </c>
      <c r="Y951" s="33">
        <f ca="1">SUMPRODUCT((I951:INDEX(I951:T951,MONTH(TODAY()))="X")*1)</f>
        <v>0</v>
      </c>
      <c r="Z951" s="39" t="str">
        <f t="shared" si="74"/>
        <v/>
      </c>
    </row>
    <row r="952" spans="1:26" x14ac:dyDescent="0.25">
      <c r="A952" s="37">
        <f>Equipos!C950</f>
        <v>0</v>
      </c>
      <c r="B952" s="33" t="str">
        <f>Equipos!D950</f>
        <v>Máquina Diálisis</v>
      </c>
      <c r="C952" s="33">
        <f>Equipos!E950</f>
        <v>0</v>
      </c>
      <c r="D952" s="33">
        <f>Equipos!G950</f>
        <v>0</v>
      </c>
      <c r="E952" s="33">
        <f>Equipos!I950</f>
        <v>0</v>
      </c>
      <c r="F952" s="33">
        <f>Equipos!J950</f>
        <v>0</v>
      </c>
      <c r="G952" s="37">
        <f>Equipos!K950</f>
        <v>0</v>
      </c>
      <c r="H952" s="33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3">
        <f t="shared" si="70"/>
        <v>0</v>
      </c>
      <c r="V952" s="33">
        <f t="shared" si="71"/>
        <v>0</v>
      </c>
      <c r="W952" s="33">
        <f t="shared" si="72"/>
        <v>0</v>
      </c>
      <c r="X952" s="33">
        <f t="shared" si="73"/>
        <v>0</v>
      </c>
      <c r="Y952" s="33">
        <f ca="1">SUMPRODUCT((I952:INDEX(I952:T952,MONTH(TODAY()))="X")*1)</f>
        <v>0</v>
      </c>
      <c r="Z952" s="39" t="str">
        <f t="shared" si="74"/>
        <v/>
      </c>
    </row>
    <row r="953" spans="1:26" x14ac:dyDescent="0.25">
      <c r="A953" s="37">
        <f>Equipos!C951</f>
        <v>0</v>
      </c>
      <c r="B953" s="33" t="str">
        <f>Equipos!D951</f>
        <v>Máquina Diálisis</v>
      </c>
      <c r="C953" s="33">
        <f>Equipos!E951</f>
        <v>0</v>
      </c>
      <c r="D953" s="33">
        <f>Equipos!G951</f>
        <v>0</v>
      </c>
      <c r="E953" s="33">
        <f>Equipos!I951</f>
        <v>0</v>
      </c>
      <c r="F953" s="33">
        <f>Equipos!J951</f>
        <v>0</v>
      </c>
      <c r="G953" s="37">
        <f>Equipos!K951</f>
        <v>0</v>
      </c>
      <c r="H953" s="33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3">
        <f t="shared" si="70"/>
        <v>0</v>
      </c>
      <c r="V953" s="33">
        <f t="shared" si="71"/>
        <v>0</v>
      </c>
      <c r="W953" s="33">
        <f t="shared" si="72"/>
        <v>0</v>
      </c>
      <c r="X953" s="33">
        <f t="shared" si="73"/>
        <v>0</v>
      </c>
      <c r="Y953" s="33">
        <f ca="1">SUMPRODUCT((I953:INDEX(I953:T953,MONTH(TODAY()))="X")*1)</f>
        <v>0</v>
      </c>
      <c r="Z953" s="39" t="str">
        <f t="shared" si="74"/>
        <v/>
      </c>
    </row>
    <row r="954" spans="1:26" x14ac:dyDescent="0.25">
      <c r="A954" s="37">
        <f>Equipos!C952</f>
        <v>0</v>
      </c>
      <c r="B954" s="33" t="str">
        <f>Equipos!D952</f>
        <v>Máquina Diálisis</v>
      </c>
      <c r="C954" s="33">
        <f>Equipos!E952</f>
        <v>0</v>
      </c>
      <c r="D954" s="33">
        <f>Equipos!G952</f>
        <v>0</v>
      </c>
      <c r="E954" s="33">
        <f>Equipos!I952</f>
        <v>0</v>
      </c>
      <c r="F954" s="33">
        <f>Equipos!J952</f>
        <v>0</v>
      </c>
      <c r="G954" s="37">
        <f>Equipos!K952</f>
        <v>0</v>
      </c>
      <c r="H954" s="33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3">
        <f t="shared" si="70"/>
        <v>0</v>
      </c>
      <c r="V954" s="33">
        <f t="shared" si="71"/>
        <v>0</v>
      </c>
      <c r="W954" s="33">
        <f t="shared" si="72"/>
        <v>0</v>
      </c>
      <c r="X954" s="33">
        <f t="shared" si="73"/>
        <v>0</v>
      </c>
      <c r="Y954" s="33">
        <f ca="1">SUMPRODUCT((I954:INDEX(I954:T954,MONTH(TODAY()))="X")*1)</f>
        <v>0</v>
      </c>
      <c r="Z954" s="39" t="str">
        <f t="shared" si="74"/>
        <v/>
      </c>
    </row>
    <row r="955" spans="1:26" x14ac:dyDescent="0.25">
      <c r="A955" s="37">
        <f>Equipos!C953</f>
        <v>0</v>
      </c>
      <c r="B955" s="33" t="str">
        <f>Equipos!D953</f>
        <v>Máquina Diálisis</v>
      </c>
      <c r="C955" s="33">
        <f>Equipos!E953</f>
        <v>0</v>
      </c>
      <c r="D955" s="33">
        <f>Equipos!G953</f>
        <v>0</v>
      </c>
      <c r="E955" s="33">
        <f>Equipos!I953</f>
        <v>0</v>
      </c>
      <c r="F955" s="33">
        <f>Equipos!J953</f>
        <v>0</v>
      </c>
      <c r="G955" s="37">
        <f>Equipos!K953</f>
        <v>0</v>
      </c>
      <c r="H955" s="33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3">
        <f t="shared" si="70"/>
        <v>0</v>
      </c>
      <c r="V955" s="33">
        <f t="shared" si="71"/>
        <v>0</v>
      </c>
      <c r="W955" s="33">
        <f t="shared" si="72"/>
        <v>0</v>
      </c>
      <c r="X955" s="33">
        <f t="shared" si="73"/>
        <v>0</v>
      </c>
      <c r="Y955" s="33">
        <f ca="1">SUMPRODUCT((I955:INDEX(I955:T955,MONTH(TODAY()))="X")*1)</f>
        <v>0</v>
      </c>
      <c r="Z955" s="39" t="str">
        <f t="shared" si="74"/>
        <v/>
      </c>
    </row>
    <row r="956" spans="1:26" x14ac:dyDescent="0.25">
      <c r="A956" s="37">
        <f>Equipos!C954</f>
        <v>0</v>
      </c>
      <c r="B956" s="33" t="str">
        <f>Equipos!D954</f>
        <v>Máquina Diálisis</v>
      </c>
      <c r="C956" s="33">
        <f>Equipos!E954</f>
        <v>0</v>
      </c>
      <c r="D956" s="33">
        <f>Equipos!G954</f>
        <v>0</v>
      </c>
      <c r="E956" s="33">
        <f>Equipos!I954</f>
        <v>0</v>
      </c>
      <c r="F956" s="33">
        <f>Equipos!J954</f>
        <v>0</v>
      </c>
      <c r="G956" s="37">
        <f>Equipos!K954</f>
        <v>0</v>
      </c>
      <c r="H956" s="33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3">
        <f t="shared" si="70"/>
        <v>0</v>
      </c>
      <c r="V956" s="33">
        <f t="shared" si="71"/>
        <v>0</v>
      </c>
      <c r="W956" s="33">
        <f t="shared" si="72"/>
        <v>0</v>
      </c>
      <c r="X956" s="33">
        <f t="shared" si="73"/>
        <v>0</v>
      </c>
      <c r="Y956" s="33">
        <f ca="1">SUMPRODUCT((I956:INDEX(I956:T956,MONTH(TODAY()))="X")*1)</f>
        <v>0</v>
      </c>
      <c r="Z956" s="39" t="str">
        <f t="shared" si="74"/>
        <v/>
      </c>
    </row>
    <row r="957" spans="1:26" x14ac:dyDescent="0.25">
      <c r="A957" s="37" t="str">
        <f>Equipos!C955</f>
        <v>2-128041</v>
      </c>
      <c r="B957" s="33" t="str">
        <f>Equipos!D955</f>
        <v>Máquina Diálisis</v>
      </c>
      <c r="C957" s="33" t="str">
        <f>Equipos!E955</f>
        <v>Hemodiálisis</v>
      </c>
      <c r="D957" s="33">
        <f>Equipos!G955</f>
        <v>0</v>
      </c>
      <c r="E957" s="33" t="str">
        <f>Equipos!I955</f>
        <v>Fresenius</v>
      </c>
      <c r="F957" s="33" t="str">
        <f>Equipos!J955</f>
        <v>4008S</v>
      </c>
      <c r="G957" s="37" t="str">
        <f>Equipos!K955</f>
        <v>3SXA4HC6</v>
      </c>
      <c r="H957" s="33"/>
      <c r="I957" s="38"/>
      <c r="J957" s="38"/>
      <c r="K957" s="38"/>
      <c r="L957" s="38"/>
      <c r="M957" s="50" t="s">
        <v>275</v>
      </c>
      <c r="N957" s="38"/>
      <c r="O957" s="38"/>
      <c r="P957" s="38"/>
      <c r="Q957" s="38"/>
      <c r="R957" s="38"/>
      <c r="S957" s="38"/>
      <c r="T957" s="38"/>
      <c r="U957" s="33">
        <f t="shared" si="70"/>
        <v>1</v>
      </c>
      <c r="V957" s="33">
        <f t="shared" si="71"/>
        <v>1</v>
      </c>
      <c r="W957" s="33">
        <f t="shared" si="72"/>
        <v>0</v>
      </c>
      <c r="X957" s="33">
        <f t="shared" si="73"/>
        <v>0</v>
      </c>
      <c r="Y957" s="33">
        <f ca="1">SUMPRODUCT((I957:INDEX(I957:T957,MONTH(TODAY()))="X")*1)</f>
        <v>0</v>
      </c>
      <c r="Z957" s="39">
        <f t="shared" si="74"/>
        <v>1</v>
      </c>
    </row>
    <row r="958" spans="1:26" x14ac:dyDescent="0.25">
      <c r="A958" s="37" t="str">
        <f>Equipos!C956</f>
        <v>2-128043</v>
      </c>
      <c r="B958" s="33" t="str">
        <f>Equipos!D956</f>
        <v>Máquina Diálisis</v>
      </c>
      <c r="C958" s="33" t="str">
        <f>Equipos!E956</f>
        <v>Hemodiálisis</v>
      </c>
      <c r="D958" s="33">
        <f>Equipos!G956</f>
        <v>0</v>
      </c>
      <c r="E958" s="33" t="str">
        <f>Equipos!I956</f>
        <v>Fresenius</v>
      </c>
      <c r="F958" s="33" t="str">
        <f>Equipos!J956</f>
        <v>4008S</v>
      </c>
      <c r="G958" s="37" t="str">
        <f>Equipos!K956</f>
        <v>3SXA4HC2</v>
      </c>
      <c r="H958" s="33"/>
      <c r="I958" s="38"/>
      <c r="J958" s="38"/>
      <c r="K958" s="38"/>
      <c r="L958" s="38"/>
      <c r="M958" s="50" t="s">
        <v>275</v>
      </c>
      <c r="N958" s="38"/>
      <c r="O958" s="38"/>
      <c r="P958" s="38"/>
      <c r="Q958" s="38"/>
      <c r="R958" s="38"/>
      <c r="S958" s="38"/>
      <c r="T958" s="38"/>
      <c r="U958" s="33">
        <f t="shared" si="70"/>
        <v>1</v>
      </c>
      <c r="V958" s="33">
        <f t="shared" si="71"/>
        <v>1</v>
      </c>
      <c r="W958" s="33">
        <f t="shared" si="72"/>
        <v>0</v>
      </c>
      <c r="X958" s="33">
        <f t="shared" si="73"/>
        <v>0</v>
      </c>
      <c r="Y958" s="33">
        <f ca="1">SUMPRODUCT((I958:INDEX(I958:T958,MONTH(TODAY()))="X")*1)</f>
        <v>0</v>
      </c>
      <c r="Z958" s="39">
        <f t="shared" si="74"/>
        <v>1</v>
      </c>
    </row>
    <row r="959" spans="1:26" x14ac:dyDescent="0.25">
      <c r="A959" s="37" t="str">
        <f>Equipos!C957</f>
        <v>2-128044</v>
      </c>
      <c r="B959" s="33" t="str">
        <f>Equipos!D957</f>
        <v>Máquina Diálisis</v>
      </c>
      <c r="C959" s="33" t="str">
        <f>Equipos!E957</f>
        <v>Hemodiálisis</v>
      </c>
      <c r="D959" s="33">
        <f>Equipos!G957</f>
        <v>0</v>
      </c>
      <c r="E959" s="33" t="str">
        <f>Equipos!I957</f>
        <v>Fresenius</v>
      </c>
      <c r="F959" s="33" t="str">
        <f>Equipos!J957</f>
        <v>4008S</v>
      </c>
      <c r="G959" s="37" t="str">
        <f>Equipos!K957</f>
        <v>3SXA4HDK</v>
      </c>
      <c r="H959" s="33"/>
      <c r="I959" s="38"/>
      <c r="J959" s="38"/>
      <c r="K959" s="38"/>
      <c r="L959" s="38"/>
      <c r="M959" s="50" t="s">
        <v>275</v>
      </c>
      <c r="N959" s="38"/>
      <c r="O959" s="38"/>
      <c r="P959" s="38"/>
      <c r="Q959" s="38"/>
      <c r="R959" s="38"/>
      <c r="S959" s="38"/>
      <c r="T959" s="38"/>
      <c r="U959" s="33">
        <f t="shared" si="70"/>
        <v>1</v>
      </c>
      <c r="V959" s="33">
        <f t="shared" si="71"/>
        <v>1</v>
      </c>
      <c r="W959" s="33">
        <f t="shared" si="72"/>
        <v>0</v>
      </c>
      <c r="X959" s="33">
        <f t="shared" si="73"/>
        <v>0</v>
      </c>
      <c r="Y959" s="33">
        <f ca="1">SUMPRODUCT((I959:INDEX(I959:T959,MONTH(TODAY()))="X")*1)</f>
        <v>0</v>
      </c>
      <c r="Z959" s="39">
        <f t="shared" si="74"/>
        <v>1</v>
      </c>
    </row>
    <row r="960" spans="1:26" x14ac:dyDescent="0.25">
      <c r="A960" s="37" t="str">
        <f>Equipos!C958</f>
        <v>2-128045</v>
      </c>
      <c r="B960" s="33" t="str">
        <f>Equipos!D958</f>
        <v>Máquina Diálisis</v>
      </c>
      <c r="C960" s="33" t="str">
        <f>Equipos!E958</f>
        <v>Hemodiálisis</v>
      </c>
      <c r="D960" s="33">
        <f>Equipos!G958</f>
        <v>0</v>
      </c>
      <c r="E960" s="33" t="str">
        <f>Equipos!I958</f>
        <v>Fresenius</v>
      </c>
      <c r="F960" s="33" t="str">
        <f>Equipos!J958</f>
        <v>4008S</v>
      </c>
      <c r="G960" s="37" t="str">
        <f>Equipos!K958</f>
        <v>3SXA4HDJ</v>
      </c>
      <c r="H960" s="33"/>
      <c r="I960" s="38"/>
      <c r="J960" s="38"/>
      <c r="K960" s="38"/>
      <c r="L960" s="38"/>
      <c r="M960" s="50" t="s">
        <v>275</v>
      </c>
      <c r="N960" s="38"/>
      <c r="O960" s="38"/>
      <c r="P960" s="38"/>
      <c r="Q960" s="38"/>
      <c r="R960" s="38"/>
      <c r="S960" s="38"/>
      <c r="T960" s="38"/>
      <c r="U960" s="33">
        <f t="shared" si="70"/>
        <v>1</v>
      </c>
      <c r="V960" s="33">
        <f t="shared" si="71"/>
        <v>1</v>
      </c>
      <c r="W960" s="33">
        <f t="shared" si="72"/>
        <v>0</v>
      </c>
      <c r="X960" s="33">
        <f t="shared" si="73"/>
        <v>0</v>
      </c>
      <c r="Y960" s="33">
        <f ca="1">SUMPRODUCT((I960:INDEX(I960:T960,MONTH(TODAY()))="X")*1)</f>
        <v>0</v>
      </c>
      <c r="Z960" s="39">
        <f t="shared" si="74"/>
        <v>1</v>
      </c>
    </row>
    <row r="961" spans="1:26" x14ac:dyDescent="0.25">
      <c r="A961" s="37" t="str">
        <f>Equipos!C959</f>
        <v>2-128046</v>
      </c>
      <c r="B961" s="33" t="str">
        <f>Equipos!D959</f>
        <v>Máquina Diálisis</v>
      </c>
      <c r="C961" s="33" t="str">
        <f>Equipos!E959</f>
        <v>Hemodiálisis</v>
      </c>
      <c r="D961" s="33">
        <f>Equipos!G959</f>
        <v>0</v>
      </c>
      <c r="E961" s="33" t="str">
        <f>Equipos!I959</f>
        <v>Fresenius</v>
      </c>
      <c r="F961" s="33" t="str">
        <f>Equipos!J959</f>
        <v>4008S</v>
      </c>
      <c r="G961" s="37" t="str">
        <f>Equipos!K959</f>
        <v>3SXA4HD0</v>
      </c>
      <c r="H961" s="33"/>
      <c r="I961" s="38"/>
      <c r="J961" s="38"/>
      <c r="K961" s="38"/>
      <c r="L961" s="38"/>
      <c r="M961" s="50" t="s">
        <v>275</v>
      </c>
      <c r="N961" s="38"/>
      <c r="O961" s="38"/>
      <c r="P961" s="38"/>
      <c r="Q961" s="38"/>
      <c r="R961" s="38"/>
      <c r="S961" s="38"/>
      <c r="T961" s="38"/>
      <c r="U961" s="33">
        <f t="shared" si="70"/>
        <v>1</v>
      </c>
      <c r="V961" s="33">
        <f t="shared" si="71"/>
        <v>1</v>
      </c>
      <c r="W961" s="33">
        <f t="shared" si="72"/>
        <v>0</v>
      </c>
      <c r="X961" s="33">
        <f t="shared" si="73"/>
        <v>0</v>
      </c>
      <c r="Y961" s="33">
        <f ca="1">SUMPRODUCT((I961:INDEX(I961:T961,MONTH(TODAY()))="X")*1)</f>
        <v>0</v>
      </c>
      <c r="Z961" s="39">
        <f t="shared" si="74"/>
        <v>1</v>
      </c>
    </row>
    <row r="962" spans="1:26" x14ac:dyDescent="0.25">
      <c r="A962" s="37" t="str">
        <f>Equipos!C960</f>
        <v>2-128047</v>
      </c>
      <c r="B962" s="33" t="str">
        <f>Equipos!D960</f>
        <v>Máquina Diálisis</v>
      </c>
      <c r="C962" s="33" t="str">
        <f>Equipos!E960</f>
        <v>Hemodiálisis</v>
      </c>
      <c r="D962" s="33">
        <f>Equipos!G960</f>
        <v>0</v>
      </c>
      <c r="E962" s="33" t="str">
        <f>Equipos!I960</f>
        <v>Fresenius</v>
      </c>
      <c r="F962" s="33" t="str">
        <f>Equipos!J960</f>
        <v>4008S</v>
      </c>
      <c r="G962" s="37" t="str">
        <f>Equipos!K960</f>
        <v>3SXA4HD1</v>
      </c>
      <c r="H962" s="33"/>
      <c r="I962" s="38"/>
      <c r="J962" s="38"/>
      <c r="K962" s="38"/>
      <c r="L962" s="38"/>
      <c r="M962" s="50" t="s">
        <v>275</v>
      </c>
      <c r="N962" s="38"/>
      <c r="O962" s="38"/>
      <c r="P962" s="38"/>
      <c r="Q962" s="38"/>
      <c r="R962" s="38"/>
      <c r="S962" s="38"/>
      <c r="T962" s="38"/>
      <c r="U962" s="33">
        <f t="shared" si="70"/>
        <v>1</v>
      </c>
      <c r="V962" s="33">
        <f t="shared" si="71"/>
        <v>1</v>
      </c>
      <c r="W962" s="33">
        <f t="shared" si="72"/>
        <v>0</v>
      </c>
      <c r="X962" s="33">
        <f t="shared" si="73"/>
        <v>0</v>
      </c>
      <c r="Y962" s="33">
        <f ca="1">SUMPRODUCT((I962:INDEX(I962:T962,MONTH(TODAY()))="X")*1)</f>
        <v>0</v>
      </c>
      <c r="Z962" s="39">
        <f t="shared" si="74"/>
        <v>1</v>
      </c>
    </row>
    <row r="963" spans="1:26" x14ac:dyDescent="0.25">
      <c r="A963" s="37" t="str">
        <f>Equipos!C961</f>
        <v>2-128048</v>
      </c>
      <c r="B963" s="33" t="str">
        <f>Equipos!D961</f>
        <v>Máquina Diálisis</v>
      </c>
      <c r="C963" s="33" t="str">
        <f>Equipos!E961</f>
        <v>Hemodiálisis</v>
      </c>
      <c r="D963" s="33">
        <f>Equipos!G961</f>
        <v>0</v>
      </c>
      <c r="E963" s="33" t="str">
        <f>Equipos!I961</f>
        <v>Fresenius</v>
      </c>
      <c r="F963" s="33" t="str">
        <f>Equipos!J961</f>
        <v>4008S</v>
      </c>
      <c r="G963" s="37" t="str">
        <f>Equipos!K961</f>
        <v>3SXA4HCJ</v>
      </c>
      <c r="H963" s="33"/>
      <c r="I963" s="38"/>
      <c r="J963" s="38"/>
      <c r="K963" s="38"/>
      <c r="L963" s="38"/>
      <c r="M963" s="50" t="s">
        <v>275</v>
      </c>
      <c r="N963" s="38"/>
      <c r="O963" s="38"/>
      <c r="P963" s="38"/>
      <c r="Q963" s="38"/>
      <c r="R963" s="38"/>
      <c r="S963" s="38"/>
      <c r="T963" s="38"/>
      <c r="U963" s="33">
        <f t="shared" si="70"/>
        <v>1</v>
      </c>
      <c r="V963" s="33">
        <f t="shared" si="71"/>
        <v>1</v>
      </c>
      <c r="W963" s="33">
        <f t="shared" si="72"/>
        <v>0</v>
      </c>
      <c r="X963" s="33">
        <f t="shared" si="73"/>
        <v>0</v>
      </c>
      <c r="Y963" s="33">
        <f ca="1">SUMPRODUCT((I963:INDEX(I963:T963,MONTH(TODAY()))="X")*1)</f>
        <v>0</v>
      </c>
      <c r="Z963" s="39">
        <f t="shared" si="74"/>
        <v>1</v>
      </c>
    </row>
    <row r="964" spans="1:26" x14ac:dyDescent="0.25">
      <c r="A964" s="37" t="str">
        <f>Equipos!C962</f>
        <v>2-128050</v>
      </c>
      <c r="B964" s="33" t="str">
        <f>Equipos!D962</f>
        <v>Máquina Diálisis</v>
      </c>
      <c r="C964" s="33" t="str">
        <f>Equipos!E962</f>
        <v>Hemodiálisis</v>
      </c>
      <c r="D964" s="33">
        <f>Equipos!G962</f>
        <v>0</v>
      </c>
      <c r="E964" s="33" t="str">
        <f>Equipos!I962</f>
        <v>Fresenius</v>
      </c>
      <c r="F964" s="33" t="str">
        <f>Equipos!J962</f>
        <v>4008S</v>
      </c>
      <c r="G964" s="37" t="str">
        <f>Equipos!K962</f>
        <v>3SXA4HC9</v>
      </c>
      <c r="H964" s="33"/>
      <c r="I964" s="38"/>
      <c r="J964" s="38"/>
      <c r="K964" s="38"/>
      <c r="L964" s="38"/>
      <c r="M964" s="50" t="s">
        <v>275</v>
      </c>
      <c r="N964" s="38"/>
      <c r="O964" s="38"/>
      <c r="P964" s="38"/>
      <c r="Q964" s="38"/>
      <c r="R964" s="38"/>
      <c r="S964" s="38"/>
      <c r="T964" s="38"/>
      <c r="U964" s="33">
        <f t="shared" ref="U964:U969" si="75">V964+W964+X964+COUNTIF(I964:T964,"R")</f>
        <v>1</v>
      </c>
      <c r="V964" s="33">
        <f t="shared" ref="V964:V969" si="76">COUNTIF(I964:T964,"E")</f>
        <v>1</v>
      </c>
      <c r="W964" s="33">
        <f t="shared" ref="W964:W969" si="77">COUNTIF(I964:T964,"X")</f>
        <v>0</v>
      </c>
      <c r="X964" s="33">
        <f t="shared" ref="X964:X969" si="78">COUNTIF(I964:T964,"C2")+COUNTIF(I964:T964,"C3")</f>
        <v>0</v>
      </c>
      <c r="Y964" s="33">
        <f ca="1">SUMPRODUCT((I964:INDEX(I964:T964,MONTH(TODAY()))="X")*1)</f>
        <v>0</v>
      </c>
      <c r="Z964" s="39">
        <f t="shared" ref="Z964:Z969" si="79">IFERROR(V964/U964,"")</f>
        <v>1</v>
      </c>
    </row>
    <row r="965" spans="1:26" x14ac:dyDescent="0.25">
      <c r="A965" s="37" t="str">
        <f>Equipos!C963</f>
        <v>2-128060</v>
      </c>
      <c r="B965" s="33" t="str">
        <f>Equipos!D963</f>
        <v>Máquina Diálisis</v>
      </c>
      <c r="C965" s="33" t="str">
        <f>Equipos!E963</f>
        <v>Hemodiálisis</v>
      </c>
      <c r="D965" s="33">
        <f>Equipos!G963</f>
        <v>0</v>
      </c>
      <c r="E965" s="33" t="str">
        <f>Equipos!I963</f>
        <v>Fresenius</v>
      </c>
      <c r="F965" s="33" t="str">
        <f>Equipos!J963</f>
        <v>4008S</v>
      </c>
      <c r="G965" s="37" t="str">
        <f>Equipos!K963</f>
        <v>3SXA4HC0</v>
      </c>
      <c r="H965" s="33"/>
      <c r="I965" s="38"/>
      <c r="J965" s="38"/>
      <c r="K965" s="38"/>
      <c r="L965" s="38"/>
      <c r="M965" s="50" t="s">
        <v>275</v>
      </c>
      <c r="N965" s="38"/>
      <c r="O965" s="38"/>
      <c r="P965" s="38"/>
      <c r="Q965" s="38"/>
      <c r="R965" s="38"/>
      <c r="S965" s="38"/>
      <c r="T965" s="38"/>
      <c r="U965" s="33">
        <f t="shared" si="75"/>
        <v>1</v>
      </c>
      <c r="V965" s="33">
        <f t="shared" si="76"/>
        <v>1</v>
      </c>
      <c r="W965" s="33">
        <f t="shared" si="77"/>
        <v>0</v>
      </c>
      <c r="X965" s="33">
        <f t="shared" si="78"/>
        <v>0</v>
      </c>
      <c r="Y965" s="33">
        <f ca="1">SUMPRODUCT((I965:INDEX(I965:T965,MONTH(TODAY()))="X")*1)</f>
        <v>0</v>
      </c>
      <c r="Z965" s="39">
        <f t="shared" si="79"/>
        <v>1</v>
      </c>
    </row>
    <row r="966" spans="1:26" x14ac:dyDescent="0.25">
      <c r="A966" s="37" t="str">
        <f>Equipos!C964</f>
        <v>2-128062</v>
      </c>
      <c r="B966" s="33" t="str">
        <f>Equipos!D964</f>
        <v>Máquina Diálisis</v>
      </c>
      <c r="C966" s="33" t="str">
        <f>Equipos!E964</f>
        <v>UPC Adulto</v>
      </c>
      <c r="D966" s="33">
        <f>Equipos!G964</f>
        <v>0</v>
      </c>
      <c r="E966" s="33" t="str">
        <f>Equipos!I964</f>
        <v>Fresenius</v>
      </c>
      <c r="F966" s="33" t="str">
        <f>Equipos!J964</f>
        <v>4008S</v>
      </c>
      <c r="G966" s="37" t="str">
        <f>Equipos!K964</f>
        <v>3SXA4HCP</v>
      </c>
      <c r="H966" s="33"/>
      <c r="I966" s="38"/>
      <c r="J966" s="38"/>
      <c r="K966" s="38"/>
      <c r="L966" s="50" t="s">
        <v>276</v>
      </c>
      <c r="M966" s="50" t="s">
        <v>275</v>
      </c>
      <c r="N966" s="38"/>
      <c r="O966" s="38"/>
      <c r="P966" s="38"/>
      <c r="Q966" s="38"/>
      <c r="R966" s="38"/>
      <c r="S966" s="38"/>
      <c r="T966" s="38"/>
      <c r="U966" s="33">
        <f t="shared" si="75"/>
        <v>2</v>
      </c>
      <c r="V966" s="33">
        <f t="shared" si="76"/>
        <v>1</v>
      </c>
      <c r="W966" s="33">
        <f t="shared" si="77"/>
        <v>0</v>
      </c>
      <c r="X966" s="33">
        <f t="shared" si="78"/>
        <v>0</v>
      </c>
      <c r="Y966" s="33">
        <f ca="1">SUMPRODUCT((I966:INDEX(I966:T966,MONTH(TODAY()))="X")*1)</f>
        <v>0</v>
      </c>
      <c r="Z966" s="39">
        <f t="shared" si="79"/>
        <v>0.5</v>
      </c>
    </row>
    <row r="967" spans="1:26" x14ac:dyDescent="0.25">
      <c r="A967" s="37" t="str">
        <f>Equipos!C965</f>
        <v>2-130653</v>
      </c>
      <c r="B967" s="33" t="str">
        <f>Equipos!D965</f>
        <v>Máquina Diálisis</v>
      </c>
      <c r="C967" s="33" t="str">
        <f>Equipos!E965</f>
        <v>Hemodiálisis</v>
      </c>
      <c r="D967" s="33">
        <f>Equipos!G965</f>
        <v>0</v>
      </c>
      <c r="E967" s="33" t="str">
        <f>Equipos!I965</f>
        <v>Fresenius</v>
      </c>
      <c r="F967" s="33" t="str">
        <f>Equipos!J965</f>
        <v>5008S</v>
      </c>
      <c r="G967" s="37" t="str">
        <f>Equipos!K965</f>
        <v>0VSANY78</v>
      </c>
      <c r="H967" s="33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3">
        <f t="shared" si="75"/>
        <v>0</v>
      </c>
      <c r="V967" s="33">
        <f t="shared" si="76"/>
        <v>0</v>
      </c>
      <c r="W967" s="33">
        <f t="shared" si="77"/>
        <v>0</v>
      </c>
      <c r="X967" s="33">
        <f t="shared" si="78"/>
        <v>0</v>
      </c>
      <c r="Y967" s="33">
        <f ca="1">SUMPRODUCT((I967:INDEX(I967:T967,MONTH(TODAY()))="X")*1)</f>
        <v>0</v>
      </c>
      <c r="Z967" s="39" t="str">
        <f t="shared" si="79"/>
        <v/>
      </c>
    </row>
    <row r="968" spans="1:26" x14ac:dyDescent="0.25">
      <c r="A968" s="37" t="str">
        <f>Equipos!C966</f>
        <v>2-130654</v>
      </c>
      <c r="B968" s="33" t="str">
        <f>Equipos!D966</f>
        <v>Máquina Diálisis</v>
      </c>
      <c r="C968" s="33" t="str">
        <f>Equipos!E966</f>
        <v>Hemodiálisis</v>
      </c>
      <c r="D968" s="33">
        <f>Equipos!G966</f>
        <v>0</v>
      </c>
      <c r="E968" s="33" t="str">
        <f>Equipos!I966</f>
        <v>Fresenius</v>
      </c>
      <c r="F968" s="33" t="str">
        <f>Equipos!J966</f>
        <v>5008S</v>
      </c>
      <c r="G968" s="37" t="str">
        <f>Equipos!K966</f>
        <v>9VSAMM17</v>
      </c>
      <c r="H968" s="33"/>
      <c r="I968" s="38"/>
      <c r="J968" s="38"/>
      <c r="K968" s="38"/>
      <c r="L968" s="38"/>
      <c r="M968" s="50" t="s">
        <v>277</v>
      </c>
      <c r="N968" s="38"/>
      <c r="O968" s="38"/>
      <c r="P968" s="38"/>
      <c r="Q968" s="38"/>
      <c r="R968" s="38"/>
      <c r="S968" s="38"/>
      <c r="T968" s="38"/>
      <c r="U968" s="33">
        <f t="shared" si="75"/>
        <v>1</v>
      </c>
      <c r="V968" s="33">
        <f t="shared" si="76"/>
        <v>0</v>
      </c>
      <c r="W968" s="33">
        <f t="shared" si="77"/>
        <v>0</v>
      </c>
      <c r="X968" s="33">
        <f t="shared" si="78"/>
        <v>1</v>
      </c>
      <c r="Y968" s="33">
        <f ca="1">SUMPRODUCT((I968:INDEX(I968:T968,MONTH(TODAY()))="X")*1)</f>
        <v>0</v>
      </c>
      <c r="Z968" s="39">
        <f t="shared" si="79"/>
        <v>0</v>
      </c>
    </row>
    <row r="969" spans="1:26" x14ac:dyDescent="0.25">
      <c r="A969" s="37" t="str">
        <f>Equipos!C967</f>
        <v>2-130655</v>
      </c>
      <c r="B969" s="33" t="str">
        <f>Equipos!D967</f>
        <v>Máquina Diálisis</v>
      </c>
      <c r="C969" s="33" t="str">
        <f>Equipos!E967</f>
        <v>Hemodiálisis</v>
      </c>
      <c r="D969" s="33">
        <f>Equipos!G967</f>
        <v>0</v>
      </c>
      <c r="E969" s="33" t="str">
        <f>Equipos!I967</f>
        <v>Fresenius</v>
      </c>
      <c r="F969" s="33" t="str">
        <f>Equipos!J967</f>
        <v>5008S</v>
      </c>
      <c r="G969" s="37" t="str">
        <f>Equipos!K967</f>
        <v>9VSAMM15</v>
      </c>
      <c r="H969" s="33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3">
        <f t="shared" si="75"/>
        <v>0</v>
      </c>
      <c r="V969" s="33">
        <f t="shared" si="76"/>
        <v>0</v>
      </c>
      <c r="W969" s="33">
        <f t="shared" si="77"/>
        <v>0</v>
      </c>
      <c r="X969" s="33">
        <f t="shared" si="78"/>
        <v>0</v>
      </c>
      <c r="Y969" s="33">
        <f ca="1">SUMPRODUCT((I969:INDEX(I969:T969,MONTH(TODAY()))="X")*1)</f>
        <v>0</v>
      </c>
      <c r="Z969" s="39" t="str">
        <f t="shared" si="79"/>
        <v/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400-000000000000}">
          <x14:formula1>
            <xm:f>Catálogos!$H$4:$H$9</xm:f>
          </x14:formula1>
          <xm:sqref>I4:T969</xm:sqref>
        </x14:dataValidation>
        <x14:dataValidation type="list" allowBlank="1" xr:uid="{00000000-0002-0000-0400-000001000000}">
          <x14:formula1>
            <xm:f>Catálogos!$K$4:$K$9</xm:f>
          </x14:formula1>
          <xm:sqref>H4:H969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tabColor rgb="FF1E8E5A"/>
  </sheetPr>
  <dimension ref="A1:Q1243"/>
  <sheetViews>
    <sheetView tabSelected="1" workbookViewId="0">
      <pane xSplit="1" ySplit="1" topLeftCell="B281" activePane="bottomRight" state="frozen"/>
      <selection pane="topRight"/>
      <selection pane="bottomLeft"/>
      <selection pane="bottomRight" activeCell="B1" sqref="B1"/>
    </sheetView>
  </sheetViews>
  <sheetFormatPr baseColWidth="10" defaultColWidth="9.140625" defaultRowHeight="15" x14ac:dyDescent="0.25"/>
  <cols>
    <col min="1" max="1" width="14" customWidth="1"/>
    <col min="2" max="2" width="24" customWidth="1"/>
    <col min="3" max="3" width="16" customWidth="1"/>
    <col min="4" max="4" width="20" customWidth="1"/>
    <col min="5" max="5" width="18" customWidth="1"/>
    <col min="6" max="6" width="20" customWidth="1"/>
    <col min="7" max="7" width="18" customWidth="1"/>
    <col min="8" max="8" width="12" customWidth="1"/>
    <col min="9" max="9" width="24" customWidth="1"/>
    <col min="10" max="10" width="9" customWidth="1"/>
    <col min="11" max="11" width="34" customWidth="1"/>
    <col min="12" max="12" width="15" customWidth="1"/>
    <col min="13" max="13" width="14" customWidth="1"/>
    <col min="14" max="14" width="22" customWidth="1"/>
    <col min="15" max="16" width="16" customWidth="1"/>
    <col min="17" max="17" width="40" customWidth="1"/>
  </cols>
  <sheetData>
    <row r="1" spans="1:17" ht="38.25" x14ac:dyDescent="0.25">
      <c r="A1" s="49" t="s">
        <v>65</v>
      </c>
      <c r="B1" s="49" t="s">
        <v>280</v>
      </c>
      <c r="C1" s="49" t="s">
        <v>281</v>
      </c>
      <c r="D1" s="49" t="s">
        <v>282</v>
      </c>
      <c r="E1" s="49" t="s">
        <v>283</v>
      </c>
      <c r="F1" s="49" t="s">
        <v>284</v>
      </c>
      <c r="G1" s="49" t="s">
        <v>285</v>
      </c>
      <c r="H1" s="49" t="s">
        <v>286</v>
      </c>
      <c r="I1" s="49" t="s">
        <v>287</v>
      </c>
      <c r="J1" s="49" t="s">
        <v>37</v>
      </c>
      <c r="K1" s="49" t="s">
        <v>288</v>
      </c>
      <c r="L1" s="49" t="s">
        <v>289</v>
      </c>
      <c r="M1" s="49" t="s">
        <v>290</v>
      </c>
      <c r="N1" s="49" t="s">
        <v>291</v>
      </c>
      <c r="O1" s="49" t="s">
        <v>292</v>
      </c>
      <c r="P1" s="49" t="s">
        <v>293</v>
      </c>
      <c r="Q1" s="49" t="s">
        <v>294</v>
      </c>
    </row>
    <row r="2" spans="1:17" hidden="1" x14ac:dyDescent="0.25">
      <c r="A2" s="47" t="s">
        <v>295</v>
      </c>
      <c r="B2" s="46" t="str">
        <f>IFERROR(VLOOKUP($A2,Equipos!$C$2:$M$967,2,FALSE()),"")</f>
        <v>Incubadora</v>
      </c>
      <c r="C2" s="46" t="str">
        <f>IFERROR(VLOOKUP($A2,Equipos!$C$2:$M$967,9,FALSE()),"")</f>
        <v>ASJL-0008</v>
      </c>
      <c r="D2" s="46" t="str">
        <f>IFERROR(VLOOKUP($A2,Equipos!$C$2:$M$967,3,FALSE()),"")</f>
        <v>Neonatología</v>
      </c>
      <c r="E2" s="46" t="str">
        <f>IFERROR(VLOOKUP($A2,Equipos!$C$2:$M$967,7,FALSE()),"")</f>
        <v>DRAGER</v>
      </c>
      <c r="F2" s="46" t="str">
        <f>IFERROR(VLOOKUP($A2,Equipos!$C$2:$M$967,8,FALSE()),"")</f>
        <v>CALEO</v>
      </c>
      <c r="G2" s="46" t="s">
        <v>296</v>
      </c>
      <c r="H2" s="46"/>
      <c r="I2" s="46"/>
      <c r="J2" s="46" t="s">
        <v>297</v>
      </c>
      <c r="K2" s="46" t="str">
        <f>IFERROR(VLOOKUP($J2,Catálogos!$M$4:$N$17,2,FALSE()),"")</f>
        <v>Mantención Preventiva Realizada</v>
      </c>
      <c r="L2" s="46"/>
      <c r="M2" s="46"/>
      <c r="N2" s="46"/>
      <c r="O2" s="46"/>
      <c r="P2" s="46"/>
      <c r="Q2" s="46"/>
    </row>
    <row r="3" spans="1:17" hidden="1" x14ac:dyDescent="0.25">
      <c r="A3" s="47" t="s">
        <v>295</v>
      </c>
      <c r="B3" s="46" t="str">
        <f>IFERROR(VLOOKUP($A3,Equipos!$C$2:$M$967,2,FALSE()),"")</f>
        <v>Incubadora</v>
      </c>
      <c r="C3" s="46" t="str">
        <f>IFERROR(VLOOKUP($A3,Equipos!$C$2:$M$967,9,FALSE()),"")</f>
        <v>ASJL-0008</v>
      </c>
      <c r="D3" s="46" t="str">
        <f>IFERROR(VLOOKUP($A3,Equipos!$C$2:$M$967,3,FALSE()),"")</f>
        <v>Neonatología</v>
      </c>
      <c r="E3" s="46" t="str">
        <f>IFERROR(VLOOKUP($A3,Equipos!$C$2:$M$967,7,FALSE()),"")</f>
        <v>DRAGER</v>
      </c>
      <c r="F3" s="46" t="str">
        <f>IFERROR(VLOOKUP($A3,Equipos!$C$2:$M$967,8,FALSE()),"")</f>
        <v>CALEO</v>
      </c>
      <c r="G3" s="46" t="s">
        <v>298</v>
      </c>
      <c r="H3" s="46"/>
      <c r="I3" s="46"/>
      <c r="J3" s="46" t="s">
        <v>297</v>
      </c>
      <c r="K3" s="46" t="str">
        <f>IFERROR(VLOOKUP($J3,Catálogos!$M$4:$N$17,2,FALSE()),"")</f>
        <v>Mantención Preventiva Realizada</v>
      </c>
      <c r="L3" s="46"/>
      <c r="M3" s="46"/>
      <c r="N3" s="46"/>
      <c r="O3" s="46"/>
      <c r="P3" s="46"/>
      <c r="Q3" s="46"/>
    </row>
    <row r="4" spans="1:17" hidden="1" x14ac:dyDescent="0.25">
      <c r="A4" s="47" t="s">
        <v>299</v>
      </c>
      <c r="B4" s="46" t="str">
        <f>IFERROR(VLOOKUP($A4,Equipos!$C$2:$M$967,2,FALSE()),"")</f>
        <v>Incubadora</v>
      </c>
      <c r="C4" s="46" t="str">
        <f>IFERROR(VLOOKUP($A4,Equipos!$C$2:$M$967,9,FALSE()),"")</f>
        <v>TABX62307</v>
      </c>
      <c r="D4" s="46" t="str">
        <f>IFERROR(VLOOKUP($A4,Equipos!$C$2:$M$967,3,FALSE()),"")</f>
        <v>Neonatología</v>
      </c>
      <c r="E4" s="46" t="str">
        <f>IFERROR(VLOOKUP($A4,Equipos!$C$2:$M$967,7,FALSE()),"")</f>
        <v>GENERAL ELECTRIC</v>
      </c>
      <c r="F4" s="46" t="str">
        <f>IFERROR(VLOOKUP($A4,Equipos!$C$2:$M$967,8,FALSE()),"")</f>
        <v>GIRAFFE OMNIBED CARESTATION</v>
      </c>
      <c r="G4" s="46" t="s">
        <v>296</v>
      </c>
      <c r="H4" s="46"/>
      <c r="I4" s="46"/>
      <c r="J4" s="46" t="s">
        <v>297</v>
      </c>
      <c r="K4" s="46" t="str">
        <f>IFERROR(VLOOKUP($J4,Catálogos!$M$4:$N$17,2,FALSE()),"")</f>
        <v>Mantención Preventiva Realizada</v>
      </c>
      <c r="L4" s="46"/>
      <c r="M4" s="46"/>
      <c r="N4" s="46"/>
      <c r="O4" s="46"/>
      <c r="P4" s="46"/>
      <c r="Q4" s="46"/>
    </row>
    <row r="5" spans="1:17" hidden="1" x14ac:dyDescent="0.25">
      <c r="A5" s="47" t="s">
        <v>299</v>
      </c>
      <c r="B5" s="46" t="str">
        <f>IFERROR(VLOOKUP($A5,Equipos!$C$2:$M$967,2,FALSE()),"")</f>
        <v>Incubadora</v>
      </c>
      <c r="C5" s="46" t="str">
        <f>IFERROR(VLOOKUP($A5,Equipos!$C$2:$M$967,9,FALSE()),"")</f>
        <v>TABX62307</v>
      </c>
      <c r="D5" s="46" t="str">
        <f>IFERROR(VLOOKUP($A5,Equipos!$C$2:$M$967,3,FALSE()),"")</f>
        <v>Neonatología</v>
      </c>
      <c r="E5" s="46" t="str">
        <f>IFERROR(VLOOKUP($A5,Equipos!$C$2:$M$967,7,FALSE()),"")</f>
        <v>GENERAL ELECTRIC</v>
      </c>
      <c r="F5" s="46" t="str">
        <f>IFERROR(VLOOKUP($A5,Equipos!$C$2:$M$967,8,FALSE()),"")</f>
        <v>GIRAFFE OMNIBED CARESTATION</v>
      </c>
      <c r="G5" s="46" t="s">
        <v>298</v>
      </c>
      <c r="H5" s="46"/>
      <c r="I5" s="46"/>
      <c r="J5" s="46" t="s">
        <v>297</v>
      </c>
      <c r="K5" s="46" t="str">
        <f>IFERROR(VLOOKUP($J5,Catálogos!$M$4:$N$17,2,FALSE()),"")</f>
        <v>Mantención Preventiva Realizada</v>
      </c>
      <c r="L5" s="46"/>
      <c r="M5" s="46"/>
      <c r="N5" s="46"/>
      <c r="O5" s="46"/>
      <c r="P5" s="46"/>
      <c r="Q5" s="46"/>
    </row>
    <row r="6" spans="1:17" hidden="1" x14ac:dyDescent="0.25">
      <c r="A6" s="47" t="s">
        <v>300</v>
      </c>
      <c r="B6" s="46" t="str">
        <f>IFERROR(VLOOKUP($A6,Equipos!$C$2:$M$967,2,FALSE()),"")</f>
        <v>Incubadora</v>
      </c>
      <c r="C6" s="46" t="str">
        <f>IFERROR(VLOOKUP($A6,Equipos!$C$2:$M$967,9,FALSE()),"")</f>
        <v>TABX62308</v>
      </c>
      <c r="D6" s="46" t="str">
        <f>IFERROR(VLOOKUP($A6,Equipos!$C$2:$M$967,3,FALSE()),"")</f>
        <v>Neonatología</v>
      </c>
      <c r="E6" s="46" t="str">
        <f>IFERROR(VLOOKUP($A6,Equipos!$C$2:$M$967,7,FALSE()),"")</f>
        <v>GENERAL ELECTRIC</v>
      </c>
      <c r="F6" s="46" t="str">
        <f>IFERROR(VLOOKUP($A6,Equipos!$C$2:$M$967,8,FALSE()),"")</f>
        <v>GIRAFFE OMNIBED CARESTATION</v>
      </c>
      <c r="G6" s="46" t="s">
        <v>296</v>
      </c>
      <c r="H6" s="46"/>
      <c r="I6" s="46"/>
      <c r="J6" s="46" t="s">
        <v>297</v>
      </c>
      <c r="K6" s="46" t="str">
        <f>IFERROR(VLOOKUP($J6,Catálogos!$M$4:$N$17,2,FALSE()),"")</f>
        <v>Mantención Preventiva Realizada</v>
      </c>
      <c r="L6" s="46"/>
      <c r="M6" s="46"/>
      <c r="N6" s="46"/>
      <c r="O6" s="46"/>
      <c r="P6" s="46"/>
      <c r="Q6" s="46"/>
    </row>
    <row r="7" spans="1:17" hidden="1" x14ac:dyDescent="0.25">
      <c r="A7" s="47" t="s">
        <v>300</v>
      </c>
      <c r="B7" s="46" t="str">
        <f>IFERROR(VLOOKUP($A7,Equipos!$C$2:$M$967,2,FALSE()),"")</f>
        <v>Incubadora</v>
      </c>
      <c r="C7" s="46" t="str">
        <f>IFERROR(VLOOKUP($A7,Equipos!$C$2:$M$967,9,FALSE()),"")</f>
        <v>TABX62308</v>
      </c>
      <c r="D7" s="46" t="str">
        <f>IFERROR(VLOOKUP($A7,Equipos!$C$2:$M$967,3,FALSE()),"")</f>
        <v>Neonatología</v>
      </c>
      <c r="E7" s="46" t="str">
        <f>IFERROR(VLOOKUP($A7,Equipos!$C$2:$M$967,7,FALSE()),"")</f>
        <v>GENERAL ELECTRIC</v>
      </c>
      <c r="F7" s="46" t="str">
        <f>IFERROR(VLOOKUP($A7,Equipos!$C$2:$M$967,8,FALSE()),"")</f>
        <v>GIRAFFE OMNIBED CARESTATION</v>
      </c>
      <c r="G7" s="46" t="s">
        <v>298</v>
      </c>
      <c r="H7" s="46"/>
      <c r="I7" s="46"/>
      <c r="J7" s="46" t="s">
        <v>297</v>
      </c>
      <c r="K7" s="46" t="str">
        <f>IFERROR(VLOOKUP($J7,Catálogos!$M$4:$N$17,2,FALSE()),"")</f>
        <v>Mantención Preventiva Realizada</v>
      </c>
      <c r="L7" s="46"/>
      <c r="M7" s="46"/>
      <c r="N7" s="46"/>
      <c r="O7" s="46"/>
      <c r="P7" s="46"/>
      <c r="Q7" s="46"/>
    </row>
    <row r="8" spans="1:17" hidden="1" x14ac:dyDescent="0.25">
      <c r="A8" s="47" t="s">
        <v>301</v>
      </c>
      <c r="B8" s="46" t="str">
        <f>IFERROR(VLOOKUP($A8,Equipos!$C$2:$M$967,2,FALSE()),"")</f>
        <v>Incubadora</v>
      </c>
      <c r="C8" s="46" t="str">
        <f>IFERROR(VLOOKUP($A8,Equipos!$C$2:$M$967,9,FALSE()),"")</f>
        <v>ASHM-0118</v>
      </c>
      <c r="D8" s="46" t="str">
        <f>IFERROR(VLOOKUP($A8,Equipos!$C$2:$M$967,3,FALSE()),"")</f>
        <v>Neonatología</v>
      </c>
      <c r="E8" s="46" t="str">
        <f>IFERROR(VLOOKUP($A8,Equipos!$C$2:$M$967,7,FALSE()),"")</f>
        <v>DRAGER</v>
      </c>
      <c r="F8" s="46" t="str">
        <f>IFERROR(VLOOKUP($A8,Equipos!$C$2:$M$967,8,FALSE()),"")</f>
        <v>CALEO</v>
      </c>
      <c r="G8" s="46" t="s">
        <v>296</v>
      </c>
      <c r="H8" s="46"/>
      <c r="I8" s="46"/>
      <c r="J8" s="46" t="s">
        <v>297</v>
      </c>
      <c r="K8" s="46" t="str">
        <f>IFERROR(VLOOKUP($J8,Catálogos!$M$4:$N$17,2,FALSE()),"")</f>
        <v>Mantención Preventiva Realizada</v>
      </c>
      <c r="L8" s="46"/>
      <c r="M8" s="46"/>
      <c r="N8" s="46"/>
      <c r="O8" s="46"/>
      <c r="P8" s="46"/>
      <c r="Q8" s="46"/>
    </row>
    <row r="9" spans="1:17" hidden="1" x14ac:dyDescent="0.25">
      <c r="A9" s="47" t="s">
        <v>301</v>
      </c>
      <c r="B9" s="46" t="str">
        <f>IFERROR(VLOOKUP($A9,Equipos!$C$2:$M$967,2,FALSE()),"")</f>
        <v>Incubadora</v>
      </c>
      <c r="C9" s="46" t="str">
        <f>IFERROR(VLOOKUP($A9,Equipos!$C$2:$M$967,9,FALSE()),"")</f>
        <v>ASHM-0118</v>
      </c>
      <c r="D9" s="46" t="str">
        <f>IFERROR(VLOOKUP($A9,Equipos!$C$2:$M$967,3,FALSE()),"")</f>
        <v>Neonatología</v>
      </c>
      <c r="E9" s="46" t="str">
        <f>IFERROR(VLOOKUP($A9,Equipos!$C$2:$M$967,7,FALSE()),"")</f>
        <v>DRAGER</v>
      </c>
      <c r="F9" s="46" t="str">
        <f>IFERROR(VLOOKUP($A9,Equipos!$C$2:$M$967,8,FALSE()),"")</f>
        <v>CALEO</v>
      </c>
      <c r="G9" s="46" t="s">
        <v>298</v>
      </c>
      <c r="H9" s="46"/>
      <c r="I9" s="46"/>
      <c r="J9" s="46" t="s">
        <v>297</v>
      </c>
      <c r="K9" s="46" t="str">
        <f>IFERROR(VLOOKUP($J9,Catálogos!$M$4:$N$17,2,FALSE()),"")</f>
        <v>Mantención Preventiva Realizada</v>
      </c>
      <c r="L9" s="46"/>
      <c r="M9" s="46"/>
      <c r="N9" s="46"/>
      <c r="O9" s="46"/>
      <c r="P9" s="46"/>
      <c r="Q9" s="46"/>
    </row>
    <row r="10" spans="1:17" hidden="1" x14ac:dyDescent="0.25">
      <c r="A10" s="47" t="s">
        <v>302</v>
      </c>
      <c r="B10" s="46" t="str">
        <f>IFERROR(VLOOKUP($A10,Equipos!$C$2:$M$967,2,FALSE()),"")</f>
        <v>Incubadora</v>
      </c>
      <c r="C10" s="46" t="str">
        <f>IFERROR(VLOOKUP($A10,Equipos!$C$2:$M$967,9,FALSE()),"")</f>
        <v>TABX62309</v>
      </c>
      <c r="D10" s="46" t="str">
        <f>IFERROR(VLOOKUP($A10,Equipos!$C$2:$M$967,3,FALSE()),"")</f>
        <v>Neonatología</v>
      </c>
      <c r="E10" s="46" t="str">
        <f>IFERROR(VLOOKUP($A10,Equipos!$C$2:$M$967,7,FALSE()),"")</f>
        <v>GENERAL ELECTRIC</v>
      </c>
      <c r="F10" s="46" t="str">
        <f>IFERROR(VLOOKUP($A10,Equipos!$C$2:$M$967,8,FALSE()),"")</f>
        <v>GIRAFFE OMNIBED CARESTATION</v>
      </c>
      <c r="G10" s="46" t="s">
        <v>296</v>
      </c>
      <c r="H10" s="46"/>
      <c r="I10" s="46"/>
      <c r="J10" s="46" t="s">
        <v>297</v>
      </c>
      <c r="K10" s="46" t="str">
        <f>IFERROR(VLOOKUP($J10,Catálogos!$M$4:$N$17,2,FALSE()),"")</f>
        <v>Mantención Preventiva Realizada</v>
      </c>
      <c r="L10" s="46"/>
      <c r="M10" s="46"/>
      <c r="N10" s="46"/>
      <c r="O10" s="46"/>
      <c r="P10" s="46"/>
      <c r="Q10" s="46"/>
    </row>
    <row r="11" spans="1:17" hidden="1" x14ac:dyDescent="0.25">
      <c r="A11" s="47" t="s">
        <v>303</v>
      </c>
      <c r="B11" s="46" t="str">
        <f>IFERROR(VLOOKUP($A11,Equipos!$C$2:$M$967,2,FALSE()),"")</f>
        <v/>
      </c>
      <c r="C11" s="46" t="str">
        <f>IFERROR(VLOOKUP($A11,Equipos!$C$2:$M$967,9,FALSE()),"")</f>
        <v/>
      </c>
      <c r="D11" s="46" t="str">
        <f>IFERROR(VLOOKUP($A11,Equipos!$C$2:$M$967,3,FALSE()),"")</f>
        <v/>
      </c>
      <c r="E11" s="46" t="str">
        <f>IFERROR(VLOOKUP($A11,Equipos!$C$2:$M$967,7,FALSE()),"")</f>
        <v/>
      </c>
      <c r="F11" s="46" t="str">
        <f>IFERROR(VLOOKUP($A11,Equipos!$C$2:$M$967,8,FALSE()),"")</f>
        <v/>
      </c>
      <c r="G11" s="46" t="s">
        <v>296</v>
      </c>
      <c r="H11" s="46"/>
      <c r="I11" s="46"/>
      <c r="J11" s="46" t="s">
        <v>304</v>
      </c>
      <c r="K11" s="46" t="str">
        <f>IFERROR(VLOOKUP($J11,Catálogos!$M$4:$N$17,2,FALSE()),"")</f>
        <v>Equipo Dado de Baja</v>
      </c>
      <c r="L11" s="46"/>
      <c r="M11" s="46"/>
      <c r="N11" s="46"/>
      <c r="O11" s="46"/>
      <c r="P11" s="46"/>
      <c r="Q11" s="46"/>
    </row>
    <row r="12" spans="1:17" hidden="1" x14ac:dyDescent="0.25">
      <c r="A12" s="47" t="s">
        <v>305</v>
      </c>
      <c r="B12" s="46" t="str">
        <f>IFERROR(VLOOKUP($A12,Equipos!$C$2:$M$967,2,FALSE()),"")</f>
        <v>Incubadora</v>
      </c>
      <c r="C12" s="46" t="str">
        <f>IFERROR(VLOOKUP($A12,Equipos!$C$2:$M$967,9,FALSE()),"")</f>
        <v>VD03887</v>
      </c>
      <c r="D12" s="46" t="str">
        <f>IFERROR(VLOOKUP($A12,Equipos!$C$2:$M$967,3,FALSE()),"")</f>
        <v>Neonatología</v>
      </c>
      <c r="E12" s="46" t="str">
        <f>IFERROR(VLOOKUP($A12,Equipos!$C$2:$M$967,7,FALSE()),"")</f>
        <v>HILL-ROM</v>
      </c>
      <c r="F12" s="46" t="str">
        <f>IFERROR(VLOOKUP($A12,Equipos!$C$2:$M$967,8,FALSE()),"")</f>
        <v>TI500</v>
      </c>
      <c r="G12" s="46" t="s">
        <v>296</v>
      </c>
      <c r="H12" s="46"/>
      <c r="I12" s="46"/>
      <c r="J12" s="46" t="s">
        <v>297</v>
      </c>
      <c r="K12" s="46" t="str">
        <f>IFERROR(VLOOKUP($J12,Catálogos!$M$4:$N$17,2,FALSE()),"")</f>
        <v>Mantención Preventiva Realizada</v>
      </c>
      <c r="L12" s="46"/>
      <c r="M12" s="46"/>
      <c r="N12" s="46"/>
      <c r="O12" s="46"/>
      <c r="P12" s="46"/>
      <c r="Q12" s="46"/>
    </row>
    <row r="13" spans="1:17" hidden="1" x14ac:dyDescent="0.25">
      <c r="A13" s="47" t="s">
        <v>305</v>
      </c>
      <c r="B13" s="46" t="str">
        <f>IFERROR(VLOOKUP($A13,Equipos!$C$2:$M$967,2,FALSE()),"")</f>
        <v>Incubadora</v>
      </c>
      <c r="C13" s="46" t="str">
        <f>IFERROR(VLOOKUP($A13,Equipos!$C$2:$M$967,9,FALSE()),"")</f>
        <v>VD03887</v>
      </c>
      <c r="D13" s="46" t="str">
        <f>IFERROR(VLOOKUP($A13,Equipos!$C$2:$M$967,3,FALSE()),"")</f>
        <v>Neonatología</v>
      </c>
      <c r="E13" s="46" t="str">
        <f>IFERROR(VLOOKUP($A13,Equipos!$C$2:$M$967,7,FALSE()),"")</f>
        <v>HILL-ROM</v>
      </c>
      <c r="F13" s="46" t="str">
        <f>IFERROR(VLOOKUP($A13,Equipos!$C$2:$M$967,8,FALSE()),"")</f>
        <v>TI500</v>
      </c>
      <c r="G13" s="46" t="s">
        <v>298</v>
      </c>
      <c r="H13" s="46"/>
      <c r="I13" s="46"/>
      <c r="J13" s="46" t="s">
        <v>297</v>
      </c>
      <c r="K13" s="46" t="str">
        <f>IFERROR(VLOOKUP($J13,Catálogos!$M$4:$N$17,2,FALSE()),"")</f>
        <v>Mantención Preventiva Realizada</v>
      </c>
      <c r="L13" s="46"/>
      <c r="M13" s="46"/>
      <c r="N13" s="46"/>
      <c r="O13" s="46"/>
      <c r="P13" s="46"/>
      <c r="Q13" s="46"/>
    </row>
    <row r="14" spans="1:17" hidden="1" x14ac:dyDescent="0.25">
      <c r="A14" s="47" t="s">
        <v>306</v>
      </c>
      <c r="B14" s="46" t="str">
        <f>IFERROR(VLOOKUP($A14,Equipos!$C$2:$M$967,2,FALSE()),"")</f>
        <v>Incubadora</v>
      </c>
      <c r="C14" s="46" t="str">
        <f>IFERROR(VLOOKUP($A14,Equipos!$C$2:$M$967,9,FALSE()),"")</f>
        <v>ASLB-0016</v>
      </c>
      <c r="D14" s="46" t="str">
        <f>IFERROR(VLOOKUP($A14,Equipos!$C$2:$M$967,3,FALSE()),"")</f>
        <v>Neonatología</v>
      </c>
      <c r="E14" s="46" t="str">
        <f>IFERROR(VLOOKUP($A14,Equipos!$C$2:$M$967,7,FALSE()),"")</f>
        <v>DRAGER</v>
      </c>
      <c r="F14" s="46" t="str">
        <f>IFERROR(VLOOKUP($A14,Equipos!$C$2:$M$967,8,FALSE()),"")</f>
        <v>CALEO</v>
      </c>
      <c r="G14" s="46" t="s">
        <v>296</v>
      </c>
      <c r="H14" s="46"/>
      <c r="I14" s="46"/>
      <c r="J14" s="46" t="s">
        <v>297</v>
      </c>
      <c r="K14" s="46" t="str">
        <f>IFERROR(VLOOKUP($J14,Catálogos!$M$4:$N$17,2,FALSE()),"")</f>
        <v>Mantención Preventiva Realizada</v>
      </c>
      <c r="L14" s="46"/>
      <c r="M14" s="46"/>
      <c r="N14" s="46"/>
      <c r="O14" s="46"/>
      <c r="P14" s="46"/>
      <c r="Q14" s="46"/>
    </row>
    <row r="15" spans="1:17" hidden="1" x14ac:dyDescent="0.25">
      <c r="A15" s="47" t="s">
        <v>306</v>
      </c>
      <c r="B15" s="46" t="str">
        <f>IFERROR(VLOOKUP($A15,Equipos!$C$2:$M$967,2,FALSE()),"")</f>
        <v>Incubadora</v>
      </c>
      <c r="C15" s="46" t="str">
        <f>IFERROR(VLOOKUP($A15,Equipos!$C$2:$M$967,9,FALSE()),"")</f>
        <v>ASLB-0016</v>
      </c>
      <c r="D15" s="46" t="str">
        <f>IFERROR(VLOOKUP($A15,Equipos!$C$2:$M$967,3,FALSE()),"")</f>
        <v>Neonatología</v>
      </c>
      <c r="E15" s="46" t="str">
        <f>IFERROR(VLOOKUP($A15,Equipos!$C$2:$M$967,7,FALSE()),"")</f>
        <v>DRAGER</v>
      </c>
      <c r="F15" s="46" t="str">
        <f>IFERROR(VLOOKUP($A15,Equipos!$C$2:$M$967,8,FALSE()),"")</f>
        <v>CALEO</v>
      </c>
      <c r="G15" s="46" t="s">
        <v>298</v>
      </c>
      <c r="H15" s="46"/>
      <c r="I15" s="46"/>
      <c r="J15" s="46" t="s">
        <v>297</v>
      </c>
      <c r="K15" s="46" t="str">
        <f>IFERROR(VLOOKUP($J15,Catálogos!$M$4:$N$17,2,FALSE()),"")</f>
        <v>Mantención Preventiva Realizada</v>
      </c>
      <c r="L15" s="46"/>
      <c r="M15" s="46"/>
      <c r="N15" s="46"/>
      <c r="O15" s="46"/>
      <c r="P15" s="46"/>
      <c r="Q15" s="46"/>
    </row>
    <row r="16" spans="1:17" hidden="1" x14ac:dyDescent="0.25">
      <c r="A16" s="47" t="s">
        <v>307</v>
      </c>
      <c r="B16" s="46" t="str">
        <f>IFERROR(VLOOKUP($A16,Equipos!$C$2:$M$967,2,FALSE()),"")</f>
        <v>Incubadora</v>
      </c>
      <c r="C16" s="46" t="str">
        <f>IFERROR(VLOOKUP($A16,Equipos!$C$2:$M$967,9,FALSE()),"")</f>
        <v>TABX62310</v>
      </c>
      <c r="D16" s="46" t="str">
        <f>IFERROR(VLOOKUP($A16,Equipos!$C$2:$M$967,3,FALSE()),"")</f>
        <v>Neonatología</v>
      </c>
      <c r="E16" s="46" t="str">
        <f>IFERROR(VLOOKUP($A16,Equipos!$C$2:$M$967,7,FALSE()),"")</f>
        <v>GENERAL ELECTRIC</v>
      </c>
      <c r="F16" s="46" t="str">
        <f>IFERROR(VLOOKUP($A16,Equipos!$C$2:$M$967,8,FALSE()),"")</f>
        <v>GIRAFFE OMNIBED CARESTATION</v>
      </c>
      <c r="G16" s="46" t="s">
        <v>296</v>
      </c>
      <c r="H16" s="46"/>
      <c r="I16" s="46"/>
      <c r="J16" s="46" t="s">
        <v>297</v>
      </c>
      <c r="K16" s="46" t="str">
        <f>IFERROR(VLOOKUP($J16,Catálogos!$M$4:$N$17,2,FALSE()),"")</f>
        <v>Mantención Preventiva Realizada</v>
      </c>
      <c r="L16" s="46"/>
      <c r="M16" s="46"/>
      <c r="N16" s="46"/>
      <c r="O16" s="46"/>
      <c r="P16" s="46"/>
      <c r="Q16" s="46"/>
    </row>
    <row r="17" spans="1:17" hidden="1" x14ac:dyDescent="0.25">
      <c r="A17" s="47" t="s">
        <v>308</v>
      </c>
      <c r="B17" s="46" t="str">
        <f>IFERROR(VLOOKUP($A17,Equipos!$C$2:$M$967,2,FALSE()),"")</f>
        <v>Incubadora</v>
      </c>
      <c r="C17" s="46" t="str">
        <f>IFERROR(VLOOKUP($A17,Equipos!$C$2:$M$967,9,FALSE()),"")</f>
        <v>621012300012</v>
      </c>
      <c r="D17" s="46" t="str">
        <f>IFERROR(VLOOKUP($A17,Equipos!$C$2:$M$967,3,FALSE()),"")</f>
        <v>SAMU</v>
      </c>
      <c r="E17" s="46" t="str">
        <f>IFERROR(VLOOKUP($A17,Equipos!$C$2:$M$967,7,FALSE()),"")</f>
        <v>ATOM</v>
      </c>
      <c r="F17" s="46" t="str">
        <f>IFERROR(VLOOKUP($A17,Equipos!$C$2:$M$967,8,FALSE()),"")</f>
        <v>INCU ARCH</v>
      </c>
      <c r="G17" s="46" t="s">
        <v>296</v>
      </c>
      <c r="H17" s="46"/>
      <c r="I17" s="46"/>
      <c r="J17" s="46" t="s">
        <v>297</v>
      </c>
      <c r="K17" s="46" t="str">
        <f>IFERROR(VLOOKUP($J17,Catálogos!$M$4:$N$17,2,FALSE()),"")</f>
        <v>Mantención Preventiva Realizada</v>
      </c>
      <c r="L17" s="46"/>
      <c r="M17" s="46"/>
      <c r="N17" s="46"/>
      <c r="O17" s="46"/>
      <c r="P17" s="46"/>
      <c r="Q17" s="46"/>
    </row>
    <row r="18" spans="1:17" hidden="1" x14ac:dyDescent="0.25">
      <c r="A18" s="47" t="s">
        <v>309</v>
      </c>
      <c r="B18" s="46" t="str">
        <f>IFERROR(VLOOKUP($A18,Equipos!$C$2:$M$967,2,FALSE()),"")</f>
        <v>Incubadora</v>
      </c>
      <c r="C18" s="46" t="str">
        <f>IFERROR(VLOOKUP($A18,Equipos!$C$2:$M$967,9,FALSE()),"")</f>
        <v>ASLB-0009</v>
      </c>
      <c r="D18" s="46" t="str">
        <f>IFERROR(VLOOKUP($A18,Equipos!$C$2:$M$967,3,FALSE()),"")</f>
        <v>Neonatología</v>
      </c>
      <c r="E18" s="46" t="str">
        <f>IFERROR(VLOOKUP($A18,Equipos!$C$2:$M$967,7,FALSE()),"")</f>
        <v>DRAGER</v>
      </c>
      <c r="F18" s="46" t="str">
        <f>IFERROR(VLOOKUP($A18,Equipos!$C$2:$M$967,8,FALSE()),"")</f>
        <v>CALEO</v>
      </c>
      <c r="G18" s="46" t="s">
        <v>296</v>
      </c>
      <c r="H18" s="46"/>
      <c r="I18" s="46"/>
      <c r="J18" s="46" t="s">
        <v>297</v>
      </c>
      <c r="K18" s="46" t="str">
        <f>IFERROR(VLOOKUP($J18,Catálogos!$M$4:$N$17,2,FALSE()),"")</f>
        <v>Mantención Preventiva Realizada</v>
      </c>
      <c r="L18" s="46"/>
      <c r="M18" s="46"/>
      <c r="N18" s="46"/>
      <c r="O18" s="46"/>
      <c r="P18" s="46"/>
      <c r="Q18" s="46"/>
    </row>
    <row r="19" spans="1:17" hidden="1" x14ac:dyDescent="0.25">
      <c r="A19" s="47" t="s">
        <v>309</v>
      </c>
      <c r="B19" s="46" t="str">
        <f>IFERROR(VLOOKUP($A19,Equipos!$C$2:$M$967,2,FALSE()),"")</f>
        <v>Incubadora</v>
      </c>
      <c r="C19" s="46" t="str">
        <f>IFERROR(VLOOKUP($A19,Equipos!$C$2:$M$967,9,FALSE()),"")</f>
        <v>ASLB-0009</v>
      </c>
      <c r="D19" s="46" t="str">
        <f>IFERROR(VLOOKUP($A19,Equipos!$C$2:$M$967,3,FALSE()),"")</f>
        <v>Neonatología</v>
      </c>
      <c r="E19" s="46" t="str">
        <f>IFERROR(VLOOKUP($A19,Equipos!$C$2:$M$967,7,FALSE()),"")</f>
        <v>DRAGER</v>
      </c>
      <c r="F19" s="46" t="str">
        <f>IFERROR(VLOOKUP($A19,Equipos!$C$2:$M$967,8,FALSE()),"")</f>
        <v>CALEO</v>
      </c>
      <c r="G19" s="46" t="s">
        <v>298</v>
      </c>
      <c r="H19" s="46"/>
      <c r="I19" s="46"/>
      <c r="J19" s="46" t="s">
        <v>297</v>
      </c>
      <c r="K19" s="46" t="str">
        <f>IFERROR(VLOOKUP($J19,Catálogos!$M$4:$N$17,2,FALSE()),"")</f>
        <v>Mantención Preventiva Realizada</v>
      </c>
      <c r="L19" s="46"/>
      <c r="M19" s="46"/>
      <c r="N19" s="46"/>
      <c r="O19" s="46"/>
      <c r="P19" s="46"/>
      <c r="Q19" s="46"/>
    </row>
    <row r="20" spans="1:17" hidden="1" x14ac:dyDescent="0.25">
      <c r="A20" s="47" t="s">
        <v>310</v>
      </c>
      <c r="B20" s="46" t="str">
        <f>IFERROR(VLOOKUP($A20,Equipos!$C$2:$M$967,2,FALSE()),"")</f>
        <v>Incubadora</v>
      </c>
      <c r="C20" s="46" t="str">
        <f>IFERROR(VLOOKUP($A20,Equipos!$C$2:$M$967,9,FALSE()),"")</f>
        <v>ASDA-0012</v>
      </c>
      <c r="D20" s="46" t="str">
        <f>IFERROR(VLOOKUP($A20,Equipos!$C$2:$M$967,3,FALSE()),"")</f>
        <v>Neonatología</v>
      </c>
      <c r="E20" s="46" t="str">
        <f>IFERROR(VLOOKUP($A20,Equipos!$C$2:$M$967,7,FALSE()),"")</f>
        <v>DRAGER</v>
      </c>
      <c r="F20" s="46" t="str">
        <f>IFERROR(VLOOKUP($A20,Equipos!$C$2:$M$967,8,FALSE()),"")</f>
        <v>CALEO</v>
      </c>
      <c r="G20" s="46" t="s">
        <v>296</v>
      </c>
      <c r="H20" s="46"/>
      <c r="I20" s="46"/>
      <c r="J20" s="46" t="s">
        <v>297</v>
      </c>
      <c r="K20" s="46" t="str">
        <f>IFERROR(VLOOKUP($J20,Catálogos!$M$4:$N$17,2,FALSE()),"")</f>
        <v>Mantención Preventiva Realizada</v>
      </c>
      <c r="L20" s="46"/>
      <c r="M20" s="46"/>
      <c r="N20" s="46"/>
      <c r="O20" s="46"/>
      <c r="P20" s="46"/>
      <c r="Q20" s="46"/>
    </row>
    <row r="21" spans="1:17" hidden="1" x14ac:dyDescent="0.25">
      <c r="A21" s="47" t="s">
        <v>310</v>
      </c>
      <c r="B21" s="46" t="str">
        <f>IFERROR(VLOOKUP($A21,Equipos!$C$2:$M$967,2,FALSE()),"")</f>
        <v>Incubadora</v>
      </c>
      <c r="C21" s="46" t="str">
        <f>IFERROR(VLOOKUP($A21,Equipos!$C$2:$M$967,9,FALSE()),"")</f>
        <v>ASDA-0012</v>
      </c>
      <c r="D21" s="46" t="str">
        <f>IFERROR(VLOOKUP($A21,Equipos!$C$2:$M$967,3,FALSE()),"")</f>
        <v>Neonatología</v>
      </c>
      <c r="E21" s="46" t="str">
        <f>IFERROR(VLOOKUP($A21,Equipos!$C$2:$M$967,7,FALSE()),"")</f>
        <v>DRAGER</v>
      </c>
      <c r="F21" s="46" t="str">
        <f>IFERROR(VLOOKUP($A21,Equipos!$C$2:$M$967,8,FALSE()),"")</f>
        <v>CALEO</v>
      </c>
      <c r="G21" s="46" t="s">
        <v>298</v>
      </c>
      <c r="H21" s="46"/>
      <c r="I21" s="46"/>
      <c r="J21" s="46" t="s">
        <v>297</v>
      </c>
      <c r="K21" s="46" t="str">
        <f>IFERROR(VLOOKUP($J21,Catálogos!$M$4:$N$17,2,FALSE()),"")</f>
        <v>Mantención Preventiva Realizada</v>
      </c>
      <c r="L21" s="46"/>
      <c r="M21" s="46"/>
      <c r="N21" s="46"/>
      <c r="O21" s="46"/>
      <c r="P21" s="46"/>
      <c r="Q21" s="46"/>
    </row>
    <row r="22" spans="1:17" hidden="1" x14ac:dyDescent="0.25">
      <c r="A22" s="47" t="s">
        <v>311</v>
      </c>
      <c r="B22" s="46" t="str">
        <f>IFERROR(VLOOKUP($A22,Equipos!$C$2:$M$967,2,FALSE()),"")</f>
        <v>Incubadora</v>
      </c>
      <c r="C22" s="46" t="str">
        <f>IFERROR(VLOOKUP($A22,Equipos!$C$2:$M$967,9,FALSE()),"")</f>
        <v>ASDA-0009</v>
      </c>
      <c r="D22" s="46" t="str">
        <f>IFERROR(VLOOKUP($A22,Equipos!$C$2:$M$967,3,FALSE()),"")</f>
        <v>Neonatología</v>
      </c>
      <c r="E22" s="46" t="str">
        <f>IFERROR(VLOOKUP($A22,Equipos!$C$2:$M$967,7,FALSE()),"")</f>
        <v>DRAGER</v>
      </c>
      <c r="F22" s="46" t="str">
        <f>IFERROR(VLOOKUP($A22,Equipos!$C$2:$M$967,8,FALSE()),"")</f>
        <v>CALEO</v>
      </c>
      <c r="G22" s="46" t="s">
        <v>296</v>
      </c>
      <c r="H22" s="46"/>
      <c r="I22" s="46"/>
      <c r="J22" s="46" t="s">
        <v>297</v>
      </c>
      <c r="K22" s="46" t="str">
        <f>IFERROR(VLOOKUP($J22,Catálogos!$M$4:$N$17,2,FALSE()),"")</f>
        <v>Mantención Preventiva Realizada</v>
      </c>
      <c r="L22" s="46"/>
      <c r="M22" s="46"/>
      <c r="N22" s="46"/>
      <c r="O22" s="46"/>
      <c r="P22" s="46"/>
      <c r="Q22" s="46"/>
    </row>
    <row r="23" spans="1:17" hidden="1" x14ac:dyDescent="0.25">
      <c r="A23" s="47" t="s">
        <v>311</v>
      </c>
      <c r="B23" s="46" t="str">
        <f>IFERROR(VLOOKUP($A23,Equipos!$C$2:$M$967,2,FALSE()),"")</f>
        <v>Incubadora</v>
      </c>
      <c r="C23" s="46" t="str">
        <f>IFERROR(VLOOKUP($A23,Equipos!$C$2:$M$967,9,FALSE()),"")</f>
        <v>ASDA-0009</v>
      </c>
      <c r="D23" s="46" t="str">
        <f>IFERROR(VLOOKUP($A23,Equipos!$C$2:$M$967,3,FALSE()),"")</f>
        <v>Neonatología</v>
      </c>
      <c r="E23" s="46" t="str">
        <f>IFERROR(VLOOKUP($A23,Equipos!$C$2:$M$967,7,FALSE()),"")</f>
        <v>DRAGER</v>
      </c>
      <c r="F23" s="46" t="str">
        <f>IFERROR(VLOOKUP($A23,Equipos!$C$2:$M$967,8,FALSE()),"")</f>
        <v>CALEO</v>
      </c>
      <c r="G23" s="46" t="s">
        <v>298</v>
      </c>
      <c r="H23" s="46"/>
      <c r="I23" s="46"/>
      <c r="J23" s="46" t="s">
        <v>297</v>
      </c>
      <c r="K23" s="46" t="str">
        <f>IFERROR(VLOOKUP($J23,Catálogos!$M$4:$N$17,2,FALSE()),"")</f>
        <v>Mantención Preventiva Realizada</v>
      </c>
      <c r="L23" s="46"/>
      <c r="M23" s="46"/>
      <c r="N23" s="46"/>
      <c r="O23" s="46"/>
      <c r="P23" s="46"/>
      <c r="Q23" s="46"/>
    </row>
    <row r="24" spans="1:17" hidden="1" x14ac:dyDescent="0.25">
      <c r="A24" s="47" t="s">
        <v>312</v>
      </c>
      <c r="B24" s="46" t="str">
        <f>IFERROR(VLOOKUP($A24,Equipos!$C$2:$M$967,2,FALSE()),"")</f>
        <v>Incubadora</v>
      </c>
      <c r="C24" s="46" t="str">
        <f>IFERROR(VLOOKUP($A24,Equipos!$C$2:$M$967,9,FALSE()),"")</f>
        <v>ASDA-0010</v>
      </c>
      <c r="D24" s="46" t="str">
        <f>IFERROR(VLOOKUP($A24,Equipos!$C$2:$M$967,3,FALSE()),"")</f>
        <v>Neonatología</v>
      </c>
      <c r="E24" s="46" t="str">
        <f>IFERROR(VLOOKUP($A24,Equipos!$C$2:$M$967,7,FALSE()),"")</f>
        <v>DRAGER</v>
      </c>
      <c r="F24" s="46" t="str">
        <f>IFERROR(VLOOKUP($A24,Equipos!$C$2:$M$967,8,FALSE()),"")</f>
        <v>CALEO</v>
      </c>
      <c r="G24" s="46" t="s">
        <v>296</v>
      </c>
      <c r="H24" s="46"/>
      <c r="I24" s="46"/>
      <c r="J24" s="46" t="s">
        <v>297</v>
      </c>
      <c r="K24" s="46" t="str">
        <f>IFERROR(VLOOKUP($J24,Catálogos!$M$4:$N$17,2,FALSE()),"")</f>
        <v>Mantención Preventiva Realizada</v>
      </c>
      <c r="L24" s="46"/>
      <c r="M24" s="46"/>
      <c r="N24" s="46"/>
      <c r="O24" s="46"/>
      <c r="P24" s="46"/>
      <c r="Q24" s="46"/>
    </row>
    <row r="25" spans="1:17" hidden="1" x14ac:dyDescent="0.25">
      <c r="A25" s="47" t="s">
        <v>312</v>
      </c>
      <c r="B25" s="46" t="str">
        <f>IFERROR(VLOOKUP($A25,Equipos!$C$2:$M$967,2,FALSE()),"")</f>
        <v>Incubadora</v>
      </c>
      <c r="C25" s="46" t="str">
        <f>IFERROR(VLOOKUP($A25,Equipos!$C$2:$M$967,9,FALSE()),"")</f>
        <v>ASDA-0010</v>
      </c>
      <c r="D25" s="46" t="str">
        <f>IFERROR(VLOOKUP($A25,Equipos!$C$2:$M$967,3,FALSE()),"")</f>
        <v>Neonatología</v>
      </c>
      <c r="E25" s="46" t="str">
        <f>IFERROR(VLOOKUP($A25,Equipos!$C$2:$M$967,7,FALSE()),"")</f>
        <v>DRAGER</v>
      </c>
      <c r="F25" s="46" t="str">
        <f>IFERROR(VLOOKUP($A25,Equipos!$C$2:$M$967,8,FALSE()),"")</f>
        <v>CALEO</v>
      </c>
      <c r="G25" s="46" t="s">
        <v>298</v>
      </c>
      <c r="H25" s="46"/>
      <c r="I25" s="46"/>
      <c r="J25" s="46" t="s">
        <v>297</v>
      </c>
      <c r="K25" s="46" t="str">
        <f>IFERROR(VLOOKUP($J25,Catálogos!$M$4:$N$17,2,FALSE()),"")</f>
        <v>Mantención Preventiva Realizada</v>
      </c>
      <c r="L25" s="46"/>
      <c r="M25" s="46"/>
      <c r="N25" s="46"/>
      <c r="O25" s="46"/>
      <c r="P25" s="46"/>
      <c r="Q25" s="46"/>
    </row>
    <row r="26" spans="1:17" hidden="1" x14ac:dyDescent="0.25">
      <c r="A26" s="47" t="s">
        <v>313</v>
      </c>
      <c r="B26" s="46" t="str">
        <f>IFERROR(VLOOKUP($A26,Equipos!$C$2:$M$967,2,FALSE()),"")</f>
        <v>Incubadora</v>
      </c>
      <c r="C26" s="46" t="str">
        <f>IFERROR(VLOOKUP($A26,Equipos!$C$2:$M$967,9,FALSE()),"")</f>
        <v>ASDA-0011</v>
      </c>
      <c r="D26" s="46" t="str">
        <f>IFERROR(VLOOKUP($A26,Equipos!$C$2:$M$967,3,FALSE()),"")</f>
        <v>Neonatología</v>
      </c>
      <c r="E26" s="46" t="str">
        <f>IFERROR(VLOOKUP($A26,Equipos!$C$2:$M$967,7,FALSE()),"")</f>
        <v>DRAGER</v>
      </c>
      <c r="F26" s="46" t="str">
        <f>IFERROR(VLOOKUP($A26,Equipos!$C$2:$M$967,8,FALSE()),"")</f>
        <v>CALEO</v>
      </c>
      <c r="G26" s="46" t="s">
        <v>296</v>
      </c>
      <c r="H26" s="46"/>
      <c r="I26" s="46"/>
      <c r="J26" s="46" t="s">
        <v>297</v>
      </c>
      <c r="K26" s="46" t="str">
        <f>IFERROR(VLOOKUP($J26,Catálogos!$M$4:$N$17,2,FALSE()),"")</f>
        <v>Mantención Preventiva Realizada</v>
      </c>
      <c r="L26" s="46"/>
      <c r="M26" s="46"/>
      <c r="N26" s="46"/>
      <c r="O26" s="46"/>
      <c r="P26" s="46"/>
      <c r="Q26" s="46"/>
    </row>
    <row r="27" spans="1:17" hidden="1" x14ac:dyDescent="0.25">
      <c r="A27" s="47" t="s">
        <v>313</v>
      </c>
      <c r="B27" s="46" t="str">
        <f>IFERROR(VLOOKUP($A27,Equipos!$C$2:$M$967,2,FALSE()),"")</f>
        <v>Incubadora</v>
      </c>
      <c r="C27" s="46" t="str">
        <f>IFERROR(VLOOKUP($A27,Equipos!$C$2:$M$967,9,FALSE()),"")</f>
        <v>ASDA-0011</v>
      </c>
      <c r="D27" s="46" t="str">
        <f>IFERROR(VLOOKUP($A27,Equipos!$C$2:$M$967,3,FALSE()),"")</f>
        <v>Neonatología</v>
      </c>
      <c r="E27" s="46" t="str">
        <f>IFERROR(VLOOKUP($A27,Equipos!$C$2:$M$967,7,FALSE()),"")</f>
        <v>DRAGER</v>
      </c>
      <c r="F27" s="46" t="str">
        <f>IFERROR(VLOOKUP($A27,Equipos!$C$2:$M$967,8,FALSE()),"")</f>
        <v>CALEO</v>
      </c>
      <c r="G27" s="46" t="s">
        <v>298</v>
      </c>
      <c r="H27" s="46"/>
      <c r="I27" s="46"/>
      <c r="J27" s="46" t="s">
        <v>297</v>
      </c>
      <c r="K27" s="46" t="str">
        <f>IFERROR(VLOOKUP($J27,Catálogos!$M$4:$N$17,2,FALSE()),"")</f>
        <v>Mantención Preventiva Realizada</v>
      </c>
      <c r="L27" s="46"/>
      <c r="M27" s="46"/>
      <c r="N27" s="46"/>
      <c r="O27" s="46"/>
      <c r="P27" s="46"/>
      <c r="Q27" s="46"/>
    </row>
    <row r="28" spans="1:17" hidden="1" x14ac:dyDescent="0.25">
      <c r="A28" s="47" t="s">
        <v>314</v>
      </c>
      <c r="B28" s="46" t="str">
        <f>IFERROR(VLOOKUP($A28,Equipos!$C$2:$M$967,2,FALSE()),"")</f>
        <v>Incubadora</v>
      </c>
      <c r="C28" s="46" t="str">
        <f>IFERROR(VLOOKUP($A28,Equipos!$C$2:$M$967,9,FALSE()),"")</f>
        <v>ASLB-0010</v>
      </c>
      <c r="D28" s="46" t="str">
        <f>IFERROR(VLOOKUP($A28,Equipos!$C$2:$M$967,3,FALSE()),"")</f>
        <v>Neonatología</v>
      </c>
      <c r="E28" s="46" t="str">
        <f>IFERROR(VLOOKUP($A28,Equipos!$C$2:$M$967,7,FALSE()),"")</f>
        <v>DRAGER</v>
      </c>
      <c r="F28" s="46" t="str">
        <f>IFERROR(VLOOKUP($A28,Equipos!$C$2:$M$967,8,FALSE()),"")</f>
        <v>CALEO</v>
      </c>
      <c r="G28" s="46" t="s">
        <v>296</v>
      </c>
      <c r="H28" s="46"/>
      <c r="I28" s="46"/>
      <c r="J28" s="46" t="s">
        <v>315</v>
      </c>
      <c r="K28" s="46" t="str">
        <f>IFERROR(VLOOKUP($J28,Catálogos!$M$4:$N$17,2,FALSE()),"")</f>
        <v>Reprogramada · Ausencia justificada del funcionario SEC superior a 15 días</v>
      </c>
      <c r="L28" s="46"/>
      <c r="M28" s="46"/>
      <c r="N28" s="46"/>
      <c r="O28" s="46"/>
      <c r="P28" s="46"/>
      <c r="Q28" s="46"/>
    </row>
    <row r="29" spans="1:17" hidden="1" x14ac:dyDescent="0.25">
      <c r="A29" s="47" t="s">
        <v>314</v>
      </c>
      <c r="B29" s="46" t="str">
        <f>IFERROR(VLOOKUP($A29,Equipos!$C$2:$M$967,2,FALSE()),"")</f>
        <v>Incubadora</v>
      </c>
      <c r="C29" s="46" t="str">
        <f>IFERROR(VLOOKUP($A29,Equipos!$C$2:$M$967,9,FALSE()),"")</f>
        <v>ASLB-0010</v>
      </c>
      <c r="D29" s="46" t="str">
        <f>IFERROR(VLOOKUP($A29,Equipos!$C$2:$M$967,3,FALSE()),"")</f>
        <v>Neonatología</v>
      </c>
      <c r="E29" s="46" t="str">
        <f>IFERROR(VLOOKUP($A29,Equipos!$C$2:$M$967,7,FALSE()),"")</f>
        <v>DRAGER</v>
      </c>
      <c r="F29" s="46" t="str">
        <f>IFERROR(VLOOKUP($A29,Equipos!$C$2:$M$967,8,FALSE()),"")</f>
        <v>CALEO</v>
      </c>
      <c r="G29" s="46" t="s">
        <v>316</v>
      </c>
      <c r="H29" s="46"/>
      <c r="I29" s="46"/>
      <c r="J29" s="46" t="s">
        <v>297</v>
      </c>
      <c r="K29" s="46" t="str">
        <f>IFERROR(VLOOKUP($J29,Catálogos!$M$4:$N$17,2,FALSE()),"")</f>
        <v>Mantención Preventiva Realizada</v>
      </c>
      <c r="L29" s="46"/>
      <c r="M29" s="46"/>
      <c r="N29" s="46"/>
      <c r="O29" s="46"/>
      <c r="P29" s="46"/>
      <c r="Q29" s="46"/>
    </row>
    <row r="30" spans="1:17" hidden="1" x14ac:dyDescent="0.25">
      <c r="A30" s="47" t="s">
        <v>314</v>
      </c>
      <c r="B30" s="46" t="str">
        <f>IFERROR(VLOOKUP($A30,Equipos!$C$2:$M$967,2,FALSE()),"")</f>
        <v>Incubadora</v>
      </c>
      <c r="C30" s="46" t="str">
        <f>IFERROR(VLOOKUP($A30,Equipos!$C$2:$M$967,9,FALSE()),"")</f>
        <v>ASLB-0010</v>
      </c>
      <c r="D30" s="46" t="str">
        <f>IFERROR(VLOOKUP($A30,Equipos!$C$2:$M$967,3,FALSE()),"")</f>
        <v>Neonatología</v>
      </c>
      <c r="E30" s="46" t="str">
        <f>IFERROR(VLOOKUP($A30,Equipos!$C$2:$M$967,7,FALSE()),"")</f>
        <v>DRAGER</v>
      </c>
      <c r="F30" s="46" t="str">
        <f>IFERROR(VLOOKUP($A30,Equipos!$C$2:$M$967,8,FALSE()),"")</f>
        <v>CALEO</v>
      </c>
      <c r="G30" s="46" t="s">
        <v>298</v>
      </c>
      <c r="H30" s="46"/>
      <c r="I30" s="46"/>
      <c r="J30" s="46" t="s">
        <v>297</v>
      </c>
      <c r="K30" s="46" t="str">
        <f>IFERROR(VLOOKUP($J30,Catálogos!$M$4:$N$17,2,FALSE()),"")</f>
        <v>Mantención Preventiva Realizada</v>
      </c>
      <c r="L30" s="46"/>
      <c r="M30" s="46"/>
      <c r="N30" s="46"/>
      <c r="O30" s="46"/>
      <c r="P30" s="46"/>
      <c r="Q30" s="46"/>
    </row>
    <row r="31" spans="1:17" hidden="1" x14ac:dyDescent="0.25">
      <c r="A31" s="47" t="s">
        <v>317</v>
      </c>
      <c r="B31" s="46" t="str">
        <f>IFERROR(VLOOKUP($A31,Equipos!$C$2:$M$967,2,FALSE()),"")</f>
        <v>Incubadora</v>
      </c>
      <c r="C31" s="46" t="str">
        <f>IFERROR(VLOOKUP($A31,Equipos!$C$2:$M$967,9,FALSE()),"")</f>
        <v>KM10530</v>
      </c>
      <c r="D31" s="46" t="str">
        <f>IFERROR(VLOOKUP($A31,Equipos!$C$2:$M$967,3,FALSE()),"")</f>
        <v>Neonatología</v>
      </c>
      <c r="E31" s="46" t="str">
        <f>IFERROR(VLOOKUP($A31,Equipos!$C$2:$M$967,7,FALSE()),"")</f>
        <v>DRAGER</v>
      </c>
      <c r="F31" s="46" t="str">
        <f>IFERROR(VLOOKUP($A31,Equipos!$C$2:$M$967,8,FALSE()),"")</f>
        <v>TI500</v>
      </c>
      <c r="G31" s="46" t="s">
        <v>296</v>
      </c>
      <c r="H31" s="46"/>
      <c r="I31" s="46"/>
      <c r="J31" s="46" t="s">
        <v>297</v>
      </c>
      <c r="K31" s="46" t="str">
        <f>IFERROR(VLOOKUP($J31,Catálogos!$M$4:$N$17,2,FALSE()),"")</f>
        <v>Mantención Preventiva Realizada</v>
      </c>
      <c r="L31" s="46"/>
      <c r="M31" s="46"/>
      <c r="N31" s="46"/>
      <c r="O31" s="46"/>
      <c r="P31" s="46"/>
      <c r="Q31" s="46"/>
    </row>
    <row r="32" spans="1:17" hidden="1" x14ac:dyDescent="0.25">
      <c r="A32" s="47" t="s">
        <v>317</v>
      </c>
      <c r="B32" s="46" t="str">
        <f>IFERROR(VLOOKUP($A32,Equipos!$C$2:$M$967,2,FALSE()),"")</f>
        <v>Incubadora</v>
      </c>
      <c r="C32" s="46" t="str">
        <f>IFERROR(VLOOKUP($A32,Equipos!$C$2:$M$967,9,FALSE()),"")</f>
        <v>KM10530</v>
      </c>
      <c r="D32" s="46" t="str">
        <f>IFERROR(VLOOKUP($A32,Equipos!$C$2:$M$967,3,FALSE()),"")</f>
        <v>Neonatología</v>
      </c>
      <c r="E32" s="46" t="str">
        <f>IFERROR(VLOOKUP($A32,Equipos!$C$2:$M$967,7,FALSE()),"")</f>
        <v>DRAGER</v>
      </c>
      <c r="F32" s="46" t="str">
        <f>IFERROR(VLOOKUP($A32,Equipos!$C$2:$M$967,8,FALSE()),"")</f>
        <v>TI500</v>
      </c>
      <c r="G32" s="46" t="s">
        <v>298</v>
      </c>
      <c r="H32" s="46"/>
      <c r="I32" s="46"/>
      <c r="J32" s="46" t="s">
        <v>297</v>
      </c>
      <c r="K32" s="46" t="str">
        <f>IFERROR(VLOOKUP($J32,Catálogos!$M$4:$N$17,2,FALSE()),"")</f>
        <v>Mantención Preventiva Realizada</v>
      </c>
      <c r="L32" s="46"/>
      <c r="M32" s="46"/>
      <c r="N32" s="46"/>
      <c r="O32" s="46"/>
      <c r="P32" s="46"/>
      <c r="Q32" s="46"/>
    </row>
    <row r="33" spans="1:17" hidden="1" x14ac:dyDescent="0.25">
      <c r="A33" s="47" t="s">
        <v>318</v>
      </c>
      <c r="B33" s="46" t="str">
        <f>IFERROR(VLOOKUP($A33,Equipos!$C$2:$M$967,2,FALSE()),"")</f>
        <v>Incubadora</v>
      </c>
      <c r="C33" s="46" t="str">
        <f>IFERROR(VLOOKUP($A33,Equipos!$C$2:$M$967,9,FALSE()),"")</f>
        <v>ASLB-0011</v>
      </c>
      <c r="D33" s="46" t="str">
        <f>IFERROR(VLOOKUP($A33,Equipos!$C$2:$M$967,3,FALSE()),"")</f>
        <v>Neonatología</v>
      </c>
      <c r="E33" s="46" t="str">
        <f>IFERROR(VLOOKUP($A33,Equipos!$C$2:$M$967,7,FALSE()),"")</f>
        <v>DRAGER</v>
      </c>
      <c r="F33" s="46" t="str">
        <f>IFERROR(VLOOKUP($A33,Equipos!$C$2:$M$967,8,FALSE()),"")</f>
        <v>CALEO</v>
      </c>
      <c r="G33" s="46" t="s">
        <v>296</v>
      </c>
      <c r="H33" s="46"/>
      <c r="I33" s="46"/>
      <c r="J33" s="46" t="s">
        <v>297</v>
      </c>
      <c r="K33" s="46" t="str">
        <f>IFERROR(VLOOKUP($J33,Catálogos!$M$4:$N$17,2,FALSE()),"")</f>
        <v>Mantención Preventiva Realizada</v>
      </c>
      <c r="L33" s="46"/>
      <c r="M33" s="46"/>
      <c r="N33" s="46"/>
      <c r="O33" s="46"/>
      <c r="P33" s="46"/>
      <c r="Q33" s="46"/>
    </row>
    <row r="34" spans="1:17" hidden="1" x14ac:dyDescent="0.25">
      <c r="A34" s="47" t="s">
        <v>318</v>
      </c>
      <c r="B34" s="46" t="str">
        <f>IFERROR(VLOOKUP($A34,Equipos!$C$2:$M$967,2,FALSE()),"")</f>
        <v>Incubadora</v>
      </c>
      <c r="C34" s="46" t="str">
        <f>IFERROR(VLOOKUP($A34,Equipos!$C$2:$M$967,9,FALSE()),"")</f>
        <v>ASLB-0011</v>
      </c>
      <c r="D34" s="46" t="str">
        <f>IFERROR(VLOOKUP($A34,Equipos!$C$2:$M$967,3,FALSE()),"")</f>
        <v>Neonatología</v>
      </c>
      <c r="E34" s="46" t="str">
        <f>IFERROR(VLOOKUP($A34,Equipos!$C$2:$M$967,7,FALSE()),"")</f>
        <v>DRAGER</v>
      </c>
      <c r="F34" s="46" t="str">
        <f>IFERROR(VLOOKUP($A34,Equipos!$C$2:$M$967,8,FALSE()),"")</f>
        <v>CALEO</v>
      </c>
      <c r="G34" s="46" t="s">
        <v>298</v>
      </c>
      <c r="H34" s="46"/>
      <c r="I34" s="46"/>
      <c r="J34" s="46" t="s">
        <v>297</v>
      </c>
      <c r="K34" s="46" t="str">
        <f>IFERROR(VLOOKUP($J34,Catálogos!$M$4:$N$17,2,FALSE()),"")</f>
        <v>Mantención Preventiva Realizada</v>
      </c>
      <c r="L34" s="46"/>
      <c r="M34" s="46"/>
      <c r="N34" s="46"/>
      <c r="O34" s="46"/>
      <c r="P34" s="46"/>
      <c r="Q34" s="46"/>
    </row>
    <row r="35" spans="1:17" hidden="1" x14ac:dyDescent="0.25">
      <c r="A35" s="47" t="s">
        <v>319</v>
      </c>
      <c r="B35" s="46" t="str">
        <f>IFERROR(VLOOKUP($A35,Equipos!$C$2:$M$967,2,FALSE()),"")</f>
        <v>Incubadora</v>
      </c>
      <c r="C35" s="46" t="str">
        <f>IFERROR(VLOOKUP($A35,Equipos!$C$2:$M$967,9,FALSE()),"")</f>
        <v>ASLB-0012</v>
      </c>
      <c r="D35" s="46" t="str">
        <f>IFERROR(VLOOKUP($A35,Equipos!$C$2:$M$967,3,FALSE()),"")</f>
        <v>Neonatología</v>
      </c>
      <c r="E35" s="46" t="str">
        <f>IFERROR(VLOOKUP($A35,Equipos!$C$2:$M$967,7,FALSE()),"")</f>
        <v>DRAGER</v>
      </c>
      <c r="F35" s="46" t="str">
        <f>IFERROR(VLOOKUP($A35,Equipos!$C$2:$M$967,8,FALSE()),"")</f>
        <v>CALEO</v>
      </c>
      <c r="G35" s="46" t="s">
        <v>296</v>
      </c>
      <c r="H35" s="46"/>
      <c r="I35" s="46"/>
      <c r="J35" s="46" t="s">
        <v>297</v>
      </c>
      <c r="K35" s="46" t="str">
        <f>IFERROR(VLOOKUP($J35,Catálogos!$M$4:$N$17,2,FALSE()),"")</f>
        <v>Mantención Preventiva Realizada</v>
      </c>
      <c r="L35" s="46"/>
      <c r="M35" s="46"/>
      <c r="N35" s="46"/>
      <c r="O35" s="46"/>
      <c r="P35" s="46"/>
      <c r="Q35" s="46"/>
    </row>
    <row r="36" spans="1:17" hidden="1" x14ac:dyDescent="0.25">
      <c r="A36" s="47" t="s">
        <v>319</v>
      </c>
      <c r="B36" s="46" t="str">
        <f>IFERROR(VLOOKUP($A36,Equipos!$C$2:$M$967,2,FALSE()),"")</f>
        <v>Incubadora</v>
      </c>
      <c r="C36" s="46" t="str">
        <f>IFERROR(VLOOKUP($A36,Equipos!$C$2:$M$967,9,FALSE()),"")</f>
        <v>ASLB-0012</v>
      </c>
      <c r="D36" s="46" t="str">
        <f>IFERROR(VLOOKUP($A36,Equipos!$C$2:$M$967,3,FALSE()),"")</f>
        <v>Neonatología</v>
      </c>
      <c r="E36" s="46" t="str">
        <f>IFERROR(VLOOKUP($A36,Equipos!$C$2:$M$967,7,FALSE()),"")</f>
        <v>DRAGER</v>
      </c>
      <c r="F36" s="46" t="str">
        <f>IFERROR(VLOOKUP($A36,Equipos!$C$2:$M$967,8,FALSE()),"")</f>
        <v>CALEO</v>
      </c>
      <c r="G36" s="46" t="s">
        <v>298</v>
      </c>
      <c r="H36" s="46"/>
      <c r="I36" s="46"/>
      <c r="J36" s="46" t="s">
        <v>297</v>
      </c>
      <c r="K36" s="46" t="str">
        <f>IFERROR(VLOOKUP($J36,Catálogos!$M$4:$N$17,2,FALSE()),"")</f>
        <v>Mantención Preventiva Realizada</v>
      </c>
      <c r="L36" s="46"/>
      <c r="M36" s="46"/>
      <c r="N36" s="46"/>
      <c r="O36" s="46"/>
      <c r="P36" s="46"/>
      <c r="Q36" s="46"/>
    </row>
    <row r="37" spans="1:17" hidden="1" x14ac:dyDescent="0.25">
      <c r="A37" s="47" t="s">
        <v>320</v>
      </c>
      <c r="B37" s="46" t="str">
        <f>IFERROR(VLOOKUP($A37,Equipos!$C$2:$M$967,2,FALSE()),"")</f>
        <v>Incubadora</v>
      </c>
      <c r="C37" s="46" t="str">
        <f>IFERROR(VLOOKUP($A37,Equipos!$C$2:$M$967,9,FALSE()),"")</f>
        <v>ASLB-0013</v>
      </c>
      <c r="D37" s="46" t="str">
        <f>IFERROR(VLOOKUP($A37,Equipos!$C$2:$M$967,3,FALSE()),"")</f>
        <v>Neonatología</v>
      </c>
      <c r="E37" s="46" t="str">
        <f>IFERROR(VLOOKUP($A37,Equipos!$C$2:$M$967,7,FALSE()),"")</f>
        <v>DRAGER</v>
      </c>
      <c r="F37" s="46" t="str">
        <f>IFERROR(VLOOKUP($A37,Equipos!$C$2:$M$967,8,FALSE()),"")</f>
        <v>CALEO</v>
      </c>
      <c r="G37" s="46" t="s">
        <v>296</v>
      </c>
      <c r="H37" s="46"/>
      <c r="I37" s="46"/>
      <c r="J37" s="46" t="s">
        <v>297</v>
      </c>
      <c r="K37" s="46" t="str">
        <f>IFERROR(VLOOKUP($J37,Catálogos!$M$4:$N$17,2,FALSE()),"")</f>
        <v>Mantención Preventiva Realizada</v>
      </c>
      <c r="L37" s="46"/>
      <c r="M37" s="46"/>
      <c r="N37" s="46"/>
      <c r="O37" s="46"/>
      <c r="P37" s="46"/>
      <c r="Q37" s="46"/>
    </row>
    <row r="38" spans="1:17" hidden="1" x14ac:dyDescent="0.25">
      <c r="A38" s="47" t="s">
        <v>320</v>
      </c>
      <c r="B38" s="46" t="str">
        <f>IFERROR(VLOOKUP($A38,Equipos!$C$2:$M$967,2,FALSE()),"")</f>
        <v>Incubadora</v>
      </c>
      <c r="C38" s="46" t="str">
        <f>IFERROR(VLOOKUP($A38,Equipos!$C$2:$M$967,9,FALSE()),"")</f>
        <v>ASLB-0013</v>
      </c>
      <c r="D38" s="46" t="str">
        <f>IFERROR(VLOOKUP($A38,Equipos!$C$2:$M$967,3,FALSE()),"")</f>
        <v>Neonatología</v>
      </c>
      <c r="E38" s="46" t="str">
        <f>IFERROR(VLOOKUP($A38,Equipos!$C$2:$M$967,7,FALSE()),"")</f>
        <v>DRAGER</v>
      </c>
      <c r="F38" s="46" t="str">
        <f>IFERROR(VLOOKUP($A38,Equipos!$C$2:$M$967,8,FALSE()),"")</f>
        <v>CALEO</v>
      </c>
      <c r="G38" s="46" t="s">
        <v>298</v>
      </c>
      <c r="H38" s="46"/>
      <c r="I38" s="46"/>
      <c r="J38" s="46" t="s">
        <v>297</v>
      </c>
      <c r="K38" s="46" t="str">
        <f>IFERROR(VLOOKUP($J38,Catálogos!$M$4:$N$17,2,FALSE()),"")</f>
        <v>Mantención Preventiva Realizada</v>
      </c>
      <c r="L38" s="46"/>
      <c r="M38" s="46"/>
      <c r="N38" s="46"/>
      <c r="O38" s="46"/>
      <c r="P38" s="46"/>
      <c r="Q38" s="46"/>
    </row>
    <row r="39" spans="1:17" hidden="1" x14ac:dyDescent="0.25">
      <c r="A39" s="47" t="s">
        <v>321</v>
      </c>
      <c r="B39" s="46" t="str">
        <f>IFERROR(VLOOKUP($A39,Equipos!$C$2:$M$967,2,FALSE()),"")</f>
        <v>Incubadora</v>
      </c>
      <c r="C39" s="46" t="str">
        <f>IFERROR(VLOOKUP($A39,Equipos!$C$2:$M$967,9,FALSE()),"")</f>
        <v>ASLB-0014</v>
      </c>
      <c r="D39" s="46" t="str">
        <f>IFERROR(VLOOKUP($A39,Equipos!$C$2:$M$967,3,FALSE()),"")</f>
        <v>Neonatología</v>
      </c>
      <c r="E39" s="46" t="str">
        <f>IFERROR(VLOOKUP($A39,Equipos!$C$2:$M$967,7,FALSE()),"")</f>
        <v>DRAGER</v>
      </c>
      <c r="F39" s="46" t="str">
        <f>IFERROR(VLOOKUP($A39,Equipos!$C$2:$M$967,8,FALSE()),"")</f>
        <v>CALEO</v>
      </c>
      <c r="G39" s="46" t="s">
        <v>296</v>
      </c>
      <c r="H39" s="46"/>
      <c r="I39" s="46"/>
      <c r="J39" s="46" t="s">
        <v>297</v>
      </c>
      <c r="K39" s="46" t="str">
        <f>IFERROR(VLOOKUP($J39,Catálogos!$M$4:$N$17,2,FALSE()),"")</f>
        <v>Mantención Preventiva Realizada</v>
      </c>
      <c r="L39" s="46"/>
      <c r="M39" s="46"/>
      <c r="N39" s="46"/>
      <c r="O39" s="46"/>
      <c r="P39" s="46"/>
      <c r="Q39" s="46"/>
    </row>
    <row r="40" spans="1:17" hidden="1" x14ac:dyDescent="0.25">
      <c r="A40" s="47" t="s">
        <v>321</v>
      </c>
      <c r="B40" s="46" t="str">
        <f>IFERROR(VLOOKUP($A40,Equipos!$C$2:$M$967,2,FALSE()),"")</f>
        <v>Incubadora</v>
      </c>
      <c r="C40" s="46" t="str">
        <f>IFERROR(VLOOKUP($A40,Equipos!$C$2:$M$967,9,FALSE()),"")</f>
        <v>ASLB-0014</v>
      </c>
      <c r="D40" s="46" t="str">
        <f>IFERROR(VLOOKUP($A40,Equipos!$C$2:$M$967,3,FALSE()),"")</f>
        <v>Neonatología</v>
      </c>
      <c r="E40" s="46" t="str">
        <f>IFERROR(VLOOKUP($A40,Equipos!$C$2:$M$967,7,FALSE()),"")</f>
        <v>DRAGER</v>
      </c>
      <c r="F40" s="46" t="str">
        <f>IFERROR(VLOOKUP($A40,Equipos!$C$2:$M$967,8,FALSE()),"")</f>
        <v>CALEO</v>
      </c>
      <c r="G40" s="46" t="s">
        <v>298</v>
      </c>
      <c r="H40" s="46"/>
      <c r="I40" s="46"/>
      <c r="J40" s="46" t="s">
        <v>297</v>
      </c>
      <c r="K40" s="46" t="str">
        <f>IFERROR(VLOOKUP($J40,Catálogos!$M$4:$N$17,2,FALSE()),"")</f>
        <v>Mantención Preventiva Realizada</v>
      </c>
      <c r="L40" s="46"/>
      <c r="M40" s="46"/>
      <c r="N40" s="46"/>
      <c r="O40" s="46"/>
      <c r="P40" s="46"/>
      <c r="Q40" s="46"/>
    </row>
    <row r="41" spans="1:17" hidden="1" x14ac:dyDescent="0.25">
      <c r="A41" s="47" t="s">
        <v>322</v>
      </c>
      <c r="B41" s="46" t="str">
        <f>IFERROR(VLOOKUP($A41,Equipos!$C$2:$M$967,2,FALSE()),"")</f>
        <v>Incubadora</v>
      </c>
      <c r="C41" s="46" t="str">
        <f>IFERROR(VLOOKUP($A41,Equipos!$C$2:$M$967,9,FALSE()),"")</f>
        <v>ASLB-0015</v>
      </c>
      <c r="D41" s="46" t="str">
        <f>IFERROR(VLOOKUP($A41,Equipos!$C$2:$M$967,3,FALSE()),"")</f>
        <v>Neonatología</v>
      </c>
      <c r="E41" s="46" t="str">
        <f>IFERROR(VLOOKUP($A41,Equipos!$C$2:$M$967,7,FALSE()),"")</f>
        <v>DRAGER</v>
      </c>
      <c r="F41" s="46" t="str">
        <f>IFERROR(VLOOKUP($A41,Equipos!$C$2:$M$967,8,FALSE()),"")</f>
        <v>CALEO</v>
      </c>
      <c r="G41" s="46" t="s">
        <v>296</v>
      </c>
      <c r="H41" s="46"/>
      <c r="I41" s="46"/>
      <c r="J41" s="46" t="s">
        <v>297</v>
      </c>
      <c r="K41" s="46" t="str">
        <f>IFERROR(VLOOKUP($J41,Catálogos!$M$4:$N$17,2,FALSE()),"")</f>
        <v>Mantención Preventiva Realizada</v>
      </c>
      <c r="L41" s="46"/>
      <c r="M41" s="46"/>
      <c r="N41" s="46"/>
      <c r="O41" s="46"/>
      <c r="P41" s="46"/>
      <c r="Q41" s="46"/>
    </row>
    <row r="42" spans="1:17" hidden="1" x14ac:dyDescent="0.25">
      <c r="A42" s="47" t="s">
        <v>322</v>
      </c>
      <c r="B42" s="46" t="str">
        <f>IFERROR(VLOOKUP($A42,Equipos!$C$2:$M$967,2,FALSE()),"")</f>
        <v>Incubadora</v>
      </c>
      <c r="C42" s="46" t="str">
        <f>IFERROR(VLOOKUP($A42,Equipos!$C$2:$M$967,9,FALSE()),"")</f>
        <v>ASLB-0015</v>
      </c>
      <c r="D42" s="46" t="str">
        <f>IFERROR(VLOOKUP($A42,Equipos!$C$2:$M$967,3,FALSE()),"")</f>
        <v>Neonatología</v>
      </c>
      <c r="E42" s="46" t="str">
        <f>IFERROR(VLOOKUP($A42,Equipos!$C$2:$M$967,7,FALSE()),"")</f>
        <v>DRAGER</v>
      </c>
      <c r="F42" s="46" t="str">
        <f>IFERROR(VLOOKUP($A42,Equipos!$C$2:$M$967,8,FALSE()),"")</f>
        <v>CALEO</v>
      </c>
      <c r="G42" s="46" t="s">
        <v>298</v>
      </c>
      <c r="H42" s="46"/>
      <c r="I42" s="46"/>
      <c r="J42" s="46" t="s">
        <v>323</v>
      </c>
      <c r="K42" s="46" t="str">
        <f>IFERROR(VLOOKUP($J42,Catálogos!$M$4:$N$17,2,FALSE()),"")</f>
        <v>Reprogramada · No disponibilidad de horas hombre del funcionario SEC por alta carga laboral</v>
      </c>
      <c r="L42" s="46"/>
      <c r="M42" s="46"/>
      <c r="N42" s="46"/>
      <c r="O42" s="46"/>
      <c r="P42" s="46"/>
      <c r="Q42" s="46"/>
    </row>
    <row r="43" spans="1:17" hidden="1" x14ac:dyDescent="0.25">
      <c r="A43" s="47" t="s">
        <v>322</v>
      </c>
      <c r="B43" s="46" t="str">
        <f>IFERROR(VLOOKUP($A43,Equipos!$C$2:$M$967,2,FALSE()),"")</f>
        <v>Incubadora</v>
      </c>
      <c r="C43" s="46" t="str">
        <f>IFERROR(VLOOKUP($A43,Equipos!$C$2:$M$967,9,FALSE()),"")</f>
        <v>ASLB-0015</v>
      </c>
      <c r="D43" s="46" t="str">
        <f>IFERROR(VLOOKUP($A43,Equipos!$C$2:$M$967,3,FALSE()),"")</f>
        <v>Neonatología</v>
      </c>
      <c r="E43" s="46" t="str">
        <f>IFERROR(VLOOKUP($A43,Equipos!$C$2:$M$967,7,FALSE()),"")</f>
        <v>DRAGER</v>
      </c>
      <c r="F43" s="46" t="str">
        <f>IFERROR(VLOOKUP($A43,Equipos!$C$2:$M$967,8,FALSE()),"")</f>
        <v>CALEO</v>
      </c>
      <c r="G43" s="46" t="s">
        <v>324</v>
      </c>
      <c r="H43" s="46"/>
      <c r="I43" s="46"/>
      <c r="J43" s="46" t="s">
        <v>297</v>
      </c>
      <c r="K43" s="46" t="str">
        <f>IFERROR(VLOOKUP($J43,Catálogos!$M$4:$N$17,2,FALSE()),"")</f>
        <v>Mantención Preventiva Realizada</v>
      </c>
      <c r="L43" s="46"/>
      <c r="M43" s="46"/>
      <c r="N43" s="46"/>
      <c r="O43" s="46"/>
      <c r="P43" s="46"/>
      <c r="Q43" s="46"/>
    </row>
    <row r="44" spans="1:17" hidden="1" x14ac:dyDescent="0.25">
      <c r="A44" s="47" t="s">
        <v>325</v>
      </c>
      <c r="B44" s="46" t="str">
        <f>IFERROR(VLOOKUP($A44,Equipos!$C$2:$M$967,2,FALSE()),"")</f>
        <v>Incubadora</v>
      </c>
      <c r="C44" s="46" t="str">
        <f>IFERROR(VLOOKUP($A44,Equipos!$C$2:$M$967,9,FALSE()),"")</f>
        <v>ASJL-0039</v>
      </c>
      <c r="D44" s="46" t="str">
        <f>IFERROR(VLOOKUP($A44,Equipos!$C$2:$M$967,3,FALSE()),"")</f>
        <v>Neonatología</v>
      </c>
      <c r="E44" s="46" t="str">
        <f>IFERROR(VLOOKUP($A44,Equipos!$C$2:$M$967,7,FALSE()),"")</f>
        <v>DRAGER</v>
      </c>
      <c r="F44" s="46" t="str">
        <f>IFERROR(VLOOKUP($A44,Equipos!$C$2:$M$967,8,FALSE()),"")</f>
        <v>CALEO</v>
      </c>
      <c r="G44" s="46" t="s">
        <v>296</v>
      </c>
      <c r="H44" s="46"/>
      <c r="I44" s="46"/>
      <c r="J44" s="46" t="s">
        <v>315</v>
      </c>
      <c r="K44" s="46" t="str">
        <f>IFERROR(VLOOKUP($J44,Catálogos!$M$4:$N$17,2,FALSE()),"")</f>
        <v>Reprogramada · Ausencia justificada del funcionario SEC superior a 15 días</v>
      </c>
      <c r="L44" s="46"/>
      <c r="M44" s="46"/>
      <c r="N44" s="46"/>
      <c r="O44" s="46"/>
      <c r="P44" s="46"/>
      <c r="Q44" s="46"/>
    </row>
    <row r="45" spans="1:17" hidden="1" x14ac:dyDescent="0.25">
      <c r="A45" s="47" t="s">
        <v>325</v>
      </c>
      <c r="B45" s="46" t="str">
        <f>IFERROR(VLOOKUP($A45,Equipos!$C$2:$M$967,2,FALSE()),"")</f>
        <v>Incubadora</v>
      </c>
      <c r="C45" s="46" t="str">
        <f>IFERROR(VLOOKUP($A45,Equipos!$C$2:$M$967,9,FALSE()),"")</f>
        <v>ASJL-0039</v>
      </c>
      <c r="D45" s="46" t="str">
        <f>IFERROR(VLOOKUP($A45,Equipos!$C$2:$M$967,3,FALSE()),"")</f>
        <v>Neonatología</v>
      </c>
      <c r="E45" s="46" t="str">
        <f>IFERROR(VLOOKUP($A45,Equipos!$C$2:$M$967,7,FALSE()),"")</f>
        <v>DRAGER</v>
      </c>
      <c r="F45" s="46" t="str">
        <f>IFERROR(VLOOKUP($A45,Equipos!$C$2:$M$967,8,FALSE()),"")</f>
        <v>CALEO</v>
      </c>
      <c r="G45" s="46" t="s">
        <v>316</v>
      </c>
      <c r="H45" s="46"/>
      <c r="I45" s="46"/>
      <c r="J45" s="46" t="s">
        <v>297</v>
      </c>
      <c r="K45" s="46" t="str">
        <f>IFERROR(VLOOKUP($J45,Catálogos!$M$4:$N$17,2,FALSE()),"")</f>
        <v>Mantención Preventiva Realizada</v>
      </c>
      <c r="L45" s="46"/>
      <c r="M45" s="46"/>
      <c r="N45" s="46"/>
      <c r="O45" s="46"/>
      <c r="P45" s="46"/>
      <c r="Q45" s="46"/>
    </row>
    <row r="46" spans="1:17" hidden="1" x14ac:dyDescent="0.25">
      <c r="A46" s="47" t="s">
        <v>325</v>
      </c>
      <c r="B46" s="46" t="str">
        <f>IFERROR(VLOOKUP($A46,Equipos!$C$2:$M$967,2,FALSE()),"")</f>
        <v>Incubadora</v>
      </c>
      <c r="C46" s="46" t="str">
        <f>IFERROR(VLOOKUP($A46,Equipos!$C$2:$M$967,9,FALSE()),"")</f>
        <v>ASJL-0039</v>
      </c>
      <c r="D46" s="46" t="str">
        <f>IFERROR(VLOOKUP($A46,Equipos!$C$2:$M$967,3,FALSE()),"")</f>
        <v>Neonatología</v>
      </c>
      <c r="E46" s="46" t="str">
        <f>IFERROR(VLOOKUP($A46,Equipos!$C$2:$M$967,7,FALSE()),"")</f>
        <v>DRAGER</v>
      </c>
      <c r="F46" s="46" t="str">
        <f>IFERROR(VLOOKUP($A46,Equipos!$C$2:$M$967,8,FALSE()),"")</f>
        <v>CALEO</v>
      </c>
      <c r="G46" s="46" t="s">
        <v>298</v>
      </c>
      <c r="H46" s="46"/>
      <c r="I46" s="46"/>
      <c r="J46" s="46" t="s">
        <v>297</v>
      </c>
      <c r="K46" s="46" t="str">
        <f>IFERROR(VLOOKUP($J46,Catálogos!$M$4:$N$17,2,FALSE()),"")</f>
        <v>Mantención Preventiva Realizada</v>
      </c>
      <c r="L46" s="46"/>
      <c r="M46" s="46"/>
      <c r="N46" s="46"/>
      <c r="O46" s="46"/>
      <c r="P46" s="46"/>
      <c r="Q46" s="46"/>
    </row>
    <row r="47" spans="1:17" hidden="1" x14ac:dyDescent="0.25">
      <c r="A47" s="47" t="s">
        <v>326</v>
      </c>
      <c r="B47" s="46" t="str">
        <f>IFERROR(VLOOKUP($A47,Equipos!$C$2:$M$967,2,FALSE()),"")</f>
        <v>Incubadora</v>
      </c>
      <c r="C47" s="46" t="str">
        <f>IFERROR(VLOOKUP($A47,Equipos!$C$2:$M$967,9,FALSE()),"")</f>
        <v>ASJL-0015</v>
      </c>
      <c r="D47" s="46" t="str">
        <f>IFERROR(VLOOKUP($A47,Equipos!$C$2:$M$967,3,FALSE()),"")</f>
        <v>Neonatología</v>
      </c>
      <c r="E47" s="46" t="str">
        <f>IFERROR(VLOOKUP($A47,Equipos!$C$2:$M$967,7,FALSE()),"")</f>
        <v>DRAGER</v>
      </c>
      <c r="F47" s="46" t="str">
        <f>IFERROR(VLOOKUP($A47,Equipos!$C$2:$M$967,8,FALSE()),"")</f>
        <v>CALEO</v>
      </c>
      <c r="G47" s="46" t="s">
        <v>296</v>
      </c>
      <c r="H47" s="46"/>
      <c r="I47" s="46"/>
      <c r="J47" s="46" t="s">
        <v>297</v>
      </c>
      <c r="K47" s="46" t="str">
        <f>IFERROR(VLOOKUP($J47,Catálogos!$M$4:$N$17,2,FALSE()),"")</f>
        <v>Mantención Preventiva Realizada</v>
      </c>
      <c r="L47" s="46"/>
      <c r="M47" s="46"/>
      <c r="N47" s="46"/>
      <c r="O47" s="46"/>
      <c r="P47" s="46"/>
      <c r="Q47" s="46"/>
    </row>
    <row r="48" spans="1:17" hidden="1" x14ac:dyDescent="0.25">
      <c r="A48" s="47" t="s">
        <v>326</v>
      </c>
      <c r="B48" s="46" t="str">
        <f>IFERROR(VLOOKUP($A48,Equipos!$C$2:$M$967,2,FALSE()),"")</f>
        <v>Incubadora</v>
      </c>
      <c r="C48" s="46" t="str">
        <f>IFERROR(VLOOKUP($A48,Equipos!$C$2:$M$967,9,FALSE()),"")</f>
        <v>ASJL-0015</v>
      </c>
      <c r="D48" s="46" t="str">
        <f>IFERROR(VLOOKUP($A48,Equipos!$C$2:$M$967,3,FALSE()),"")</f>
        <v>Neonatología</v>
      </c>
      <c r="E48" s="46" t="str">
        <f>IFERROR(VLOOKUP($A48,Equipos!$C$2:$M$967,7,FALSE()),"")</f>
        <v>DRAGER</v>
      </c>
      <c r="F48" s="46" t="str">
        <f>IFERROR(VLOOKUP($A48,Equipos!$C$2:$M$967,8,FALSE()),"")</f>
        <v>CALEO</v>
      </c>
      <c r="G48" s="46" t="s">
        <v>298</v>
      </c>
      <c r="H48" s="46"/>
      <c r="I48" s="46"/>
      <c r="J48" s="46" t="s">
        <v>297</v>
      </c>
      <c r="K48" s="46" t="str">
        <f>IFERROR(VLOOKUP($J48,Catálogos!$M$4:$N$17,2,FALSE()),"")</f>
        <v>Mantención Preventiva Realizada</v>
      </c>
      <c r="L48" s="46"/>
      <c r="M48" s="46"/>
      <c r="N48" s="46"/>
      <c r="O48" s="46"/>
      <c r="P48" s="46"/>
      <c r="Q48" s="46"/>
    </row>
    <row r="49" spans="1:17" hidden="1" x14ac:dyDescent="0.25">
      <c r="A49" s="47" t="s">
        <v>327</v>
      </c>
      <c r="B49" s="46" t="str">
        <f>IFERROR(VLOOKUP($A49,Equipos!$C$2:$M$967,2,FALSE()),"")</f>
        <v>Incubadora</v>
      </c>
      <c r="C49" s="46" t="str">
        <f>IFERROR(VLOOKUP($A49,Equipos!$C$2:$M$967,9,FALSE()),"")</f>
        <v>ASJL-0007</v>
      </c>
      <c r="D49" s="46" t="str">
        <f>IFERROR(VLOOKUP($A49,Equipos!$C$2:$M$967,3,FALSE()),"")</f>
        <v>Neonatología</v>
      </c>
      <c r="E49" s="46" t="str">
        <f>IFERROR(VLOOKUP($A49,Equipos!$C$2:$M$967,7,FALSE()),"")</f>
        <v>DRAGER</v>
      </c>
      <c r="F49" s="46" t="str">
        <f>IFERROR(VLOOKUP($A49,Equipos!$C$2:$M$967,8,FALSE()),"")</f>
        <v>CALEO</v>
      </c>
      <c r="G49" s="46" t="s">
        <v>296</v>
      </c>
      <c r="H49" s="46"/>
      <c r="I49" s="46"/>
      <c r="J49" s="46" t="s">
        <v>297</v>
      </c>
      <c r="K49" s="46" t="str">
        <f>IFERROR(VLOOKUP($J49,Catálogos!$M$4:$N$17,2,FALSE()),"")</f>
        <v>Mantención Preventiva Realizada</v>
      </c>
      <c r="L49" s="46"/>
      <c r="M49" s="46"/>
      <c r="N49" s="46"/>
      <c r="O49" s="46"/>
      <c r="P49" s="46"/>
      <c r="Q49" s="46"/>
    </row>
    <row r="50" spans="1:17" hidden="1" x14ac:dyDescent="0.25">
      <c r="A50" s="47" t="s">
        <v>327</v>
      </c>
      <c r="B50" s="46" t="str">
        <f>IFERROR(VLOOKUP($A50,Equipos!$C$2:$M$967,2,FALSE()),"")</f>
        <v>Incubadora</v>
      </c>
      <c r="C50" s="46" t="str">
        <f>IFERROR(VLOOKUP($A50,Equipos!$C$2:$M$967,9,FALSE()),"")</f>
        <v>ASJL-0007</v>
      </c>
      <c r="D50" s="46" t="str">
        <f>IFERROR(VLOOKUP($A50,Equipos!$C$2:$M$967,3,FALSE()),"")</f>
        <v>Neonatología</v>
      </c>
      <c r="E50" s="46" t="str">
        <f>IFERROR(VLOOKUP($A50,Equipos!$C$2:$M$967,7,FALSE()),"")</f>
        <v>DRAGER</v>
      </c>
      <c r="F50" s="46" t="str">
        <f>IFERROR(VLOOKUP($A50,Equipos!$C$2:$M$967,8,FALSE()),"")</f>
        <v>CALEO</v>
      </c>
      <c r="G50" s="46" t="s">
        <v>298</v>
      </c>
      <c r="H50" s="46"/>
      <c r="I50" s="46"/>
      <c r="J50" s="46" t="s">
        <v>297</v>
      </c>
      <c r="K50" s="46" t="str">
        <f>IFERROR(VLOOKUP($J50,Catálogos!$M$4:$N$17,2,FALSE()),"")</f>
        <v>Mantención Preventiva Realizada</v>
      </c>
      <c r="L50" s="46"/>
      <c r="M50" s="46"/>
      <c r="N50" s="46"/>
      <c r="O50" s="46"/>
      <c r="P50" s="46"/>
      <c r="Q50" s="46"/>
    </row>
    <row r="51" spans="1:17" hidden="1" x14ac:dyDescent="0.25">
      <c r="A51" s="47" t="s">
        <v>328</v>
      </c>
      <c r="B51" s="46" t="str">
        <f>IFERROR(VLOOKUP($A51,Equipos!$C$2:$M$967,2,FALSE()),"")</f>
        <v>Incubadora</v>
      </c>
      <c r="C51" s="46" t="str">
        <f>IFERROR(VLOOKUP($A51,Equipos!$C$2:$M$967,9,FALSE()),"")</f>
        <v>ASJL-0006</v>
      </c>
      <c r="D51" s="46" t="str">
        <f>IFERROR(VLOOKUP($A51,Equipos!$C$2:$M$967,3,FALSE()),"")</f>
        <v>Neonatología</v>
      </c>
      <c r="E51" s="46" t="str">
        <f>IFERROR(VLOOKUP($A51,Equipos!$C$2:$M$967,7,FALSE()),"")</f>
        <v>DRAGER</v>
      </c>
      <c r="F51" s="46" t="str">
        <f>IFERROR(VLOOKUP($A51,Equipos!$C$2:$M$967,8,FALSE()),"")</f>
        <v>CALEO</v>
      </c>
      <c r="G51" s="46" t="s">
        <v>296</v>
      </c>
      <c r="H51" s="46"/>
      <c r="I51" s="46"/>
      <c r="J51" s="46" t="s">
        <v>315</v>
      </c>
      <c r="K51" s="46" t="str">
        <f>IFERROR(VLOOKUP($J51,Catálogos!$M$4:$N$17,2,FALSE()),"")</f>
        <v>Reprogramada · Ausencia justificada del funcionario SEC superior a 15 días</v>
      </c>
      <c r="L51" s="46"/>
      <c r="M51" s="46"/>
      <c r="N51" s="46"/>
      <c r="O51" s="46"/>
      <c r="P51" s="46"/>
      <c r="Q51" s="46"/>
    </row>
    <row r="52" spans="1:17" hidden="1" x14ac:dyDescent="0.25">
      <c r="A52" s="47" t="s">
        <v>328</v>
      </c>
      <c r="B52" s="46" t="str">
        <f>IFERROR(VLOOKUP($A52,Equipos!$C$2:$M$967,2,FALSE()),"")</f>
        <v>Incubadora</v>
      </c>
      <c r="C52" s="46" t="str">
        <f>IFERROR(VLOOKUP($A52,Equipos!$C$2:$M$967,9,FALSE()),"")</f>
        <v>ASJL-0006</v>
      </c>
      <c r="D52" s="46" t="str">
        <f>IFERROR(VLOOKUP($A52,Equipos!$C$2:$M$967,3,FALSE()),"")</f>
        <v>Neonatología</v>
      </c>
      <c r="E52" s="46" t="str">
        <f>IFERROR(VLOOKUP($A52,Equipos!$C$2:$M$967,7,FALSE()),"")</f>
        <v>DRAGER</v>
      </c>
      <c r="F52" s="46" t="str">
        <f>IFERROR(VLOOKUP($A52,Equipos!$C$2:$M$967,8,FALSE()),"")</f>
        <v>CALEO</v>
      </c>
      <c r="G52" s="46" t="s">
        <v>316</v>
      </c>
      <c r="H52" s="46"/>
      <c r="I52" s="46"/>
      <c r="J52" s="46" t="s">
        <v>297</v>
      </c>
      <c r="K52" s="46" t="str">
        <f>IFERROR(VLOOKUP($J52,Catálogos!$M$4:$N$17,2,FALSE()),"")</f>
        <v>Mantención Preventiva Realizada</v>
      </c>
      <c r="L52" s="46"/>
      <c r="M52" s="46"/>
      <c r="N52" s="46"/>
      <c r="O52" s="46"/>
      <c r="P52" s="46"/>
      <c r="Q52" s="46"/>
    </row>
    <row r="53" spans="1:17" hidden="1" x14ac:dyDescent="0.25">
      <c r="A53" s="47" t="s">
        <v>328</v>
      </c>
      <c r="B53" s="46" t="str">
        <f>IFERROR(VLOOKUP($A53,Equipos!$C$2:$M$967,2,FALSE()),"")</f>
        <v>Incubadora</v>
      </c>
      <c r="C53" s="46" t="str">
        <f>IFERROR(VLOOKUP($A53,Equipos!$C$2:$M$967,9,FALSE()),"")</f>
        <v>ASJL-0006</v>
      </c>
      <c r="D53" s="46" t="str">
        <f>IFERROR(VLOOKUP($A53,Equipos!$C$2:$M$967,3,FALSE()),"")</f>
        <v>Neonatología</v>
      </c>
      <c r="E53" s="46" t="str">
        <f>IFERROR(VLOOKUP($A53,Equipos!$C$2:$M$967,7,FALSE()),"")</f>
        <v>DRAGER</v>
      </c>
      <c r="F53" s="46" t="str">
        <f>IFERROR(VLOOKUP($A53,Equipos!$C$2:$M$967,8,FALSE()),"")</f>
        <v>CALEO</v>
      </c>
      <c r="G53" s="46" t="s">
        <v>298</v>
      </c>
      <c r="H53" s="46"/>
      <c r="I53" s="46"/>
      <c r="J53" s="46" t="s">
        <v>297</v>
      </c>
      <c r="K53" s="46" t="str">
        <f>IFERROR(VLOOKUP($J53,Catálogos!$M$4:$N$17,2,FALSE()),"")</f>
        <v>Mantención Preventiva Realizada</v>
      </c>
      <c r="L53" s="46"/>
      <c r="M53" s="46"/>
      <c r="N53" s="46"/>
      <c r="O53" s="46"/>
      <c r="P53" s="46"/>
      <c r="Q53" s="46"/>
    </row>
    <row r="54" spans="1:17" hidden="1" x14ac:dyDescent="0.25">
      <c r="A54" s="47" t="s">
        <v>329</v>
      </c>
      <c r="B54" s="46" t="str">
        <f>IFERROR(VLOOKUP($A54,Equipos!$C$2:$M$967,2,FALSE()),"")</f>
        <v>Incubadora</v>
      </c>
      <c r="C54" s="46" t="str">
        <f>IFERROR(VLOOKUP($A54,Equipos!$C$2:$M$967,9,FALSE()),"")</f>
        <v>ASJL-0013</v>
      </c>
      <c r="D54" s="46" t="str">
        <f>IFERROR(VLOOKUP($A54,Equipos!$C$2:$M$967,3,FALSE()),"")</f>
        <v>Neonatología</v>
      </c>
      <c r="E54" s="46" t="str">
        <f>IFERROR(VLOOKUP($A54,Equipos!$C$2:$M$967,7,FALSE()),"")</f>
        <v>DRAGER</v>
      </c>
      <c r="F54" s="46" t="str">
        <f>IFERROR(VLOOKUP($A54,Equipos!$C$2:$M$967,8,FALSE()),"")</f>
        <v>CALEO</v>
      </c>
      <c r="G54" s="46" t="s">
        <v>296</v>
      </c>
      <c r="H54" s="46"/>
      <c r="I54" s="46"/>
      <c r="J54" s="46" t="s">
        <v>297</v>
      </c>
      <c r="K54" s="46" t="str">
        <f>IFERROR(VLOOKUP($J54,Catálogos!$M$4:$N$17,2,FALSE()),"")</f>
        <v>Mantención Preventiva Realizada</v>
      </c>
      <c r="L54" s="46"/>
      <c r="M54" s="46"/>
      <c r="N54" s="46"/>
      <c r="O54" s="46"/>
      <c r="P54" s="46"/>
      <c r="Q54" s="46"/>
    </row>
    <row r="55" spans="1:17" hidden="1" x14ac:dyDescent="0.25">
      <c r="A55" s="47" t="s">
        <v>329</v>
      </c>
      <c r="B55" s="46" t="str">
        <f>IFERROR(VLOOKUP($A55,Equipos!$C$2:$M$967,2,FALSE()),"")</f>
        <v>Incubadora</v>
      </c>
      <c r="C55" s="46" t="str">
        <f>IFERROR(VLOOKUP($A55,Equipos!$C$2:$M$967,9,FALSE()),"")</f>
        <v>ASJL-0013</v>
      </c>
      <c r="D55" s="46" t="str">
        <f>IFERROR(VLOOKUP($A55,Equipos!$C$2:$M$967,3,FALSE()),"")</f>
        <v>Neonatología</v>
      </c>
      <c r="E55" s="46" t="str">
        <f>IFERROR(VLOOKUP($A55,Equipos!$C$2:$M$967,7,FALSE()),"")</f>
        <v>DRAGER</v>
      </c>
      <c r="F55" s="46" t="str">
        <f>IFERROR(VLOOKUP($A55,Equipos!$C$2:$M$967,8,FALSE()),"")</f>
        <v>CALEO</v>
      </c>
      <c r="G55" s="46" t="s">
        <v>298</v>
      </c>
      <c r="H55" s="46"/>
      <c r="I55" s="46"/>
      <c r="J55" s="46" t="s">
        <v>297</v>
      </c>
      <c r="K55" s="46" t="str">
        <f>IFERROR(VLOOKUP($J55,Catálogos!$M$4:$N$17,2,FALSE()),"")</f>
        <v>Mantención Preventiva Realizada</v>
      </c>
      <c r="L55" s="46"/>
      <c r="M55" s="46"/>
      <c r="N55" s="46"/>
      <c r="O55" s="46"/>
      <c r="P55" s="46"/>
      <c r="Q55" s="46"/>
    </row>
    <row r="56" spans="1:17" hidden="1" x14ac:dyDescent="0.25">
      <c r="A56" s="47" t="s">
        <v>330</v>
      </c>
      <c r="B56" s="46" t="str">
        <f>IFERROR(VLOOKUP($A56,Equipos!$C$2:$M$967,2,FALSE()),"")</f>
        <v>DEA</v>
      </c>
      <c r="C56" s="46" t="str">
        <f>IFERROR(VLOOKUP($A56,Equipos!$C$2:$M$967,9,FALSE()),"")</f>
        <v>AE7-2408132</v>
      </c>
      <c r="D56" s="46" t="str">
        <f>IFERROR(VLOOKUP($A56,Equipos!$C$2:$M$967,3,FALSE()),"")</f>
        <v>TROI</v>
      </c>
      <c r="E56" s="46" t="str">
        <f>IFERROR(VLOOKUP($A56,Equipos!$C$2:$M$967,7,FALSE()),"")</f>
        <v>Mindray</v>
      </c>
      <c r="F56" s="46" t="str">
        <f>IFERROR(VLOOKUP($A56,Equipos!$C$2:$M$967,8,FALSE()),"")</f>
        <v>BeneHeart C2</v>
      </c>
      <c r="G56" s="46" t="s">
        <v>331</v>
      </c>
      <c r="H56" s="46"/>
      <c r="I56" s="46"/>
      <c r="J56" s="46" t="s">
        <v>297</v>
      </c>
      <c r="K56" s="46" t="str">
        <f>IFERROR(VLOOKUP($J56,Catálogos!$M$4:$N$17,2,FALSE()),"")</f>
        <v>Mantención Preventiva Realizada</v>
      </c>
      <c r="L56" s="46"/>
      <c r="M56" s="46"/>
      <c r="N56" s="46"/>
      <c r="O56" s="46"/>
      <c r="P56" s="46"/>
      <c r="Q56" s="46"/>
    </row>
    <row r="57" spans="1:17" hidden="1" x14ac:dyDescent="0.25">
      <c r="A57" s="47" t="s">
        <v>332</v>
      </c>
      <c r="B57" s="46" t="str">
        <f>IFERROR(VLOOKUP($A57,Equipos!$C$2:$M$967,2,FALSE()),"")</f>
        <v>Desfibrilador</v>
      </c>
      <c r="C57" s="46" t="str">
        <f>IFERROR(VLOOKUP($A57,Equipos!$C$2:$M$967,9,FALSE()),"")</f>
        <v>AF12B020910</v>
      </c>
      <c r="D57" s="46" t="str">
        <f>IFERROR(VLOOKUP($A57,Equipos!$C$2:$M$967,3,FALSE()),"")</f>
        <v>Pabellón (Hemodinamia)</v>
      </c>
      <c r="E57" s="46" t="str">
        <f>IFERROR(VLOOKUP($A57,Equipos!$C$2:$M$967,7,FALSE()),"")</f>
        <v xml:space="preserve">Zoll </v>
      </c>
      <c r="F57" s="46" t="str">
        <f>IFERROR(VLOOKUP($A57,Equipos!$C$2:$M$967,8,FALSE()),"")</f>
        <v>R SERIES ALS</v>
      </c>
      <c r="G57" s="46" t="s">
        <v>331</v>
      </c>
      <c r="H57" s="46"/>
      <c r="I57" s="46"/>
      <c r="J57" s="46" t="s">
        <v>297</v>
      </c>
      <c r="K57" s="46" t="str">
        <f>IFERROR(VLOOKUP($J57,Catálogos!$M$4:$N$17,2,FALSE()),"")</f>
        <v>Mantención Preventiva Realizada</v>
      </c>
      <c r="L57" s="46"/>
      <c r="M57" s="46"/>
      <c r="N57" s="46"/>
      <c r="O57" s="46"/>
      <c r="P57" s="46"/>
      <c r="Q57" s="46"/>
    </row>
    <row r="58" spans="1:17" hidden="1" x14ac:dyDescent="0.25">
      <c r="A58" s="47" t="s">
        <v>333</v>
      </c>
      <c r="B58" s="46" t="str">
        <f>IFERROR(VLOOKUP($A58,Equipos!$C$2:$M$967,2,FALSE()),"")</f>
        <v>Desfibrilador</v>
      </c>
      <c r="C58" s="46" t="str">
        <f>IFERROR(VLOOKUP($A58,Equipos!$C$2:$M$967,9,FALSE()),"")</f>
        <v>AF10H011856</v>
      </c>
      <c r="D58" s="46" t="str">
        <f>IFERROR(VLOOKUP($A58,Equipos!$C$2:$M$967,3,FALSE()),"")</f>
        <v>UPC Adulto (Prestado a Urgencia Adulto)</v>
      </c>
      <c r="E58" s="46" t="str">
        <f>IFERROR(VLOOKUP($A58,Equipos!$C$2:$M$967,7,FALSE()),"")</f>
        <v xml:space="preserve">Zoll </v>
      </c>
      <c r="F58" s="46" t="str">
        <f>IFERROR(VLOOKUP($A58,Equipos!$C$2:$M$967,8,FALSE()),"")</f>
        <v>R SERIES ALS</v>
      </c>
      <c r="G58" s="46" t="s">
        <v>296</v>
      </c>
      <c r="H58" s="46"/>
      <c r="I58" s="46"/>
      <c r="J58" s="46" t="s">
        <v>297</v>
      </c>
      <c r="K58" s="46" t="str">
        <f>IFERROR(VLOOKUP($J58,Catálogos!$M$4:$N$17,2,FALSE()),"")</f>
        <v>Mantención Preventiva Realizada</v>
      </c>
      <c r="L58" s="46"/>
      <c r="M58" s="46"/>
      <c r="N58" s="46"/>
      <c r="O58" s="46"/>
      <c r="P58" s="46"/>
      <c r="Q58" s="46"/>
    </row>
    <row r="59" spans="1:17" hidden="1" x14ac:dyDescent="0.25">
      <c r="A59" s="47" t="s">
        <v>334</v>
      </c>
      <c r="B59" s="46" t="str">
        <f>IFERROR(VLOOKUP($A59,Equipos!$C$2:$M$967,2,FALSE()),"")</f>
        <v>Desfibrilador</v>
      </c>
      <c r="C59" s="46" t="str">
        <f>IFERROR(VLOOKUP($A59,Equipos!$C$2:$M$967,9,FALSE()),"")</f>
        <v>01816</v>
      </c>
      <c r="D59" s="46" t="str">
        <f>IFERROR(VLOOKUP($A59,Equipos!$C$2:$M$967,3,FALSE()),"")</f>
        <v>Medicina (Prestado a Medicina cardiovascular)</v>
      </c>
      <c r="E59" s="46" t="str">
        <f>IFERROR(VLOOKUP($A59,Equipos!$C$2:$M$967,7,FALSE()),"")</f>
        <v>Nihon Kohden</v>
      </c>
      <c r="F59" s="46" t="str">
        <f>IFERROR(VLOOKUP($A59,Equipos!$C$2:$M$967,8,FALSE()),"")</f>
        <v>TEC 5531E</v>
      </c>
      <c r="G59" s="46" t="s">
        <v>335</v>
      </c>
      <c r="H59" s="46"/>
      <c r="I59" s="46"/>
      <c r="J59" s="46" t="s">
        <v>297</v>
      </c>
      <c r="K59" s="46" t="str">
        <f>IFERROR(VLOOKUP($J59,Catálogos!$M$4:$N$17,2,FALSE()),"")</f>
        <v>Mantención Preventiva Realizada</v>
      </c>
      <c r="L59" s="46"/>
      <c r="M59" s="46"/>
      <c r="N59" s="46"/>
      <c r="O59" s="46"/>
      <c r="P59" s="46"/>
      <c r="Q59" s="46"/>
    </row>
    <row r="60" spans="1:17" hidden="1" x14ac:dyDescent="0.25">
      <c r="A60" s="47" t="s">
        <v>336</v>
      </c>
      <c r="B60" s="46" t="str">
        <f>IFERROR(VLOOKUP($A60,Equipos!$C$2:$M$967,2,FALSE()),"")</f>
        <v>DEA</v>
      </c>
      <c r="C60" s="46" t="str">
        <f>IFERROR(VLOOKUP($A60,Equipos!$C$2:$M$967,9,FALSE()),"")</f>
        <v>X18E028657</v>
      </c>
      <c r="D60" s="46" t="str">
        <f>IFERROR(VLOOKUP($A60,Equipos!$C$2:$M$967,3,FALSE()),"")</f>
        <v>Gestión de Pacientes</v>
      </c>
      <c r="E60" s="46" t="str">
        <f>IFERROR(VLOOKUP($A60,Equipos!$C$2:$M$967,7,FALSE()),"")</f>
        <v>Zoll</v>
      </c>
      <c r="F60" s="46" t="str">
        <f>IFERROR(VLOOKUP($A60,Equipos!$C$2:$M$967,8,FALSE()),"")</f>
        <v>AEDPLUS</v>
      </c>
      <c r="G60" s="46" t="s">
        <v>335</v>
      </c>
      <c r="H60" s="46"/>
      <c r="I60" s="46"/>
      <c r="J60" s="46" t="s">
        <v>297</v>
      </c>
      <c r="K60" s="46" t="str">
        <f>IFERROR(VLOOKUP($J60,Catálogos!$M$4:$N$17,2,FALSE()),"")</f>
        <v>Mantención Preventiva Realizada</v>
      </c>
      <c r="L60" s="46"/>
      <c r="M60" s="46"/>
      <c r="N60" s="46"/>
      <c r="O60" s="46"/>
      <c r="P60" s="46"/>
      <c r="Q60" s="46"/>
    </row>
    <row r="61" spans="1:17" hidden="1" x14ac:dyDescent="0.25">
      <c r="A61" s="47" t="s">
        <v>336</v>
      </c>
      <c r="B61" s="46" t="str">
        <f>IFERROR(VLOOKUP($A61,Equipos!$C$2:$M$967,2,FALSE()),"")</f>
        <v>DEA</v>
      </c>
      <c r="C61" s="46" t="str">
        <f>IFERROR(VLOOKUP($A61,Equipos!$C$2:$M$967,9,FALSE()),"")</f>
        <v>X18E028657</v>
      </c>
      <c r="D61" s="46" t="str">
        <f>IFERROR(VLOOKUP($A61,Equipos!$C$2:$M$967,3,FALSE()),"")</f>
        <v>Gestión de Pacientes</v>
      </c>
      <c r="E61" s="46" t="str">
        <f>IFERROR(VLOOKUP($A61,Equipos!$C$2:$M$967,7,FALSE()),"")</f>
        <v>Zoll</v>
      </c>
      <c r="F61" s="46" t="str">
        <f>IFERROR(VLOOKUP($A61,Equipos!$C$2:$M$967,8,FALSE()),"")</f>
        <v>AEDPLUS</v>
      </c>
      <c r="G61" s="46" t="s">
        <v>296</v>
      </c>
      <c r="H61" s="46"/>
      <c r="I61" s="46"/>
      <c r="J61" s="46" t="s">
        <v>297</v>
      </c>
      <c r="K61" s="46" t="str">
        <f>IFERROR(VLOOKUP($J61,Catálogos!$M$4:$N$17,2,FALSE()),"")</f>
        <v>Mantención Preventiva Realizada</v>
      </c>
      <c r="L61" s="46"/>
      <c r="M61" s="46"/>
      <c r="N61" s="46"/>
      <c r="O61" s="46"/>
      <c r="P61" s="46"/>
      <c r="Q61" s="46"/>
    </row>
    <row r="62" spans="1:17" hidden="1" x14ac:dyDescent="0.25">
      <c r="A62" s="47" t="s">
        <v>336</v>
      </c>
      <c r="B62" s="46" t="str">
        <f>IFERROR(VLOOKUP($A62,Equipos!$C$2:$M$967,2,FALSE()),"")</f>
        <v>DEA</v>
      </c>
      <c r="C62" s="46" t="str">
        <f>IFERROR(VLOOKUP($A62,Equipos!$C$2:$M$967,9,FALSE()),"")</f>
        <v>X18E028657</v>
      </c>
      <c r="D62" s="46" t="str">
        <f>IFERROR(VLOOKUP($A62,Equipos!$C$2:$M$967,3,FALSE()),"")</f>
        <v>Gestión de Pacientes</v>
      </c>
      <c r="E62" s="46" t="str">
        <f>IFERROR(VLOOKUP($A62,Equipos!$C$2:$M$967,7,FALSE()),"")</f>
        <v>Zoll</v>
      </c>
      <c r="F62" s="46" t="str">
        <f>IFERROR(VLOOKUP($A62,Equipos!$C$2:$M$967,8,FALSE()),"")</f>
        <v>AEDPLUS</v>
      </c>
      <c r="G62" s="46" t="s">
        <v>316</v>
      </c>
      <c r="H62" s="46"/>
      <c r="I62" s="46"/>
      <c r="J62" s="46" t="s">
        <v>297</v>
      </c>
      <c r="K62" s="46" t="str">
        <f>IFERROR(VLOOKUP($J62,Catálogos!$M$4:$N$17,2,FALSE()),"")</f>
        <v>Mantención Preventiva Realizada</v>
      </c>
      <c r="L62" s="46"/>
      <c r="M62" s="46"/>
      <c r="N62" s="46"/>
      <c r="O62" s="46"/>
      <c r="P62" s="46"/>
      <c r="Q62" s="46"/>
    </row>
    <row r="63" spans="1:17" hidden="1" x14ac:dyDescent="0.25">
      <c r="A63" s="47" t="s">
        <v>336</v>
      </c>
      <c r="B63" s="46" t="str">
        <f>IFERROR(VLOOKUP($A63,Equipos!$C$2:$M$967,2,FALSE()),"")</f>
        <v>DEA</v>
      </c>
      <c r="C63" s="46" t="str">
        <f>IFERROR(VLOOKUP($A63,Equipos!$C$2:$M$967,9,FALSE()),"")</f>
        <v>X18E028657</v>
      </c>
      <c r="D63" s="46" t="str">
        <f>IFERROR(VLOOKUP($A63,Equipos!$C$2:$M$967,3,FALSE()),"")</f>
        <v>Gestión de Pacientes</v>
      </c>
      <c r="E63" s="46" t="str">
        <f>IFERROR(VLOOKUP($A63,Equipos!$C$2:$M$967,7,FALSE()),"")</f>
        <v>Zoll</v>
      </c>
      <c r="F63" s="46" t="str">
        <f>IFERROR(VLOOKUP($A63,Equipos!$C$2:$M$967,8,FALSE()),"")</f>
        <v>AEDPLUS</v>
      </c>
      <c r="G63" s="46" t="s">
        <v>331</v>
      </c>
      <c r="H63" s="46"/>
      <c r="I63" s="46"/>
      <c r="J63" s="46" t="s">
        <v>297</v>
      </c>
      <c r="K63" s="46" t="str">
        <f>IFERROR(VLOOKUP($J63,Catálogos!$M$4:$N$17,2,FALSE()),"")</f>
        <v>Mantención Preventiva Realizada</v>
      </c>
      <c r="L63" s="46"/>
      <c r="M63" s="46"/>
      <c r="N63" s="46"/>
      <c r="O63" s="46"/>
      <c r="P63" s="46"/>
      <c r="Q63" s="46"/>
    </row>
    <row r="64" spans="1:17" hidden="1" x14ac:dyDescent="0.25">
      <c r="A64" s="47" t="s">
        <v>336</v>
      </c>
      <c r="B64" s="46" t="str">
        <f>IFERROR(VLOOKUP($A64,Equipos!$C$2:$M$967,2,FALSE()),"")</f>
        <v>DEA</v>
      </c>
      <c r="C64" s="46" t="str">
        <f>IFERROR(VLOOKUP($A64,Equipos!$C$2:$M$967,9,FALSE()),"")</f>
        <v>X18E028657</v>
      </c>
      <c r="D64" s="46" t="str">
        <f>IFERROR(VLOOKUP($A64,Equipos!$C$2:$M$967,3,FALSE()),"")</f>
        <v>Gestión de Pacientes</v>
      </c>
      <c r="E64" s="46" t="str">
        <f>IFERROR(VLOOKUP($A64,Equipos!$C$2:$M$967,7,FALSE()),"")</f>
        <v>Zoll</v>
      </c>
      <c r="F64" s="46" t="str">
        <f>IFERROR(VLOOKUP($A64,Equipos!$C$2:$M$967,8,FALSE()),"")</f>
        <v>AEDPLUS</v>
      </c>
      <c r="G64" s="46" t="s">
        <v>298</v>
      </c>
      <c r="H64" s="46"/>
      <c r="I64" s="46"/>
      <c r="J64" s="46" t="s">
        <v>297</v>
      </c>
      <c r="K64" s="46" t="str">
        <f>IFERROR(VLOOKUP($J64,Catálogos!$M$4:$N$17,2,FALSE()),"")</f>
        <v>Mantención Preventiva Realizada</v>
      </c>
      <c r="L64" s="46"/>
      <c r="M64" s="46"/>
      <c r="N64" s="46"/>
      <c r="O64" s="46"/>
      <c r="P64" s="46"/>
      <c r="Q64" s="46"/>
    </row>
    <row r="65" spans="1:17" hidden="1" x14ac:dyDescent="0.25">
      <c r="A65" s="47" t="s">
        <v>337</v>
      </c>
      <c r="B65" s="46" t="str">
        <f>IFERROR(VLOOKUP($A65,Equipos!$C$2:$M$967,2,FALSE()),"")</f>
        <v>DEA</v>
      </c>
      <c r="C65" s="46" t="str">
        <f>IFERROR(VLOOKUP($A65,Equipos!$C$2:$M$967,9,FALSE()),"")</f>
        <v>13042</v>
      </c>
      <c r="D65" s="46" t="str">
        <f>IFERROR(VLOOKUP($A65,Equipos!$C$2:$M$967,3,FALSE()),"")</f>
        <v>Unidad Evaluación Paciente Imputado</v>
      </c>
      <c r="E65" s="46" t="str">
        <f>IFERROR(VLOOKUP($A65,Equipos!$C$2:$M$967,7,FALSE()),"")</f>
        <v>Nihon Kohden</v>
      </c>
      <c r="F65" s="46" t="str">
        <f>IFERROR(VLOOKUP($A65,Equipos!$C$2:$M$967,8,FALSE()),"")</f>
        <v>AED-3100</v>
      </c>
      <c r="G65" s="46" t="s">
        <v>335</v>
      </c>
      <c r="H65" s="46"/>
      <c r="I65" s="46"/>
      <c r="J65" s="46" t="s">
        <v>297</v>
      </c>
      <c r="K65" s="46" t="str">
        <f>IFERROR(VLOOKUP($J65,Catálogos!$M$4:$N$17,2,FALSE()),"")</f>
        <v>Mantención Preventiva Realizada</v>
      </c>
      <c r="L65" s="46"/>
      <c r="M65" s="46"/>
      <c r="N65" s="46"/>
      <c r="O65" s="46"/>
      <c r="P65" s="46"/>
      <c r="Q65" s="46"/>
    </row>
    <row r="66" spans="1:17" hidden="1" x14ac:dyDescent="0.25">
      <c r="A66" s="47" t="s">
        <v>337</v>
      </c>
      <c r="B66" s="46" t="str">
        <f>IFERROR(VLOOKUP($A66,Equipos!$C$2:$M$967,2,FALSE()),"")</f>
        <v>DEA</v>
      </c>
      <c r="C66" s="46" t="str">
        <f>IFERROR(VLOOKUP($A66,Equipos!$C$2:$M$967,9,FALSE()),"")</f>
        <v>13042</v>
      </c>
      <c r="D66" s="46" t="str">
        <f>IFERROR(VLOOKUP($A66,Equipos!$C$2:$M$967,3,FALSE()),"")</f>
        <v>Unidad Evaluación Paciente Imputado</v>
      </c>
      <c r="E66" s="46" t="str">
        <f>IFERROR(VLOOKUP($A66,Equipos!$C$2:$M$967,7,FALSE()),"")</f>
        <v>Nihon Kohden</v>
      </c>
      <c r="F66" s="46" t="str">
        <f>IFERROR(VLOOKUP($A66,Equipos!$C$2:$M$967,8,FALSE()),"")</f>
        <v>AED-3100</v>
      </c>
      <c r="G66" s="46" t="s">
        <v>296</v>
      </c>
      <c r="H66" s="46"/>
      <c r="I66" s="46"/>
      <c r="J66" s="46" t="s">
        <v>297</v>
      </c>
      <c r="K66" s="46" t="str">
        <f>IFERROR(VLOOKUP($J66,Catálogos!$M$4:$N$17,2,FALSE()),"")</f>
        <v>Mantención Preventiva Realizada</v>
      </c>
      <c r="L66" s="46"/>
      <c r="M66" s="46"/>
      <c r="N66" s="46"/>
      <c r="O66" s="46"/>
      <c r="P66" s="46"/>
      <c r="Q66" s="46"/>
    </row>
    <row r="67" spans="1:17" hidden="1" x14ac:dyDescent="0.25">
      <c r="A67" s="47" t="s">
        <v>337</v>
      </c>
      <c r="B67" s="46" t="str">
        <f>IFERROR(VLOOKUP($A67,Equipos!$C$2:$M$967,2,FALSE()),"")</f>
        <v>DEA</v>
      </c>
      <c r="C67" s="46" t="str">
        <f>IFERROR(VLOOKUP($A67,Equipos!$C$2:$M$967,9,FALSE()),"")</f>
        <v>13042</v>
      </c>
      <c r="D67" s="46" t="str">
        <f>IFERROR(VLOOKUP($A67,Equipos!$C$2:$M$967,3,FALSE()),"")</f>
        <v>Unidad Evaluación Paciente Imputado</v>
      </c>
      <c r="E67" s="46" t="str">
        <f>IFERROR(VLOOKUP($A67,Equipos!$C$2:$M$967,7,FALSE()),"")</f>
        <v>Nihon Kohden</v>
      </c>
      <c r="F67" s="46" t="str">
        <f>IFERROR(VLOOKUP($A67,Equipos!$C$2:$M$967,8,FALSE()),"")</f>
        <v>AED-3100</v>
      </c>
      <c r="G67" s="46" t="s">
        <v>316</v>
      </c>
      <c r="H67" s="46"/>
      <c r="I67" s="46"/>
      <c r="J67" s="46" t="s">
        <v>297</v>
      </c>
      <c r="K67" s="46" t="str">
        <f>IFERROR(VLOOKUP($J67,Catálogos!$M$4:$N$17,2,FALSE()),"")</f>
        <v>Mantención Preventiva Realizada</v>
      </c>
      <c r="L67" s="46"/>
      <c r="M67" s="46"/>
      <c r="N67" s="46"/>
      <c r="O67" s="46"/>
      <c r="P67" s="46"/>
      <c r="Q67" s="46"/>
    </row>
    <row r="68" spans="1:17" hidden="1" x14ac:dyDescent="0.25">
      <c r="A68" s="47" t="s">
        <v>337</v>
      </c>
      <c r="B68" s="46" t="str">
        <f>IFERROR(VLOOKUP($A68,Equipos!$C$2:$M$967,2,FALSE()),"")</f>
        <v>DEA</v>
      </c>
      <c r="C68" s="46" t="str">
        <f>IFERROR(VLOOKUP($A68,Equipos!$C$2:$M$967,9,FALSE()),"")</f>
        <v>13042</v>
      </c>
      <c r="D68" s="46" t="str">
        <f>IFERROR(VLOOKUP($A68,Equipos!$C$2:$M$967,3,FALSE()),"")</f>
        <v>Unidad Evaluación Paciente Imputado</v>
      </c>
      <c r="E68" s="46" t="str">
        <f>IFERROR(VLOOKUP($A68,Equipos!$C$2:$M$967,7,FALSE()),"")</f>
        <v>Nihon Kohden</v>
      </c>
      <c r="F68" s="46" t="str">
        <f>IFERROR(VLOOKUP($A68,Equipos!$C$2:$M$967,8,FALSE()),"")</f>
        <v>AED-3100</v>
      </c>
      <c r="G68" s="46" t="s">
        <v>331</v>
      </c>
      <c r="H68" s="46"/>
      <c r="I68" s="46"/>
      <c r="J68" s="46" t="s">
        <v>297</v>
      </c>
      <c r="K68" s="46" t="str">
        <f>IFERROR(VLOOKUP($J68,Catálogos!$M$4:$N$17,2,FALSE()),"")</f>
        <v>Mantención Preventiva Realizada</v>
      </c>
      <c r="L68" s="46"/>
      <c r="M68" s="46"/>
      <c r="N68" s="46"/>
      <c r="O68" s="46"/>
      <c r="P68" s="46"/>
      <c r="Q68" s="46"/>
    </row>
    <row r="69" spans="1:17" hidden="1" x14ac:dyDescent="0.25">
      <c r="A69" s="47" t="s">
        <v>337</v>
      </c>
      <c r="B69" s="46" t="str">
        <f>IFERROR(VLOOKUP($A69,Equipos!$C$2:$M$967,2,FALSE()),"")</f>
        <v>DEA</v>
      </c>
      <c r="C69" s="46" t="str">
        <f>IFERROR(VLOOKUP($A69,Equipos!$C$2:$M$967,9,FALSE()),"")</f>
        <v>13042</v>
      </c>
      <c r="D69" s="46" t="str">
        <f>IFERROR(VLOOKUP($A69,Equipos!$C$2:$M$967,3,FALSE()),"")</f>
        <v>Unidad Evaluación Paciente Imputado</v>
      </c>
      <c r="E69" s="46" t="str">
        <f>IFERROR(VLOOKUP($A69,Equipos!$C$2:$M$967,7,FALSE()),"")</f>
        <v>Nihon Kohden</v>
      </c>
      <c r="F69" s="46" t="str">
        <f>IFERROR(VLOOKUP($A69,Equipos!$C$2:$M$967,8,FALSE()),"")</f>
        <v>AED-3100</v>
      </c>
      <c r="G69" s="46" t="s">
        <v>298</v>
      </c>
      <c r="H69" s="46"/>
      <c r="I69" s="46"/>
      <c r="J69" s="46" t="s">
        <v>297</v>
      </c>
      <c r="K69" s="46" t="str">
        <f>IFERROR(VLOOKUP($J69,Catálogos!$M$4:$N$17,2,FALSE()),"")</f>
        <v>Mantención Preventiva Realizada</v>
      </c>
      <c r="L69" s="46"/>
      <c r="M69" s="46"/>
      <c r="N69" s="46"/>
      <c r="O69" s="46"/>
      <c r="P69" s="46"/>
      <c r="Q69" s="46"/>
    </row>
    <row r="70" spans="1:17" hidden="1" x14ac:dyDescent="0.25">
      <c r="A70" s="47" t="s">
        <v>338</v>
      </c>
      <c r="B70" s="46" t="str">
        <f>IFERROR(VLOOKUP($A70,Equipos!$C$2:$M$967,2,FALSE()),"")</f>
        <v>DEA</v>
      </c>
      <c r="C70" s="46" t="str">
        <f>IFERROR(VLOOKUP($A70,Equipos!$C$2:$M$967,9,FALSE()),"")</f>
        <v>AF1-48110851</v>
      </c>
      <c r="D70" s="46" t="str">
        <f>IFERROR(VLOOKUP($A70,Equipos!$C$2:$M$967,3,FALSE()),"")</f>
        <v>SAMU</v>
      </c>
      <c r="E70" s="46" t="str">
        <f>IFERROR(VLOOKUP($A70,Equipos!$C$2:$M$967,7,FALSE()),"")</f>
        <v>Mindray</v>
      </c>
      <c r="F70" s="46" t="str">
        <f>IFERROR(VLOOKUP($A70,Equipos!$C$2:$M$967,8,FALSE()),"")</f>
        <v>BeneHeart C1A</v>
      </c>
      <c r="G70" s="46" t="s">
        <v>335</v>
      </c>
      <c r="H70" s="46"/>
      <c r="I70" s="46"/>
      <c r="J70" s="46" t="s">
        <v>297</v>
      </c>
      <c r="K70" s="46" t="str">
        <f>IFERROR(VLOOKUP($J70,Catálogos!$M$4:$N$17,2,FALSE()),"")</f>
        <v>Mantención Preventiva Realizada</v>
      </c>
      <c r="L70" s="46"/>
      <c r="M70" s="46"/>
      <c r="N70" s="46"/>
      <c r="O70" s="46"/>
      <c r="P70" s="46"/>
      <c r="Q70" s="46"/>
    </row>
    <row r="71" spans="1:17" hidden="1" x14ac:dyDescent="0.25">
      <c r="A71" s="47" t="s">
        <v>338</v>
      </c>
      <c r="B71" s="46" t="str">
        <f>IFERROR(VLOOKUP($A71,Equipos!$C$2:$M$967,2,FALSE()),"")</f>
        <v>DEA</v>
      </c>
      <c r="C71" s="46" t="str">
        <f>IFERROR(VLOOKUP($A71,Equipos!$C$2:$M$967,9,FALSE()),"")</f>
        <v>AF1-48110851</v>
      </c>
      <c r="D71" s="46" t="str">
        <f>IFERROR(VLOOKUP($A71,Equipos!$C$2:$M$967,3,FALSE()),"")</f>
        <v>SAMU</v>
      </c>
      <c r="E71" s="46" t="str">
        <f>IFERROR(VLOOKUP($A71,Equipos!$C$2:$M$967,7,FALSE()),"")</f>
        <v>Mindray</v>
      </c>
      <c r="F71" s="46" t="str">
        <f>IFERROR(VLOOKUP($A71,Equipos!$C$2:$M$967,8,FALSE()),"")</f>
        <v>BeneHeart C1A</v>
      </c>
      <c r="G71" s="46" t="s">
        <v>296</v>
      </c>
      <c r="H71" s="46"/>
      <c r="I71" s="46"/>
      <c r="J71" s="46" t="s">
        <v>297</v>
      </c>
      <c r="K71" s="46" t="str">
        <f>IFERROR(VLOOKUP($J71,Catálogos!$M$4:$N$17,2,FALSE()),"")</f>
        <v>Mantención Preventiva Realizada</v>
      </c>
      <c r="L71" s="46"/>
      <c r="M71" s="46"/>
      <c r="N71" s="46"/>
      <c r="O71" s="46"/>
      <c r="P71" s="46"/>
      <c r="Q71" s="46"/>
    </row>
    <row r="72" spans="1:17" hidden="1" x14ac:dyDescent="0.25">
      <c r="A72" s="47" t="s">
        <v>338</v>
      </c>
      <c r="B72" s="46" t="str">
        <f>IFERROR(VLOOKUP($A72,Equipos!$C$2:$M$967,2,FALSE()),"")</f>
        <v>DEA</v>
      </c>
      <c r="C72" s="46" t="str">
        <f>IFERROR(VLOOKUP($A72,Equipos!$C$2:$M$967,9,FALSE()),"")</f>
        <v>AF1-48110851</v>
      </c>
      <c r="D72" s="46" t="str">
        <f>IFERROR(VLOOKUP($A72,Equipos!$C$2:$M$967,3,FALSE()),"")</f>
        <v>SAMU</v>
      </c>
      <c r="E72" s="46" t="str">
        <f>IFERROR(VLOOKUP($A72,Equipos!$C$2:$M$967,7,FALSE()),"")</f>
        <v>Mindray</v>
      </c>
      <c r="F72" s="46" t="str">
        <f>IFERROR(VLOOKUP($A72,Equipos!$C$2:$M$967,8,FALSE()),"")</f>
        <v>BeneHeart C1A</v>
      </c>
      <c r="G72" s="46" t="s">
        <v>316</v>
      </c>
      <c r="H72" s="46"/>
      <c r="I72" s="46"/>
      <c r="J72" s="46" t="s">
        <v>297</v>
      </c>
      <c r="K72" s="46" t="str">
        <f>IFERROR(VLOOKUP($J72,Catálogos!$M$4:$N$17,2,FALSE()),"")</f>
        <v>Mantención Preventiva Realizada</v>
      </c>
      <c r="L72" s="46"/>
      <c r="M72" s="46"/>
      <c r="N72" s="46"/>
      <c r="O72" s="46"/>
      <c r="P72" s="46"/>
      <c r="Q72" s="46"/>
    </row>
    <row r="73" spans="1:17" hidden="1" x14ac:dyDescent="0.25">
      <c r="A73" s="47" t="s">
        <v>338</v>
      </c>
      <c r="B73" s="46" t="str">
        <f>IFERROR(VLOOKUP($A73,Equipos!$C$2:$M$967,2,FALSE()),"")</f>
        <v>DEA</v>
      </c>
      <c r="C73" s="46" t="str">
        <f>IFERROR(VLOOKUP($A73,Equipos!$C$2:$M$967,9,FALSE()),"")</f>
        <v>AF1-48110851</v>
      </c>
      <c r="D73" s="46" t="str">
        <f>IFERROR(VLOOKUP($A73,Equipos!$C$2:$M$967,3,FALSE()),"")</f>
        <v>SAMU</v>
      </c>
      <c r="E73" s="46" t="str">
        <f>IFERROR(VLOOKUP($A73,Equipos!$C$2:$M$967,7,FALSE()),"")</f>
        <v>Mindray</v>
      </c>
      <c r="F73" s="46" t="str">
        <f>IFERROR(VLOOKUP($A73,Equipos!$C$2:$M$967,8,FALSE()),"")</f>
        <v>BeneHeart C1A</v>
      </c>
      <c r="G73" s="46" t="s">
        <v>331</v>
      </c>
      <c r="H73" s="46"/>
      <c r="I73" s="46"/>
      <c r="J73" s="46" t="s">
        <v>297</v>
      </c>
      <c r="K73" s="46" t="str">
        <f>IFERROR(VLOOKUP($J73,Catálogos!$M$4:$N$17,2,FALSE()),"")</f>
        <v>Mantención Preventiva Realizada</v>
      </c>
      <c r="L73" s="46"/>
      <c r="M73" s="46"/>
      <c r="N73" s="46"/>
      <c r="O73" s="46"/>
      <c r="P73" s="46"/>
      <c r="Q73" s="46"/>
    </row>
    <row r="74" spans="1:17" hidden="1" x14ac:dyDescent="0.25">
      <c r="A74" s="47" t="s">
        <v>338</v>
      </c>
      <c r="B74" s="46" t="str">
        <f>IFERROR(VLOOKUP($A74,Equipos!$C$2:$M$967,2,FALSE()),"")</f>
        <v>DEA</v>
      </c>
      <c r="C74" s="46" t="str">
        <f>IFERROR(VLOOKUP($A74,Equipos!$C$2:$M$967,9,FALSE()),"")</f>
        <v>AF1-48110851</v>
      </c>
      <c r="D74" s="46" t="str">
        <f>IFERROR(VLOOKUP($A74,Equipos!$C$2:$M$967,3,FALSE()),"")</f>
        <v>SAMU</v>
      </c>
      <c r="E74" s="46" t="str">
        <f>IFERROR(VLOOKUP($A74,Equipos!$C$2:$M$967,7,FALSE()),"")</f>
        <v>Mindray</v>
      </c>
      <c r="F74" s="46" t="str">
        <f>IFERROR(VLOOKUP($A74,Equipos!$C$2:$M$967,8,FALSE()),"")</f>
        <v>BeneHeart C1A</v>
      </c>
      <c r="G74" s="46" t="s">
        <v>298</v>
      </c>
      <c r="H74" s="46"/>
      <c r="I74" s="46"/>
      <c r="J74" s="46" t="s">
        <v>297</v>
      </c>
      <c r="K74" s="46" t="str">
        <f>IFERROR(VLOOKUP($J74,Catálogos!$M$4:$N$17,2,FALSE()),"")</f>
        <v>Mantención Preventiva Realizada</v>
      </c>
      <c r="L74" s="46"/>
      <c r="M74" s="46"/>
      <c r="N74" s="46"/>
      <c r="O74" s="46"/>
      <c r="P74" s="46"/>
      <c r="Q74" s="46"/>
    </row>
    <row r="75" spans="1:17" hidden="1" x14ac:dyDescent="0.25">
      <c r="A75" s="47" t="s">
        <v>339</v>
      </c>
      <c r="B75" s="46" t="str">
        <f>IFERROR(VLOOKUP($A75,Equipos!$C$2:$M$967,2,FALSE()),"")</f>
        <v>Desfibrilador</v>
      </c>
      <c r="C75" s="46" t="str">
        <f>IFERROR(VLOOKUP($A75,Equipos!$C$2:$M$967,9,FALSE()),"")</f>
        <v>00888</v>
      </c>
      <c r="D75" s="46" t="str">
        <f>IFERROR(VLOOKUP($A75,Equipos!$C$2:$M$967,3,FALSE()),"")</f>
        <v>Urgencia Infantil</v>
      </c>
      <c r="E75" s="46" t="str">
        <f>IFERROR(VLOOKUP($A75,Equipos!$C$2:$M$967,7,FALSE()),"")</f>
        <v>Nihon Kohden</v>
      </c>
      <c r="F75" s="46" t="str">
        <f>IFERROR(VLOOKUP($A75,Equipos!$C$2:$M$967,8,FALSE()),"")</f>
        <v>TEC 5531E</v>
      </c>
      <c r="G75" s="46" t="s">
        <v>316</v>
      </c>
      <c r="H75" s="46"/>
      <c r="I75" s="46"/>
      <c r="J75" s="46" t="s">
        <v>277</v>
      </c>
      <c r="K75" s="46" t="str">
        <f>IFERROR(VLOOKUP($J75,Catálogos!$M$4:$N$17,2,FALSE()),"")</f>
        <v>Reprogramada · Equipo no operativo, a la espera de repuestos o accesorios</v>
      </c>
      <c r="L75" s="46"/>
      <c r="M75" s="46"/>
      <c r="N75" s="46"/>
      <c r="O75" s="46"/>
      <c r="P75" s="46"/>
      <c r="Q75" s="46"/>
    </row>
    <row r="76" spans="1:17" hidden="1" x14ac:dyDescent="0.25">
      <c r="A76" s="47" t="s">
        <v>339</v>
      </c>
      <c r="B76" s="46" t="str">
        <f>IFERROR(VLOOKUP($A76,Equipos!$C$2:$M$967,2,FALSE()),"")</f>
        <v>Desfibrilador</v>
      </c>
      <c r="C76" s="46" t="str">
        <f>IFERROR(VLOOKUP($A76,Equipos!$C$2:$M$967,9,FALSE()),"")</f>
        <v>00888</v>
      </c>
      <c r="D76" s="46" t="str">
        <f>IFERROR(VLOOKUP($A76,Equipos!$C$2:$M$967,3,FALSE()),"")</f>
        <v>Urgencia Infantil</v>
      </c>
      <c r="E76" s="46" t="str">
        <f>IFERROR(VLOOKUP($A76,Equipos!$C$2:$M$967,7,FALSE()),"")</f>
        <v>Nihon Kohden</v>
      </c>
      <c r="F76" s="46" t="str">
        <f>IFERROR(VLOOKUP($A76,Equipos!$C$2:$M$967,8,FALSE()),"")</f>
        <v>TEC 5531E</v>
      </c>
      <c r="G76" s="46" t="s">
        <v>331</v>
      </c>
      <c r="H76" s="46"/>
      <c r="I76" s="46"/>
      <c r="J76" s="46" t="s">
        <v>297</v>
      </c>
      <c r="K76" s="46" t="str">
        <f>IFERROR(VLOOKUP($J76,Catálogos!$M$4:$N$17,2,FALSE()),"")</f>
        <v>Mantención Preventiva Realizada</v>
      </c>
      <c r="L76" s="46"/>
      <c r="M76" s="46"/>
      <c r="N76" s="46"/>
      <c r="O76" s="46"/>
      <c r="P76" s="46"/>
      <c r="Q76" s="46"/>
    </row>
    <row r="77" spans="1:17" hidden="1" x14ac:dyDescent="0.25">
      <c r="A77" s="47" t="s">
        <v>340</v>
      </c>
      <c r="B77" s="46" t="str">
        <f>IFERROR(VLOOKUP($A77,Equipos!$C$2:$M$967,2,FALSE()),"")</f>
        <v>Desfibrilador</v>
      </c>
      <c r="C77" s="46" t="str">
        <f>IFERROR(VLOOKUP($A77,Equipos!$C$2:$M$967,9,FALSE()),"")</f>
        <v>AF12B020988</v>
      </c>
      <c r="D77" s="46" t="str">
        <f>IFERROR(VLOOKUP($A77,Equipos!$C$2:$M$967,3,FALSE()),"")</f>
        <v>Endoscopía</v>
      </c>
      <c r="E77" s="46" t="str">
        <f>IFERROR(VLOOKUP($A77,Equipos!$C$2:$M$967,7,FALSE()),"")</f>
        <v>Zoll</v>
      </c>
      <c r="F77" s="46" t="str">
        <f>IFERROR(VLOOKUP($A77,Equipos!$C$2:$M$967,8,FALSE()),"")</f>
        <v>R SERIES ALS</v>
      </c>
      <c r="G77" s="46" t="s">
        <v>316</v>
      </c>
      <c r="H77" s="46"/>
      <c r="I77" s="46"/>
      <c r="J77" s="46" t="s">
        <v>297</v>
      </c>
      <c r="K77" s="46" t="str">
        <f>IFERROR(VLOOKUP($J77,Catálogos!$M$4:$N$17,2,FALSE()),"")</f>
        <v>Mantención Preventiva Realizada</v>
      </c>
      <c r="L77" s="46"/>
      <c r="M77" s="46"/>
      <c r="N77" s="46"/>
      <c r="O77" s="46"/>
      <c r="P77" s="46"/>
      <c r="Q77" s="46"/>
    </row>
    <row r="78" spans="1:17" hidden="1" x14ac:dyDescent="0.25">
      <c r="A78" s="47" t="s">
        <v>341</v>
      </c>
      <c r="B78" s="46" t="str">
        <f>IFERROR(VLOOKUP($A78,Equipos!$C$2:$M$967,2,FALSE()),"")</f>
        <v>Desfibrilador</v>
      </c>
      <c r="C78" s="46" t="str">
        <f>IFERROR(VLOOKUP($A78,Equipos!$C$2:$M$967,9,FALSE()),"")</f>
        <v>00889</v>
      </c>
      <c r="D78" s="46" t="str">
        <f>IFERROR(VLOOKUP($A78,Equipos!$C$2:$M$967,3,FALSE()),"")</f>
        <v>UPC Adulto</v>
      </c>
      <c r="E78" s="46" t="str">
        <f>IFERROR(VLOOKUP($A78,Equipos!$C$2:$M$967,7,FALSE()),"")</f>
        <v>Nihon Kohden</v>
      </c>
      <c r="F78" s="46" t="str">
        <f>IFERROR(VLOOKUP($A78,Equipos!$C$2:$M$967,8,FALSE()),"")</f>
        <v>TEC 5531E</v>
      </c>
      <c r="G78" s="46" t="s">
        <v>296</v>
      </c>
      <c r="H78" s="46"/>
      <c r="I78" s="46"/>
      <c r="J78" s="46" t="s">
        <v>277</v>
      </c>
      <c r="K78" s="46" t="str">
        <f>IFERROR(VLOOKUP($J78,Catálogos!$M$4:$N$17,2,FALSE()),"")</f>
        <v>Reprogramada · Equipo no operativo, a la espera de repuestos o accesorios</v>
      </c>
      <c r="L78" s="46"/>
      <c r="M78" s="46"/>
      <c r="N78" s="46"/>
      <c r="O78" s="46"/>
      <c r="P78" s="46"/>
      <c r="Q78" s="46"/>
    </row>
    <row r="79" spans="1:17" hidden="1" x14ac:dyDescent="0.25">
      <c r="A79" s="47" t="s">
        <v>341</v>
      </c>
      <c r="B79" s="46" t="str">
        <f>IFERROR(VLOOKUP($A79,Equipos!$C$2:$M$967,2,FALSE()),"")</f>
        <v>Desfibrilador</v>
      </c>
      <c r="C79" s="46" t="str">
        <f>IFERROR(VLOOKUP($A79,Equipos!$C$2:$M$967,9,FALSE()),"")</f>
        <v>00889</v>
      </c>
      <c r="D79" s="46" t="str">
        <f>IFERROR(VLOOKUP($A79,Equipos!$C$2:$M$967,3,FALSE()),"")</f>
        <v>UPC Adulto</v>
      </c>
      <c r="E79" s="46" t="str">
        <f>IFERROR(VLOOKUP($A79,Equipos!$C$2:$M$967,7,FALSE()),"")</f>
        <v>Nihon Kohden</v>
      </c>
      <c r="F79" s="46" t="str">
        <f>IFERROR(VLOOKUP($A79,Equipos!$C$2:$M$967,8,FALSE()),"")</f>
        <v>TEC 5531E</v>
      </c>
      <c r="G79" s="46" t="s">
        <v>331</v>
      </c>
      <c r="H79" s="46"/>
      <c r="I79" s="46"/>
      <c r="J79" s="46" t="s">
        <v>297</v>
      </c>
      <c r="K79" s="46" t="str">
        <f>IFERROR(VLOOKUP($J79,Catálogos!$M$4:$N$17,2,FALSE()),"")</f>
        <v>Mantención Preventiva Realizada</v>
      </c>
      <c r="L79" s="46"/>
      <c r="M79" s="46"/>
      <c r="N79" s="46"/>
      <c r="O79" s="46"/>
      <c r="P79" s="46"/>
      <c r="Q79" s="46"/>
    </row>
    <row r="80" spans="1:17" hidden="1" x14ac:dyDescent="0.25">
      <c r="A80" s="47" t="s">
        <v>342</v>
      </c>
      <c r="B80" s="46" t="str">
        <f>IFERROR(VLOOKUP($A80,Equipos!$C$2:$M$967,2,FALSE()),"")</f>
        <v>Desfibrilador</v>
      </c>
      <c r="C80" s="46" t="str">
        <f>IFERROR(VLOOKUP($A80,Equipos!$C$2:$M$967,9,FALSE()),"")</f>
        <v>00039</v>
      </c>
      <c r="D80" s="46" t="str">
        <f>IFERROR(VLOOKUP($A80,Equipos!$C$2:$M$967,3,FALSE()),"")</f>
        <v>Pediatría</v>
      </c>
      <c r="E80" s="46" t="str">
        <f>IFERROR(VLOOKUP($A80,Equipos!$C$2:$M$967,7,FALSE()),"")</f>
        <v>Nihon Kohden</v>
      </c>
      <c r="F80" s="46" t="str">
        <f>IFERROR(VLOOKUP($A80,Equipos!$C$2:$M$967,8,FALSE()),"")</f>
        <v>TEC 5531E</v>
      </c>
      <c r="G80" s="46" t="s">
        <v>335</v>
      </c>
      <c r="H80" s="46"/>
      <c r="I80" s="46"/>
      <c r="J80" s="46" t="s">
        <v>297</v>
      </c>
      <c r="K80" s="46" t="str">
        <f>IFERROR(VLOOKUP($J80,Catálogos!$M$4:$N$17,2,FALSE()),"")</f>
        <v>Mantención Preventiva Realizada</v>
      </c>
      <c r="L80" s="46"/>
      <c r="M80" s="46"/>
      <c r="N80" s="46"/>
      <c r="O80" s="46"/>
      <c r="P80" s="46"/>
      <c r="Q80" s="46"/>
    </row>
    <row r="81" spans="1:17" hidden="1" x14ac:dyDescent="0.25">
      <c r="A81" s="47" t="s">
        <v>343</v>
      </c>
      <c r="B81" s="46" t="str">
        <f>IFERROR(VLOOKUP($A81,Equipos!$C$2:$M$967,2,FALSE()),"")</f>
        <v>Desfibrilador</v>
      </c>
      <c r="C81" s="46" t="str">
        <f>IFERROR(VLOOKUP($A81,Equipos!$C$2:$M$967,9,FALSE()),"")</f>
        <v>T03K52786</v>
      </c>
      <c r="D81" s="46" t="str">
        <f>IFERROR(VLOOKUP($A81,Equipos!$C$2:$M$967,3,FALSE()),"")</f>
        <v>Pabellones Gineco-Obstétricos</v>
      </c>
      <c r="E81" s="46" t="str">
        <f>IFERROR(VLOOKUP($A81,Equipos!$C$2:$M$967,7,FALSE()),"")</f>
        <v>Zoll</v>
      </c>
      <c r="F81" s="46" t="str">
        <f>IFERROR(VLOOKUP($A81,Equipos!$C$2:$M$967,8,FALSE()),"")</f>
        <v xml:space="preserve">M SERIES </v>
      </c>
      <c r="G81" s="46" t="s">
        <v>298</v>
      </c>
      <c r="H81" s="46"/>
      <c r="I81" s="46"/>
      <c r="J81" s="46" t="s">
        <v>297</v>
      </c>
      <c r="K81" s="46" t="str">
        <f>IFERROR(VLOOKUP($J81,Catálogos!$M$4:$N$17,2,FALSE()),"")</f>
        <v>Mantención Preventiva Realizada</v>
      </c>
      <c r="L81" s="46"/>
      <c r="M81" s="46"/>
      <c r="N81" s="46"/>
      <c r="O81" s="46"/>
      <c r="P81" s="46"/>
      <c r="Q81" s="46"/>
    </row>
    <row r="82" spans="1:17" hidden="1" x14ac:dyDescent="0.25">
      <c r="A82" s="47" t="s">
        <v>344</v>
      </c>
      <c r="B82" s="46" t="str">
        <f>IFERROR(VLOOKUP($A82,Equipos!$C$2:$M$967,2,FALSE()),"")</f>
        <v>Desfibrilador</v>
      </c>
      <c r="C82" s="46" t="str">
        <f>IFERROR(VLOOKUP($A82,Equipos!$C$2:$M$967,9,FALSE()),"")</f>
        <v>40676147</v>
      </c>
      <c r="D82" s="46" t="str">
        <f>IFERROR(VLOOKUP($A82,Equipos!$C$2:$M$967,3,FALSE()),"")</f>
        <v>Pabellones Gineco-Obstétricos</v>
      </c>
      <c r="E82" s="46" t="str">
        <f>IFERROR(VLOOKUP($A82,Equipos!$C$2:$M$967,7,FALSE()),"")</f>
        <v>Medtronic</v>
      </c>
      <c r="F82" s="46" t="str">
        <f>IFERROR(VLOOKUP($A82,Equipos!$C$2:$M$967,8,FALSE()),"")</f>
        <v>Lifepack 20</v>
      </c>
      <c r="G82" s="46" t="s">
        <v>298</v>
      </c>
      <c r="H82" s="46"/>
      <c r="I82" s="46"/>
      <c r="J82" s="46" t="s">
        <v>297</v>
      </c>
      <c r="K82" s="46" t="str">
        <f>IFERROR(VLOOKUP($J82,Catálogos!$M$4:$N$17,2,FALSE()),"")</f>
        <v>Mantención Preventiva Realizada</v>
      </c>
      <c r="L82" s="46"/>
      <c r="M82" s="46"/>
      <c r="N82" s="46"/>
      <c r="O82" s="46"/>
      <c r="P82" s="46"/>
      <c r="Q82" s="46"/>
    </row>
    <row r="83" spans="1:17" hidden="1" x14ac:dyDescent="0.25">
      <c r="A83" s="47" t="s">
        <v>345</v>
      </c>
      <c r="B83" s="46" t="str">
        <f>IFERROR(VLOOKUP($A83,Equipos!$C$2:$M$967,2,FALSE()),"")</f>
        <v>Desfibrilador</v>
      </c>
      <c r="C83" s="46" t="str">
        <f>IFERROR(VLOOKUP($A83,Equipos!$C$2:$M$967,9,FALSE()),"")</f>
        <v>39322210</v>
      </c>
      <c r="D83" s="46" t="str">
        <f>IFERROR(VLOOKUP($A83,Equipos!$C$2:$M$967,3,FALSE()),"")</f>
        <v>Cirugía Adulto</v>
      </c>
      <c r="E83" s="46" t="str">
        <f>IFERROR(VLOOKUP($A83,Equipos!$C$2:$M$967,7,FALSE()),"")</f>
        <v>Medtronic</v>
      </c>
      <c r="F83" s="46" t="str">
        <f>IFERROR(VLOOKUP($A83,Equipos!$C$2:$M$967,8,FALSE()),"")</f>
        <v>Lifepack 20</v>
      </c>
      <c r="G83" s="46" t="s">
        <v>298</v>
      </c>
      <c r="H83" s="46"/>
      <c r="I83" s="46"/>
      <c r="J83" s="46" t="s">
        <v>297</v>
      </c>
      <c r="K83" s="46" t="str">
        <f>IFERROR(VLOOKUP($J83,Catálogos!$M$4:$N$17,2,FALSE()),"")</f>
        <v>Mantención Preventiva Realizada</v>
      </c>
      <c r="L83" s="46"/>
      <c r="M83" s="46"/>
      <c r="N83" s="46"/>
      <c r="O83" s="46"/>
      <c r="P83" s="46"/>
      <c r="Q83" s="46"/>
    </row>
    <row r="84" spans="1:17" hidden="1" x14ac:dyDescent="0.25">
      <c r="A84" s="47" t="s">
        <v>346</v>
      </c>
      <c r="B84" s="46" t="str">
        <f>IFERROR(VLOOKUP($A84,Equipos!$C$2:$M$967,2,FALSE()),"")</f>
        <v>Desfibrilador</v>
      </c>
      <c r="C84" s="46" t="str">
        <f>IFERROR(VLOOKUP($A84,Equipos!$C$2:$M$967,9,FALSE()),"")</f>
        <v>00880</v>
      </c>
      <c r="D84" s="46" t="str">
        <f>IFERROR(VLOOKUP($A84,Equipos!$C$2:$M$967,3,FALSE()),"")</f>
        <v>Pabellón Quirúrgico</v>
      </c>
      <c r="E84" s="46" t="str">
        <f>IFERROR(VLOOKUP($A84,Equipos!$C$2:$M$967,7,FALSE()),"")</f>
        <v>Nihon Kohden</v>
      </c>
      <c r="F84" s="46" t="str">
        <f>IFERROR(VLOOKUP($A84,Equipos!$C$2:$M$967,8,FALSE()),"")</f>
        <v>TEC 5531E</v>
      </c>
      <c r="G84" s="46" t="s">
        <v>331</v>
      </c>
      <c r="H84" s="46"/>
      <c r="I84" s="46"/>
      <c r="J84" s="46" t="s">
        <v>297</v>
      </c>
      <c r="K84" s="46" t="str">
        <f>IFERROR(VLOOKUP($J84,Catálogos!$M$4:$N$17,2,FALSE()),"")</f>
        <v>Mantención Preventiva Realizada</v>
      </c>
      <c r="L84" s="46"/>
      <c r="M84" s="46"/>
      <c r="N84" s="46"/>
      <c r="O84" s="46"/>
      <c r="P84" s="46"/>
      <c r="Q84" s="46"/>
    </row>
    <row r="85" spans="1:17" hidden="1" x14ac:dyDescent="0.25">
      <c r="A85" s="47" t="s">
        <v>347</v>
      </c>
      <c r="B85" s="46" t="str">
        <f>IFERROR(VLOOKUP($A85,Equipos!$C$2:$M$967,2,FALSE()),"")</f>
        <v>Desfibrilador</v>
      </c>
      <c r="C85" s="46" t="str">
        <f>IFERROR(VLOOKUP($A85,Equipos!$C$2:$M$967,9,FALSE()),"")</f>
        <v>00885</v>
      </c>
      <c r="D85" s="46" t="str">
        <f>IFERROR(VLOOKUP($A85,Equipos!$C$2:$M$967,3,FALSE()),"")</f>
        <v>Cirugía Adulto</v>
      </c>
      <c r="E85" s="46" t="str">
        <f>IFERROR(VLOOKUP($A85,Equipos!$C$2:$M$967,7,FALSE()),"")</f>
        <v>Nihon Kohden</v>
      </c>
      <c r="F85" s="46" t="str">
        <f>IFERROR(VLOOKUP($A85,Equipos!$C$2:$M$967,8,FALSE()),"")</f>
        <v>TEC 5531E</v>
      </c>
      <c r="G85" s="46" t="s">
        <v>331</v>
      </c>
      <c r="H85" s="46"/>
      <c r="I85" s="46"/>
      <c r="J85" s="46" t="s">
        <v>297</v>
      </c>
      <c r="K85" s="46" t="str">
        <f>IFERROR(VLOOKUP($J85,Catálogos!$M$4:$N$17,2,FALSE()),"")</f>
        <v>Mantención Preventiva Realizada</v>
      </c>
      <c r="L85" s="46"/>
      <c r="M85" s="46"/>
      <c r="N85" s="46"/>
      <c r="O85" s="46"/>
      <c r="P85" s="46"/>
      <c r="Q85" s="46"/>
    </row>
    <row r="86" spans="1:17" hidden="1" x14ac:dyDescent="0.25">
      <c r="A86" s="47" t="s">
        <v>348</v>
      </c>
      <c r="B86" s="46" t="str">
        <f>IFERROR(VLOOKUP($A86,Equipos!$C$2:$M$967,2,FALSE()),"")</f>
        <v>Desfibrilador</v>
      </c>
      <c r="C86" s="46" t="str">
        <f>IFERROR(VLOOKUP($A86,Equipos!$C$2:$M$967,9,FALSE()),"")</f>
        <v>01818</v>
      </c>
      <c r="D86" s="46" t="str">
        <f>IFERROR(VLOOKUP($A86,Equipos!$C$2:$M$967,3,FALSE()),"")</f>
        <v>Pabellón CMA</v>
      </c>
      <c r="E86" s="46" t="str">
        <f>IFERROR(VLOOKUP($A86,Equipos!$C$2:$M$967,7,FALSE()),"")</f>
        <v>Nihon Kohden</v>
      </c>
      <c r="F86" s="46" t="str">
        <f>IFERROR(VLOOKUP($A86,Equipos!$C$2:$M$967,8,FALSE()),"")</f>
        <v>TEC 5531E</v>
      </c>
      <c r="G86" s="46" t="s">
        <v>298</v>
      </c>
      <c r="H86" s="46"/>
      <c r="I86" s="46"/>
      <c r="J86" s="46" t="s">
        <v>297</v>
      </c>
      <c r="K86" s="46" t="str">
        <f>IFERROR(VLOOKUP($J86,Catálogos!$M$4:$N$17,2,FALSE()),"")</f>
        <v>Mantención Preventiva Realizada</v>
      </c>
      <c r="L86" s="46"/>
      <c r="M86" s="46"/>
      <c r="N86" s="46"/>
      <c r="O86" s="46"/>
      <c r="P86" s="46"/>
      <c r="Q86" s="46"/>
    </row>
    <row r="87" spans="1:17" hidden="1" x14ac:dyDescent="0.25">
      <c r="A87" s="47" t="s">
        <v>349</v>
      </c>
      <c r="B87" s="46" t="str">
        <f>IFERROR(VLOOKUP($A87,Equipos!$C$2:$M$967,2,FALSE()),"")</f>
        <v>Desfibrilador</v>
      </c>
      <c r="C87" s="46" t="str">
        <f>IFERROR(VLOOKUP($A87,Equipos!$C$2:$M$967,9,FALSE()),"")</f>
        <v>00887</v>
      </c>
      <c r="D87" s="46" t="str">
        <f>IFERROR(VLOOKUP($A87,Equipos!$C$2:$M$967,3,FALSE()),"")</f>
        <v>Pabellón CMA</v>
      </c>
      <c r="E87" s="46" t="str">
        <f>IFERROR(VLOOKUP($A87,Equipos!$C$2:$M$967,7,FALSE()),"")</f>
        <v>Nihon Kohden</v>
      </c>
      <c r="F87" s="46" t="str">
        <f>IFERROR(VLOOKUP($A87,Equipos!$C$2:$M$967,8,FALSE()),"")</f>
        <v>TEC 5531E</v>
      </c>
      <c r="G87" s="46" t="s">
        <v>298</v>
      </c>
      <c r="H87" s="46"/>
      <c r="I87" s="46"/>
      <c r="J87" s="46" t="s">
        <v>297</v>
      </c>
      <c r="K87" s="46" t="str">
        <f>IFERROR(VLOOKUP($J87,Catálogos!$M$4:$N$17,2,FALSE()),"")</f>
        <v>Mantención Preventiva Realizada</v>
      </c>
      <c r="L87" s="46"/>
      <c r="M87" s="46"/>
      <c r="N87" s="46"/>
      <c r="O87" s="46"/>
      <c r="P87" s="46"/>
      <c r="Q87" s="46"/>
    </row>
    <row r="88" spans="1:17" hidden="1" x14ac:dyDescent="0.25">
      <c r="A88" s="47" t="s">
        <v>350</v>
      </c>
      <c r="B88" s="46" t="str">
        <f>IFERROR(VLOOKUP($A88,Equipos!$C$2:$M$967,2,FALSE()),"")</f>
        <v>Desfibrilador</v>
      </c>
      <c r="C88" s="46" t="str">
        <f>IFERROR(VLOOKUP($A88,Equipos!$C$2:$M$967,9,FALSE()),"")</f>
        <v>00876</v>
      </c>
      <c r="D88" s="46" t="str">
        <f>IFERROR(VLOOKUP($A88,Equipos!$C$2:$M$967,3,FALSE()),"")</f>
        <v>Psiquiatría</v>
      </c>
      <c r="E88" s="46" t="str">
        <f>IFERROR(VLOOKUP($A88,Equipos!$C$2:$M$967,7,FALSE()),"")</f>
        <v>Nihon Kohden</v>
      </c>
      <c r="F88" s="46" t="str">
        <f>IFERROR(VLOOKUP($A88,Equipos!$C$2:$M$967,8,FALSE()),"")</f>
        <v>TEC 5531E</v>
      </c>
      <c r="G88" s="46" t="s">
        <v>331</v>
      </c>
      <c r="H88" s="46"/>
      <c r="I88" s="46"/>
      <c r="J88" s="46" t="s">
        <v>297</v>
      </c>
      <c r="K88" s="46" t="str">
        <f>IFERROR(VLOOKUP($J88,Catálogos!$M$4:$N$17,2,FALSE()),"")</f>
        <v>Mantención Preventiva Realizada</v>
      </c>
      <c r="L88" s="46"/>
      <c r="M88" s="46"/>
      <c r="N88" s="46"/>
      <c r="O88" s="46"/>
      <c r="P88" s="46"/>
      <c r="Q88" s="46"/>
    </row>
    <row r="89" spans="1:17" hidden="1" x14ac:dyDescent="0.25">
      <c r="A89" s="47" t="s">
        <v>351</v>
      </c>
      <c r="B89" s="46" t="str">
        <f>IFERROR(VLOOKUP($A89,Equipos!$C$2:$M$967,2,FALSE()),"")</f>
        <v>Desfibrilador</v>
      </c>
      <c r="C89" s="46" t="str">
        <f>IFERROR(VLOOKUP($A89,Equipos!$C$2:$M$967,9,FALSE()),"")</f>
        <v>00795</v>
      </c>
      <c r="D89" s="46" t="str">
        <f>IFERROR(VLOOKUP($A89,Equipos!$C$2:$M$967,3,FALSE()),"")</f>
        <v>Psiquiatría</v>
      </c>
      <c r="E89" s="46" t="str">
        <f>IFERROR(VLOOKUP($A89,Equipos!$C$2:$M$967,7,FALSE()),"")</f>
        <v>Nihon Kohden</v>
      </c>
      <c r="F89" s="46" t="str">
        <f>IFERROR(VLOOKUP($A89,Equipos!$C$2:$M$967,8,FALSE()),"")</f>
        <v>TEC 5521E</v>
      </c>
      <c r="G89" s="46" t="s">
        <v>331</v>
      </c>
      <c r="H89" s="46"/>
      <c r="I89" s="46"/>
      <c r="J89" s="46" t="s">
        <v>297</v>
      </c>
      <c r="K89" s="46" t="str">
        <f>IFERROR(VLOOKUP($J89,Catálogos!$M$4:$N$17,2,FALSE()),"")</f>
        <v>Mantención Preventiva Realizada</v>
      </c>
      <c r="L89" s="46"/>
      <c r="M89" s="46"/>
      <c r="N89" s="46"/>
      <c r="O89" s="46"/>
      <c r="P89" s="46"/>
      <c r="Q89" s="46"/>
    </row>
    <row r="90" spans="1:17" hidden="1" x14ac:dyDescent="0.25">
      <c r="A90" s="47" t="s">
        <v>352</v>
      </c>
      <c r="B90" s="46" t="str">
        <f>IFERROR(VLOOKUP($A90,Equipos!$C$2:$M$967,2,FALSE()),"")</f>
        <v>Desfibrilador</v>
      </c>
      <c r="C90" s="46" t="str">
        <f>IFERROR(VLOOKUP($A90,Equipos!$C$2:$M$967,9,FALSE()),"")</f>
        <v>00790</v>
      </c>
      <c r="D90" s="46" t="str">
        <f>IFERROR(VLOOKUP($A90,Equipos!$C$2:$M$967,3,FALSE()),"")</f>
        <v>Imagenología</v>
      </c>
      <c r="E90" s="46" t="str">
        <f>IFERROR(VLOOKUP($A90,Equipos!$C$2:$M$967,7,FALSE()),"")</f>
        <v>Nihon Kohden</v>
      </c>
      <c r="F90" s="46" t="str">
        <f>IFERROR(VLOOKUP($A90,Equipos!$C$2:$M$967,8,FALSE()),"")</f>
        <v>TEC 5521E</v>
      </c>
      <c r="G90" s="46" t="s">
        <v>335</v>
      </c>
      <c r="H90" s="46"/>
      <c r="I90" s="46"/>
      <c r="J90" s="46" t="s">
        <v>297</v>
      </c>
      <c r="K90" s="46" t="str">
        <f>IFERROR(VLOOKUP($J90,Catálogos!$M$4:$N$17,2,FALSE()),"")</f>
        <v>Mantención Preventiva Realizada</v>
      </c>
      <c r="L90" s="46"/>
      <c r="M90" s="46"/>
      <c r="N90" s="46"/>
      <c r="O90" s="46"/>
      <c r="P90" s="46"/>
      <c r="Q90" s="46"/>
    </row>
    <row r="91" spans="1:17" hidden="1" x14ac:dyDescent="0.25">
      <c r="A91" s="47" t="s">
        <v>353</v>
      </c>
      <c r="B91" s="46" t="str">
        <f>IFERROR(VLOOKUP($A91,Equipos!$C$2:$M$967,2,FALSE()),"")</f>
        <v>Desfibrilador</v>
      </c>
      <c r="C91" s="46" t="str">
        <f>IFERROR(VLOOKUP($A91,Equipos!$C$2:$M$967,9,FALSE()),"")</f>
        <v>00083</v>
      </c>
      <c r="D91" s="46" t="str">
        <f>IFERROR(VLOOKUP($A91,Equipos!$C$2:$M$967,3,FALSE()),"")</f>
        <v>Imagenología</v>
      </c>
      <c r="E91" s="46" t="str">
        <f>IFERROR(VLOOKUP($A91,Equipos!$C$2:$M$967,7,FALSE()),"")</f>
        <v>Nihon Kohden</v>
      </c>
      <c r="F91" s="46" t="str">
        <f>IFERROR(VLOOKUP($A91,Equipos!$C$2:$M$967,8,FALSE()),"")</f>
        <v>TEC 5521E</v>
      </c>
      <c r="G91" s="46" t="s">
        <v>335</v>
      </c>
      <c r="H91" s="46"/>
      <c r="I91" s="46"/>
      <c r="J91" s="46" t="s">
        <v>297</v>
      </c>
      <c r="K91" s="46" t="str">
        <f>IFERROR(VLOOKUP($J91,Catálogos!$M$4:$N$17,2,FALSE()),"")</f>
        <v>Mantención Preventiva Realizada</v>
      </c>
      <c r="L91" s="46"/>
      <c r="M91" s="46"/>
      <c r="N91" s="46"/>
      <c r="O91" s="46"/>
      <c r="P91" s="46"/>
      <c r="Q91" s="46"/>
    </row>
    <row r="92" spans="1:17" hidden="1" x14ac:dyDescent="0.25">
      <c r="A92" s="47" t="s">
        <v>354</v>
      </c>
      <c r="B92" s="46" t="str">
        <f>IFERROR(VLOOKUP($A92,Equipos!$C$2:$M$967,2,FALSE()),"")</f>
        <v>Desfibrilador</v>
      </c>
      <c r="C92" s="46" t="str">
        <f>IFERROR(VLOOKUP($A92,Equipos!$C$2:$M$967,9,FALSE()),"")</f>
        <v>01811</v>
      </c>
      <c r="D92" s="46" t="str">
        <f>IFERROR(VLOOKUP($A92,Equipos!$C$2:$M$967,3,FALSE()),"")</f>
        <v>Traumatología</v>
      </c>
      <c r="E92" s="46" t="str">
        <f>IFERROR(VLOOKUP($A92,Equipos!$C$2:$M$967,7,FALSE()),"")</f>
        <v>Nihon Kohden</v>
      </c>
      <c r="F92" s="46" t="str">
        <f>IFERROR(VLOOKUP($A92,Equipos!$C$2:$M$967,8,FALSE()),"")</f>
        <v>TEC 5531E</v>
      </c>
      <c r="G92" s="46" t="s">
        <v>316</v>
      </c>
      <c r="H92" s="46"/>
      <c r="I92" s="46"/>
      <c r="J92" s="46" t="s">
        <v>297</v>
      </c>
      <c r="K92" s="46" t="str">
        <f>IFERROR(VLOOKUP($J92,Catálogos!$M$4:$N$17,2,FALSE()),"")</f>
        <v>Mantención Preventiva Realizada</v>
      </c>
      <c r="L92" s="46"/>
      <c r="M92" s="46"/>
      <c r="N92" s="46"/>
      <c r="O92" s="46"/>
      <c r="P92" s="46"/>
      <c r="Q92" s="46"/>
    </row>
    <row r="93" spans="1:17" hidden="1" x14ac:dyDescent="0.25">
      <c r="A93" s="47" t="s">
        <v>355</v>
      </c>
      <c r="B93" s="46" t="str">
        <f>IFERROR(VLOOKUP($A93,Equipos!$C$2:$M$967,2,FALSE()),"")</f>
        <v>Desfibrilador</v>
      </c>
      <c r="C93" s="46" t="str">
        <f>IFERROR(VLOOKUP($A93,Equipos!$C$2:$M$967,9,FALSE()),"")</f>
        <v>01076</v>
      </c>
      <c r="D93" s="46" t="str">
        <f>IFERROR(VLOOKUP($A93,Equipos!$C$2:$M$967,3,FALSE()),"")</f>
        <v>Neurocirugía</v>
      </c>
      <c r="E93" s="46" t="str">
        <f>IFERROR(VLOOKUP($A93,Equipos!$C$2:$M$967,7,FALSE()),"")</f>
        <v>Nihon Kohden</v>
      </c>
      <c r="F93" s="46" t="str">
        <f>IFERROR(VLOOKUP($A93,Equipos!$C$2:$M$967,8,FALSE()),"")</f>
        <v>TEC 5521E</v>
      </c>
      <c r="G93" s="46" t="s">
        <v>316</v>
      </c>
      <c r="H93" s="46"/>
      <c r="I93" s="46"/>
      <c r="J93" s="46" t="s">
        <v>297</v>
      </c>
      <c r="K93" s="46" t="str">
        <f>IFERROR(VLOOKUP($J93,Catálogos!$M$4:$N$17,2,FALSE()),"")</f>
        <v>Mantención Preventiva Realizada</v>
      </c>
      <c r="L93" s="46"/>
      <c r="M93" s="46"/>
      <c r="N93" s="46"/>
      <c r="O93" s="46"/>
      <c r="P93" s="46"/>
      <c r="Q93" s="46"/>
    </row>
    <row r="94" spans="1:17" hidden="1" x14ac:dyDescent="0.25">
      <c r="A94" s="47" t="s">
        <v>356</v>
      </c>
      <c r="B94" s="46" t="str">
        <f>IFERROR(VLOOKUP($A94,Equipos!$C$2:$M$967,2,FALSE()),"")</f>
        <v>Desfibrilador</v>
      </c>
      <c r="C94" s="46" t="str">
        <f>IFERROR(VLOOKUP($A94,Equipos!$C$2:$M$967,9,FALSE()),"")</f>
        <v>01815</v>
      </c>
      <c r="D94" s="46" t="str">
        <f>IFERROR(VLOOKUP($A94,Equipos!$C$2:$M$967,3,FALSE()),"")</f>
        <v>Cirugía Adulto</v>
      </c>
      <c r="E94" s="46" t="str">
        <f>IFERROR(VLOOKUP($A94,Equipos!$C$2:$M$967,7,FALSE()),"")</f>
        <v>Nihon Kohden</v>
      </c>
      <c r="F94" s="46" t="str">
        <f>IFERROR(VLOOKUP($A94,Equipos!$C$2:$M$967,8,FALSE()),"")</f>
        <v>TEC 5531E</v>
      </c>
      <c r="G94" s="46" t="s">
        <v>298</v>
      </c>
      <c r="H94" s="46"/>
      <c r="I94" s="46"/>
      <c r="J94" s="46" t="s">
        <v>297</v>
      </c>
      <c r="K94" s="46" t="str">
        <f>IFERROR(VLOOKUP($J94,Catálogos!$M$4:$N$17,2,FALSE()),"")</f>
        <v>Mantención Preventiva Realizada</v>
      </c>
      <c r="L94" s="46"/>
      <c r="M94" s="46"/>
      <c r="N94" s="46"/>
      <c r="O94" s="46"/>
      <c r="P94" s="46"/>
      <c r="Q94" s="46"/>
    </row>
    <row r="95" spans="1:17" hidden="1" x14ac:dyDescent="0.25">
      <c r="A95" s="47" t="s">
        <v>357</v>
      </c>
      <c r="B95" s="46" t="str">
        <f>IFERROR(VLOOKUP($A95,Equipos!$C$2:$M$967,2,FALSE()),"")</f>
        <v>Desfibrilador</v>
      </c>
      <c r="C95" s="46" t="str">
        <f>IFERROR(VLOOKUP($A95,Equipos!$C$2:$M$967,9,FALSE()),"")</f>
        <v>01810</v>
      </c>
      <c r="D95" s="46" t="str">
        <f>IFERROR(VLOOKUP($A95,Equipos!$C$2:$M$967,3,FALSE()),"")</f>
        <v>UPC 3er Piso</v>
      </c>
      <c r="E95" s="46" t="str">
        <f>IFERROR(VLOOKUP($A95,Equipos!$C$2:$M$967,7,FALSE()),"")</f>
        <v>Nihon Kohden</v>
      </c>
      <c r="F95" s="46" t="str">
        <f>IFERROR(VLOOKUP($A95,Equipos!$C$2:$M$967,8,FALSE()),"")</f>
        <v>TEC 5531E</v>
      </c>
      <c r="G95" s="46" t="s">
        <v>298</v>
      </c>
      <c r="H95" s="46"/>
      <c r="I95" s="46"/>
      <c r="J95" s="46" t="s">
        <v>297</v>
      </c>
      <c r="K95" s="46" t="str">
        <f>IFERROR(VLOOKUP($J95,Catálogos!$M$4:$N$17,2,FALSE()),"")</f>
        <v>Mantención Preventiva Realizada</v>
      </c>
      <c r="L95" s="46"/>
      <c r="M95" s="46"/>
      <c r="N95" s="46"/>
      <c r="O95" s="46"/>
      <c r="P95" s="46"/>
      <c r="Q95" s="46"/>
    </row>
    <row r="96" spans="1:17" hidden="1" x14ac:dyDescent="0.25">
      <c r="A96" s="47" t="s">
        <v>358</v>
      </c>
      <c r="B96" s="46" t="str">
        <f>IFERROR(VLOOKUP($A96,Equipos!$C$2:$M$967,2,FALSE()),"")</f>
        <v>Desfibrilador</v>
      </c>
      <c r="C96" s="46" t="str">
        <f>IFERROR(VLOOKUP($A96,Equipos!$C$2:$M$967,9,FALSE()),"")</f>
        <v>AF10H011861</v>
      </c>
      <c r="D96" s="46" t="str">
        <f>IFERROR(VLOOKUP($A96,Equipos!$C$2:$M$967,3,FALSE()),"")</f>
        <v>Ginecología</v>
      </c>
      <c r="E96" s="46" t="str">
        <f>IFERROR(VLOOKUP($A96,Equipos!$C$2:$M$967,7,FALSE()),"")</f>
        <v xml:space="preserve">Zoll </v>
      </c>
      <c r="F96" s="46" t="str">
        <f>IFERROR(VLOOKUP($A96,Equipos!$C$2:$M$967,8,FALSE()),"")</f>
        <v>R SERIES ALS</v>
      </c>
      <c r="G96" s="46" t="s">
        <v>298</v>
      </c>
      <c r="H96" s="46"/>
      <c r="I96" s="46"/>
      <c r="J96" s="46" t="s">
        <v>297</v>
      </c>
      <c r="K96" s="46" t="str">
        <f>IFERROR(VLOOKUP($J96,Catálogos!$M$4:$N$17,2,FALSE()),"")</f>
        <v>Mantención Preventiva Realizada</v>
      </c>
      <c r="L96" s="46"/>
      <c r="M96" s="46"/>
      <c r="N96" s="46"/>
      <c r="O96" s="46"/>
      <c r="P96" s="46"/>
      <c r="Q96" s="46"/>
    </row>
    <row r="97" spans="1:17" hidden="1" x14ac:dyDescent="0.25">
      <c r="A97" s="47" t="s">
        <v>359</v>
      </c>
      <c r="B97" s="46" t="str">
        <f>IFERROR(VLOOKUP($A97,Equipos!$C$2:$M$967,2,FALSE()),"")</f>
        <v>Desfibrilador</v>
      </c>
      <c r="C97" s="46" t="str">
        <f>IFERROR(VLOOKUP($A97,Equipos!$C$2:$M$967,9,FALSE()),"")</f>
        <v>AF10G011487</v>
      </c>
      <c r="D97" s="46" t="str">
        <f>IFERROR(VLOOKUP($A97,Equipos!$C$2:$M$967,3,FALSE()),"")</f>
        <v>Neonatología</v>
      </c>
      <c r="E97" s="46" t="str">
        <f>IFERROR(VLOOKUP($A97,Equipos!$C$2:$M$967,7,FALSE()),"")</f>
        <v xml:space="preserve">Zoll </v>
      </c>
      <c r="F97" s="46" t="str">
        <f>IFERROR(VLOOKUP($A97,Equipos!$C$2:$M$967,8,FALSE()),"")</f>
        <v>R SERIES ALS</v>
      </c>
      <c r="G97" s="46" t="s">
        <v>335</v>
      </c>
      <c r="H97" s="46"/>
      <c r="I97" s="46"/>
      <c r="J97" s="46" t="s">
        <v>297</v>
      </c>
      <c r="K97" s="46" t="str">
        <f>IFERROR(VLOOKUP($J97,Catálogos!$M$4:$N$17,2,FALSE()),"")</f>
        <v>Mantención Preventiva Realizada</v>
      </c>
      <c r="L97" s="46"/>
      <c r="M97" s="46"/>
      <c r="N97" s="46"/>
      <c r="O97" s="46"/>
      <c r="P97" s="46"/>
      <c r="Q97" s="46"/>
    </row>
    <row r="98" spans="1:17" hidden="1" x14ac:dyDescent="0.25">
      <c r="A98" s="47" t="s">
        <v>360</v>
      </c>
      <c r="B98" s="46" t="str">
        <f>IFERROR(VLOOKUP($A98,Equipos!$C$2:$M$967,2,FALSE()),"")</f>
        <v>Desfibrilador</v>
      </c>
      <c r="C98" s="46" t="str">
        <f>IFERROR(VLOOKUP($A98,Equipos!$C$2:$M$967,9,FALSE()),"")</f>
        <v>07900</v>
      </c>
      <c r="D98" s="46" t="str">
        <f>IFERROR(VLOOKUP($A98,Equipos!$C$2:$M$967,3,FALSE()),"")</f>
        <v>Imagenología</v>
      </c>
      <c r="E98" s="46" t="str">
        <f>IFERROR(VLOOKUP($A98,Equipos!$C$2:$M$967,7,FALSE()),"")</f>
        <v>Nihon Kohden</v>
      </c>
      <c r="F98" s="46" t="str">
        <f>IFERROR(VLOOKUP($A98,Equipos!$C$2:$M$967,8,FALSE()),"")</f>
        <v>TEC-5631</v>
      </c>
      <c r="G98" s="46" t="s">
        <v>335</v>
      </c>
      <c r="H98" s="46"/>
      <c r="I98" s="46"/>
      <c r="J98" s="46" t="s">
        <v>297</v>
      </c>
      <c r="K98" s="46" t="str">
        <f>IFERROR(VLOOKUP($J98,Catálogos!$M$4:$N$17,2,FALSE()),"")</f>
        <v>Mantención Preventiva Realizada</v>
      </c>
      <c r="L98" s="46"/>
      <c r="M98" s="46"/>
      <c r="N98" s="46"/>
      <c r="O98" s="46"/>
      <c r="P98" s="46"/>
      <c r="Q98" s="46"/>
    </row>
    <row r="99" spans="1:17" hidden="1" x14ac:dyDescent="0.25">
      <c r="A99" s="47" t="s">
        <v>361</v>
      </c>
      <c r="B99" s="46" t="str">
        <f>IFERROR(VLOOKUP($A99,Equipos!$C$2:$M$967,2,FALSE()),"")</f>
        <v>Desfibrilador</v>
      </c>
      <c r="C99" s="46" t="str">
        <f>IFERROR(VLOOKUP($A99,Equipos!$C$2:$M$967,9,FALSE()),"")</f>
        <v>AF12B020977</v>
      </c>
      <c r="D99" s="46" t="str">
        <f>IFERROR(VLOOKUP($A99,Equipos!$C$2:$M$967,3,FALSE()),"")</f>
        <v>Quimioterapia Ambulatoria Adulto</v>
      </c>
      <c r="E99" s="46" t="str">
        <f>IFERROR(VLOOKUP($A99,Equipos!$C$2:$M$967,7,FALSE()),"")</f>
        <v xml:space="preserve">Zoll </v>
      </c>
      <c r="F99" s="46" t="str">
        <f>IFERROR(VLOOKUP($A99,Equipos!$C$2:$M$967,8,FALSE()),"")</f>
        <v>R SERIES ALS</v>
      </c>
      <c r="G99" s="46" t="s">
        <v>316</v>
      </c>
      <c r="H99" s="46"/>
      <c r="I99" s="46"/>
      <c r="J99" s="46" t="s">
        <v>297</v>
      </c>
      <c r="K99" s="46" t="str">
        <f>IFERROR(VLOOKUP($J99,Catálogos!$M$4:$N$17,2,FALSE()),"")</f>
        <v>Mantención Preventiva Realizada</v>
      </c>
      <c r="L99" s="46"/>
      <c r="M99" s="46"/>
      <c r="N99" s="46"/>
      <c r="O99" s="46"/>
      <c r="P99" s="46"/>
      <c r="Q99" s="46"/>
    </row>
    <row r="100" spans="1:17" hidden="1" x14ac:dyDescent="0.25">
      <c r="A100" s="47" t="s">
        <v>362</v>
      </c>
      <c r="B100" s="46" t="str">
        <f>IFERROR(VLOOKUP($A100,Equipos!$C$2:$M$967,2,FALSE()),"")</f>
        <v>Desfibrilador</v>
      </c>
      <c r="C100" s="46" t="str">
        <f>IFERROR(VLOOKUP($A100,Equipos!$C$2:$M$967,9,FALSE()),"")</f>
        <v>01814</v>
      </c>
      <c r="D100" s="46" t="str">
        <f>IFERROR(VLOOKUP($A100,Equipos!$C$2:$M$967,3,FALSE()),"")</f>
        <v>Pediatría</v>
      </c>
      <c r="E100" s="46" t="str">
        <f>IFERROR(VLOOKUP($A100,Equipos!$C$2:$M$967,7,FALSE()),"")</f>
        <v>Nihon Kohden</v>
      </c>
      <c r="F100" s="46" t="str">
        <f>IFERROR(VLOOKUP($A100,Equipos!$C$2:$M$967,8,FALSE()),"")</f>
        <v>TEC 5531E</v>
      </c>
      <c r="G100" s="46" t="s">
        <v>335</v>
      </c>
      <c r="H100" s="46"/>
      <c r="I100" s="46"/>
      <c r="J100" s="46" t="s">
        <v>297</v>
      </c>
      <c r="K100" s="46" t="str">
        <f>IFERROR(VLOOKUP($J100,Catálogos!$M$4:$N$17,2,FALSE()),"")</f>
        <v>Mantención Preventiva Realizada</v>
      </c>
      <c r="L100" s="46"/>
      <c r="M100" s="46"/>
      <c r="N100" s="46"/>
      <c r="O100" s="46"/>
      <c r="P100" s="46"/>
      <c r="Q100" s="46"/>
    </row>
    <row r="101" spans="1:17" hidden="1" x14ac:dyDescent="0.25">
      <c r="A101" s="47" t="s">
        <v>363</v>
      </c>
      <c r="B101" s="46" t="str">
        <f>IFERROR(VLOOKUP($A101,Equipos!$C$2:$M$967,2,FALSE()),"")</f>
        <v>Desfibrilador</v>
      </c>
      <c r="C101" s="46" t="str">
        <f>IFERROR(VLOOKUP($A101,Equipos!$C$2:$M$967,9,FALSE()),"")</f>
        <v>08104</v>
      </c>
      <c r="D101" s="46" t="str">
        <f>IFERROR(VLOOKUP($A101,Equipos!$C$2:$M$967,3,FALSE()),"")</f>
        <v>Traumatología</v>
      </c>
      <c r="E101" s="46" t="str">
        <f>IFERROR(VLOOKUP($A101,Equipos!$C$2:$M$967,7,FALSE()),"")</f>
        <v>Nihon Kohden</v>
      </c>
      <c r="F101" s="46" t="str">
        <f>IFERROR(VLOOKUP($A101,Equipos!$C$2:$M$967,8,FALSE()),"")</f>
        <v>TEC-5632E</v>
      </c>
      <c r="G101" s="46" t="s">
        <v>316</v>
      </c>
      <c r="H101" s="46"/>
      <c r="I101" s="46"/>
      <c r="J101" s="46" t="s">
        <v>297</v>
      </c>
      <c r="K101" s="46" t="str">
        <f>IFERROR(VLOOKUP($J101,Catálogos!$M$4:$N$17,2,FALSE()),"")</f>
        <v>Mantención Preventiva Realizada</v>
      </c>
      <c r="L101" s="46"/>
      <c r="M101" s="46"/>
      <c r="N101" s="46"/>
      <c r="O101" s="46"/>
      <c r="P101" s="46"/>
      <c r="Q101" s="46"/>
    </row>
    <row r="102" spans="1:17" hidden="1" x14ac:dyDescent="0.25">
      <c r="A102" s="47" t="s">
        <v>364</v>
      </c>
      <c r="B102" s="46" t="str">
        <f>IFERROR(VLOOKUP($A102,Equipos!$C$2:$M$967,2,FALSE()),"")</f>
        <v>Desfibrilador</v>
      </c>
      <c r="C102" s="46" t="str">
        <f>IFERROR(VLOOKUP($A102,Equipos!$C$2:$M$967,9,FALSE()),"")</f>
        <v>00082</v>
      </c>
      <c r="D102" s="46" t="str">
        <f>IFERROR(VLOOKUP($A102,Equipos!$C$2:$M$967,3,FALSE()),"")</f>
        <v>Pediatría</v>
      </c>
      <c r="E102" s="46" t="str">
        <f>IFERROR(VLOOKUP($A102,Equipos!$C$2:$M$967,7,FALSE()),"")</f>
        <v>Nihon Kohden</v>
      </c>
      <c r="F102" s="46" t="str">
        <f>IFERROR(VLOOKUP($A102,Equipos!$C$2:$M$967,8,FALSE()),"")</f>
        <v>TEC 5521E</v>
      </c>
      <c r="G102" s="46" t="s">
        <v>335</v>
      </c>
      <c r="H102" s="46"/>
      <c r="I102" s="46"/>
      <c r="J102" s="46" t="s">
        <v>297</v>
      </c>
      <c r="K102" s="46" t="str">
        <f>IFERROR(VLOOKUP($J102,Catálogos!$M$4:$N$17,2,FALSE()),"")</f>
        <v>Mantención Preventiva Realizada</v>
      </c>
      <c r="L102" s="46"/>
      <c r="M102" s="46"/>
      <c r="N102" s="46"/>
      <c r="O102" s="46"/>
      <c r="P102" s="46"/>
      <c r="Q102" s="46"/>
    </row>
    <row r="103" spans="1:17" hidden="1" x14ac:dyDescent="0.25">
      <c r="A103" s="47" t="s">
        <v>365</v>
      </c>
      <c r="B103" s="46" t="str">
        <f>IFERROR(VLOOKUP($A103,Equipos!$C$2:$M$967,2,FALSE()),"")</f>
        <v>Desfibrilador</v>
      </c>
      <c r="C103" s="46" t="str">
        <f>IFERROR(VLOOKUP($A103,Equipos!$C$2:$M$967,9,FALSE()),"")</f>
        <v>(21)BA19F000019</v>
      </c>
      <c r="D103" s="46" t="str">
        <f>IFERROR(VLOOKUP($A103,Equipos!$C$2:$M$967,3,FALSE()),"")</f>
        <v>UPC Adulto</v>
      </c>
      <c r="E103" s="46" t="str">
        <f>IFERROR(VLOOKUP($A103,Equipos!$C$2:$M$967,7,FALSE()),"")</f>
        <v>Zoll</v>
      </c>
      <c r="F103" s="46" t="str">
        <f>IFERROR(VLOOKUP($A103,Equipos!$C$2:$M$967,8,FALSE()),"")</f>
        <v>M2</v>
      </c>
      <c r="G103" s="46" t="s">
        <v>296</v>
      </c>
      <c r="H103" s="46"/>
      <c r="I103" s="46"/>
      <c r="J103" s="46" t="s">
        <v>297</v>
      </c>
      <c r="K103" s="46" t="str">
        <f>IFERROR(VLOOKUP($J103,Catálogos!$M$4:$N$17,2,FALSE()),"")</f>
        <v>Mantención Preventiva Realizada</v>
      </c>
      <c r="L103" s="46"/>
      <c r="M103" s="46"/>
      <c r="N103" s="46"/>
      <c r="O103" s="46"/>
      <c r="P103" s="46"/>
      <c r="Q103" s="46"/>
    </row>
    <row r="104" spans="1:17" hidden="1" x14ac:dyDescent="0.25">
      <c r="A104" s="47" t="s">
        <v>366</v>
      </c>
      <c r="B104" s="46" t="str">
        <f>IFERROR(VLOOKUP($A104,Equipos!$C$2:$M$967,2,FALSE()),"")</f>
        <v>Desfibrilador</v>
      </c>
      <c r="C104" s="46" t="str">
        <f>IFERROR(VLOOKUP($A104,Equipos!$C$2:$M$967,9,FALSE()),"")</f>
        <v>01812</v>
      </c>
      <c r="D104" s="46" t="str">
        <f>IFERROR(VLOOKUP($A104,Equipos!$C$2:$M$967,3,FALSE()),"")</f>
        <v>Medicina</v>
      </c>
      <c r="E104" s="46" t="str">
        <f>IFERROR(VLOOKUP($A104,Equipos!$C$2:$M$967,7,FALSE()),"")</f>
        <v>Nihon Kohden</v>
      </c>
      <c r="F104" s="46" t="str">
        <f>IFERROR(VLOOKUP($A104,Equipos!$C$2:$M$967,8,FALSE()),"")</f>
        <v>TEC 5531E</v>
      </c>
      <c r="G104" s="46" t="s">
        <v>296</v>
      </c>
      <c r="H104" s="46"/>
      <c r="I104" s="46"/>
      <c r="J104" s="46" t="s">
        <v>297</v>
      </c>
      <c r="K104" s="46" t="str">
        <f>IFERROR(VLOOKUP($J104,Catálogos!$M$4:$N$17,2,FALSE()),"")</f>
        <v>Mantención Preventiva Realizada</v>
      </c>
      <c r="L104" s="46"/>
      <c r="M104" s="46"/>
      <c r="N104" s="46"/>
      <c r="O104" s="46"/>
      <c r="P104" s="46"/>
      <c r="Q104" s="46"/>
    </row>
    <row r="105" spans="1:17" hidden="1" x14ac:dyDescent="0.25">
      <c r="A105" s="47" t="s">
        <v>367</v>
      </c>
      <c r="B105" s="46" t="str">
        <f>IFERROR(VLOOKUP($A105,Equipos!$C$2:$M$967,2,FALSE()),"")</f>
        <v>Desfibrilador</v>
      </c>
      <c r="C105" s="46" t="str">
        <f>IFERROR(VLOOKUP($A105,Equipos!$C$2:$M$967,9,FALSE()),"")</f>
        <v>00342</v>
      </c>
      <c r="D105" s="46" t="str">
        <f>IFERROR(VLOOKUP($A105,Equipos!$C$2:$M$967,3,FALSE()),"")</f>
        <v>Medicina</v>
      </c>
      <c r="E105" s="46" t="str">
        <f>IFERROR(VLOOKUP($A105,Equipos!$C$2:$M$967,7,FALSE()),"")</f>
        <v>Nihon Kohden</v>
      </c>
      <c r="F105" s="46" t="str">
        <f>IFERROR(VLOOKUP($A105,Equipos!$C$2:$M$967,8,FALSE()),"")</f>
        <v>TEC 5521E</v>
      </c>
      <c r="G105" s="46" t="s">
        <v>296</v>
      </c>
      <c r="H105" s="46"/>
      <c r="I105" s="46"/>
      <c r="J105" s="46" t="s">
        <v>297</v>
      </c>
      <c r="K105" s="46" t="str">
        <f>IFERROR(VLOOKUP($J105,Catálogos!$M$4:$N$17,2,FALSE()),"")</f>
        <v>Mantención Preventiva Realizada</v>
      </c>
      <c r="L105" s="46"/>
      <c r="M105" s="46"/>
      <c r="N105" s="46"/>
      <c r="O105" s="46"/>
      <c r="P105" s="46"/>
      <c r="Q105" s="46"/>
    </row>
    <row r="106" spans="1:17" hidden="1" x14ac:dyDescent="0.25">
      <c r="A106" s="47" t="s">
        <v>368</v>
      </c>
      <c r="B106" s="46" t="str">
        <f>IFERROR(VLOOKUP($A106,Equipos!$C$2:$M$967,2,FALSE()),"")</f>
        <v>Desfibrilador</v>
      </c>
      <c r="C106" s="46" t="str">
        <f>IFERROR(VLOOKUP($A106,Equipos!$C$2:$M$967,9,FALSE()),"")</f>
        <v>FP5-49011641</v>
      </c>
      <c r="D106" s="46" t="str">
        <f>IFERROR(VLOOKUP($A106,Equipos!$C$2:$M$967,3,FALSE()),"")</f>
        <v>TROI</v>
      </c>
      <c r="E106" s="46" t="str">
        <f>IFERROR(VLOOKUP($A106,Equipos!$C$2:$M$967,7,FALSE()),"")</f>
        <v>Mindray</v>
      </c>
      <c r="F106" s="46" t="str">
        <f>IFERROR(VLOOKUP($A106,Equipos!$C$2:$M$967,8,FALSE()),"")</f>
        <v>BeneHeart D30</v>
      </c>
      <c r="G106" s="46" t="s">
        <v>331</v>
      </c>
      <c r="H106" s="46"/>
      <c r="I106" s="46"/>
      <c r="J106" s="46" t="s">
        <v>297</v>
      </c>
      <c r="K106" s="46" t="str">
        <f>IFERROR(VLOOKUP($J106,Catálogos!$M$4:$N$17,2,FALSE()),"")</f>
        <v>Mantención Preventiva Realizada</v>
      </c>
      <c r="L106" s="46"/>
      <c r="M106" s="46"/>
      <c r="N106" s="46"/>
      <c r="O106" s="46"/>
      <c r="P106" s="46"/>
      <c r="Q106" s="46"/>
    </row>
    <row r="107" spans="1:17" hidden="1" x14ac:dyDescent="0.25">
      <c r="A107" s="47" t="s">
        <v>369</v>
      </c>
      <c r="B107" s="46" t="str">
        <f>IFERROR(VLOOKUP($A107,Equipos!$C$2:$M$967,2,FALSE()),"")</f>
        <v>Desfibrilador</v>
      </c>
      <c r="C107" s="46" t="str">
        <f>IFERROR(VLOOKUP($A107,Equipos!$C$2:$M$967,9,FALSE()),"")</f>
        <v>01813</v>
      </c>
      <c r="D107" s="46" t="str">
        <f>IFERROR(VLOOKUP($A107,Equipos!$C$2:$M$967,3,FALSE()),"")</f>
        <v>Cirugía Infantil</v>
      </c>
      <c r="E107" s="46" t="str">
        <f>IFERROR(VLOOKUP($A107,Equipos!$C$2:$M$967,7,FALSE()),"")</f>
        <v>Nihon Kohden</v>
      </c>
      <c r="F107" s="46" t="str">
        <f>IFERROR(VLOOKUP($A107,Equipos!$C$2:$M$967,8,FALSE()),"")</f>
        <v>TEC 5531E</v>
      </c>
      <c r="G107" s="46" t="s">
        <v>335</v>
      </c>
      <c r="H107" s="46"/>
      <c r="I107" s="46"/>
      <c r="J107" s="46" t="s">
        <v>297</v>
      </c>
      <c r="K107" s="46" t="str">
        <f>IFERROR(VLOOKUP($J107,Catálogos!$M$4:$N$17,2,FALSE()),"")</f>
        <v>Mantención Preventiva Realizada</v>
      </c>
      <c r="L107" s="46"/>
      <c r="M107" s="46"/>
      <c r="N107" s="46"/>
      <c r="O107" s="46"/>
      <c r="P107" s="46"/>
      <c r="Q107" s="46"/>
    </row>
    <row r="108" spans="1:17" hidden="1" x14ac:dyDescent="0.25">
      <c r="A108" s="47" t="s">
        <v>370</v>
      </c>
      <c r="B108" s="46" t="str">
        <f>IFERROR(VLOOKUP($A108,Equipos!$C$2:$M$967,2,FALSE()),"")</f>
        <v>Desfibrilador</v>
      </c>
      <c r="C108" s="46" t="str">
        <f>IFERROR(VLOOKUP($A108,Equipos!$C$2:$M$967,9,FALSE()),"")</f>
        <v>00883</v>
      </c>
      <c r="D108" s="46" t="str">
        <f>IFERROR(VLOOKUP($A108,Equipos!$C$2:$M$967,3,FALSE()),"")</f>
        <v>Medicina Materno Fetal</v>
      </c>
      <c r="E108" s="46" t="str">
        <f>IFERROR(VLOOKUP($A108,Equipos!$C$2:$M$967,7,FALSE()),"")</f>
        <v>Nihon Kohden</v>
      </c>
      <c r="F108" s="46" t="str">
        <f>IFERROR(VLOOKUP($A108,Equipos!$C$2:$M$967,8,FALSE()),"")</f>
        <v>TEC 5531E</v>
      </c>
      <c r="G108" s="46" t="s">
        <v>298</v>
      </c>
      <c r="H108" s="46"/>
      <c r="I108" s="46"/>
      <c r="J108" s="46" t="s">
        <v>297</v>
      </c>
      <c r="K108" s="46" t="str">
        <f>IFERROR(VLOOKUP($J108,Catálogos!$M$4:$N$17,2,FALSE()),"")</f>
        <v>Mantención Preventiva Realizada</v>
      </c>
      <c r="L108" s="46"/>
      <c r="M108" s="46"/>
      <c r="N108" s="46"/>
      <c r="O108" s="46"/>
      <c r="P108" s="46"/>
      <c r="Q108" s="46"/>
    </row>
    <row r="109" spans="1:17" hidden="1" x14ac:dyDescent="0.25">
      <c r="A109" s="47" t="s">
        <v>371</v>
      </c>
      <c r="B109" s="46" t="str">
        <f>IFERROR(VLOOKUP($A109,Equipos!$C$2:$M$967,2,FALSE()),"")</f>
        <v>Desfibrilador</v>
      </c>
      <c r="C109" s="46" t="str">
        <f>IFERROR(VLOOKUP($A109,Equipos!$C$2:$M$967,9,FALSE()),"")</f>
        <v>01796</v>
      </c>
      <c r="D109" s="46" t="str">
        <f>IFERROR(VLOOKUP($A109,Equipos!$C$2:$M$967,3,FALSE()),"")</f>
        <v>Cirugía Adulto</v>
      </c>
      <c r="E109" s="46" t="str">
        <f>IFERROR(VLOOKUP($A109,Equipos!$C$2:$M$967,7,FALSE()),"")</f>
        <v>Nihon Kohden</v>
      </c>
      <c r="F109" s="46" t="str">
        <f>IFERROR(VLOOKUP($A109,Equipos!$C$2:$M$967,8,FALSE()),"")</f>
        <v>TEC 5531E</v>
      </c>
      <c r="G109" s="46" t="s">
        <v>298</v>
      </c>
      <c r="H109" s="46"/>
      <c r="I109" s="46"/>
      <c r="J109" s="46" t="s">
        <v>297</v>
      </c>
      <c r="K109" s="46" t="str">
        <f>IFERROR(VLOOKUP($J109,Catálogos!$M$4:$N$17,2,FALSE()),"")</f>
        <v>Mantención Preventiva Realizada</v>
      </c>
      <c r="L109" s="46"/>
      <c r="M109" s="46"/>
      <c r="N109" s="46"/>
      <c r="O109" s="46"/>
      <c r="P109" s="46"/>
      <c r="Q109" s="46"/>
    </row>
    <row r="110" spans="1:17" hidden="1" x14ac:dyDescent="0.25">
      <c r="A110" s="47" t="s">
        <v>372</v>
      </c>
      <c r="B110" s="46" t="str">
        <f>IFERROR(VLOOKUP($A110,Equipos!$C$2:$M$967,2,FALSE()),"")</f>
        <v>Desfibrilador</v>
      </c>
      <c r="C110" s="46" t="str">
        <f>IFERROR(VLOOKUP($A110,Equipos!$C$2:$M$967,9,FALSE()),"")</f>
        <v>01819</v>
      </c>
      <c r="D110" s="46" t="str">
        <f>IFERROR(VLOOKUP($A110,Equipos!$C$2:$M$967,3,FALSE()),"")</f>
        <v>Quimioterapia Ambulatoria Adulto</v>
      </c>
      <c r="E110" s="46" t="str">
        <f>IFERROR(VLOOKUP($A110,Equipos!$C$2:$M$967,7,FALSE()),"")</f>
        <v>Nihon Kohden</v>
      </c>
      <c r="F110" s="46" t="str">
        <f>IFERROR(VLOOKUP($A110,Equipos!$C$2:$M$967,8,FALSE()),"")</f>
        <v>TEC 5531E</v>
      </c>
      <c r="G110" s="46" t="s">
        <v>316</v>
      </c>
      <c r="H110" s="46"/>
      <c r="I110" s="46"/>
      <c r="J110" s="46" t="s">
        <v>297</v>
      </c>
      <c r="K110" s="46" t="str">
        <f>IFERROR(VLOOKUP($J110,Catálogos!$M$4:$N$17,2,FALSE()),"")</f>
        <v>Mantención Preventiva Realizada</v>
      </c>
      <c r="L110" s="46"/>
      <c r="M110" s="46"/>
      <c r="N110" s="46"/>
      <c r="O110" s="46"/>
      <c r="P110" s="46"/>
      <c r="Q110" s="46"/>
    </row>
    <row r="111" spans="1:17" hidden="1" x14ac:dyDescent="0.25">
      <c r="A111" s="47" t="s">
        <v>373</v>
      </c>
      <c r="B111" s="46" t="str">
        <f>IFERROR(VLOOKUP($A111,Equipos!$C$2:$M$967,2,FALSE()),"")</f>
        <v>Desfibrilador</v>
      </c>
      <c r="C111" s="46" t="str">
        <f>IFERROR(VLOOKUP($A111,Equipos!$C$2:$M$967,9,FALSE()),"")</f>
        <v>AF12B020983</v>
      </c>
      <c r="D111" s="46" t="str">
        <f>IFERROR(VLOOKUP($A111,Equipos!$C$2:$M$967,3,FALSE()),"")</f>
        <v>Urgencias Gineco-Obstétricas</v>
      </c>
      <c r="E111" s="46" t="str">
        <f>IFERROR(VLOOKUP($A111,Equipos!$C$2:$M$967,7,FALSE()),"")</f>
        <v xml:space="preserve">Zoll </v>
      </c>
      <c r="F111" s="46" t="str">
        <f>IFERROR(VLOOKUP($A111,Equipos!$C$2:$M$967,8,FALSE()),"")</f>
        <v>R SERIES ALS</v>
      </c>
      <c r="G111" s="46" t="s">
        <v>298</v>
      </c>
      <c r="H111" s="46"/>
      <c r="I111" s="46"/>
      <c r="J111" s="46" t="s">
        <v>297</v>
      </c>
      <c r="K111" s="46" t="str">
        <f>IFERROR(VLOOKUP($J111,Catálogos!$M$4:$N$17,2,FALSE()),"")</f>
        <v>Mantención Preventiva Realizada</v>
      </c>
      <c r="L111" s="46"/>
      <c r="M111" s="46"/>
      <c r="N111" s="46"/>
      <c r="O111" s="46"/>
      <c r="P111" s="46"/>
      <c r="Q111" s="46"/>
    </row>
    <row r="112" spans="1:17" hidden="1" x14ac:dyDescent="0.25">
      <c r="A112" s="47" t="s">
        <v>374</v>
      </c>
      <c r="B112" s="46" t="str">
        <f>IFERROR(VLOOKUP($A112,Equipos!$C$2:$M$967,2,FALSE()),"")</f>
        <v>Desfibrilador</v>
      </c>
      <c r="C112" s="46" t="str">
        <f>IFERROR(VLOOKUP($A112,Equipos!$C$2:$M$967,9,FALSE()),"")</f>
        <v>49453842</v>
      </c>
      <c r="D112" s="46" t="str">
        <f>IFERROR(VLOOKUP($A112,Equipos!$C$2:$M$967,3,FALSE()),"")</f>
        <v>Pabellón Quirúrgico</v>
      </c>
      <c r="E112" s="46" t="str">
        <f>IFERROR(VLOOKUP($A112,Equipos!$C$2:$M$967,7,FALSE()),"")</f>
        <v>Physio Control</v>
      </c>
      <c r="F112" s="46" t="str">
        <f>IFERROR(VLOOKUP($A112,Equipos!$C$2:$M$967,8,FALSE()),"")</f>
        <v>Lifepak 15</v>
      </c>
      <c r="G112" s="46" t="s">
        <v>331</v>
      </c>
      <c r="H112" s="46"/>
      <c r="I112" s="46"/>
      <c r="J112" s="46" t="s">
        <v>297</v>
      </c>
      <c r="K112" s="46" t="str">
        <f>IFERROR(VLOOKUP($J112,Catálogos!$M$4:$N$17,2,FALSE()),"")</f>
        <v>Mantención Preventiva Realizada</v>
      </c>
      <c r="L112" s="46"/>
      <c r="M112" s="46"/>
      <c r="N112" s="46"/>
      <c r="O112" s="46"/>
      <c r="P112" s="46"/>
      <c r="Q112" s="46"/>
    </row>
    <row r="113" spans="1:17" hidden="1" x14ac:dyDescent="0.25">
      <c r="A113" s="47" t="s">
        <v>375</v>
      </c>
      <c r="B113" s="46" t="str">
        <f>IFERROR(VLOOKUP($A113,Equipos!$C$2:$M$967,2,FALSE()),"")</f>
        <v>Desfibrilador</v>
      </c>
      <c r="C113" s="46" t="str">
        <f>IFERROR(VLOOKUP($A113,Equipos!$C$2:$M$967,9,FALSE()),"")</f>
        <v>30634707</v>
      </c>
      <c r="D113" s="46" t="str">
        <f>IFERROR(VLOOKUP($A113,Equipos!$C$2:$M$967,3,FALSE()),"")</f>
        <v>UPC Cardiovascular</v>
      </c>
      <c r="E113" s="46" t="str">
        <f>IFERROR(VLOOKUP($A113,Equipos!$C$2:$M$967,7,FALSE()),"")</f>
        <v>Medtronic</v>
      </c>
      <c r="F113" s="46" t="str">
        <f>IFERROR(VLOOKUP($A113,Equipos!$C$2:$M$967,8,FALSE()),"")</f>
        <v>Lifepack 20</v>
      </c>
      <c r="G113" s="46" t="s">
        <v>335</v>
      </c>
      <c r="H113" s="46"/>
      <c r="I113" s="46"/>
      <c r="J113" s="46" t="s">
        <v>297</v>
      </c>
      <c r="K113" s="46" t="str">
        <f>IFERROR(VLOOKUP($J113,Catálogos!$M$4:$N$17,2,FALSE()),"")</f>
        <v>Mantención Preventiva Realizada</v>
      </c>
      <c r="L113" s="46"/>
      <c r="M113" s="46"/>
      <c r="N113" s="46"/>
      <c r="O113" s="46"/>
      <c r="P113" s="46"/>
      <c r="Q113" s="46"/>
    </row>
    <row r="114" spans="1:17" hidden="1" x14ac:dyDescent="0.25">
      <c r="A114" s="47" t="s">
        <v>376</v>
      </c>
      <c r="B114" s="46" t="str">
        <f>IFERROR(VLOOKUP($A114,Equipos!$C$2:$M$967,2,FALSE()),"")</f>
        <v>DEA</v>
      </c>
      <c r="C114" s="46" t="str">
        <f>IFERROR(VLOOKUP($A114,Equipos!$C$2:$M$967,9,FALSE()),"")</f>
        <v>X21J421750</v>
      </c>
      <c r="D114" s="46" t="str">
        <f>IFERROR(VLOOKUP($A114,Equipos!$C$2:$M$967,3,FALSE()),"")</f>
        <v>SAMU</v>
      </c>
      <c r="E114" s="46" t="str">
        <f>IFERROR(VLOOKUP($A114,Equipos!$C$2:$M$967,7,FALSE()),"")</f>
        <v>Zoll</v>
      </c>
      <c r="F114" s="46" t="str">
        <f>IFERROR(VLOOKUP($A114,Equipos!$C$2:$M$967,8,FALSE()),"")</f>
        <v>AEDPLUS</v>
      </c>
      <c r="G114" s="46" t="s">
        <v>335</v>
      </c>
      <c r="H114" s="46"/>
      <c r="I114" s="46"/>
      <c r="J114" s="46" t="s">
        <v>297</v>
      </c>
      <c r="K114" s="46" t="str">
        <f>IFERROR(VLOOKUP($J114,Catálogos!$M$4:$N$17,2,FALSE()),"")</f>
        <v>Mantención Preventiva Realizada</v>
      </c>
      <c r="L114" s="46"/>
      <c r="M114" s="46"/>
      <c r="N114" s="46"/>
      <c r="O114" s="46"/>
      <c r="P114" s="46"/>
      <c r="Q114" s="46"/>
    </row>
    <row r="115" spans="1:17" hidden="1" x14ac:dyDescent="0.25">
      <c r="A115" s="47" t="s">
        <v>376</v>
      </c>
      <c r="B115" s="46" t="str">
        <f>IFERROR(VLOOKUP($A115,Equipos!$C$2:$M$967,2,FALSE()),"")</f>
        <v>DEA</v>
      </c>
      <c r="C115" s="46" t="str">
        <f>IFERROR(VLOOKUP($A115,Equipos!$C$2:$M$967,9,FALSE()),"")</f>
        <v>X21J421750</v>
      </c>
      <c r="D115" s="46" t="str">
        <f>IFERROR(VLOOKUP($A115,Equipos!$C$2:$M$967,3,FALSE()),"")</f>
        <v>SAMU</v>
      </c>
      <c r="E115" s="46" t="str">
        <f>IFERROR(VLOOKUP($A115,Equipos!$C$2:$M$967,7,FALSE()),"")</f>
        <v>Zoll</v>
      </c>
      <c r="F115" s="46" t="str">
        <f>IFERROR(VLOOKUP($A115,Equipos!$C$2:$M$967,8,FALSE()),"")</f>
        <v>AEDPLUS</v>
      </c>
      <c r="G115" s="46" t="s">
        <v>296</v>
      </c>
      <c r="H115" s="46"/>
      <c r="I115" s="46"/>
      <c r="J115" s="46" t="s">
        <v>297</v>
      </c>
      <c r="K115" s="46" t="str">
        <f>IFERROR(VLOOKUP($J115,Catálogos!$M$4:$N$17,2,FALSE()),"")</f>
        <v>Mantención Preventiva Realizada</v>
      </c>
      <c r="L115" s="46"/>
      <c r="M115" s="46"/>
      <c r="N115" s="46"/>
      <c r="O115" s="46"/>
      <c r="P115" s="46"/>
      <c r="Q115" s="46"/>
    </row>
    <row r="116" spans="1:17" hidden="1" x14ac:dyDescent="0.25">
      <c r="A116" s="47" t="s">
        <v>376</v>
      </c>
      <c r="B116" s="46" t="str">
        <f>IFERROR(VLOOKUP($A116,Equipos!$C$2:$M$967,2,FALSE()),"")</f>
        <v>DEA</v>
      </c>
      <c r="C116" s="46" t="str">
        <f>IFERROR(VLOOKUP($A116,Equipos!$C$2:$M$967,9,FALSE()),"")</f>
        <v>X21J421750</v>
      </c>
      <c r="D116" s="46" t="str">
        <f>IFERROR(VLOOKUP($A116,Equipos!$C$2:$M$967,3,FALSE()),"")</f>
        <v>SAMU</v>
      </c>
      <c r="E116" s="46" t="str">
        <f>IFERROR(VLOOKUP($A116,Equipos!$C$2:$M$967,7,FALSE()),"")</f>
        <v>Zoll</v>
      </c>
      <c r="F116" s="46" t="str">
        <f>IFERROR(VLOOKUP($A116,Equipos!$C$2:$M$967,8,FALSE()),"")</f>
        <v>AEDPLUS</v>
      </c>
      <c r="G116" s="46" t="s">
        <v>316</v>
      </c>
      <c r="H116" s="46"/>
      <c r="I116" s="46"/>
      <c r="J116" s="46" t="s">
        <v>297</v>
      </c>
      <c r="K116" s="46" t="str">
        <f>IFERROR(VLOOKUP($J116,Catálogos!$M$4:$N$17,2,FALSE()),"")</f>
        <v>Mantención Preventiva Realizada</v>
      </c>
      <c r="L116" s="46"/>
      <c r="M116" s="46"/>
      <c r="N116" s="46"/>
      <c r="O116" s="46"/>
      <c r="P116" s="46"/>
      <c r="Q116" s="46"/>
    </row>
    <row r="117" spans="1:17" hidden="1" x14ac:dyDescent="0.25">
      <c r="A117" s="47" t="s">
        <v>376</v>
      </c>
      <c r="B117" s="46" t="str">
        <f>IFERROR(VLOOKUP($A117,Equipos!$C$2:$M$967,2,FALSE()),"")</f>
        <v>DEA</v>
      </c>
      <c r="C117" s="46" t="str">
        <f>IFERROR(VLOOKUP($A117,Equipos!$C$2:$M$967,9,FALSE()),"")</f>
        <v>X21J421750</v>
      </c>
      <c r="D117" s="46" t="str">
        <f>IFERROR(VLOOKUP($A117,Equipos!$C$2:$M$967,3,FALSE()),"")</f>
        <v>SAMU</v>
      </c>
      <c r="E117" s="46" t="str">
        <f>IFERROR(VLOOKUP($A117,Equipos!$C$2:$M$967,7,FALSE()),"")</f>
        <v>Zoll</v>
      </c>
      <c r="F117" s="46" t="str">
        <f>IFERROR(VLOOKUP($A117,Equipos!$C$2:$M$967,8,FALSE()),"")</f>
        <v>AEDPLUS</v>
      </c>
      <c r="G117" s="46" t="s">
        <v>331</v>
      </c>
      <c r="H117" s="46"/>
      <c r="I117" s="46"/>
      <c r="J117" s="46" t="s">
        <v>297</v>
      </c>
      <c r="K117" s="46" t="str">
        <f>IFERROR(VLOOKUP($J117,Catálogos!$M$4:$N$17,2,FALSE()),"")</f>
        <v>Mantención Preventiva Realizada</v>
      </c>
      <c r="L117" s="46"/>
      <c r="M117" s="46"/>
      <c r="N117" s="46"/>
      <c r="O117" s="46"/>
      <c r="P117" s="46"/>
      <c r="Q117" s="46"/>
    </row>
    <row r="118" spans="1:17" hidden="1" x14ac:dyDescent="0.25">
      <c r="A118" s="47" t="s">
        <v>376</v>
      </c>
      <c r="B118" s="46" t="str">
        <f>IFERROR(VLOOKUP($A118,Equipos!$C$2:$M$967,2,FALSE()),"")</f>
        <v>DEA</v>
      </c>
      <c r="C118" s="46" t="str">
        <f>IFERROR(VLOOKUP($A118,Equipos!$C$2:$M$967,9,FALSE()),"")</f>
        <v>X21J421750</v>
      </c>
      <c r="D118" s="46" t="str">
        <f>IFERROR(VLOOKUP($A118,Equipos!$C$2:$M$967,3,FALSE()),"")</f>
        <v>SAMU</v>
      </c>
      <c r="E118" s="46" t="str">
        <f>IFERROR(VLOOKUP($A118,Equipos!$C$2:$M$967,7,FALSE()),"")</f>
        <v>Zoll</v>
      </c>
      <c r="F118" s="46" t="str">
        <f>IFERROR(VLOOKUP($A118,Equipos!$C$2:$M$967,8,FALSE()),"")</f>
        <v>AEDPLUS</v>
      </c>
      <c r="G118" s="46" t="s">
        <v>298</v>
      </c>
      <c r="H118" s="46"/>
      <c r="I118" s="46"/>
      <c r="J118" s="46" t="s">
        <v>297</v>
      </c>
      <c r="K118" s="46" t="str">
        <f>IFERROR(VLOOKUP($J118,Catálogos!$M$4:$N$17,2,FALSE()),"")</f>
        <v>Mantención Preventiva Realizada</v>
      </c>
      <c r="L118" s="46"/>
      <c r="M118" s="46"/>
      <c r="N118" s="46"/>
      <c r="O118" s="46"/>
      <c r="P118" s="46"/>
      <c r="Q118" s="46"/>
    </row>
    <row r="119" spans="1:17" hidden="1" x14ac:dyDescent="0.25">
      <c r="A119" s="47" t="s">
        <v>377</v>
      </c>
      <c r="B119" s="46" t="str">
        <f>IFERROR(VLOOKUP($A119,Equipos!$C$2:$M$967,2,FALSE()),"")</f>
        <v>Desfibrilador</v>
      </c>
      <c r="C119" s="46" t="str">
        <f>IFERROR(VLOOKUP($A119,Equipos!$C$2:$M$967,9,FALSE()),"")</f>
        <v>01640</v>
      </c>
      <c r="D119" s="46" t="str">
        <f>IFERROR(VLOOKUP($A119,Equipos!$C$2:$M$967,3,FALSE()),"")</f>
        <v>SAMU</v>
      </c>
      <c r="E119" s="46" t="str">
        <f>IFERROR(VLOOKUP($A119,Equipos!$C$2:$M$967,7,FALSE()),"")</f>
        <v>Nihon Kohden</v>
      </c>
      <c r="F119" s="46" t="str">
        <f>IFERROR(VLOOKUP($A119,Equipos!$C$2:$M$967,8,FALSE()),"")</f>
        <v>TEC-8352K</v>
      </c>
      <c r="G119" s="46" t="s">
        <v>331</v>
      </c>
      <c r="H119" s="46"/>
      <c r="I119" s="46"/>
      <c r="J119" s="46" t="s">
        <v>297</v>
      </c>
      <c r="K119" s="46" t="str">
        <f>IFERROR(VLOOKUP($J119,Catálogos!$M$4:$N$17,2,FALSE()),"")</f>
        <v>Mantención Preventiva Realizada</v>
      </c>
      <c r="L119" s="46"/>
      <c r="M119" s="46"/>
      <c r="N119" s="46"/>
      <c r="O119" s="46"/>
      <c r="P119" s="46"/>
      <c r="Q119" s="46"/>
    </row>
    <row r="120" spans="1:17" hidden="1" x14ac:dyDescent="0.25">
      <c r="A120" s="47" t="s">
        <v>378</v>
      </c>
      <c r="B120" s="46" t="str">
        <f>IFERROR(VLOOKUP($A120,Equipos!$C$2:$M$967,2,FALSE()),"")</f>
        <v>Desfibrilador</v>
      </c>
      <c r="C120" s="46" t="str">
        <f>IFERROR(VLOOKUP($A120,Equipos!$C$2:$M$967,9,FALSE()),"")</f>
        <v>AF12B020986</v>
      </c>
      <c r="D120" s="46" t="str">
        <f>IFERROR(VLOOKUP($A120,Equipos!$C$2:$M$967,3,FALSE()),"")</f>
        <v>SAMU</v>
      </c>
      <c r="E120" s="46" t="str">
        <f>IFERROR(VLOOKUP($A120,Equipos!$C$2:$M$967,7,FALSE()),"")</f>
        <v xml:space="preserve">Zoll </v>
      </c>
      <c r="F120" s="46" t="str">
        <f>IFERROR(VLOOKUP($A120,Equipos!$C$2:$M$967,8,FALSE()),"")</f>
        <v>R SERIES ALS</v>
      </c>
      <c r="G120" s="46" t="s">
        <v>331</v>
      </c>
      <c r="H120" s="46"/>
      <c r="I120" s="46"/>
      <c r="J120" s="46" t="s">
        <v>297</v>
      </c>
      <c r="K120" s="46" t="str">
        <f>IFERROR(VLOOKUP($J120,Catálogos!$M$4:$N$17,2,FALSE()),"")</f>
        <v>Mantención Preventiva Realizada</v>
      </c>
      <c r="L120" s="46"/>
      <c r="M120" s="46"/>
      <c r="N120" s="46"/>
      <c r="O120" s="46"/>
      <c r="P120" s="46"/>
      <c r="Q120" s="46"/>
    </row>
    <row r="121" spans="1:17" hidden="1" x14ac:dyDescent="0.25">
      <c r="A121" s="47" t="s">
        <v>379</v>
      </c>
      <c r="B121" s="46" t="str">
        <f>IFERROR(VLOOKUP($A121,Equipos!$C$2:$M$967,2,FALSE()),"")</f>
        <v>DEA</v>
      </c>
      <c r="C121" s="46" t="str">
        <f>IFERROR(VLOOKUP($A121,Equipos!$C$2:$M$967,9,FALSE()),"")</f>
        <v>AE7-24048210</v>
      </c>
      <c r="D121" s="46" t="str">
        <f>IFERROR(VLOOKUP($A121,Equipos!$C$2:$M$967,3,FALSE()),"")</f>
        <v>Gestión de Pacientes</v>
      </c>
      <c r="E121" s="46" t="str">
        <f>IFERROR(VLOOKUP($A121,Equipos!$C$2:$M$967,7,FALSE()),"")</f>
        <v>Mindray</v>
      </c>
      <c r="F121" s="46" t="str">
        <f>IFERROR(VLOOKUP($A121,Equipos!$C$2:$M$967,8,FALSE()),"")</f>
        <v>BeneHeart C2</v>
      </c>
      <c r="G121" s="46" t="s">
        <v>335</v>
      </c>
      <c r="H121" s="46"/>
      <c r="I121" s="46"/>
      <c r="J121" s="46" t="s">
        <v>297</v>
      </c>
      <c r="K121" s="46" t="str">
        <f>IFERROR(VLOOKUP($J121,Catálogos!$M$4:$N$17,2,FALSE()),"")</f>
        <v>Mantención Preventiva Realizada</v>
      </c>
      <c r="L121" s="46"/>
      <c r="M121" s="46"/>
      <c r="N121" s="46"/>
      <c r="O121" s="46"/>
      <c r="P121" s="46"/>
      <c r="Q121" s="46"/>
    </row>
    <row r="122" spans="1:17" hidden="1" x14ac:dyDescent="0.25">
      <c r="A122" s="47" t="s">
        <v>379</v>
      </c>
      <c r="B122" s="46" t="str">
        <f>IFERROR(VLOOKUP($A122,Equipos!$C$2:$M$967,2,FALSE()),"")</f>
        <v>DEA</v>
      </c>
      <c r="C122" s="46" t="str">
        <f>IFERROR(VLOOKUP($A122,Equipos!$C$2:$M$967,9,FALSE()),"")</f>
        <v>AE7-24048210</v>
      </c>
      <c r="D122" s="46" t="str">
        <f>IFERROR(VLOOKUP($A122,Equipos!$C$2:$M$967,3,FALSE()),"")</f>
        <v>Gestión de Pacientes</v>
      </c>
      <c r="E122" s="46" t="str">
        <f>IFERROR(VLOOKUP($A122,Equipos!$C$2:$M$967,7,FALSE()),"")</f>
        <v>Mindray</v>
      </c>
      <c r="F122" s="46" t="str">
        <f>IFERROR(VLOOKUP($A122,Equipos!$C$2:$M$967,8,FALSE()),"")</f>
        <v>BeneHeart C2</v>
      </c>
      <c r="G122" s="46" t="s">
        <v>296</v>
      </c>
      <c r="H122" s="46"/>
      <c r="I122" s="46"/>
      <c r="J122" s="46" t="s">
        <v>297</v>
      </c>
      <c r="K122" s="46" t="str">
        <f>IFERROR(VLOOKUP($J122,Catálogos!$M$4:$N$17,2,FALSE()),"")</f>
        <v>Mantención Preventiva Realizada</v>
      </c>
      <c r="L122" s="46"/>
      <c r="M122" s="46"/>
      <c r="N122" s="46"/>
      <c r="O122" s="46"/>
      <c r="P122" s="46"/>
      <c r="Q122" s="46"/>
    </row>
    <row r="123" spans="1:17" hidden="1" x14ac:dyDescent="0.25">
      <c r="A123" s="47" t="s">
        <v>379</v>
      </c>
      <c r="B123" s="46" t="str">
        <f>IFERROR(VLOOKUP($A123,Equipos!$C$2:$M$967,2,FALSE()),"")</f>
        <v>DEA</v>
      </c>
      <c r="C123" s="46" t="str">
        <f>IFERROR(VLOOKUP($A123,Equipos!$C$2:$M$967,9,FALSE()),"")</f>
        <v>AE7-24048210</v>
      </c>
      <c r="D123" s="46" t="str">
        <f>IFERROR(VLOOKUP($A123,Equipos!$C$2:$M$967,3,FALSE()),"")</f>
        <v>Gestión de Pacientes</v>
      </c>
      <c r="E123" s="46" t="str">
        <f>IFERROR(VLOOKUP($A123,Equipos!$C$2:$M$967,7,FALSE()),"")</f>
        <v>Mindray</v>
      </c>
      <c r="F123" s="46" t="str">
        <f>IFERROR(VLOOKUP($A123,Equipos!$C$2:$M$967,8,FALSE()),"")</f>
        <v>BeneHeart C2</v>
      </c>
      <c r="G123" s="46" t="s">
        <v>316</v>
      </c>
      <c r="H123" s="46"/>
      <c r="I123" s="46"/>
      <c r="J123" s="46" t="s">
        <v>297</v>
      </c>
      <c r="K123" s="46" t="str">
        <f>IFERROR(VLOOKUP($J123,Catálogos!$M$4:$N$17,2,FALSE()),"")</f>
        <v>Mantención Preventiva Realizada</v>
      </c>
      <c r="L123" s="46"/>
      <c r="M123" s="46"/>
      <c r="N123" s="46"/>
      <c r="O123" s="46"/>
      <c r="P123" s="46"/>
      <c r="Q123" s="46"/>
    </row>
    <row r="124" spans="1:17" hidden="1" x14ac:dyDescent="0.25">
      <c r="A124" s="47" t="s">
        <v>379</v>
      </c>
      <c r="B124" s="46" t="str">
        <f>IFERROR(VLOOKUP($A124,Equipos!$C$2:$M$967,2,FALSE()),"")</f>
        <v>DEA</v>
      </c>
      <c r="C124" s="46" t="str">
        <f>IFERROR(VLOOKUP($A124,Equipos!$C$2:$M$967,9,FALSE()),"")</f>
        <v>AE7-24048210</v>
      </c>
      <c r="D124" s="46" t="str">
        <f>IFERROR(VLOOKUP($A124,Equipos!$C$2:$M$967,3,FALSE()),"")</f>
        <v>Gestión de Pacientes</v>
      </c>
      <c r="E124" s="46" t="str">
        <f>IFERROR(VLOOKUP($A124,Equipos!$C$2:$M$967,7,FALSE()),"")</f>
        <v>Mindray</v>
      </c>
      <c r="F124" s="46" t="str">
        <f>IFERROR(VLOOKUP($A124,Equipos!$C$2:$M$967,8,FALSE()),"")</f>
        <v>BeneHeart C2</v>
      </c>
      <c r="G124" s="46" t="s">
        <v>331</v>
      </c>
      <c r="H124" s="46"/>
      <c r="I124" s="46"/>
      <c r="J124" s="46" t="s">
        <v>297</v>
      </c>
      <c r="K124" s="46" t="str">
        <f>IFERROR(VLOOKUP($J124,Catálogos!$M$4:$N$17,2,FALSE()),"")</f>
        <v>Mantención Preventiva Realizada</v>
      </c>
      <c r="L124" s="46"/>
      <c r="M124" s="46"/>
      <c r="N124" s="46"/>
      <c r="O124" s="46"/>
      <c r="P124" s="46"/>
      <c r="Q124" s="46"/>
    </row>
    <row r="125" spans="1:17" hidden="1" x14ac:dyDescent="0.25">
      <c r="A125" s="47" t="s">
        <v>379</v>
      </c>
      <c r="B125" s="46" t="str">
        <f>IFERROR(VLOOKUP($A125,Equipos!$C$2:$M$967,2,FALSE()),"")</f>
        <v>DEA</v>
      </c>
      <c r="C125" s="46" t="str">
        <f>IFERROR(VLOOKUP($A125,Equipos!$C$2:$M$967,9,FALSE()),"")</f>
        <v>AE7-24048210</v>
      </c>
      <c r="D125" s="46" t="str">
        <f>IFERROR(VLOOKUP($A125,Equipos!$C$2:$M$967,3,FALSE()),"")</f>
        <v>Gestión de Pacientes</v>
      </c>
      <c r="E125" s="46" t="str">
        <f>IFERROR(VLOOKUP($A125,Equipos!$C$2:$M$967,7,FALSE()),"")</f>
        <v>Mindray</v>
      </c>
      <c r="F125" s="46" t="str">
        <f>IFERROR(VLOOKUP($A125,Equipos!$C$2:$M$967,8,FALSE()),"")</f>
        <v>BeneHeart C2</v>
      </c>
      <c r="G125" s="46" t="s">
        <v>298</v>
      </c>
      <c r="H125" s="46"/>
      <c r="I125" s="46"/>
      <c r="J125" s="46" t="s">
        <v>297</v>
      </c>
      <c r="K125" s="46" t="str">
        <f>IFERROR(VLOOKUP($J125,Catálogos!$M$4:$N$17,2,FALSE()),"")</f>
        <v>Mantención Preventiva Realizada</v>
      </c>
      <c r="L125" s="46"/>
      <c r="M125" s="46"/>
      <c r="N125" s="46"/>
      <c r="O125" s="46"/>
      <c r="P125" s="46"/>
      <c r="Q125" s="46"/>
    </row>
    <row r="126" spans="1:17" hidden="1" x14ac:dyDescent="0.25">
      <c r="A126" s="47" t="s">
        <v>380</v>
      </c>
      <c r="B126" s="46" t="str">
        <f>IFERROR(VLOOKUP($A126,Equipos!$C$2:$M$967,2,FALSE()),"")</f>
        <v>Desfibrilador</v>
      </c>
      <c r="C126" s="46" t="str">
        <f>IFERROR(VLOOKUP($A126,Equipos!$C$2:$M$967,9,FALSE()),"")</f>
        <v>40979213</v>
      </c>
      <c r="D126" s="46" t="str">
        <f>IFERROR(VLOOKUP($A126,Equipos!$C$2:$M$967,3,FALSE()),"")</f>
        <v>Pabellón Quirúrgico</v>
      </c>
      <c r="E126" s="46" t="str">
        <f>IFERROR(VLOOKUP($A126,Equipos!$C$2:$M$967,7,FALSE()),"")</f>
        <v>Medtronic</v>
      </c>
      <c r="F126" s="46" t="str">
        <f>IFERROR(VLOOKUP($A126,Equipos!$C$2:$M$967,8,FALSE()),"")</f>
        <v>Lifepack 20</v>
      </c>
      <c r="G126" s="46" t="s">
        <v>331</v>
      </c>
      <c r="H126" s="46"/>
      <c r="I126" s="46"/>
      <c r="J126" s="46" t="s">
        <v>297</v>
      </c>
      <c r="K126" s="46" t="str">
        <f>IFERROR(VLOOKUP($J126,Catálogos!$M$4:$N$17,2,FALSE()),"")</f>
        <v>Mantención Preventiva Realizada</v>
      </c>
      <c r="L126" s="46"/>
      <c r="M126" s="46"/>
      <c r="N126" s="46"/>
      <c r="O126" s="46"/>
      <c r="P126" s="46"/>
      <c r="Q126" s="46"/>
    </row>
    <row r="127" spans="1:17" hidden="1" x14ac:dyDescent="0.25">
      <c r="A127" s="47" t="s">
        <v>381</v>
      </c>
      <c r="B127" s="46" t="str">
        <f>IFERROR(VLOOKUP($A127,Equipos!$C$2:$M$967,2,FALSE()),"")</f>
        <v>DEA</v>
      </c>
      <c r="C127" s="46" t="str">
        <f>IFERROR(VLOOKUP($A127,Equipos!$C$2:$M$967,9,FALSE()),"")</f>
        <v>40422</v>
      </c>
      <c r="D127" s="46" t="str">
        <f>IFERROR(VLOOKUP($A127,Equipos!$C$2:$M$967,3,FALSE()),"")</f>
        <v>CDT</v>
      </c>
      <c r="E127" s="46" t="str">
        <f>IFERROR(VLOOKUP($A127,Equipos!$C$2:$M$967,7,FALSE()),"")</f>
        <v>Nihon Kohden</v>
      </c>
      <c r="F127" s="46" t="str">
        <f>IFERROR(VLOOKUP($A127,Equipos!$C$2:$M$967,8,FALSE()),"")</f>
        <v>AED-3100K</v>
      </c>
      <c r="G127" s="46" t="s">
        <v>335</v>
      </c>
      <c r="H127" s="46"/>
      <c r="I127" s="46"/>
      <c r="J127" s="46" t="s">
        <v>297</v>
      </c>
      <c r="K127" s="46" t="str">
        <f>IFERROR(VLOOKUP($J127,Catálogos!$M$4:$N$17,2,FALSE()),"")</f>
        <v>Mantención Preventiva Realizada</v>
      </c>
      <c r="L127" s="46"/>
      <c r="M127" s="46"/>
      <c r="N127" s="46"/>
      <c r="O127" s="46"/>
      <c r="P127" s="46"/>
      <c r="Q127" s="46"/>
    </row>
    <row r="128" spans="1:17" hidden="1" x14ac:dyDescent="0.25">
      <c r="A128" s="47" t="s">
        <v>381</v>
      </c>
      <c r="B128" s="46" t="str">
        <f>IFERROR(VLOOKUP($A128,Equipos!$C$2:$M$967,2,FALSE()),"")</f>
        <v>DEA</v>
      </c>
      <c r="C128" s="46" t="str">
        <f>IFERROR(VLOOKUP($A128,Equipos!$C$2:$M$967,9,FALSE()),"")</f>
        <v>40422</v>
      </c>
      <c r="D128" s="46" t="str">
        <f>IFERROR(VLOOKUP($A128,Equipos!$C$2:$M$967,3,FALSE()),"")</f>
        <v>CDT</v>
      </c>
      <c r="E128" s="46" t="str">
        <f>IFERROR(VLOOKUP($A128,Equipos!$C$2:$M$967,7,FALSE()),"")</f>
        <v>Nihon Kohden</v>
      </c>
      <c r="F128" s="46" t="str">
        <f>IFERROR(VLOOKUP($A128,Equipos!$C$2:$M$967,8,FALSE()),"")</f>
        <v>AED-3100K</v>
      </c>
      <c r="G128" s="46" t="s">
        <v>296</v>
      </c>
      <c r="H128" s="46"/>
      <c r="I128" s="46"/>
      <c r="J128" s="46" t="s">
        <v>297</v>
      </c>
      <c r="K128" s="46" t="str">
        <f>IFERROR(VLOOKUP($J128,Catálogos!$M$4:$N$17,2,FALSE()),"")</f>
        <v>Mantención Preventiva Realizada</v>
      </c>
      <c r="L128" s="46"/>
      <c r="M128" s="46"/>
      <c r="N128" s="46"/>
      <c r="O128" s="46"/>
      <c r="P128" s="46"/>
      <c r="Q128" s="46"/>
    </row>
    <row r="129" spans="1:17" hidden="1" x14ac:dyDescent="0.25">
      <c r="A129" s="47" t="s">
        <v>381</v>
      </c>
      <c r="B129" s="46" t="str">
        <f>IFERROR(VLOOKUP($A129,Equipos!$C$2:$M$967,2,FALSE()),"")</f>
        <v>DEA</v>
      </c>
      <c r="C129" s="46" t="str">
        <f>IFERROR(VLOOKUP($A129,Equipos!$C$2:$M$967,9,FALSE()),"")</f>
        <v>40422</v>
      </c>
      <c r="D129" s="46" t="str">
        <f>IFERROR(VLOOKUP($A129,Equipos!$C$2:$M$967,3,FALSE()),"")</f>
        <v>CDT</v>
      </c>
      <c r="E129" s="46" t="str">
        <f>IFERROR(VLOOKUP($A129,Equipos!$C$2:$M$967,7,FALSE()),"")</f>
        <v>Nihon Kohden</v>
      </c>
      <c r="F129" s="46" t="str">
        <f>IFERROR(VLOOKUP($A129,Equipos!$C$2:$M$967,8,FALSE()),"")</f>
        <v>AED-3100K</v>
      </c>
      <c r="G129" s="46" t="s">
        <v>316</v>
      </c>
      <c r="H129" s="46"/>
      <c r="I129" s="46"/>
      <c r="J129" s="46" t="s">
        <v>297</v>
      </c>
      <c r="K129" s="46" t="str">
        <f>IFERROR(VLOOKUP($J129,Catálogos!$M$4:$N$17,2,FALSE()),"")</f>
        <v>Mantención Preventiva Realizada</v>
      </c>
      <c r="L129" s="46"/>
      <c r="M129" s="46"/>
      <c r="N129" s="46"/>
      <c r="O129" s="46"/>
      <c r="P129" s="46"/>
      <c r="Q129" s="46"/>
    </row>
    <row r="130" spans="1:17" hidden="1" x14ac:dyDescent="0.25">
      <c r="A130" s="47" t="s">
        <v>381</v>
      </c>
      <c r="B130" s="46" t="str">
        <f>IFERROR(VLOOKUP($A130,Equipos!$C$2:$M$967,2,FALSE()),"")</f>
        <v>DEA</v>
      </c>
      <c r="C130" s="46" t="str">
        <f>IFERROR(VLOOKUP($A130,Equipos!$C$2:$M$967,9,FALSE()),"")</f>
        <v>40422</v>
      </c>
      <c r="D130" s="46" t="str">
        <f>IFERROR(VLOOKUP($A130,Equipos!$C$2:$M$967,3,FALSE()),"")</f>
        <v>CDT</v>
      </c>
      <c r="E130" s="46" t="str">
        <f>IFERROR(VLOOKUP($A130,Equipos!$C$2:$M$967,7,FALSE()),"")</f>
        <v>Nihon Kohden</v>
      </c>
      <c r="F130" s="46" t="str">
        <f>IFERROR(VLOOKUP($A130,Equipos!$C$2:$M$967,8,FALSE()),"")</f>
        <v>AED-3100K</v>
      </c>
      <c r="G130" s="46" t="s">
        <v>331</v>
      </c>
      <c r="H130" s="46"/>
      <c r="I130" s="46"/>
      <c r="J130" s="46" t="s">
        <v>297</v>
      </c>
      <c r="K130" s="46" t="str">
        <f>IFERROR(VLOOKUP($J130,Catálogos!$M$4:$N$17,2,FALSE()),"")</f>
        <v>Mantención Preventiva Realizada</v>
      </c>
      <c r="L130" s="46"/>
      <c r="M130" s="46"/>
      <c r="N130" s="46"/>
      <c r="O130" s="46"/>
      <c r="P130" s="46"/>
      <c r="Q130" s="46"/>
    </row>
    <row r="131" spans="1:17" hidden="1" x14ac:dyDescent="0.25">
      <c r="A131" s="47" t="s">
        <v>381</v>
      </c>
      <c r="B131" s="46" t="str">
        <f>IFERROR(VLOOKUP($A131,Equipos!$C$2:$M$967,2,FALSE()),"")</f>
        <v>DEA</v>
      </c>
      <c r="C131" s="46" t="str">
        <f>IFERROR(VLOOKUP($A131,Equipos!$C$2:$M$967,9,FALSE()),"")</f>
        <v>40422</v>
      </c>
      <c r="D131" s="46" t="str">
        <f>IFERROR(VLOOKUP($A131,Equipos!$C$2:$M$967,3,FALSE()),"")</f>
        <v>CDT</v>
      </c>
      <c r="E131" s="46" t="str">
        <f>IFERROR(VLOOKUP($A131,Equipos!$C$2:$M$967,7,FALSE()),"")</f>
        <v>Nihon Kohden</v>
      </c>
      <c r="F131" s="46" t="str">
        <f>IFERROR(VLOOKUP($A131,Equipos!$C$2:$M$967,8,FALSE()),"")</f>
        <v>AED-3100K</v>
      </c>
      <c r="G131" s="46" t="s">
        <v>298</v>
      </c>
      <c r="H131" s="46"/>
      <c r="I131" s="46"/>
      <c r="J131" s="46" t="s">
        <v>297</v>
      </c>
      <c r="K131" s="46" t="str">
        <f>IFERROR(VLOOKUP($J131,Catálogos!$M$4:$N$17,2,FALSE()),"")</f>
        <v>Mantención Preventiva Realizada</v>
      </c>
      <c r="L131" s="46"/>
      <c r="M131" s="46"/>
      <c r="N131" s="46"/>
      <c r="O131" s="46"/>
      <c r="P131" s="46"/>
      <c r="Q131" s="46"/>
    </row>
    <row r="132" spans="1:17" hidden="1" x14ac:dyDescent="0.25">
      <c r="A132" s="47" t="s">
        <v>382</v>
      </c>
      <c r="B132" s="46" t="str">
        <f>IFERROR(VLOOKUP($A132,Equipos!$C$2:$M$967,2,FALSE()),"")</f>
        <v>DEA</v>
      </c>
      <c r="C132" s="46" t="str">
        <f>IFERROR(VLOOKUP($A132,Equipos!$C$2:$M$967,9,FALSE()),"")</f>
        <v>122002994</v>
      </c>
      <c r="D132" s="46" t="str">
        <f>IFERROR(VLOOKUP($A132,Equipos!$C$2:$M$967,3,FALSE()),"")</f>
        <v>Prevención de Riesgos</v>
      </c>
      <c r="E132" s="46" t="str">
        <f>IFERROR(VLOOKUP($A132,Equipos!$C$2:$M$967,7,FALSE()),"")</f>
        <v>DEFIBTECH</v>
      </c>
      <c r="F132" s="46" t="str">
        <f>IFERROR(VLOOKUP($A132,Equipos!$C$2:$M$967,8,FALSE()),"")</f>
        <v xml:space="preserve">LIFE LINE </v>
      </c>
      <c r="G132" s="46" t="s">
        <v>335</v>
      </c>
      <c r="H132" s="46"/>
      <c r="I132" s="46"/>
      <c r="J132" s="46" t="s">
        <v>297</v>
      </c>
      <c r="K132" s="46" t="str">
        <f>IFERROR(VLOOKUP($J132,Catálogos!$M$4:$N$17,2,FALSE()),"")</f>
        <v>Mantención Preventiva Realizada</v>
      </c>
      <c r="L132" s="46"/>
      <c r="M132" s="46"/>
      <c r="N132" s="46"/>
      <c r="O132" s="46"/>
      <c r="P132" s="46"/>
      <c r="Q132" s="46"/>
    </row>
    <row r="133" spans="1:17" hidden="1" x14ac:dyDescent="0.25">
      <c r="A133" s="47" t="s">
        <v>382</v>
      </c>
      <c r="B133" s="46" t="str">
        <f>IFERROR(VLOOKUP($A133,Equipos!$C$2:$M$967,2,FALSE()),"")</f>
        <v>DEA</v>
      </c>
      <c r="C133" s="46" t="str">
        <f>IFERROR(VLOOKUP($A133,Equipos!$C$2:$M$967,9,FALSE()),"")</f>
        <v>122002994</v>
      </c>
      <c r="D133" s="46" t="str">
        <f>IFERROR(VLOOKUP($A133,Equipos!$C$2:$M$967,3,FALSE()),"")</f>
        <v>Prevención de Riesgos</v>
      </c>
      <c r="E133" s="46" t="str">
        <f>IFERROR(VLOOKUP($A133,Equipos!$C$2:$M$967,7,FALSE()),"")</f>
        <v>DEFIBTECH</v>
      </c>
      <c r="F133" s="46" t="str">
        <f>IFERROR(VLOOKUP($A133,Equipos!$C$2:$M$967,8,FALSE()),"")</f>
        <v xml:space="preserve">LIFE LINE </v>
      </c>
      <c r="G133" s="46" t="s">
        <v>296</v>
      </c>
      <c r="H133" s="46"/>
      <c r="I133" s="46"/>
      <c r="J133" s="46" t="s">
        <v>297</v>
      </c>
      <c r="K133" s="46" t="str">
        <f>IFERROR(VLOOKUP($J133,Catálogos!$M$4:$N$17,2,FALSE()),"")</f>
        <v>Mantención Preventiva Realizada</v>
      </c>
      <c r="L133" s="46"/>
      <c r="M133" s="46"/>
      <c r="N133" s="46"/>
      <c r="O133" s="46"/>
      <c r="P133" s="46"/>
      <c r="Q133" s="46"/>
    </row>
    <row r="134" spans="1:17" hidden="1" x14ac:dyDescent="0.25">
      <c r="A134" s="47" t="s">
        <v>382</v>
      </c>
      <c r="B134" s="46" t="str">
        <f>IFERROR(VLOOKUP($A134,Equipos!$C$2:$M$967,2,FALSE()),"")</f>
        <v>DEA</v>
      </c>
      <c r="C134" s="46" t="str">
        <f>IFERROR(VLOOKUP($A134,Equipos!$C$2:$M$967,9,FALSE()),"")</f>
        <v>122002994</v>
      </c>
      <c r="D134" s="46" t="str">
        <f>IFERROR(VLOOKUP($A134,Equipos!$C$2:$M$967,3,FALSE()),"")</f>
        <v>Prevención de Riesgos</v>
      </c>
      <c r="E134" s="46" t="str">
        <f>IFERROR(VLOOKUP($A134,Equipos!$C$2:$M$967,7,FALSE()),"")</f>
        <v>DEFIBTECH</v>
      </c>
      <c r="F134" s="46" t="str">
        <f>IFERROR(VLOOKUP($A134,Equipos!$C$2:$M$967,8,FALSE()),"")</f>
        <v xml:space="preserve">LIFE LINE </v>
      </c>
      <c r="G134" s="46" t="s">
        <v>316</v>
      </c>
      <c r="H134" s="46"/>
      <c r="I134" s="46"/>
      <c r="J134" s="46" t="s">
        <v>297</v>
      </c>
      <c r="K134" s="46" t="str">
        <f>IFERROR(VLOOKUP($J134,Catálogos!$M$4:$N$17,2,FALSE()),"")</f>
        <v>Mantención Preventiva Realizada</v>
      </c>
      <c r="L134" s="46"/>
      <c r="M134" s="46"/>
      <c r="N134" s="46"/>
      <c r="O134" s="46"/>
      <c r="P134" s="46"/>
      <c r="Q134" s="46"/>
    </row>
    <row r="135" spans="1:17" hidden="1" x14ac:dyDescent="0.25">
      <c r="A135" s="47" t="s">
        <v>382</v>
      </c>
      <c r="B135" s="46" t="str">
        <f>IFERROR(VLOOKUP($A135,Equipos!$C$2:$M$967,2,FALSE()),"")</f>
        <v>DEA</v>
      </c>
      <c r="C135" s="46" t="str">
        <f>IFERROR(VLOOKUP($A135,Equipos!$C$2:$M$967,9,FALSE()),"")</f>
        <v>122002994</v>
      </c>
      <c r="D135" s="46" t="str">
        <f>IFERROR(VLOOKUP($A135,Equipos!$C$2:$M$967,3,FALSE()),"")</f>
        <v>Prevención de Riesgos</v>
      </c>
      <c r="E135" s="46" t="str">
        <f>IFERROR(VLOOKUP($A135,Equipos!$C$2:$M$967,7,FALSE()),"")</f>
        <v>DEFIBTECH</v>
      </c>
      <c r="F135" s="46" t="str">
        <f>IFERROR(VLOOKUP($A135,Equipos!$C$2:$M$967,8,FALSE()),"")</f>
        <v xml:space="preserve">LIFE LINE </v>
      </c>
      <c r="G135" s="46" t="s">
        <v>331</v>
      </c>
      <c r="H135" s="46"/>
      <c r="I135" s="46"/>
      <c r="J135" s="46" t="s">
        <v>297</v>
      </c>
      <c r="K135" s="46" t="str">
        <f>IFERROR(VLOOKUP($J135,Catálogos!$M$4:$N$17,2,FALSE()),"")</f>
        <v>Mantención Preventiva Realizada</v>
      </c>
      <c r="L135" s="46"/>
      <c r="M135" s="46"/>
      <c r="N135" s="46"/>
      <c r="O135" s="46"/>
      <c r="P135" s="46"/>
      <c r="Q135" s="46"/>
    </row>
    <row r="136" spans="1:17" hidden="1" x14ac:dyDescent="0.25">
      <c r="A136" s="47" t="s">
        <v>382</v>
      </c>
      <c r="B136" s="46" t="str">
        <f>IFERROR(VLOOKUP($A136,Equipos!$C$2:$M$967,2,FALSE()),"")</f>
        <v>DEA</v>
      </c>
      <c r="C136" s="46" t="str">
        <f>IFERROR(VLOOKUP($A136,Equipos!$C$2:$M$967,9,FALSE()),"")</f>
        <v>122002994</v>
      </c>
      <c r="D136" s="46" t="str">
        <f>IFERROR(VLOOKUP($A136,Equipos!$C$2:$M$967,3,FALSE()),"")</f>
        <v>Prevención de Riesgos</v>
      </c>
      <c r="E136" s="46" t="str">
        <f>IFERROR(VLOOKUP($A136,Equipos!$C$2:$M$967,7,FALSE()),"")</f>
        <v>DEFIBTECH</v>
      </c>
      <c r="F136" s="46" t="str">
        <f>IFERROR(VLOOKUP($A136,Equipos!$C$2:$M$967,8,FALSE()),"")</f>
        <v xml:space="preserve">LIFE LINE </v>
      </c>
      <c r="G136" s="46" t="s">
        <v>298</v>
      </c>
      <c r="H136" s="46"/>
      <c r="I136" s="46"/>
      <c r="J136" s="46" t="s">
        <v>297</v>
      </c>
      <c r="K136" s="46" t="str">
        <f>IFERROR(VLOOKUP($J136,Catálogos!$M$4:$N$17,2,FALSE()),"")</f>
        <v>Mantención Preventiva Realizada</v>
      </c>
      <c r="L136" s="46"/>
      <c r="M136" s="46"/>
      <c r="N136" s="46"/>
      <c r="O136" s="46"/>
      <c r="P136" s="46"/>
      <c r="Q136" s="46"/>
    </row>
    <row r="137" spans="1:17" hidden="1" x14ac:dyDescent="0.25">
      <c r="A137" s="47" t="s">
        <v>383</v>
      </c>
      <c r="B137" s="46" t="str">
        <f>IFERROR(VLOOKUP($A137,Equipos!$C$2:$M$967,2,FALSE()),"")</f>
        <v>DEA</v>
      </c>
      <c r="C137" s="46" t="str">
        <f>IFERROR(VLOOKUP($A137,Equipos!$C$2:$M$967,9,FALSE()),"")</f>
        <v>122003001</v>
      </c>
      <c r="D137" s="46" t="str">
        <f>IFERROR(VLOOKUP($A137,Equipos!$C$2:$M$967,3,FALSE()),"")</f>
        <v>Prevención de Riesgos</v>
      </c>
      <c r="E137" s="46" t="str">
        <f>IFERROR(VLOOKUP($A137,Equipos!$C$2:$M$967,7,FALSE()),"")</f>
        <v>DEFIBTECH</v>
      </c>
      <c r="F137" s="46" t="str">
        <f>IFERROR(VLOOKUP($A137,Equipos!$C$2:$M$967,8,FALSE()),"")</f>
        <v xml:space="preserve">LIFE LINE </v>
      </c>
      <c r="G137" s="46" t="s">
        <v>335</v>
      </c>
      <c r="H137" s="46"/>
      <c r="I137" s="46"/>
      <c r="J137" s="46" t="s">
        <v>297</v>
      </c>
      <c r="K137" s="46" t="str">
        <f>IFERROR(VLOOKUP($J137,Catálogos!$M$4:$N$17,2,FALSE()),"")</f>
        <v>Mantención Preventiva Realizada</v>
      </c>
      <c r="L137" s="46"/>
      <c r="M137" s="46"/>
      <c r="N137" s="46"/>
      <c r="O137" s="46"/>
      <c r="P137" s="46"/>
      <c r="Q137" s="46"/>
    </row>
    <row r="138" spans="1:17" hidden="1" x14ac:dyDescent="0.25">
      <c r="A138" s="47" t="s">
        <v>383</v>
      </c>
      <c r="B138" s="46" t="str">
        <f>IFERROR(VLOOKUP($A138,Equipos!$C$2:$M$967,2,FALSE()),"")</f>
        <v>DEA</v>
      </c>
      <c r="C138" s="46" t="str">
        <f>IFERROR(VLOOKUP($A138,Equipos!$C$2:$M$967,9,FALSE()),"")</f>
        <v>122003001</v>
      </c>
      <c r="D138" s="46" t="str">
        <f>IFERROR(VLOOKUP($A138,Equipos!$C$2:$M$967,3,FALSE()),"")</f>
        <v>Prevención de Riesgos</v>
      </c>
      <c r="E138" s="46" t="str">
        <f>IFERROR(VLOOKUP($A138,Equipos!$C$2:$M$967,7,FALSE()),"")</f>
        <v>DEFIBTECH</v>
      </c>
      <c r="F138" s="46" t="str">
        <f>IFERROR(VLOOKUP($A138,Equipos!$C$2:$M$967,8,FALSE()),"")</f>
        <v xml:space="preserve">LIFE LINE </v>
      </c>
      <c r="G138" s="46" t="s">
        <v>296</v>
      </c>
      <c r="H138" s="46"/>
      <c r="I138" s="46"/>
      <c r="J138" s="46" t="s">
        <v>297</v>
      </c>
      <c r="K138" s="46" t="str">
        <f>IFERROR(VLOOKUP($J138,Catálogos!$M$4:$N$17,2,FALSE()),"")</f>
        <v>Mantención Preventiva Realizada</v>
      </c>
      <c r="L138" s="46"/>
      <c r="M138" s="46"/>
      <c r="N138" s="46"/>
      <c r="O138" s="46"/>
      <c r="P138" s="46"/>
      <c r="Q138" s="46"/>
    </row>
    <row r="139" spans="1:17" hidden="1" x14ac:dyDescent="0.25">
      <c r="A139" s="47" t="s">
        <v>383</v>
      </c>
      <c r="B139" s="46" t="str">
        <f>IFERROR(VLOOKUP($A139,Equipos!$C$2:$M$967,2,FALSE()),"")</f>
        <v>DEA</v>
      </c>
      <c r="C139" s="46" t="str">
        <f>IFERROR(VLOOKUP($A139,Equipos!$C$2:$M$967,9,FALSE()),"")</f>
        <v>122003001</v>
      </c>
      <c r="D139" s="46" t="str">
        <f>IFERROR(VLOOKUP($A139,Equipos!$C$2:$M$967,3,FALSE()),"")</f>
        <v>Prevención de Riesgos</v>
      </c>
      <c r="E139" s="46" t="str">
        <f>IFERROR(VLOOKUP($A139,Equipos!$C$2:$M$967,7,FALSE()),"")</f>
        <v>DEFIBTECH</v>
      </c>
      <c r="F139" s="46" t="str">
        <f>IFERROR(VLOOKUP($A139,Equipos!$C$2:$M$967,8,FALSE()),"")</f>
        <v xml:space="preserve">LIFE LINE </v>
      </c>
      <c r="G139" s="46" t="s">
        <v>316</v>
      </c>
      <c r="H139" s="46"/>
      <c r="I139" s="46"/>
      <c r="J139" s="46" t="s">
        <v>297</v>
      </c>
      <c r="K139" s="46" t="str">
        <f>IFERROR(VLOOKUP($J139,Catálogos!$M$4:$N$17,2,FALSE()),"")</f>
        <v>Mantención Preventiva Realizada</v>
      </c>
      <c r="L139" s="46"/>
      <c r="M139" s="46"/>
      <c r="N139" s="46"/>
      <c r="O139" s="46"/>
      <c r="P139" s="46"/>
      <c r="Q139" s="46"/>
    </row>
    <row r="140" spans="1:17" hidden="1" x14ac:dyDescent="0.25">
      <c r="A140" s="47" t="s">
        <v>383</v>
      </c>
      <c r="B140" s="46" t="str">
        <f>IFERROR(VLOOKUP($A140,Equipos!$C$2:$M$967,2,FALSE()),"")</f>
        <v>DEA</v>
      </c>
      <c r="C140" s="46" t="str">
        <f>IFERROR(VLOOKUP($A140,Equipos!$C$2:$M$967,9,FALSE()),"")</f>
        <v>122003001</v>
      </c>
      <c r="D140" s="46" t="str">
        <f>IFERROR(VLOOKUP($A140,Equipos!$C$2:$M$967,3,FALSE()),"")</f>
        <v>Prevención de Riesgos</v>
      </c>
      <c r="E140" s="46" t="str">
        <f>IFERROR(VLOOKUP($A140,Equipos!$C$2:$M$967,7,FALSE()),"")</f>
        <v>DEFIBTECH</v>
      </c>
      <c r="F140" s="46" t="str">
        <f>IFERROR(VLOOKUP($A140,Equipos!$C$2:$M$967,8,FALSE()),"")</f>
        <v xml:space="preserve">LIFE LINE </v>
      </c>
      <c r="G140" s="46" t="s">
        <v>331</v>
      </c>
      <c r="H140" s="46"/>
      <c r="I140" s="46"/>
      <c r="J140" s="46" t="s">
        <v>297</v>
      </c>
      <c r="K140" s="46" t="str">
        <f>IFERROR(VLOOKUP($J140,Catálogos!$M$4:$N$17,2,FALSE()),"")</f>
        <v>Mantención Preventiva Realizada</v>
      </c>
      <c r="L140" s="46"/>
      <c r="M140" s="46"/>
      <c r="N140" s="46"/>
      <c r="O140" s="46"/>
      <c r="P140" s="46"/>
      <c r="Q140" s="46"/>
    </row>
    <row r="141" spans="1:17" hidden="1" x14ac:dyDescent="0.25">
      <c r="A141" s="47" t="s">
        <v>383</v>
      </c>
      <c r="B141" s="46" t="str">
        <f>IFERROR(VLOOKUP($A141,Equipos!$C$2:$M$967,2,FALSE()),"")</f>
        <v>DEA</v>
      </c>
      <c r="C141" s="46" t="str">
        <f>IFERROR(VLOOKUP($A141,Equipos!$C$2:$M$967,9,FALSE()),"")</f>
        <v>122003001</v>
      </c>
      <c r="D141" s="46" t="str">
        <f>IFERROR(VLOOKUP($A141,Equipos!$C$2:$M$967,3,FALSE()),"")</f>
        <v>Prevención de Riesgos</v>
      </c>
      <c r="E141" s="46" t="str">
        <f>IFERROR(VLOOKUP($A141,Equipos!$C$2:$M$967,7,FALSE()),"")</f>
        <v>DEFIBTECH</v>
      </c>
      <c r="F141" s="46" t="str">
        <f>IFERROR(VLOOKUP($A141,Equipos!$C$2:$M$967,8,FALSE()),"")</f>
        <v xml:space="preserve">LIFE LINE </v>
      </c>
      <c r="G141" s="46" t="s">
        <v>298</v>
      </c>
      <c r="H141" s="46"/>
      <c r="I141" s="46"/>
      <c r="J141" s="46" t="s">
        <v>297</v>
      </c>
      <c r="K141" s="46" t="str">
        <f>IFERROR(VLOOKUP($J141,Catálogos!$M$4:$N$17,2,FALSE()),"")</f>
        <v>Mantención Preventiva Realizada</v>
      </c>
      <c r="L141" s="46"/>
      <c r="M141" s="46"/>
      <c r="N141" s="46"/>
      <c r="O141" s="46"/>
      <c r="P141" s="46"/>
      <c r="Q141" s="46"/>
    </row>
    <row r="142" spans="1:17" hidden="1" x14ac:dyDescent="0.25">
      <c r="A142" s="47" t="s">
        <v>384</v>
      </c>
      <c r="B142" s="46" t="str">
        <f>IFERROR(VLOOKUP($A142,Equipos!$C$2:$M$967,2,FALSE()),"")</f>
        <v>DEA</v>
      </c>
      <c r="C142" s="46" t="str">
        <f>IFERROR(VLOOKUP($A142,Equipos!$C$2:$M$967,9,FALSE()),"")</f>
        <v>122002995</v>
      </c>
      <c r="D142" s="46" t="str">
        <f>IFERROR(VLOOKUP($A142,Equipos!$C$2:$M$967,3,FALSE()),"")</f>
        <v>Prevención de Riesgos</v>
      </c>
      <c r="E142" s="46" t="str">
        <f>IFERROR(VLOOKUP($A142,Equipos!$C$2:$M$967,7,FALSE()),"")</f>
        <v>DEFIBTECH</v>
      </c>
      <c r="F142" s="46" t="str">
        <f>IFERROR(VLOOKUP($A142,Equipos!$C$2:$M$967,8,FALSE()),"")</f>
        <v xml:space="preserve">LIFE LINE </v>
      </c>
      <c r="G142" s="46" t="s">
        <v>335</v>
      </c>
      <c r="H142" s="46"/>
      <c r="I142" s="46"/>
      <c r="J142" s="46" t="s">
        <v>297</v>
      </c>
      <c r="K142" s="46" t="str">
        <f>IFERROR(VLOOKUP($J142,Catálogos!$M$4:$N$17,2,FALSE()),"")</f>
        <v>Mantención Preventiva Realizada</v>
      </c>
      <c r="L142" s="46"/>
      <c r="M142" s="46"/>
      <c r="N142" s="46"/>
      <c r="O142" s="46"/>
      <c r="P142" s="46"/>
      <c r="Q142" s="46"/>
    </row>
    <row r="143" spans="1:17" hidden="1" x14ac:dyDescent="0.25">
      <c r="A143" s="47" t="s">
        <v>384</v>
      </c>
      <c r="B143" s="46" t="str">
        <f>IFERROR(VLOOKUP($A143,Equipos!$C$2:$M$967,2,FALSE()),"")</f>
        <v>DEA</v>
      </c>
      <c r="C143" s="46" t="str">
        <f>IFERROR(VLOOKUP($A143,Equipos!$C$2:$M$967,9,FALSE()),"")</f>
        <v>122002995</v>
      </c>
      <c r="D143" s="46" t="str">
        <f>IFERROR(VLOOKUP($A143,Equipos!$C$2:$M$967,3,FALSE()),"")</f>
        <v>Prevención de Riesgos</v>
      </c>
      <c r="E143" s="46" t="str">
        <f>IFERROR(VLOOKUP($A143,Equipos!$C$2:$M$967,7,FALSE()),"")</f>
        <v>DEFIBTECH</v>
      </c>
      <c r="F143" s="46" t="str">
        <f>IFERROR(VLOOKUP($A143,Equipos!$C$2:$M$967,8,FALSE()),"")</f>
        <v xml:space="preserve">LIFE LINE </v>
      </c>
      <c r="G143" s="46" t="s">
        <v>296</v>
      </c>
      <c r="H143" s="46"/>
      <c r="I143" s="46"/>
      <c r="J143" s="46" t="s">
        <v>297</v>
      </c>
      <c r="K143" s="46" t="str">
        <f>IFERROR(VLOOKUP($J143,Catálogos!$M$4:$N$17,2,FALSE()),"")</f>
        <v>Mantención Preventiva Realizada</v>
      </c>
      <c r="L143" s="46"/>
      <c r="M143" s="46"/>
      <c r="N143" s="46"/>
      <c r="O143" s="46"/>
      <c r="P143" s="46"/>
      <c r="Q143" s="46"/>
    </row>
    <row r="144" spans="1:17" hidden="1" x14ac:dyDescent="0.25">
      <c r="A144" s="47" t="s">
        <v>384</v>
      </c>
      <c r="B144" s="46" t="str">
        <f>IFERROR(VLOOKUP($A144,Equipos!$C$2:$M$967,2,FALSE()),"")</f>
        <v>DEA</v>
      </c>
      <c r="C144" s="46" t="str">
        <f>IFERROR(VLOOKUP($A144,Equipos!$C$2:$M$967,9,FALSE()),"")</f>
        <v>122002995</v>
      </c>
      <c r="D144" s="46" t="str">
        <f>IFERROR(VLOOKUP($A144,Equipos!$C$2:$M$967,3,FALSE()),"")</f>
        <v>Prevención de Riesgos</v>
      </c>
      <c r="E144" s="46" t="str">
        <f>IFERROR(VLOOKUP($A144,Equipos!$C$2:$M$967,7,FALSE()),"")</f>
        <v>DEFIBTECH</v>
      </c>
      <c r="F144" s="46" t="str">
        <f>IFERROR(VLOOKUP($A144,Equipos!$C$2:$M$967,8,FALSE()),"")</f>
        <v xml:space="preserve">LIFE LINE </v>
      </c>
      <c r="G144" s="46" t="s">
        <v>316</v>
      </c>
      <c r="H144" s="46"/>
      <c r="I144" s="46"/>
      <c r="J144" s="46" t="s">
        <v>297</v>
      </c>
      <c r="K144" s="46" t="str">
        <f>IFERROR(VLOOKUP($J144,Catálogos!$M$4:$N$17,2,FALSE()),"")</f>
        <v>Mantención Preventiva Realizada</v>
      </c>
      <c r="L144" s="46"/>
      <c r="M144" s="46"/>
      <c r="N144" s="46"/>
      <c r="O144" s="46"/>
      <c r="P144" s="46"/>
      <c r="Q144" s="46"/>
    </row>
    <row r="145" spans="1:17" hidden="1" x14ac:dyDescent="0.25">
      <c r="A145" s="47" t="s">
        <v>384</v>
      </c>
      <c r="B145" s="46" t="str">
        <f>IFERROR(VLOOKUP($A145,Equipos!$C$2:$M$967,2,FALSE()),"")</f>
        <v>DEA</v>
      </c>
      <c r="C145" s="46" t="str">
        <f>IFERROR(VLOOKUP($A145,Equipos!$C$2:$M$967,9,FALSE()),"")</f>
        <v>122002995</v>
      </c>
      <c r="D145" s="46" t="str">
        <f>IFERROR(VLOOKUP($A145,Equipos!$C$2:$M$967,3,FALSE()),"")</f>
        <v>Prevención de Riesgos</v>
      </c>
      <c r="E145" s="46" t="str">
        <f>IFERROR(VLOOKUP($A145,Equipos!$C$2:$M$967,7,FALSE()),"")</f>
        <v>DEFIBTECH</v>
      </c>
      <c r="F145" s="46" t="str">
        <f>IFERROR(VLOOKUP($A145,Equipos!$C$2:$M$967,8,FALSE()),"")</f>
        <v xml:space="preserve">LIFE LINE </v>
      </c>
      <c r="G145" s="46" t="s">
        <v>331</v>
      </c>
      <c r="H145" s="46"/>
      <c r="I145" s="46"/>
      <c r="J145" s="46" t="s">
        <v>297</v>
      </c>
      <c r="K145" s="46" t="str">
        <f>IFERROR(VLOOKUP($J145,Catálogos!$M$4:$N$17,2,FALSE()),"")</f>
        <v>Mantención Preventiva Realizada</v>
      </c>
      <c r="L145" s="46"/>
      <c r="M145" s="46"/>
      <c r="N145" s="46"/>
      <c r="O145" s="46"/>
      <c r="P145" s="46"/>
      <c r="Q145" s="46"/>
    </row>
    <row r="146" spans="1:17" hidden="1" x14ac:dyDescent="0.25">
      <c r="A146" s="47" t="s">
        <v>384</v>
      </c>
      <c r="B146" s="46" t="str">
        <f>IFERROR(VLOOKUP($A146,Equipos!$C$2:$M$967,2,FALSE()),"")</f>
        <v>DEA</v>
      </c>
      <c r="C146" s="46" t="str">
        <f>IFERROR(VLOOKUP($A146,Equipos!$C$2:$M$967,9,FALSE()),"")</f>
        <v>122002995</v>
      </c>
      <c r="D146" s="46" t="str">
        <f>IFERROR(VLOOKUP($A146,Equipos!$C$2:$M$967,3,FALSE()),"")</f>
        <v>Prevención de Riesgos</v>
      </c>
      <c r="E146" s="46" t="str">
        <f>IFERROR(VLOOKUP($A146,Equipos!$C$2:$M$967,7,FALSE()),"")</f>
        <v>DEFIBTECH</v>
      </c>
      <c r="F146" s="46" t="str">
        <f>IFERROR(VLOOKUP($A146,Equipos!$C$2:$M$967,8,FALSE()),"")</f>
        <v xml:space="preserve">LIFE LINE </v>
      </c>
      <c r="G146" s="46" t="s">
        <v>298</v>
      </c>
      <c r="H146" s="46"/>
      <c r="I146" s="46"/>
      <c r="J146" s="46" t="s">
        <v>297</v>
      </c>
      <c r="K146" s="46" t="str">
        <f>IFERROR(VLOOKUP($J146,Catálogos!$M$4:$N$17,2,FALSE()),"")</f>
        <v>Mantención Preventiva Realizada</v>
      </c>
      <c r="L146" s="46"/>
      <c r="M146" s="46"/>
      <c r="N146" s="46"/>
      <c r="O146" s="46"/>
      <c r="P146" s="46"/>
      <c r="Q146" s="46"/>
    </row>
    <row r="147" spans="1:17" hidden="1" x14ac:dyDescent="0.25">
      <c r="A147" s="47" t="s">
        <v>385</v>
      </c>
      <c r="B147" s="46" t="str">
        <f>IFERROR(VLOOKUP($A147,Equipos!$C$2:$M$967,2,FALSE()),"")</f>
        <v>DEA</v>
      </c>
      <c r="C147" s="46" t="str">
        <f>IFERROR(VLOOKUP($A147,Equipos!$C$2:$M$967,9,FALSE()),"")</f>
        <v>122003000</v>
      </c>
      <c r="D147" s="46" t="str">
        <f>IFERROR(VLOOKUP($A147,Equipos!$C$2:$M$967,3,FALSE()),"")</f>
        <v>Prevención de Riesgos (Urgencia Adulto)</v>
      </c>
      <c r="E147" s="46" t="str">
        <f>IFERROR(VLOOKUP($A147,Equipos!$C$2:$M$967,7,FALSE()),"")</f>
        <v>DEFIBTECH</v>
      </c>
      <c r="F147" s="46" t="str">
        <f>IFERROR(VLOOKUP($A147,Equipos!$C$2:$M$967,8,FALSE()),"")</f>
        <v xml:space="preserve">LIFE LINE </v>
      </c>
      <c r="G147" s="46" t="s">
        <v>335</v>
      </c>
      <c r="H147" s="46"/>
      <c r="I147" s="46"/>
      <c r="J147" s="46" t="s">
        <v>297</v>
      </c>
      <c r="K147" s="46" t="str">
        <f>IFERROR(VLOOKUP($J147,Catálogos!$M$4:$N$17,2,FALSE()),"")</f>
        <v>Mantención Preventiva Realizada</v>
      </c>
      <c r="L147" s="46"/>
      <c r="M147" s="46"/>
      <c r="N147" s="46"/>
      <c r="O147" s="46"/>
      <c r="P147" s="46"/>
      <c r="Q147" s="46"/>
    </row>
    <row r="148" spans="1:17" hidden="1" x14ac:dyDescent="0.25">
      <c r="A148" s="47" t="s">
        <v>385</v>
      </c>
      <c r="B148" s="46" t="str">
        <f>IFERROR(VLOOKUP($A148,Equipos!$C$2:$M$967,2,FALSE()),"")</f>
        <v>DEA</v>
      </c>
      <c r="C148" s="46" t="str">
        <f>IFERROR(VLOOKUP($A148,Equipos!$C$2:$M$967,9,FALSE()),"")</f>
        <v>122003000</v>
      </c>
      <c r="D148" s="46" t="str">
        <f>IFERROR(VLOOKUP($A148,Equipos!$C$2:$M$967,3,FALSE()),"")</f>
        <v>Prevención de Riesgos (Urgencia Adulto)</v>
      </c>
      <c r="E148" s="46" t="str">
        <f>IFERROR(VLOOKUP($A148,Equipos!$C$2:$M$967,7,FALSE()),"")</f>
        <v>DEFIBTECH</v>
      </c>
      <c r="F148" s="46" t="str">
        <f>IFERROR(VLOOKUP($A148,Equipos!$C$2:$M$967,8,FALSE()),"")</f>
        <v xml:space="preserve">LIFE LINE </v>
      </c>
      <c r="G148" s="46" t="s">
        <v>296</v>
      </c>
      <c r="H148" s="46"/>
      <c r="I148" s="46"/>
      <c r="J148" s="46" t="s">
        <v>297</v>
      </c>
      <c r="K148" s="46" t="str">
        <f>IFERROR(VLOOKUP($J148,Catálogos!$M$4:$N$17,2,FALSE()),"")</f>
        <v>Mantención Preventiva Realizada</v>
      </c>
      <c r="L148" s="46"/>
      <c r="M148" s="46"/>
      <c r="N148" s="46"/>
      <c r="O148" s="46"/>
      <c r="P148" s="46"/>
      <c r="Q148" s="46"/>
    </row>
    <row r="149" spans="1:17" hidden="1" x14ac:dyDescent="0.25">
      <c r="A149" s="47" t="s">
        <v>385</v>
      </c>
      <c r="B149" s="46" t="str">
        <f>IFERROR(VLOOKUP($A149,Equipos!$C$2:$M$967,2,FALSE()),"")</f>
        <v>DEA</v>
      </c>
      <c r="C149" s="46" t="str">
        <f>IFERROR(VLOOKUP($A149,Equipos!$C$2:$M$967,9,FALSE()),"")</f>
        <v>122003000</v>
      </c>
      <c r="D149" s="46" t="str">
        <f>IFERROR(VLOOKUP($A149,Equipos!$C$2:$M$967,3,FALSE()),"")</f>
        <v>Prevención de Riesgos (Urgencia Adulto)</v>
      </c>
      <c r="E149" s="46" t="str">
        <f>IFERROR(VLOOKUP($A149,Equipos!$C$2:$M$967,7,FALSE()),"")</f>
        <v>DEFIBTECH</v>
      </c>
      <c r="F149" s="46" t="str">
        <f>IFERROR(VLOOKUP($A149,Equipos!$C$2:$M$967,8,FALSE()),"")</f>
        <v xml:space="preserve">LIFE LINE </v>
      </c>
      <c r="G149" s="46" t="s">
        <v>316</v>
      </c>
      <c r="H149" s="46"/>
      <c r="I149" s="46"/>
      <c r="J149" s="46" t="s">
        <v>297</v>
      </c>
      <c r="K149" s="46" t="str">
        <f>IFERROR(VLOOKUP($J149,Catálogos!$M$4:$N$17,2,FALSE()),"")</f>
        <v>Mantención Preventiva Realizada</v>
      </c>
      <c r="L149" s="46"/>
      <c r="M149" s="46"/>
      <c r="N149" s="46"/>
      <c r="O149" s="46"/>
      <c r="P149" s="46"/>
      <c r="Q149" s="46"/>
    </row>
    <row r="150" spans="1:17" hidden="1" x14ac:dyDescent="0.25">
      <c r="A150" s="47" t="s">
        <v>385</v>
      </c>
      <c r="B150" s="46" t="str">
        <f>IFERROR(VLOOKUP($A150,Equipos!$C$2:$M$967,2,FALSE()),"")</f>
        <v>DEA</v>
      </c>
      <c r="C150" s="46" t="str">
        <f>IFERROR(VLOOKUP($A150,Equipos!$C$2:$M$967,9,FALSE()),"")</f>
        <v>122003000</v>
      </c>
      <c r="D150" s="46" t="str">
        <f>IFERROR(VLOOKUP($A150,Equipos!$C$2:$M$967,3,FALSE()),"")</f>
        <v>Prevención de Riesgos (Urgencia Adulto)</v>
      </c>
      <c r="E150" s="46" t="str">
        <f>IFERROR(VLOOKUP($A150,Equipos!$C$2:$M$967,7,FALSE()),"")</f>
        <v>DEFIBTECH</v>
      </c>
      <c r="F150" s="46" t="str">
        <f>IFERROR(VLOOKUP($A150,Equipos!$C$2:$M$967,8,FALSE()),"")</f>
        <v xml:space="preserve">LIFE LINE </v>
      </c>
      <c r="G150" s="46" t="s">
        <v>331</v>
      </c>
      <c r="H150" s="46"/>
      <c r="I150" s="46"/>
      <c r="J150" s="46" t="s">
        <v>297</v>
      </c>
      <c r="K150" s="46" t="str">
        <f>IFERROR(VLOOKUP($J150,Catálogos!$M$4:$N$17,2,FALSE()),"")</f>
        <v>Mantención Preventiva Realizada</v>
      </c>
      <c r="L150" s="46"/>
      <c r="M150" s="46"/>
      <c r="N150" s="46"/>
      <c r="O150" s="46"/>
      <c r="P150" s="46"/>
      <c r="Q150" s="46"/>
    </row>
    <row r="151" spans="1:17" hidden="1" x14ac:dyDescent="0.25">
      <c r="A151" s="47" t="s">
        <v>385</v>
      </c>
      <c r="B151" s="46" t="str">
        <f>IFERROR(VLOOKUP($A151,Equipos!$C$2:$M$967,2,FALSE()),"")</f>
        <v>DEA</v>
      </c>
      <c r="C151" s="46" t="str">
        <f>IFERROR(VLOOKUP($A151,Equipos!$C$2:$M$967,9,FALSE()),"")</f>
        <v>122003000</v>
      </c>
      <c r="D151" s="46" t="str">
        <f>IFERROR(VLOOKUP($A151,Equipos!$C$2:$M$967,3,FALSE()),"")</f>
        <v>Prevención de Riesgos (Urgencia Adulto)</v>
      </c>
      <c r="E151" s="46" t="str">
        <f>IFERROR(VLOOKUP($A151,Equipos!$C$2:$M$967,7,FALSE()),"")</f>
        <v>DEFIBTECH</v>
      </c>
      <c r="F151" s="46" t="str">
        <f>IFERROR(VLOOKUP($A151,Equipos!$C$2:$M$967,8,FALSE()),"")</f>
        <v xml:space="preserve">LIFE LINE </v>
      </c>
      <c r="G151" s="46" t="s">
        <v>298</v>
      </c>
      <c r="H151" s="46"/>
      <c r="I151" s="46"/>
      <c r="J151" s="46" t="s">
        <v>297</v>
      </c>
      <c r="K151" s="46" t="str">
        <f>IFERROR(VLOOKUP($J151,Catálogos!$M$4:$N$17,2,FALSE()),"")</f>
        <v>Mantención Preventiva Realizada</v>
      </c>
      <c r="L151" s="46"/>
      <c r="M151" s="46"/>
      <c r="N151" s="46"/>
      <c r="O151" s="46"/>
      <c r="P151" s="46"/>
      <c r="Q151" s="46"/>
    </row>
    <row r="152" spans="1:17" hidden="1" x14ac:dyDescent="0.25">
      <c r="A152" s="47" t="s">
        <v>386</v>
      </c>
      <c r="B152" s="46" t="str">
        <f>IFERROR(VLOOKUP($A152,Equipos!$C$2:$M$967,2,FALSE()),"")</f>
        <v>DEA</v>
      </c>
      <c r="C152" s="46" t="str">
        <f>IFERROR(VLOOKUP($A152,Equipos!$C$2:$M$967,9,FALSE()),"")</f>
        <v>122002981</v>
      </c>
      <c r="D152" s="46" t="str">
        <f>IFERROR(VLOOKUP($A152,Equipos!$C$2:$M$967,3,FALSE()),"")</f>
        <v>Prevención de Riesgos</v>
      </c>
      <c r="E152" s="46" t="str">
        <f>IFERROR(VLOOKUP($A152,Equipos!$C$2:$M$967,7,FALSE()),"")</f>
        <v>DEFIBTECH</v>
      </c>
      <c r="F152" s="46" t="str">
        <f>IFERROR(VLOOKUP($A152,Equipos!$C$2:$M$967,8,FALSE()),"")</f>
        <v xml:space="preserve">LIFE LINE </v>
      </c>
      <c r="G152" s="46" t="s">
        <v>335</v>
      </c>
      <c r="H152" s="46"/>
      <c r="I152" s="46"/>
      <c r="J152" s="46" t="s">
        <v>297</v>
      </c>
      <c r="K152" s="46" t="str">
        <f>IFERROR(VLOOKUP($J152,Catálogos!$M$4:$N$17,2,FALSE()),"")</f>
        <v>Mantención Preventiva Realizada</v>
      </c>
      <c r="L152" s="46"/>
      <c r="M152" s="46"/>
      <c r="N152" s="46"/>
      <c r="O152" s="46"/>
      <c r="P152" s="46"/>
      <c r="Q152" s="46"/>
    </row>
    <row r="153" spans="1:17" hidden="1" x14ac:dyDescent="0.25">
      <c r="A153" s="47" t="s">
        <v>386</v>
      </c>
      <c r="B153" s="46" t="str">
        <f>IFERROR(VLOOKUP($A153,Equipos!$C$2:$M$967,2,FALSE()),"")</f>
        <v>DEA</v>
      </c>
      <c r="C153" s="46" t="str">
        <f>IFERROR(VLOOKUP($A153,Equipos!$C$2:$M$967,9,FALSE()),"")</f>
        <v>122002981</v>
      </c>
      <c r="D153" s="46" t="str">
        <f>IFERROR(VLOOKUP($A153,Equipos!$C$2:$M$967,3,FALSE()),"")</f>
        <v>Prevención de Riesgos</v>
      </c>
      <c r="E153" s="46" t="str">
        <f>IFERROR(VLOOKUP($A153,Equipos!$C$2:$M$967,7,FALSE()),"")</f>
        <v>DEFIBTECH</v>
      </c>
      <c r="F153" s="46" t="str">
        <f>IFERROR(VLOOKUP($A153,Equipos!$C$2:$M$967,8,FALSE()),"")</f>
        <v xml:space="preserve">LIFE LINE </v>
      </c>
      <c r="G153" s="46" t="s">
        <v>296</v>
      </c>
      <c r="H153" s="46"/>
      <c r="I153" s="46"/>
      <c r="J153" s="46" t="s">
        <v>297</v>
      </c>
      <c r="K153" s="46" t="str">
        <f>IFERROR(VLOOKUP($J153,Catálogos!$M$4:$N$17,2,FALSE()),"")</f>
        <v>Mantención Preventiva Realizada</v>
      </c>
      <c r="L153" s="46"/>
      <c r="M153" s="46"/>
      <c r="N153" s="46"/>
      <c r="O153" s="46"/>
      <c r="P153" s="46"/>
      <c r="Q153" s="46"/>
    </row>
    <row r="154" spans="1:17" hidden="1" x14ac:dyDescent="0.25">
      <c r="A154" s="47" t="s">
        <v>386</v>
      </c>
      <c r="B154" s="46" t="str">
        <f>IFERROR(VLOOKUP($A154,Equipos!$C$2:$M$967,2,FALSE()),"")</f>
        <v>DEA</v>
      </c>
      <c r="C154" s="46" t="str">
        <f>IFERROR(VLOOKUP($A154,Equipos!$C$2:$M$967,9,FALSE()),"")</f>
        <v>122002981</v>
      </c>
      <c r="D154" s="46" t="str">
        <f>IFERROR(VLOOKUP($A154,Equipos!$C$2:$M$967,3,FALSE()),"")</f>
        <v>Prevención de Riesgos</v>
      </c>
      <c r="E154" s="46" t="str">
        <f>IFERROR(VLOOKUP($A154,Equipos!$C$2:$M$967,7,FALSE()),"")</f>
        <v>DEFIBTECH</v>
      </c>
      <c r="F154" s="46" t="str">
        <f>IFERROR(VLOOKUP($A154,Equipos!$C$2:$M$967,8,FALSE()),"")</f>
        <v xml:space="preserve">LIFE LINE </v>
      </c>
      <c r="G154" s="46" t="s">
        <v>316</v>
      </c>
      <c r="H154" s="46"/>
      <c r="I154" s="46"/>
      <c r="J154" s="46" t="s">
        <v>297</v>
      </c>
      <c r="K154" s="46" t="str">
        <f>IFERROR(VLOOKUP($J154,Catálogos!$M$4:$N$17,2,FALSE()),"")</f>
        <v>Mantención Preventiva Realizada</v>
      </c>
      <c r="L154" s="46"/>
      <c r="M154" s="46"/>
      <c r="N154" s="46"/>
      <c r="O154" s="46"/>
      <c r="P154" s="46"/>
      <c r="Q154" s="46"/>
    </row>
    <row r="155" spans="1:17" hidden="1" x14ac:dyDescent="0.25">
      <c r="A155" s="47" t="s">
        <v>386</v>
      </c>
      <c r="B155" s="46" t="str">
        <f>IFERROR(VLOOKUP($A155,Equipos!$C$2:$M$967,2,FALSE()),"")</f>
        <v>DEA</v>
      </c>
      <c r="C155" s="46" t="str">
        <f>IFERROR(VLOOKUP($A155,Equipos!$C$2:$M$967,9,FALSE()),"")</f>
        <v>122002981</v>
      </c>
      <c r="D155" s="46" t="str">
        <f>IFERROR(VLOOKUP($A155,Equipos!$C$2:$M$967,3,FALSE()),"")</f>
        <v>Prevención de Riesgos</v>
      </c>
      <c r="E155" s="46" t="str">
        <f>IFERROR(VLOOKUP($A155,Equipos!$C$2:$M$967,7,FALSE()),"")</f>
        <v>DEFIBTECH</v>
      </c>
      <c r="F155" s="46" t="str">
        <f>IFERROR(VLOOKUP($A155,Equipos!$C$2:$M$967,8,FALSE()),"")</f>
        <v xml:space="preserve">LIFE LINE </v>
      </c>
      <c r="G155" s="46" t="s">
        <v>331</v>
      </c>
      <c r="H155" s="46"/>
      <c r="I155" s="46"/>
      <c r="J155" s="46" t="s">
        <v>297</v>
      </c>
      <c r="K155" s="46" t="str">
        <f>IFERROR(VLOOKUP($J155,Catálogos!$M$4:$N$17,2,FALSE()),"")</f>
        <v>Mantención Preventiva Realizada</v>
      </c>
      <c r="L155" s="46"/>
      <c r="M155" s="46"/>
      <c r="N155" s="46"/>
      <c r="O155" s="46"/>
      <c r="P155" s="46"/>
      <c r="Q155" s="46"/>
    </row>
    <row r="156" spans="1:17" hidden="1" x14ac:dyDescent="0.25">
      <c r="A156" s="47" t="s">
        <v>386</v>
      </c>
      <c r="B156" s="46" t="str">
        <f>IFERROR(VLOOKUP($A156,Equipos!$C$2:$M$967,2,FALSE()),"")</f>
        <v>DEA</v>
      </c>
      <c r="C156" s="46" t="str">
        <f>IFERROR(VLOOKUP($A156,Equipos!$C$2:$M$967,9,FALSE()),"")</f>
        <v>122002981</v>
      </c>
      <c r="D156" s="46" t="str">
        <f>IFERROR(VLOOKUP($A156,Equipos!$C$2:$M$967,3,FALSE()),"")</f>
        <v>Prevención de Riesgos</v>
      </c>
      <c r="E156" s="46" t="str">
        <f>IFERROR(VLOOKUP($A156,Equipos!$C$2:$M$967,7,FALSE()),"")</f>
        <v>DEFIBTECH</v>
      </c>
      <c r="F156" s="46" t="str">
        <f>IFERROR(VLOOKUP($A156,Equipos!$C$2:$M$967,8,FALSE()),"")</f>
        <v xml:space="preserve">LIFE LINE </v>
      </c>
      <c r="G156" s="46" t="s">
        <v>298</v>
      </c>
      <c r="H156" s="46"/>
      <c r="I156" s="46"/>
      <c r="J156" s="46" t="s">
        <v>297</v>
      </c>
      <c r="K156" s="46" t="str">
        <f>IFERROR(VLOOKUP($J156,Catálogos!$M$4:$N$17,2,FALSE()),"")</f>
        <v>Mantención Preventiva Realizada</v>
      </c>
      <c r="L156" s="46"/>
      <c r="M156" s="46"/>
      <c r="N156" s="46"/>
      <c r="O156" s="46"/>
      <c r="P156" s="46"/>
      <c r="Q156" s="46"/>
    </row>
    <row r="157" spans="1:17" hidden="1" x14ac:dyDescent="0.25">
      <c r="A157" s="47" t="s">
        <v>387</v>
      </c>
      <c r="B157" s="46" t="str">
        <f>IFERROR(VLOOKUP($A157,Equipos!$C$2:$M$967,2,FALSE()),"")</f>
        <v>DEA</v>
      </c>
      <c r="C157" s="46" t="str">
        <f>IFERROR(VLOOKUP($A157,Equipos!$C$2:$M$967,9,FALSE()),"")</f>
        <v>122002983</v>
      </c>
      <c r="D157" s="46" t="str">
        <f>IFERROR(VLOOKUP($A157,Equipos!$C$2:$M$967,3,FALSE()),"")</f>
        <v>Prevención de Riesgos</v>
      </c>
      <c r="E157" s="46" t="str">
        <f>IFERROR(VLOOKUP($A157,Equipos!$C$2:$M$967,7,FALSE()),"")</f>
        <v>DEFIBTECH</v>
      </c>
      <c r="F157" s="46" t="str">
        <f>IFERROR(VLOOKUP($A157,Equipos!$C$2:$M$967,8,FALSE()),"")</f>
        <v xml:space="preserve">LIFE LINE </v>
      </c>
      <c r="G157" s="46" t="s">
        <v>335</v>
      </c>
      <c r="H157" s="46"/>
      <c r="I157" s="46"/>
      <c r="J157" s="46" t="s">
        <v>297</v>
      </c>
      <c r="K157" s="46" t="str">
        <f>IFERROR(VLOOKUP($J157,Catálogos!$M$4:$N$17,2,FALSE()),"")</f>
        <v>Mantención Preventiva Realizada</v>
      </c>
      <c r="L157" s="46"/>
      <c r="M157" s="46"/>
      <c r="N157" s="46"/>
      <c r="O157" s="46"/>
      <c r="P157" s="46"/>
      <c r="Q157" s="46"/>
    </row>
    <row r="158" spans="1:17" hidden="1" x14ac:dyDescent="0.25">
      <c r="A158" s="47" t="s">
        <v>387</v>
      </c>
      <c r="B158" s="46" t="str">
        <f>IFERROR(VLOOKUP($A158,Equipos!$C$2:$M$967,2,FALSE()),"")</f>
        <v>DEA</v>
      </c>
      <c r="C158" s="46" t="str">
        <f>IFERROR(VLOOKUP($A158,Equipos!$C$2:$M$967,9,FALSE()),"")</f>
        <v>122002983</v>
      </c>
      <c r="D158" s="46" t="str">
        <f>IFERROR(VLOOKUP($A158,Equipos!$C$2:$M$967,3,FALSE()),"")</f>
        <v>Prevención de Riesgos</v>
      </c>
      <c r="E158" s="46" t="str">
        <f>IFERROR(VLOOKUP($A158,Equipos!$C$2:$M$967,7,FALSE()),"")</f>
        <v>DEFIBTECH</v>
      </c>
      <c r="F158" s="46" t="str">
        <f>IFERROR(VLOOKUP($A158,Equipos!$C$2:$M$967,8,FALSE()),"")</f>
        <v xml:space="preserve">LIFE LINE </v>
      </c>
      <c r="G158" s="46" t="s">
        <v>296</v>
      </c>
      <c r="H158" s="46"/>
      <c r="I158" s="46"/>
      <c r="J158" s="46" t="s">
        <v>297</v>
      </c>
      <c r="K158" s="46" t="str">
        <f>IFERROR(VLOOKUP($J158,Catálogos!$M$4:$N$17,2,FALSE()),"")</f>
        <v>Mantención Preventiva Realizada</v>
      </c>
      <c r="L158" s="46"/>
      <c r="M158" s="46"/>
      <c r="N158" s="46"/>
      <c r="O158" s="46"/>
      <c r="P158" s="46"/>
      <c r="Q158" s="46"/>
    </row>
    <row r="159" spans="1:17" hidden="1" x14ac:dyDescent="0.25">
      <c r="A159" s="47" t="s">
        <v>387</v>
      </c>
      <c r="B159" s="46" t="str">
        <f>IFERROR(VLOOKUP($A159,Equipos!$C$2:$M$967,2,FALSE()),"")</f>
        <v>DEA</v>
      </c>
      <c r="C159" s="46" t="str">
        <f>IFERROR(VLOOKUP($A159,Equipos!$C$2:$M$967,9,FALSE()),"")</f>
        <v>122002983</v>
      </c>
      <c r="D159" s="46" t="str">
        <f>IFERROR(VLOOKUP($A159,Equipos!$C$2:$M$967,3,FALSE()),"")</f>
        <v>Prevención de Riesgos</v>
      </c>
      <c r="E159" s="46" t="str">
        <f>IFERROR(VLOOKUP($A159,Equipos!$C$2:$M$967,7,FALSE()),"")</f>
        <v>DEFIBTECH</v>
      </c>
      <c r="F159" s="46" t="str">
        <f>IFERROR(VLOOKUP($A159,Equipos!$C$2:$M$967,8,FALSE()),"")</f>
        <v xml:space="preserve">LIFE LINE </v>
      </c>
      <c r="G159" s="46" t="s">
        <v>316</v>
      </c>
      <c r="H159" s="46"/>
      <c r="I159" s="46"/>
      <c r="J159" s="46" t="s">
        <v>297</v>
      </c>
      <c r="K159" s="46" t="str">
        <f>IFERROR(VLOOKUP($J159,Catálogos!$M$4:$N$17,2,FALSE()),"")</f>
        <v>Mantención Preventiva Realizada</v>
      </c>
      <c r="L159" s="46"/>
      <c r="M159" s="46"/>
      <c r="N159" s="46"/>
      <c r="O159" s="46"/>
      <c r="P159" s="46"/>
      <c r="Q159" s="46"/>
    </row>
    <row r="160" spans="1:17" hidden="1" x14ac:dyDescent="0.25">
      <c r="A160" s="47" t="s">
        <v>387</v>
      </c>
      <c r="B160" s="46" t="str">
        <f>IFERROR(VLOOKUP($A160,Equipos!$C$2:$M$967,2,FALSE()),"")</f>
        <v>DEA</v>
      </c>
      <c r="C160" s="46" t="str">
        <f>IFERROR(VLOOKUP($A160,Equipos!$C$2:$M$967,9,FALSE()),"")</f>
        <v>122002983</v>
      </c>
      <c r="D160" s="46" t="str">
        <f>IFERROR(VLOOKUP($A160,Equipos!$C$2:$M$967,3,FALSE()),"")</f>
        <v>Prevención de Riesgos</v>
      </c>
      <c r="E160" s="46" t="str">
        <f>IFERROR(VLOOKUP($A160,Equipos!$C$2:$M$967,7,FALSE()),"")</f>
        <v>DEFIBTECH</v>
      </c>
      <c r="F160" s="46" t="str">
        <f>IFERROR(VLOOKUP($A160,Equipos!$C$2:$M$967,8,FALSE()),"")</f>
        <v xml:space="preserve">LIFE LINE </v>
      </c>
      <c r="G160" s="46" t="s">
        <v>331</v>
      </c>
      <c r="H160" s="46"/>
      <c r="I160" s="46"/>
      <c r="J160" s="46" t="s">
        <v>297</v>
      </c>
      <c r="K160" s="46" t="str">
        <f>IFERROR(VLOOKUP($J160,Catálogos!$M$4:$N$17,2,FALSE()),"")</f>
        <v>Mantención Preventiva Realizada</v>
      </c>
      <c r="L160" s="46"/>
      <c r="M160" s="46"/>
      <c r="N160" s="46"/>
      <c r="O160" s="46"/>
      <c r="P160" s="46"/>
      <c r="Q160" s="46"/>
    </row>
    <row r="161" spans="1:17" hidden="1" x14ac:dyDescent="0.25">
      <c r="A161" s="47" t="s">
        <v>387</v>
      </c>
      <c r="B161" s="46" t="str">
        <f>IFERROR(VLOOKUP($A161,Equipos!$C$2:$M$967,2,FALSE()),"")</f>
        <v>DEA</v>
      </c>
      <c r="C161" s="46" t="str">
        <f>IFERROR(VLOOKUP($A161,Equipos!$C$2:$M$967,9,FALSE()),"")</f>
        <v>122002983</v>
      </c>
      <c r="D161" s="46" t="str">
        <f>IFERROR(VLOOKUP($A161,Equipos!$C$2:$M$967,3,FALSE()),"")</f>
        <v>Prevención de Riesgos</v>
      </c>
      <c r="E161" s="46" t="str">
        <f>IFERROR(VLOOKUP($A161,Equipos!$C$2:$M$967,7,FALSE()),"")</f>
        <v>DEFIBTECH</v>
      </c>
      <c r="F161" s="46" t="str">
        <f>IFERROR(VLOOKUP($A161,Equipos!$C$2:$M$967,8,FALSE()),"")</f>
        <v xml:space="preserve">LIFE LINE </v>
      </c>
      <c r="G161" s="46" t="s">
        <v>298</v>
      </c>
      <c r="H161" s="46"/>
      <c r="I161" s="46"/>
      <c r="J161" s="46" t="s">
        <v>297</v>
      </c>
      <c r="K161" s="46" t="str">
        <f>IFERROR(VLOOKUP($J161,Catálogos!$M$4:$N$17,2,FALSE()),"")</f>
        <v>Mantención Preventiva Realizada</v>
      </c>
      <c r="L161" s="46"/>
      <c r="M161" s="46"/>
      <c r="N161" s="46"/>
      <c r="O161" s="46"/>
      <c r="P161" s="46"/>
      <c r="Q161" s="46"/>
    </row>
    <row r="162" spans="1:17" hidden="1" x14ac:dyDescent="0.25">
      <c r="A162" s="47" t="s">
        <v>388</v>
      </c>
      <c r="B162" s="46" t="str">
        <f>IFERROR(VLOOKUP($A162,Equipos!$C$2:$M$967,2,FALSE()),"")</f>
        <v>DEA</v>
      </c>
      <c r="C162" s="46" t="str">
        <f>IFERROR(VLOOKUP($A162,Equipos!$C$2:$M$967,9,FALSE()),"")</f>
        <v>122002988</v>
      </c>
      <c r="D162" s="46" t="str">
        <f>IFERROR(VLOOKUP($A162,Equipos!$C$2:$M$967,3,FALSE()),"")</f>
        <v>Prevención de Riesgos</v>
      </c>
      <c r="E162" s="46" t="str">
        <f>IFERROR(VLOOKUP($A162,Equipos!$C$2:$M$967,7,FALSE()),"")</f>
        <v>DEFIBTECH</v>
      </c>
      <c r="F162" s="46" t="str">
        <f>IFERROR(VLOOKUP($A162,Equipos!$C$2:$M$967,8,FALSE()),"")</f>
        <v xml:space="preserve">LIFE LINE </v>
      </c>
      <c r="G162" s="46" t="s">
        <v>335</v>
      </c>
      <c r="H162" s="46"/>
      <c r="I162" s="46"/>
      <c r="J162" s="46" t="s">
        <v>297</v>
      </c>
      <c r="K162" s="46" t="str">
        <f>IFERROR(VLOOKUP($J162,Catálogos!$M$4:$N$17,2,FALSE()),"")</f>
        <v>Mantención Preventiva Realizada</v>
      </c>
      <c r="L162" s="46"/>
      <c r="M162" s="46"/>
      <c r="N162" s="46"/>
      <c r="O162" s="46"/>
      <c r="P162" s="46"/>
      <c r="Q162" s="46"/>
    </row>
    <row r="163" spans="1:17" hidden="1" x14ac:dyDescent="0.25">
      <c r="A163" s="47" t="s">
        <v>388</v>
      </c>
      <c r="B163" s="46" t="str">
        <f>IFERROR(VLOOKUP($A163,Equipos!$C$2:$M$967,2,FALSE()),"")</f>
        <v>DEA</v>
      </c>
      <c r="C163" s="46" t="str">
        <f>IFERROR(VLOOKUP($A163,Equipos!$C$2:$M$967,9,FALSE()),"")</f>
        <v>122002988</v>
      </c>
      <c r="D163" s="46" t="str">
        <f>IFERROR(VLOOKUP($A163,Equipos!$C$2:$M$967,3,FALSE()),"")</f>
        <v>Prevención de Riesgos</v>
      </c>
      <c r="E163" s="46" t="str">
        <f>IFERROR(VLOOKUP($A163,Equipos!$C$2:$M$967,7,FALSE()),"")</f>
        <v>DEFIBTECH</v>
      </c>
      <c r="F163" s="46" t="str">
        <f>IFERROR(VLOOKUP($A163,Equipos!$C$2:$M$967,8,FALSE()),"")</f>
        <v xml:space="preserve">LIFE LINE </v>
      </c>
      <c r="G163" s="46" t="s">
        <v>296</v>
      </c>
      <c r="H163" s="46"/>
      <c r="I163" s="46"/>
      <c r="J163" s="46" t="s">
        <v>297</v>
      </c>
      <c r="K163" s="46" t="str">
        <f>IFERROR(VLOOKUP($J163,Catálogos!$M$4:$N$17,2,FALSE()),"")</f>
        <v>Mantención Preventiva Realizada</v>
      </c>
      <c r="L163" s="46"/>
      <c r="M163" s="46"/>
      <c r="N163" s="46"/>
      <c r="O163" s="46"/>
      <c r="P163" s="46"/>
      <c r="Q163" s="46"/>
    </row>
    <row r="164" spans="1:17" hidden="1" x14ac:dyDescent="0.25">
      <c r="A164" s="47" t="s">
        <v>388</v>
      </c>
      <c r="B164" s="46" t="str">
        <f>IFERROR(VLOOKUP($A164,Equipos!$C$2:$M$967,2,FALSE()),"")</f>
        <v>DEA</v>
      </c>
      <c r="C164" s="46" t="str">
        <f>IFERROR(VLOOKUP($A164,Equipos!$C$2:$M$967,9,FALSE()),"")</f>
        <v>122002988</v>
      </c>
      <c r="D164" s="46" t="str">
        <f>IFERROR(VLOOKUP($A164,Equipos!$C$2:$M$967,3,FALSE()),"")</f>
        <v>Prevención de Riesgos</v>
      </c>
      <c r="E164" s="46" t="str">
        <f>IFERROR(VLOOKUP($A164,Equipos!$C$2:$M$967,7,FALSE()),"")</f>
        <v>DEFIBTECH</v>
      </c>
      <c r="F164" s="46" t="str">
        <f>IFERROR(VLOOKUP($A164,Equipos!$C$2:$M$967,8,FALSE()),"")</f>
        <v xml:space="preserve">LIFE LINE </v>
      </c>
      <c r="G164" s="46" t="s">
        <v>316</v>
      </c>
      <c r="H164" s="46"/>
      <c r="I164" s="46"/>
      <c r="J164" s="46" t="s">
        <v>297</v>
      </c>
      <c r="K164" s="46" t="str">
        <f>IFERROR(VLOOKUP($J164,Catálogos!$M$4:$N$17,2,FALSE()),"")</f>
        <v>Mantención Preventiva Realizada</v>
      </c>
      <c r="L164" s="46"/>
      <c r="M164" s="46"/>
      <c r="N164" s="46"/>
      <c r="O164" s="46"/>
      <c r="P164" s="46"/>
      <c r="Q164" s="46"/>
    </row>
    <row r="165" spans="1:17" hidden="1" x14ac:dyDescent="0.25">
      <c r="A165" s="47" t="s">
        <v>388</v>
      </c>
      <c r="B165" s="46" t="str">
        <f>IFERROR(VLOOKUP($A165,Equipos!$C$2:$M$967,2,FALSE()),"")</f>
        <v>DEA</v>
      </c>
      <c r="C165" s="46" t="str">
        <f>IFERROR(VLOOKUP($A165,Equipos!$C$2:$M$967,9,FALSE()),"")</f>
        <v>122002988</v>
      </c>
      <c r="D165" s="46" t="str">
        <f>IFERROR(VLOOKUP($A165,Equipos!$C$2:$M$967,3,FALSE()),"")</f>
        <v>Prevención de Riesgos</v>
      </c>
      <c r="E165" s="46" t="str">
        <f>IFERROR(VLOOKUP($A165,Equipos!$C$2:$M$967,7,FALSE()),"")</f>
        <v>DEFIBTECH</v>
      </c>
      <c r="F165" s="46" t="str">
        <f>IFERROR(VLOOKUP($A165,Equipos!$C$2:$M$967,8,FALSE()),"")</f>
        <v xml:space="preserve">LIFE LINE </v>
      </c>
      <c r="G165" s="46" t="s">
        <v>331</v>
      </c>
      <c r="H165" s="46"/>
      <c r="I165" s="46"/>
      <c r="J165" s="46" t="s">
        <v>297</v>
      </c>
      <c r="K165" s="46" t="str">
        <f>IFERROR(VLOOKUP($J165,Catálogos!$M$4:$N$17,2,FALSE()),"")</f>
        <v>Mantención Preventiva Realizada</v>
      </c>
      <c r="L165" s="46"/>
      <c r="M165" s="46"/>
      <c r="N165" s="46"/>
      <c r="O165" s="46"/>
      <c r="P165" s="46"/>
      <c r="Q165" s="46"/>
    </row>
    <row r="166" spans="1:17" hidden="1" x14ac:dyDescent="0.25">
      <c r="A166" s="47" t="s">
        <v>388</v>
      </c>
      <c r="B166" s="46" t="str">
        <f>IFERROR(VLOOKUP($A166,Equipos!$C$2:$M$967,2,FALSE()),"")</f>
        <v>DEA</v>
      </c>
      <c r="C166" s="46" t="str">
        <f>IFERROR(VLOOKUP($A166,Equipos!$C$2:$M$967,9,FALSE()),"")</f>
        <v>122002988</v>
      </c>
      <c r="D166" s="46" t="str">
        <f>IFERROR(VLOOKUP($A166,Equipos!$C$2:$M$967,3,FALSE()),"")</f>
        <v>Prevención de Riesgos</v>
      </c>
      <c r="E166" s="46" t="str">
        <f>IFERROR(VLOOKUP($A166,Equipos!$C$2:$M$967,7,FALSE()),"")</f>
        <v>DEFIBTECH</v>
      </c>
      <c r="F166" s="46" t="str">
        <f>IFERROR(VLOOKUP($A166,Equipos!$C$2:$M$967,8,FALSE()),"")</f>
        <v xml:space="preserve">LIFE LINE </v>
      </c>
      <c r="G166" s="46" t="s">
        <v>298</v>
      </c>
      <c r="H166" s="46"/>
      <c r="I166" s="46"/>
      <c r="J166" s="46" t="s">
        <v>297</v>
      </c>
      <c r="K166" s="46" t="str">
        <f>IFERROR(VLOOKUP($J166,Catálogos!$M$4:$N$17,2,FALSE()),"")</f>
        <v>Mantención Preventiva Realizada</v>
      </c>
      <c r="L166" s="46"/>
      <c r="M166" s="46"/>
      <c r="N166" s="46"/>
      <c r="O166" s="46"/>
      <c r="P166" s="46"/>
      <c r="Q166" s="46"/>
    </row>
    <row r="167" spans="1:17" hidden="1" x14ac:dyDescent="0.25">
      <c r="A167" s="47" t="s">
        <v>389</v>
      </c>
      <c r="B167" s="46" t="str">
        <f>IFERROR(VLOOKUP($A167,Equipos!$C$2:$M$967,2,FALSE()),"")</f>
        <v>DEA</v>
      </c>
      <c r="C167" s="46" t="str">
        <f>IFERROR(VLOOKUP($A167,Equipos!$C$2:$M$967,9,FALSE()),"")</f>
        <v>122002985</v>
      </c>
      <c r="D167" s="46" t="str">
        <f>IFERROR(VLOOKUP($A167,Equipos!$C$2:$M$967,3,FALSE()),"")</f>
        <v>Prevención de Riesgos</v>
      </c>
      <c r="E167" s="46" t="str">
        <f>IFERROR(VLOOKUP($A167,Equipos!$C$2:$M$967,7,FALSE()),"")</f>
        <v>DEFIBTECH</v>
      </c>
      <c r="F167" s="46" t="str">
        <f>IFERROR(VLOOKUP($A167,Equipos!$C$2:$M$967,8,FALSE()),"")</f>
        <v xml:space="preserve">LIFE LINE </v>
      </c>
      <c r="G167" s="46" t="s">
        <v>335</v>
      </c>
      <c r="H167" s="46"/>
      <c r="I167" s="46"/>
      <c r="J167" s="46" t="s">
        <v>297</v>
      </c>
      <c r="K167" s="46" t="str">
        <f>IFERROR(VLOOKUP($J167,Catálogos!$M$4:$N$17,2,FALSE()),"")</f>
        <v>Mantención Preventiva Realizada</v>
      </c>
      <c r="L167" s="46"/>
      <c r="M167" s="46"/>
      <c r="N167" s="46"/>
      <c r="O167" s="46"/>
      <c r="P167" s="46"/>
      <c r="Q167" s="46"/>
    </row>
    <row r="168" spans="1:17" hidden="1" x14ac:dyDescent="0.25">
      <c r="A168" s="47" t="s">
        <v>389</v>
      </c>
      <c r="B168" s="46" t="str">
        <f>IFERROR(VLOOKUP($A168,Equipos!$C$2:$M$967,2,FALSE()),"")</f>
        <v>DEA</v>
      </c>
      <c r="C168" s="46" t="str">
        <f>IFERROR(VLOOKUP($A168,Equipos!$C$2:$M$967,9,FALSE()),"")</f>
        <v>122002985</v>
      </c>
      <c r="D168" s="46" t="str">
        <f>IFERROR(VLOOKUP($A168,Equipos!$C$2:$M$967,3,FALSE()),"")</f>
        <v>Prevención de Riesgos</v>
      </c>
      <c r="E168" s="46" t="str">
        <f>IFERROR(VLOOKUP($A168,Equipos!$C$2:$M$967,7,FALSE()),"")</f>
        <v>DEFIBTECH</v>
      </c>
      <c r="F168" s="46" t="str">
        <f>IFERROR(VLOOKUP($A168,Equipos!$C$2:$M$967,8,FALSE()),"")</f>
        <v xml:space="preserve">LIFE LINE </v>
      </c>
      <c r="G168" s="46" t="s">
        <v>296</v>
      </c>
      <c r="H168" s="46"/>
      <c r="I168" s="46"/>
      <c r="J168" s="46" t="s">
        <v>297</v>
      </c>
      <c r="K168" s="46" t="str">
        <f>IFERROR(VLOOKUP($J168,Catálogos!$M$4:$N$17,2,FALSE()),"")</f>
        <v>Mantención Preventiva Realizada</v>
      </c>
      <c r="L168" s="46"/>
      <c r="M168" s="46"/>
      <c r="N168" s="46"/>
      <c r="O168" s="46"/>
      <c r="P168" s="46"/>
      <c r="Q168" s="46"/>
    </row>
    <row r="169" spans="1:17" hidden="1" x14ac:dyDescent="0.25">
      <c r="A169" s="47" t="s">
        <v>389</v>
      </c>
      <c r="B169" s="46" t="str">
        <f>IFERROR(VLOOKUP($A169,Equipos!$C$2:$M$967,2,FALSE()),"")</f>
        <v>DEA</v>
      </c>
      <c r="C169" s="46" t="str">
        <f>IFERROR(VLOOKUP($A169,Equipos!$C$2:$M$967,9,FALSE()),"")</f>
        <v>122002985</v>
      </c>
      <c r="D169" s="46" t="str">
        <f>IFERROR(VLOOKUP($A169,Equipos!$C$2:$M$967,3,FALSE()),"")</f>
        <v>Prevención de Riesgos</v>
      </c>
      <c r="E169" s="46" t="str">
        <f>IFERROR(VLOOKUP($A169,Equipos!$C$2:$M$967,7,FALSE()),"")</f>
        <v>DEFIBTECH</v>
      </c>
      <c r="F169" s="46" t="str">
        <f>IFERROR(VLOOKUP($A169,Equipos!$C$2:$M$967,8,FALSE()),"")</f>
        <v xml:space="preserve">LIFE LINE </v>
      </c>
      <c r="G169" s="46" t="s">
        <v>316</v>
      </c>
      <c r="H169" s="46"/>
      <c r="I169" s="46"/>
      <c r="J169" s="46" t="s">
        <v>297</v>
      </c>
      <c r="K169" s="46" t="str">
        <f>IFERROR(VLOOKUP($J169,Catálogos!$M$4:$N$17,2,FALSE()),"")</f>
        <v>Mantención Preventiva Realizada</v>
      </c>
      <c r="L169" s="46"/>
      <c r="M169" s="46"/>
      <c r="N169" s="46"/>
      <c r="O169" s="46"/>
      <c r="P169" s="46"/>
      <c r="Q169" s="46"/>
    </row>
    <row r="170" spans="1:17" hidden="1" x14ac:dyDescent="0.25">
      <c r="A170" s="47" t="s">
        <v>389</v>
      </c>
      <c r="B170" s="46" t="str">
        <f>IFERROR(VLOOKUP($A170,Equipos!$C$2:$M$967,2,FALSE()),"")</f>
        <v>DEA</v>
      </c>
      <c r="C170" s="46" t="str">
        <f>IFERROR(VLOOKUP($A170,Equipos!$C$2:$M$967,9,FALSE()),"")</f>
        <v>122002985</v>
      </c>
      <c r="D170" s="46" t="str">
        <f>IFERROR(VLOOKUP($A170,Equipos!$C$2:$M$967,3,FALSE()),"")</f>
        <v>Prevención de Riesgos</v>
      </c>
      <c r="E170" s="46" t="str">
        <f>IFERROR(VLOOKUP($A170,Equipos!$C$2:$M$967,7,FALSE()),"")</f>
        <v>DEFIBTECH</v>
      </c>
      <c r="F170" s="46" t="str">
        <f>IFERROR(VLOOKUP($A170,Equipos!$C$2:$M$967,8,FALSE()),"")</f>
        <v xml:space="preserve">LIFE LINE </v>
      </c>
      <c r="G170" s="46" t="s">
        <v>331</v>
      </c>
      <c r="H170" s="46"/>
      <c r="I170" s="46"/>
      <c r="J170" s="46" t="s">
        <v>297</v>
      </c>
      <c r="K170" s="46" t="str">
        <f>IFERROR(VLOOKUP($J170,Catálogos!$M$4:$N$17,2,FALSE()),"")</f>
        <v>Mantención Preventiva Realizada</v>
      </c>
      <c r="L170" s="46"/>
      <c r="M170" s="46"/>
      <c r="N170" s="46"/>
      <c r="O170" s="46"/>
      <c r="P170" s="46"/>
      <c r="Q170" s="46"/>
    </row>
    <row r="171" spans="1:17" hidden="1" x14ac:dyDescent="0.25">
      <c r="A171" s="47" t="s">
        <v>389</v>
      </c>
      <c r="B171" s="46" t="str">
        <f>IFERROR(VLOOKUP($A171,Equipos!$C$2:$M$967,2,FALSE()),"")</f>
        <v>DEA</v>
      </c>
      <c r="C171" s="46" t="str">
        <f>IFERROR(VLOOKUP($A171,Equipos!$C$2:$M$967,9,FALSE()),"")</f>
        <v>122002985</v>
      </c>
      <c r="D171" s="46" t="str">
        <f>IFERROR(VLOOKUP($A171,Equipos!$C$2:$M$967,3,FALSE()),"")</f>
        <v>Prevención de Riesgos</v>
      </c>
      <c r="E171" s="46" t="str">
        <f>IFERROR(VLOOKUP($A171,Equipos!$C$2:$M$967,7,FALSE()),"")</f>
        <v>DEFIBTECH</v>
      </c>
      <c r="F171" s="46" t="str">
        <f>IFERROR(VLOOKUP($A171,Equipos!$C$2:$M$967,8,FALSE()),"")</f>
        <v xml:space="preserve">LIFE LINE </v>
      </c>
      <c r="G171" s="46" t="s">
        <v>298</v>
      </c>
      <c r="H171" s="46"/>
      <c r="I171" s="46"/>
      <c r="J171" s="46" t="s">
        <v>297</v>
      </c>
      <c r="K171" s="46" t="str">
        <f>IFERROR(VLOOKUP($J171,Catálogos!$M$4:$N$17,2,FALSE()),"")</f>
        <v>Mantención Preventiva Realizada</v>
      </c>
      <c r="L171" s="46"/>
      <c r="M171" s="46"/>
      <c r="N171" s="46"/>
      <c r="O171" s="46"/>
      <c r="P171" s="46"/>
      <c r="Q171" s="46"/>
    </row>
    <row r="172" spans="1:17" hidden="1" x14ac:dyDescent="0.25">
      <c r="A172" s="47" t="s">
        <v>390</v>
      </c>
      <c r="B172" s="46" t="str">
        <f>IFERROR(VLOOKUP($A172,Equipos!$C$2:$M$967,2,FALSE()),"")</f>
        <v>DEA</v>
      </c>
      <c r="C172" s="46" t="str">
        <f>IFERROR(VLOOKUP($A172,Equipos!$C$2:$M$967,9,FALSE()),"")</f>
        <v>40361</v>
      </c>
      <c r="D172" s="46" t="str">
        <f>IFERROR(VLOOKUP($A172,Equipos!$C$2:$M$967,3,FALSE()),"")</f>
        <v>CDT</v>
      </c>
      <c r="E172" s="46" t="str">
        <f>IFERROR(VLOOKUP($A172,Equipos!$C$2:$M$967,7,FALSE()),"")</f>
        <v>Nihon Kohden</v>
      </c>
      <c r="F172" s="46" t="str">
        <f>IFERROR(VLOOKUP($A172,Equipos!$C$2:$M$967,8,FALSE()),"")</f>
        <v>AED-3100K</v>
      </c>
      <c r="G172" s="46" t="s">
        <v>335</v>
      </c>
      <c r="H172" s="46"/>
      <c r="I172" s="46"/>
      <c r="J172" s="46" t="s">
        <v>297</v>
      </c>
      <c r="K172" s="46" t="str">
        <f>IFERROR(VLOOKUP($J172,Catálogos!$M$4:$N$17,2,FALSE()),"")</f>
        <v>Mantención Preventiva Realizada</v>
      </c>
      <c r="L172" s="46"/>
      <c r="M172" s="46"/>
      <c r="N172" s="46"/>
      <c r="O172" s="46"/>
      <c r="P172" s="46"/>
      <c r="Q172" s="46"/>
    </row>
    <row r="173" spans="1:17" hidden="1" x14ac:dyDescent="0.25">
      <c r="A173" s="47" t="s">
        <v>390</v>
      </c>
      <c r="B173" s="46" t="str">
        <f>IFERROR(VLOOKUP($A173,Equipos!$C$2:$M$967,2,FALSE()),"")</f>
        <v>DEA</v>
      </c>
      <c r="C173" s="46" t="str">
        <f>IFERROR(VLOOKUP($A173,Equipos!$C$2:$M$967,9,FALSE()),"")</f>
        <v>40361</v>
      </c>
      <c r="D173" s="46" t="str">
        <f>IFERROR(VLOOKUP($A173,Equipos!$C$2:$M$967,3,FALSE()),"")</f>
        <v>CDT</v>
      </c>
      <c r="E173" s="46" t="str">
        <f>IFERROR(VLOOKUP($A173,Equipos!$C$2:$M$967,7,FALSE()),"")</f>
        <v>Nihon Kohden</v>
      </c>
      <c r="F173" s="46" t="str">
        <f>IFERROR(VLOOKUP($A173,Equipos!$C$2:$M$967,8,FALSE()),"")</f>
        <v>AED-3100K</v>
      </c>
      <c r="G173" s="46" t="s">
        <v>296</v>
      </c>
      <c r="H173" s="46"/>
      <c r="I173" s="46"/>
      <c r="J173" s="46" t="s">
        <v>297</v>
      </c>
      <c r="K173" s="46" t="str">
        <f>IFERROR(VLOOKUP($J173,Catálogos!$M$4:$N$17,2,FALSE()),"")</f>
        <v>Mantención Preventiva Realizada</v>
      </c>
      <c r="L173" s="46"/>
      <c r="M173" s="46"/>
      <c r="N173" s="46"/>
      <c r="O173" s="46"/>
      <c r="P173" s="46"/>
      <c r="Q173" s="46"/>
    </row>
    <row r="174" spans="1:17" hidden="1" x14ac:dyDescent="0.25">
      <c r="A174" s="47" t="s">
        <v>390</v>
      </c>
      <c r="B174" s="46" t="str">
        <f>IFERROR(VLOOKUP($A174,Equipos!$C$2:$M$967,2,FALSE()),"")</f>
        <v>DEA</v>
      </c>
      <c r="C174" s="46" t="str">
        <f>IFERROR(VLOOKUP($A174,Equipos!$C$2:$M$967,9,FALSE()),"")</f>
        <v>40361</v>
      </c>
      <c r="D174" s="46" t="str">
        <f>IFERROR(VLOOKUP($A174,Equipos!$C$2:$M$967,3,FALSE()),"")</f>
        <v>CDT</v>
      </c>
      <c r="E174" s="46" t="str">
        <f>IFERROR(VLOOKUP($A174,Equipos!$C$2:$M$967,7,FALSE()),"")</f>
        <v>Nihon Kohden</v>
      </c>
      <c r="F174" s="46" t="str">
        <f>IFERROR(VLOOKUP($A174,Equipos!$C$2:$M$967,8,FALSE()),"")</f>
        <v>AED-3100K</v>
      </c>
      <c r="G174" s="46" t="s">
        <v>316</v>
      </c>
      <c r="H174" s="46"/>
      <c r="I174" s="46"/>
      <c r="J174" s="46" t="s">
        <v>297</v>
      </c>
      <c r="K174" s="46" t="str">
        <f>IFERROR(VLOOKUP($J174,Catálogos!$M$4:$N$17,2,FALSE()),"")</f>
        <v>Mantención Preventiva Realizada</v>
      </c>
      <c r="L174" s="46"/>
      <c r="M174" s="46"/>
      <c r="N174" s="46"/>
      <c r="O174" s="46"/>
      <c r="P174" s="46"/>
      <c r="Q174" s="46"/>
    </row>
    <row r="175" spans="1:17" hidden="1" x14ac:dyDescent="0.25">
      <c r="A175" s="47" t="s">
        <v>390</v>
      </c>
      <c r="B175" s="46" t="str">
        <f>IFERROR(VLOOKUP($A175,Equipos!$C$2:$M$967,2,FALSE()),"")</f>
        <v>DEA</v>
      </c>
      <c r="C175" s="46" t="str">
        <f>IFERROR(VLOOKUP($A175,Equipos!$C$2:$M$967,9,FALSE()),"")</f>
        <v>40361</v>
      </c>
      <c r="D175" s="46" t="str">
        <f>IFERROR(VLOOKUP($A175,Equipos!$C$2:$M$967,3,FALSE()),"")</f>
        <v>CDT</v>
      </c>
      <c r="E175" s="46" t="str">
        <f>IFERROR(VLOOKUP($A175,Equipos!$C$2:$M$967,7,FALSE()),"")</f>
        <v>Nihon Kohden</v>
      </c>
      <c r="F175" s="46" t="str">
        <f>IFERROR(VLOOKUP($A175,Equipos!$C$2:$M$967,8,FALSE()),"")</f>
        <v>AED-3100K</v>
      </c>
      <c r="G175" s="46" t="s">
        <v>331</v>
      </c>
      <c r="H175" s="46"/>
      <c r="I175" s="46"/>
      <c r="J175" s="46" t="s">
        <v>297</v>
      </c>
      <c r="K175" s="46" t="str">
        <f>IFERROR(VLOOKUP($J175,Catálogos!$M$4:$N$17,2,FALSE()),"")</f>
        <v>Mantención Preventiva Realizada</v>
      </c>
      <c r="L175" s="46"/>
      <c r="M175" s="46"/>
      <c r="N175" s="46"/>
      <c r="O175" s="46"/>
      <c r="P175" s="46"/>
      <c r="Q175" s="46"/>
    </row>
    <row r="176" spans="1:17" hidden="1" x14ac:dyDescent="0.25">
      <c r="A176" s="47" t="s">
        <v>390</v>
      </c>
      <c r="B176" s="46" t="str">
        <f>IFERROR(VLOOKUP($A176,Equipos!$C$2:$M$967,2,FALSE()),"")</f>
        <v>DEA</v>
      </c>
      <c r="C176" s="46" t="str">
        <f>IFERROR(VLOOKUP($A176,Equipos!$C$2:$M$967,9,FALSE()),"")</f>
        <v>40361</v>
      </c>
      <c r="D176" s="46" t="str">
        <f>IFERROR(VLOOKUP($A176,Equipos!$C$2:$M$967,3,FALSE()),"")</f>
        <v>CDT</v>
      </c>
      <c r="E176" s="46" t="str">
        <f>IFERROR(VLOOKUP($A176,Equipos!$C$2:$M$967,7,FALSE()),"")</f>
        <v>Nihon Kohden</v>
      </c>
      <c r="F176" s="46" t="str">
        <f>IFERROR(VLOOKUP($A176,Equipos!$C$2:$M$967,8,FALSE()),"")</f>
        <v>AED-3100K</v>
      </c>
      <c r="G176" s="46" t="s">
        <v>298</v>
      </c>
      <c r="H176" s="46"/>
      <c r="I176" s="46"/>
      <c r="J176" s="46" t="s">
        <v>297</v>
      </c>
      <c r="K176" s="46" t="str">
        <f>IFERROR(VLOOKUP($J176,Catálogos!$M$4:$N$17,2,FALSE()),"")</f>
        <v>Mantención Preventiva Realizada</v>
      </c>
      <c r="L176" s="46"/>
      <c r="M176" s="46"/>
      <c r="N176" s="46"/>
      <c r="O176" s="46"/>
      <c r="P176" s="46"/>
      <c r="Q176" s="46"/>
    </row>
    <row r="177" spans="1:17" hidden="1" x14ac:dyDescent="0.25">
      <c r="A177" s="47" t="s">
        <v>391</v>
      </c>
      <c r="B177" s="46" t="str">
        <f>IFERROR(VLOOKUP($A177,Equipos!$C$2:$M$967,2,FALSE()),"")</f>
        <v>Desfibrilador</v>
      </c>
      <c r="C177" s="46" t="str">
        <f>IFERROR(VLOOKUP($A177,Equipos!$C$2:$M$967,9,FALSE()),"")</f>
        <v>DG-29006896</v>
      </c>
      <c r="D177" s="46" t="str">
        <f>IFERROR(VLOOKUP($A177,Equipos!$C$2:$M$967,3,FALSE()),"")</f>
        <v>Hemodiálisis (Prestado a SAMU)</v>
      </c>
      <c r="E177" s="46" t="str">
        <f>IFERROR(VLOOKUP($A177,Equipos!$C$2:$M$967,7,FALSE()),"")</f>
        <v>Mindray</v>
      </c>
      <c r="F177" s="46" t="str">
        <f>IFERROR(VLOOKUP($A177,Equipos!$C$2:$M$967,8,FALSE()),"")</f>
        <v>BeneHeart D6</v>
      </c>
      <c r="G177" s="46" t="s">
        <v>331</v>
      </c>
      <c r="H177" s="46"/>
      <c r="I177" s="46"/>
      <c r="J177" s="46" t="s">
        <v>297</v>
      </c>
      <c r="K177" s="46" t="str">
        <f>IFERROR(VLOOKUP($J177,Catálogos!$M$4:$N$17,2,FALSE()),"")</f>
        <v>Mantención Preventiva Realizada</v>
      </c>
      <c r="L177" s="46"/>
      <c r="M177" s="46"/>
      <c r="N177" s="46"/>
      <c r="O177" s="46"/>
      <c r="P177" s="46"/>
      <c r="Q177" s="46"/>
    </row>
    <row r="178" spans="1:17" hidden="1" x14ac:dyDescent="0.25">
      <c r="A178" s="47" t="s">
        <v>392</v>
      </c>
      <c r="B178" s="46" t="str">
        <f>IFERROR(VLOOKUP($A178,Equipos!$C$2:$M$967,2,FALSE()),"")</f>
        <v>Desfibrilador</v>
      </c>
      <c r="C178" s="46" t="str">
        <f>IFERROR(VLOOKUP($A178,Equipos!$C$2:$M$967,9,FALSE()),"")</f>
        <v>DG-29006907</v>
      </c>
      <c r="D178" s="46" t="str">
        <f>IFERROR(VLOOKUP($A178,Equipos!$C$2:$M$967,3,FALSE()),"")</f>
        <v>Urgencia Infantil</v>
      </c>
      <c r="E178" s="46" t="str">
        <f>IFERROR(VLOOKUP($A178,Equipos!$C$2:$M$967,7,FALSE()),"")</f>
        <v>Mindray</v>
      </c>
      <c r="F178" s="46" t="str">
        <f>IFERROR(VLOOKUP($A178,Equipos!$C$2:$M$967,8,FALSE()),"")</f>
        <v>BeneHeart D6</v>
      </c>
      <c r="G178" s="46" t="s">
        <v>316</v>
      </c>
      <c r="H178" s="46"/>
      <c r="I178" s="46"/>
      <c r="J178" s="46" t="s">
        <v>297</v>
      </c>
      <c r="K178" s="46" t="str">
        <f>IFERROR(VLOOKUP($J178,Catálogos!$M$4:$N$17,2,FALSE()),"")</f>
        <v>Mantención Preventiva Realizada</v>
      </c>
      <c r="L178" s="46"/>
      <c r="M178" s="46"/>
      <c r="N178" s="46"/>
      <c r="O178" s="46"/>
      <c r="P178" s="46"/>
      <c r="Q178" s="46"/>
    </row>
    <row r="179" spans="1:17" hidden="1" x14ac:dyDescent="0.25">
      <c r="A179" s="47" t="s">
        <v>393</v>
      </c>
      <c r="B179" s="46" t="str">
        <f>IFERROR(VLOOKUP($A179,Equipos!$C$2:$M$967,2,FALSE()),"")</f>
        <v>Desfibrilador</v>
      </c>
      <c r="C179" s="46" t="str">
        <f>IFERROR(VLOOKUP($A179,Equipos!$C$2:$M$967,9,FALSE()),"")</f>
        <v>(21)AF14J041071</v>
      </c>
      <c r="D179" s="46" t="str">
        <f>IFERROR(VLOOKUP($A179,Equipos!$C$2:$M$967,3,FALSE()),"")</f>
        <v>Cirugía Adulto</v>
      </c>
      <c r="E179" s="46" t="str">
        <f>IFERROR(VLOOKUP($A179,Equipos!$C$2:$M$967,7,FALSE()),"")</f>
        <v xml:space="preserve">Zoll </v>
      </c>
      <c r="F179" s="46" t="str">
        <f>IFERROR(VLOOKUP($A179,Equipos!$C$2:$M$967,8,FALSE()),"")</f>
        <v>R SERIES ALS</v>
      </c>
      <c r="G179" s="46" t="s">
        <v>298</v>
      </c>
      <c r="H179" s="46"/>
      <c r="I179" s="46"/>
      <c r="J179" s="46" t="s">
        <v>297</v>
      </c>
      <c r="K179" s="46" t="str">
        <f>IFERROR(VLOOKUP($J179,Catálogos!$M$4:$N$17,2,FALSE()),"")</f>
        <v>Mantención Preventiva Realizada</v>
      </c>
      <c r="L179" s="46"/>
      <c r="M179" s="46"/>
      <c r="N179" s="46"/>
      <c r="O179" s="46"/>
      <c r="P179" s="46"/>
      <c r="Q179" s="46"/>
    </row>
    <row r="180" spans="1:17" hidden="1" x14ac:dyDescent="0.25">
      <c r="A180" s="47" t="s">
        <v>394</v>
      </c>
      <c r="B180" s="46" t="str">
        <f>IFERROR(VLOOKUP($A180,Equipos!$C$2:$M$967,2,FALSE()),"")</f>
        <v>Desfibrilador</v>
      </c>
      <c r="C180" s="46" t="str">
        <f>IFERROR(VLOOKUP($A180,Equipos!$C$2:$M$967,9,FALSE()),"")</f>
        <v>(21)AF14J041081</v>
      </c>
      <c r="D180" s="46" t="str">
        <f>IFERROR(VLOOKUP($A180,Equipos!$C$2:$M$967,3,FALSE()),"")</f>
        <v>UPC Cardiovascular</v>
      </c>
      <c r="E180" s="46" t="str">
        <f>IFERROR(VLOOKUP($A180,Equipos!$C$2:$M$967,7,FALSE()),"")</f>
        <v xml:space="preserve">Zoll </v>
      </c>
      <c r="F180" s="46" t="str">
        <f>IFERROR(VLOOKUP($A180,Equipos!$C$2:$M$967,8,FALSE()),"")</f>
        <v>R SERIES ALS</v>
      </c>
      <c r="G180" s="46" t="s">
        <v>335</v>
      </c>
      <c r="H180" s="46"/>
      <c r="I180" s="46"/>
      <c r="J180" s="46" t="s">
        <v>297</v>
      </c>
      <c r="K180" s="46" t="str">
        <f>IFERROR(VLOOKUP($J180,Catálogos!$M$4:$N$17,2,FALSE()),"")</f>
        <v>Mantención Preventiva Realizada</v>
      </c>
      <c r="L180" s="46"/>
      <c r="M180" s="46"/>
      <c r="N180" s="46"/>
      <c r="O180" s="46"/>
      <c r="P180" s="46"/>
      <c r="Q180" s="46"/>
    </row>
    <row r="181" spans="1:17" hidden="1" x14ac:dyDescent="0.25">
      <c r="A181" s="47" t="s">
        <v>395</v>
      </c>
      <c r="B181" s="46" t="str">
        <f>IFERROR(VLOOKUP($A181,Equipos!$C$2:$M$967,2,FALSE()),"")</f>
        <v>Desfibrilador</v>
      </c>
      <c r="C181" s="46" t="str">
        <f>IFERROR(VLOOKUP($A181,Equipos!$C$2:$M$967,9,FALSE()),"")</f>
        <v>(21)AF14J041073</v>
      </c>
      <c r="D181" s="46" t="str">
        <f>IFERROR(VLOOKUP($A181,Equipos!$C$2:$M$967,3,FALSE()),"")</f>
        <v>Electrofisiología</v>
      </c>
      <c r="E181" s="46" t="str">
        <f>IFERROR(VLOOKUP($A181,Equipos!$C$2:$M$967,7,FALSE()),"")</f>
        <v xml:space="preserve">Zoll </v>
      </c>
      <c r="F181" s="46" t="str">
        <f>IFERROR(VLOOKUP($A181,Equipos!$C$2:$M$967,8,FALSE()),"")</f>
        <v>R SERIES ALS</v>
      </c>
      <c r="G181" s="46" t="s">
        <v>316</v>
      </c>
      <c r="H181" s="46"/>
      <c r="I181" s="46"/>
      <c r="J181" s="46" t="s">
        <v>297</v>
      </c>
      <c r="K181" s="46" t="str">
        <f>IFERROR(VLOOKUP($J181,Catálogos!$M$4:$N$17,2,FALSE()),"")</f>
        <v>Mantención Preventiva Realizada</v>
      </c>
      <c r="L181" s="46"/>
      <c r="M181" s="46"/>
      <c r="N181" s="46"/>
      <c r="O181" s="46"/>
      <c r="P181" s="46"/>
      <c r="Q181" s="46"/>
    </row>
    <row r="182" spans="1:17" hidden="1" x14ac:dyDescent="0.25">
      <c r="A182" s="47" t="s">
        <v>396</v>
      </c>
      <c r="B182" s="46" t="str">
        <f>IFERROR(VLOOKUP($A182,Equipos!$C$2:$M$967,2,FALSE()),"")</f>
        <v>Desfibrilador</v>
      </c>
      <c r="C182" s="46" t="str">
        <f>IFERROR(VLOOKUP($A182,Equipos!$C$2:$M$967,9,FALSE()),"")</f>
        <v>41204CM7004</v>
      </c>
      <c r="D182" s="46" t="str">
        <f>IFERROR(VLOOKUP($A182,Equipos!$C$2:$M$967,3,FALSE()),"")</f>
        <v>SAMU</v>
      </c>
      <c r="E182" s="46" t="str">
        <f>IFERROR(VLOOKUP($A182,Equipos!$C$2:$M$967,7,FALSE()),"")</f>
        <v>Instramed</v>
      </c>
      <c r="F182" s="46" t="str">
        <f>IFERROR(VLOOKUP($A182,Equipos!$C$2:$M$967,8,FALSE()),"")</f>
        <v>Cardiomax 8 Series</v>
      </c>
      <c r="G182" s="46" t="s">
        <v>331</v>
      </c>
      <c r="H182" s="46"/>
      <c r="I182" s="46"/>
      <c r="J182" s="46" t="s">
        <v>297</v>
      </c>
      <c r="K182" s="46" t="str">
        <f>IFERROR(VLOOKUP($J182,Catálogos!$M$4:$N$17,2,FALSE()),"")</f>
        <v>Mantención Preventiva Realizada</v>
      </c>
      <c r="L182" s="46"/>
      <c r="M182" s="46"/>
      <c r="N182" s="46"/>
      <c r="O182" s="46"/>
      <c r="P182" s="46"/>
      <c r="Q182" s="46"/>
    </row>
    <row r="183" spans="1:17" hidden="1" x14ac:dyDescent="0.25">
      <c r="A183" s="47" t="s">
        <v>397</v>
      </c>
      <c r="B183" s="46" t="str">
        <f>IFERROR(VLOOKUP($A183,Equipos!$C$2:$M$967,2,FALSE()),"")</f>
        <v>Desfibrilador</v>
      </c>
      <c r="C183" s="46" t="str">
        <f>IFERROR(VLOOKUP($A183,Equipos!$C$2:$M$967,9,FALSE()),"")</f>
        <v>07905</v>
      </c>
      <c r="D183" s="46" t="str">
        <f>IFERROR(VLOOKUP($A183,Equipos!$C$2:$M$967,3,FALSE()),"")</f>
        <v>Urgencia Infantil</v>
      </c>
      <c r="E183" s="46" t="str">
        <f>IFERROR(VLOOKUP($A183,Equipos!$C$2:$M$967,7,FALSE()),"")</f>
        <v>Nihon Kohden</v>
      </c>
      <c r="F183" s="46" t="str">
        <f>IFERROR(VLOOKUP($A183,Equipos!$C$2:$M$967,8,FALSE()),"")</f>
        <v>TEC-5631E</v>
      </c>
      <c r="G183" s="46" t="s">
        <v>316</v>
      </c>
      <c r="H183" s="46"/>
      <c r="I183" s="46"/>
      <c r="J183" s="46" t="s">
        <v>297</v>
      </c>
      <c r="K183" s="46" t="str">
        <f>IFERROR(VLOOKUP($J183,Catálogos!$M$4:$N$17,2,FALSE()),"")</f>
        <v>Mantención Preventiva Realizada</v>
      </c>
      <c r="L183" s="46"/>
      <c r="M183" s="46"/>
      <c r="N183" s="46"/>
      <c r="O183" s="46"/>
      <c r="P183" s="46"/>
      <c r="Q183" s="46"/>
    </row>
    <row r="184" spans="1:17" hidden="1" x14ac:dyDescent="0.25">
      <c r="A184" s="47" t="s">
        <v>398</v>
      </c>
      <c r="B184" s="46" t="str">
        <f>IFERROR(VLOOKUP($A184,Equipos!$C$2:$M$967,2,FALSE()),"")</f>
        <v>Desfibrilador</v>
      </c>
      <c r="C184" s="46" t="str">
        <f>IFERROR(VLOOKUP($A184,Equipos!$C$2:$M$967,9,FALSE()),"")</f>
        <v>DG4C012442</v>
      </c>
      <c r="D184" s="46" t="str">
        <f>IFERROR(VLOOKUP($A184,Equipos!$C$2:$M$967,3,FALSE()),"")</f>
        <v>UPC Adulto</v>
      </c>
      <c r="E184" s="46" t="str">
        <f>IFERROR(VLOOKUP($A184,Equipos!$C$2:$M$967,7,FALSE()),"")</f>
        <v>Mindray</v>
      </c>
      <c r="F184" s="46" t="str">
        <f>IFERROR(VLOOKUP($A184,Equipos!$C$2:$M$967,8,FALSE()),"")</f>
        <v>BeneHeart D6</v>
      </c>
      <c r="G184" s="46" t="s">
        <v>296</v>
      </c>
      <c r="H184" s="46"/>
      <c r="I184" s="46"/>
      <c r="J184" s="46" t="s">
        <v>297</v>
      </c>
      <c r="K184" s="46" t="str">
        <f>IFERROR(VLOOKUP($J184,Catálogos!$M$4:$N$17,2,FALSE()),"")</f>
        <v>Mantención Preventiva Realizada</v>
      </c>
      <c r="L184" s="46"/>
      <c r="M184" s="46"/>
      <c r="N184" s="46"/>
      <c r="O184" s="46"/>
      <c r="P184" s="46"/>
      <c r="Q184" s="46"/>
    </row>
    <row r="185" spans="1:17" hidden="1" x14ac:dyDescent="0.25">
      <c r="A185" s="47" t="s">
        <v>399</v>
      </c>
      <c r="B185" s="46" t="str">
        <f>IFERROR(VLOOKUP($A185,Equipos!$C$2:$M$967,2,FALSE()),"")</f>
        <v>Desfibrilador</v>
      </c>
      <c r="C185" s="46" t="str">
        <f>IFERROR(VLOOKUP($A185,Equipos!$C$2:$M$967,9,FALSE()),"")</f>
        <v>DG4C012445</v>
      </c>
      <c r="D185" s="46" t="str">
        <f>IFERROR(VLOOKUP($A185,Equipos!$C$2:$M$967,3,FALSE()),"")</f>
        <v>UPC Adulto</v>
      </c>
      <c r="E185" s="46" t="str">
        <f>IFERROR(VLOOKUP($A185,Equipos!$C$2:$M$967,7,FALSE()),"")</f>
        <v>Mindray</v>
      </c>
      <c r="F185" s="46" t="str">
        <f>IFERROR(VLOOKUP($A185,Equipos!$C$2:$M$967,8,FALSE()),"")</f>
        <v>BeneHeart D6</v>
      </c>
      <c r="G185" s="46" t="s">
        <v>296</v>
      </c>
      <c r="H185" s="46"/>
      <c r="I185" s="46"/>
      <c r="J185" s="46" t="s">
        <v>297</v>
      </c>
      <c r="K185" s="46" t="str">
        <f>IFERROR(VLOOKUP($J185,Catálogos!$M$4:$N$17,2,FALSE()),"")</f>
        <v>Mantención Preventiva Realizada</v>
      </c>
      <c r="L185" s="46"/>
      <c r="M185" s="46"/>
      <c r="N185" s="46"/>
      <c r="O185" s="46"/>
      <c r="P185" s="46"/>
      <c r="Q185" s="46"/>
    </row>
    <row r="186" spans="1:17" hidden="1" x14ac:dyDescent="0.25">
      <c r="A186" s="47" t="s">
        <v>400</v>
      </c>
      <c r="B186" s="46" t="str">
        <f>IFERROR(VLOOKUP($A186,Equipos!$C$2:$M$967,2,FALSE()),"")</f>
        <v>Desfibrilador</v>
      </c>
      <c r="C186" s="46" t="str">
        <f>IFERROR(VLOOKUP($A186,Equipos!$C$2:$M$967,9,FALSE()),"")</f>
        <v>DG4C012440</v>
      </c>
      <c r="D186" s="46" t="str">
        <f>IFERROR(VLOOKUP($A186,Equipos!$C$2:$M$967,3,FALSE()),"")</f>
        <v>UPC Adulto</v>
      </c>
      <c r="E186" s="46" t="str">
        <f>IFERROR(VLOOKUP($A186,Equipos!$C$2:$M$967,7,FALSE()),"")</f>
        <v>Mindray</v>
      </c>
      <c r="F186" s="46" t="str">
        <f>IFERROR(VLOOKUP($A186,Equipos!$C$2:$M$967,8,FALSE()),"")</f>
        <v>BeneHeart D6</v>
      </c>
      <c r="G186" s="46" t="s">
        <v>296</v>
      </c>
      <c r="H186" s="46"/>
      <c r="I186" s="46"/>
      <c r="J186" s="46" t="s">
        <v>297</v>
      </c>
      <c r="K186" s="46" t="str">
        <f>IFERROR(VLOOKUP($J186,Catálogos!$M$4:$N$17,2,FALSE()),"")</f>
        <v>Mantención Preventiva Realizada</v>
      </c>
      <c r="L186" s="46"/>
      <c r="M186" s="46"/>
      <c r="N186" s="46"/>
      <c r="O186" s="46"/>
      <c r="P186" s="46"/>
      <c r="Q186" s="46"/>
    </row>
    <row r="187" spans="1:17" hidden="1" x14ac:dyDescent="0.25">
      <c r="A187" s="47" t="s">
        <v>401</v>
      </c>
      <c r="B187" s="46" t="str">
        <f>IFERROR(VLOOKUP($A187,Equipos!$C$2:$M$967,2,FALSE()),"")</f>
        <v>Desfibrilador</v>
      </c>
      <c r="C187" s="46" t="str">
        <f>IFERROR(VLOOKUP($A187,Equipos!$C$2:$M$967,9,FALSE()),"")</f>
        <v>DG4C012439</v>
      </c>
      <c r="D187" s="46" t="str">
        <f>IFERROR(VLOOKUP($A187,Equipos!$C$2:$M$967,3,FALSE()),"")</f>
        <v>UPC Adulto (Prestado a Cirugía Adulto)</v>
      </c>
      <c r="E187" s="46" t="str">
        <f>IFERROR(VLOOKUP($A187,Equipos!$C$2:$M$967,7,FALSE()),"")</f>
        <v>Mindray</v>
      </c>
      <c r="F187" s="46" t="str">
        <f>IFERROR(VLOOKUP($A187,Equipos!$C$2:$M$967,8,FALSE()),"")</f>
        <v>BeneHeart D6</v>
      </c>
      <c r="G187" s="46" t="s">
        <v>296</v>
      </c>
      <c r="H187" s="46"/>
      <c r="I187" s="46"/>
      <c r="J187" s="46" t="s">
        <v>297</v>
      </c>
      <c r="K187" s="46" t="str">
        <f>IFERROR(VLOOKUP($J187,Catálogos!$M$4:$N$17,2,FALSE()),"")</f>
        <v>Mantención Preventiva Realizada</v>
      </c>
      <c r="L187" s="46"/>
      <c r="M187" s="46"/>
      <c r="N187" s="46"/>
      <c r="O187" s="46"/>
      <c r="P187" s="46"/>
      <c r="Q187" s="46"/>
    </row>
    <row r="188" spans="1:17" hidden="1" x14ac:dyDescent="0.25">
      <c r="A188" s="47" t="s">
        <v>402</v>
      </c>
      <c r="B188" s="46" t="str">
        <f>IFERROR(VLOOKUP($A188,Equipos!$C$2:$M$967,2,FALSE()),"")</f>
        <v>Desfibrilador</v>
      </c>
      <c r="C188" s="46" t="str">
        <f>IFERROR(VLOOKUP($A188,Equipos!$C$2:$M$967,9,FALSE()),"")</f>
        <v>DG4C012437</v>
      </c>
      <c r="D188" s="46" t="str">
        <f>IFERROR(VLOOKUP($A188,Equipos!$C$2:$M$967,3,FALSE()),"")</f>
        <v>UPC Adulto</v>
      </c>
      <c r="E188" s="46" t="str">
        <f>IFERROR(VLOOKUP($A188,Equipos!$C$2:$M$967,7,FALSE()),"")</f>
        <v>Mindray</v>
      </c>
      <c r="F188" s="46" t="str">
        <f>IFERROR(VLOOKUP($A188,Equipos!$C$2:$M$967,8,FALSE()),"")</f>
        <v>BeneHeart D6</v>
      </c>
      <c r="G188" s="46" t="s">
        <v>296</v>
      </c>
      <c r="H188" s="46"/>
      <c r="I188" s="46"/>
      <c r="J188" s="46" t="s">
        <v>297</v>
      </c>
      <c r="K188" s="46" t="str">
        <f>IFERROR(VLOOKUP($J188,Catálogos!$M$4:$N$17,2,FALSE()),"")</f>
        <v>Mantención Preventiva Realizada</v>
      </c>
      <c r="L188" s="46"/>
      <c r="M188" s="46"/>
      <c r="N188" s="46"/>
      <c r="O188" s="46"/>
      <c r="P188" s="46"/>
      <c r="Q188" s="46"/>
    </row>
    <row r="189" spans="1:17" hidden="1" x14ac:dyDescent="0.25">
      <c r="A189" s="47" t="s">
        <v>403</v>
      </c>
      <c r="B189" s="46" t="str">
        <f>IFERROR(VLOOKUP($A189,Equipos!$C$2:$M$967,2,FALSE()),"")</f>
        <v>Desfibrilador</v>
      </c>
      <c r="C189" s="46" t="str">
        <f>IFERROR(VLOOKUP($A189,Equipos!$C$2:$M$967,9,FALSE()),"")</f>
        <v>00932</v>
      </c>
      <c r="D189" s="46" t="str">
        <f>IFERROR(VLOOKUP($A189,Equipos!$C$2:$M$967,3,FALSE()),"")</f>
        <v>SAMU</v>
      </c>
      <c r="E189" s="46" t="str">
        <f>IFERROR(VLOOKUP($A189,Equipos!$C$2:$M$967,7,FALSE()),"")</f>
        <v>NIHON KOHDEN</v>
      </c>
      <c r="F189" s="46" t="str">
        <f>IFERROR(VLOOKUP($A189,Equipos!$C$2:$M$967,8,FALSE()),"")</f>
        <v>TEC-8352K</v>
      </c>
      <c r="G189" s="46" t="s">
        <v>331</v>
      </c>
      <c r="H189" s="46"/>
      <c r="I189" s="46"/>
      <c r="J189" s="46" t="s">
        <v>297</v>
      </c>
      <c r="K189" s="46" t="str">
        <f>IFERROR(VLOOKUP($J189,Catálogos!$M$4:$N$17,2,FALSE()),"")</f>
        <v>Mantención Preventiva Realizada</v>
      </c>
      <c r="L189" s="46"/>
      <c r="M189" s="46"/>
      <c r="N189" s="46"/>
      <c r="O189" s="46"/>
      <c r="P189" s="46"/>
      <c r="Q189" s="46"/>
    </row>
    <row r="190" spans="1:17" hidden="1" x14ac:dyDescent="0.25">
      <c r="A190" s="47" t="s">
        <v>404</v>
      </c>
      <c r="B190" s="46" t="str">
        <f>IFERROR(VLOOKUP($A190,Equipos!$C$2:$M$967,2,FALSE()),"")</f>
        <v>Desfibrilador</v>
      </c>
      <c r="C190" s="46" t="str">
        <f>IFERROR(VLOOKUP($A190,Equipos!$C$2:$M$967,9,FALSE()),"")</f>
        <v>00946</v>
      </c>
      <c r="D190" s="46" t="str">
        <f>IFERROR(VLOOKUP($A190,Equipos!$C$2:$M$967,3,FALSE()),"")</f>
        <v>Urgencia Adulto</v>
      </c>
      <c r="E190" s="46" t="str">
        <f>IFERROR(VLOOKUP($A190,Equipos!$C$2:$M$967,7,FALSE()),"")</f>
        <v>NIHON KOHDEN</v>
      </c>
      <c r="F190" s="46" t="str">
        <f>IFERROR(VLOOKUP($A190,Equipos!$C$2:$M$967,8,FALSE()),"")</f>
        <v>TEC-8352K</v>
      </c>
      <c r="G190" s="46" t="s">
        <v>331</v>
      </c>
      <c r="H190" s="46"/>
      <c r="I190" s="46"/>
      <c r="J190" s="46" t="s">
        <v>297</v>
      </c>
      <c r="K190" s="46" t="str">
        <f>IFERROR(VLOOKUP($J190,Catálogos!$M$4:$N$17,2,FALSE()),"")</f>
        <v>Mantención Preventiva Realizada</v>
      </c>
      <c r="L190" s="46"/>
      <c r="M190" s="46"/>
      <c r="N190" s="46"/>
      <c r="O190" s="46"/>
      <c r="P190" s="46"/>
      <c r="Q190" s="46"/>
    </row>
    <row r="191" spans="1:17" hidden="1" x14ac:dyDescent="0.25">
      <c r="A191" s="47" t="s">
        <v>405</v>
      </c>
      <c r="B191" s="46" t="str">
        <f>IFERROR(VLOOKUP($A191,Equipos!$C$2:$M$967,2,FALSE()),"")</f>
        <v>Desfibrilador</v>
      </c>
      <c r="C191" s="46" t="str">
        <f>IFERROR(VLOOKUP($A191,Equipos!$C$2:$M$967,9,FALSE()),"")</f>
        <v>(21)AF19F099451</v>
      </c>
      <c r="D191" s="46" t="str">
        <f>IFERROR(VLOOKUP($A191,Equipos!$C$2:$M$967,3,FALSE()),"")</f>
        <v xml:space="preserve">UPC Pediátrica </v>
      </c>
      <c r="E191" s="46" t="str">
        <f>IFERROR(VLOOKUP($A191,Equipos!$C$2:$M$967,7,FALSE()),"")</f>
        <v>Zoll</v>
      </c>
      <c r="F191" s="46" t="str">
        <f>IFERROR(VLOOKUP($A191,Equipos!$C$2:$M$967,8,FALSE()),"")</f>
        <v>R SERIES ALS</v>
      </c>
      <c r="G191" s="46" t="s">
        <v>335</v>
      </c>
      <c r="H191" s="46"/>
      <c r="I191" s="46"/>
      <c r="J191" s="46" t="s">
        <v>297</v>
      </c>
      <c r="K191" s="46" t="str">
        <f>IFERROR(VLOOKUP($J191,Catálogos!$M$4:$N$17,2,FALSE()),"")</f>
        <v>Mantención Preventiva Realizada</v>
      </c>
      <c r="L191" s="46"/>
      <c r="M191" s="46"/>
      <c r="N191" s="46"/>
      <c r="O191" s="46"/>
      <c r="P191" s="46"/>
      <c r="Q191" s="46"/>
    </row>
    <row r="192" spans="1:17" hidden="1" x14ac:dyDescent="0.25">
      <c r="A192" s="47" t="s">
        <v>406</v>
      </c>
      <c r="B192" s="46" t="str">
        <f>IFERROR(VLOOKUP($A192,Equipos!$C$2:$M$967,2,FALSE()),"")</f>
        <v>Desfibrilador</v>
      </c>
      <c r="C192" s="46" t="str">
        <f>IFERROR(VLOOKUP($A192,Equipos!$C$2:$M$967,9,FALSE()),"")</f>
        <v>(21)AF19F099428</v>
      </c>
      <c r="D192" s="46" t="str">
        <f>IFERROR(VLOOKUP($A192,Equipos!$C$2:$M$967,3,FALSE()),"")</f>
        <v>UPC Pediátrica</v>
      </c>
      <c r="E192" s="46" t="str">
        <f>IFERROR(VLOOKUP($A192,Equipos!$C$2:$M$967,7,FALSE()),"")</f>
        <v>Zoll</v>
      </c>
      <c r="F192" s="46" t="str">
        <f>IFERROR(VLOOKUP($A192,Equipos!$C$2:$M$967,8,FALSE()),"")</f>
        <v>R SERIES ALS</v>
      </c>
      <c r="G192" s="46" t="s">
        <v>335</v>
      </c>
      <c r="H192" s="46"/>
      <c r="I192" s="46"/>
      <c r="J192" s="46" t="s">
        <v>297</v>
      </c>
      <c r="K192" s="46" t="str">
        <f>IFERROR(VLOOKUP($J192,Catálogos!$M$4:$N$17,2,FALSE()),"")</f>
        <v>Mantención Preventiva Realizada</v>
      </c>
      <c r="L192" s="46"/>
      <c r="M192" s="46"/>
      <c r="N192" s="46"/>
      <c r="O192" s="46"/>
      <c r="P192" s="46"/>
      <c r="Q192" s="46"/>
    </row>
    <row r="193" spans="1:17" hidden="1" x14ac:dyDescent="0.25">
      <c r="A193" s="47" t="s">
        <v>407</v>
      </c>
      <c r="B193" s="46" t="str">
        <f>IFERROR(VLOOKUP($A193,Equipos!$C$2:$M$967,2,FALSE()),"")</f>
        <v>Desfibrilador</v>
      </c>
      <c r="C193" s="46" t="str">
        <f>IFERROR(VLOOKUP($A193,Equipos!$C$2:$M$967,9,FALSE()),"")</f>
        <v>(21)AF19K107390</v>
      </c>
      <c r="D193" s="46" t="str">
        <f>IFERROR(VLOOKUP($A193,Equipos!$C$2:$M$967,3,FALSE()),"")</f>
        <v>Pabellón (Recuperación)</v>
      </c>
      <c r="E193" s="46" t="str">
        <f>IFERROR(VLOOKUP($A193,Equipos!$C$2:$M$967,7,FALSE()),"")</f>
        <v>Zoll</v>
      </c>
      <c r="F193" s="46" t="str">
        <f>IFERROR(VLOOKUP($A193,Equipos!$C$2:$M$967,8,FALSE()),"")</f>
        <v>R SERIES ALS</v>
      </c>
      <c r="G193" s="46" t="s">
        <v>331</v>
      </c>
      <c r="H193" s="46"/>
      <c r="I193" s="46"/>
      <c r="J193" s="46" t="s">
        <v>297</v>
      </c>
      <c r="K193" s="46" t="str">
        <f>IFERROR(VLOOKUP($J193,Catálogos!$M$4:$N$17,2,FALSE()),"")</f>
        <v>Mantención Preventiva Realizada</v>
      </c>
      <c r="L193" s="46"/>
      <c r="M193" s="46"/>
      <c r="N193" s="46"/>
      <c r="O193" s="46"/>
      <c r="P193" s="46"/>
      <c r="Q193" s="46"/>
    </row>
    <row r="194" spans="1:17" hidden="1" x14ac:dyDescent="0.25">
      <c r="A194" s="47" t="s">
        <v>408</v>
      </c>
      <c r="B194" s="46" t="str">
        <f>IFERROR(VLOOKUP($A194,Equipos!$C$2:$M$967,2,FALSE()),"")</f>
        <v>Desfibrilador</v>
      </c>
      <c r="C194" s="46" t="str">
        <f>IFERROR(VLOOKUP($A194,Equipos!$C$2:$M$967,9,FALSE()),"")</f>
        <v>(21)AF19K107391</v>
      </c>
      <c r="D194" s="46" t="str">
        <f>IFERROR(VLOOKUP($A194,Equipos!$C$2:$M$967,3,FALSE()),"")</f>
        <v>Pabellón CMA</v>
      </c>
      <c r="E194" s="46" t="str">
        <f>IFERROR(VLOOKUP($A194,Equipos!$C$2:$M$967,7,FALSE()),"")</f>
        <v>Zoll</v>
      </c>
      <c r="F194" s="46" t="str">
        <f>IFERROR(VLOOKUP($A194,Equipos!$C$2:$M$967,8,FALSE()),"")</f>
        <v>R SERIES ALS</v>
      </c>
      <c r="G194" s="46" t="s">
        <v>298</v>
      </c>
      <c r="H194" s="46"/>
      <c r="I194" s="46"/>
      <c r="J194" s="46" t="s">
        <v>297</v>
      </c>
      <c r="K194" s="46" t="str">
        <f>IFERROR(VLOOKUP($J194,Catálogos!$M$4:$N$17,2,FALSE()),"")</f>
        <v>Mantención Preventiva Realizada</v>
      </c>
      <c r="L194" s="46"/>
      <c r="M194" s="46"/>
      <c r="N194" s="46"/>
      <c r="O194" s="46"/>
      <c r="P194" s="46"/>
      <c r="Q194" s="46"/>
    </row>
    <row r="195" spans="1:17" hidden="1" x14ac:dyDescent="0.25">
      <c r="A195" s="47" t="s">
        <v>409</v>
      </c>
      <c r="B195" s="46" t="str">
        <f>IFERROR(VLOOKUP($A195,Equipos!$C$2:$M$967,2,FALSE()),"")</f>
        <v>Desfibrilador</v>
      </c>
      <c r="C195" s="46" t="str">
        <f>IFERROR(VLOOKUP($A195,Equipos!$C$2:$M$967,9,FALSE()),"")</f>
        <v>(21)AF19K107393</v>
      </c>
      <c r="D195" s="46" t="str">
        <f>IFERROR(VLOOKUP($A195,Equipos!$C$2:$M$967,3,FALSE()),"")</f>
        <v>Pabellón Quirúrgico</v>
      </c>
      <c r="E195" s="46" t="str">
        <f>IFERROR(VLOOKUP($A195,Equipos!$C$2:$M$967,7,FALSE()),"")</f>
        <v>Zoll</v>
      </c>
      <c r="F195" s="46" t="str">
        <f>IFERROR(VLOOKUP($A195,Equipos!$C$2:$M$967,8,FALSE()),"")</f>
        <v>R SERIES ALS</v>
      </c>
      <c r="G195" s="46" t="s">
        <v>331</v>
      </c>
      <c r="H195" s="46"/>
      <c r="I195" s="46"/>
      <c r="J195" s="46" t="s">
        <v>297</v>
      </c>
      <c r="K195" s="46" t="str">
        <f>IFERROR(VLOOKUP($J195,Catálogos!$M$4:$N$17,2,FALSE()),"")</f>
        <v>Mantención Preventiva Realizada</v>
      </c>
      <c r="L195" s="46"/>
      <c r="M195" s="46"/>
      <c r="N195" s="46"/>
      <c r="O195" s="46"/>
      <c r="P195" s="46"/>
      <c r="Q195" s="46"/>
    </row>
    <row r="196" spans="1:17" hidden="1" x14ac:dyDescent="0.25">
      <c r="A196" s="47" t="s">
        <v>410</v>
      </c>
      <c r="B196" s="46" t="str">
        <f>IFERROR(VLOOKUP($A196,Equipos!$C$2:$M$967,2,FALSE()),"")</f>
        <v>Desfibrilador</v>
      </c>
      <c r="C196" s="46" t="str">
        <f>IFERROR(VLOOKUP($A196,Equipos!$C$2:$M$967,9,FALSE()),"")</f>
        <v>(21)AF19K107388</v>
      </c>
      <c r="D196" s="46" t="str">
        <f>IFERROR(VLOOKUP($A196,Equipos!$C$2:$M$967,3,FALSE()),"")</f>
        <v>Pabellón Quirúrgico</v>
      </c>
      <c r="E196" s="46" t="str">
        <f>IFERROR(VLOOKUP($A196,Equipos!$C$2:$M$967,7,FALSE()),"")</f>
        <v>Zoll</v>
      </c>
      <c r="F196" s="46" t="str">
        <f>IFERROR(VLOOKUP($A196,Equipos!$C$2:$M$967,8,FALSE()),"")</f>
        <v>R SERIES ALS</v>
      </c>
      <c r="G196" s="46" t="s">
        <v>331</v>
      </c>
      <c r="H196" s="46"/>
      <c r="I196" s="46"/>
      <c r="J196" s="46" t="s">
        <v>297</v>
      </c>
      <c r="K196" s="46" t="str">
        <f>IFERROR(VLOOKUP($J196,Catálogos!$M$4:$N$17,2,FALSE()),"")</f>
        <v>Mantención Preventiva Realizada</v>
      </c>
      <c r="L196" s="46"/>
      <c r="M196" s="46"/>
      <c r="N196" s="46"/>
      <c r="O196" s="46"/>
      <c r="P196" s="46"/>
      <c r="Q196" s="46"/>
    </row>
    <row r="197" spans="1:17" hidden="1" x14ac:dyDescent="0.25">
      <c r="A197" s="47" t="s">
        <v>411</v>
      </c>
      <c r="B197" s="46" t="str">
        <f>IFERROR(VLOOKUP($A197,Equipos!$C$2:$M$967,2,FALSE()),"")</f>
        <v>Desfibrilador</v>
      </c>
      <c r="C197" s="46" t="str">
        <f>IFERROR(VLOOKUP($A197,Equipos!$C$2:$M$967,9,FALSE()),"")</f>
        <v>(21)AF19F099447</v>
      </c>
      <c r="D197" s="46" t="str">
        <f>IFERROR(VLOOKUP($A197,Equipos!$C$2:$M$967,3,FALSE()),"")</f>
        <v>UPC Cardiovascular</v>
      </c>
      <c r="E197" s="46" t="str">
        <f>IFERROR(VLOOKUP($A197,Equipos!$C$2:$M$967,7,FALSE()),"")</f>
        <v>Zoll</v>
      </c>
      <c r="F197" s="46" t="str">
        <f>IFERROR(VLOOKUP($A197,Equipos!$C$2:$M$967,8,FALSE()),"")</f>
        <v>R SERIES ALS</v>
      </c>
      <c r="G197" s="46" t="s">
        <v>335</v>
      </c>
      <c r="H197" s="46"/>
      <c r="I197" s="46"/>
      <c r="J197" s="46" t="s">
        <v>278</v>
      </c>
      <c r="K197" s="46" t="str">
        <f>IFERROR(VLOOKUP($J197,Catálogos!$M$4:$N$17,2,FALSE()),"")</f>
        <v>Reprogramada · Equipo en servicio técnico</v>
      </c>
      <c r="L197" s="46"/>
      <c r="M197" s="46"/>
      <c r="N197" s="46"/>
      <c r="O197" s="46"/>
      <c r="P197" s="46"/>
      <c r="Q197" s="46"/>
    </row>
    <row r="198" spans="1:17" hidden="1" x14ac:dyDescent="0.25">
      <c r="A198" s="47" t="s">
        <v>411</v>
      </c>
      <c r="B198" s="46" t="str">
        <f>IFERROR(VLOOKUP($A198,Equipos!$C$2:$M$967,2,FALSE()),"")</f>
        <v>Desfibrilador</v>
      </c>
      <c r="C198" s="46" t="str">
        <f>IFERROR(VLOOKUP($A198,Equipos!$C$2:$M$967,9,FALSE()),"")</f>
        <v>(21)AF19F099447</v>
      </c>
      <c r="D198" s="46" t="str">
        <f>IFERROR(VLOOKUP($A198,Equipos!$C$2:$M$967,3,FALSE()),"")</f>
        <v>UPC Cardiovascular</v>
      </c>
      <c r="E198" s="46" t="str">
        <f>IFERROR(VLOOKUP($A198,Equipos!$C$2:$M$967,7,FALSE()),"")</f>
        <v>Zoll</v>
      </c>
      <c r="F198" s="46" t="str">
        <f>IFERROR(VLOOKUP($A198,Equipos!$C$2:$M$967,8,FALSE()),"")</f>
        <v>R SERIES ALS</v>
      </c>
      <c r="G198" s="46" t="s">
        <v>316</v>
      </c>
      <c r="H198" s="46"/>
      <c r="I198" s="46"/>
      <c r="J198" s="46" t="s">
        <v>297</v>
      </c>
      <c r="K198" s="46" t="str">
        <f>IFERROR(VLOOKUP($J198,Catálogos!$M$4:$N$17,2,FALSE()),"")</f>
        <v>Mantención Preventiva Realizada</v>
      </c>
      <c r="L198" s="46"/>
      <c r="M198" s="46"/>
      <c r="N198" s="46"/>
      <c r="O198" s="46"/>
      <c r="P198" s="46"/>
      <c r="Q198" s="46"/>
    </row>
    <row r="199" spans="1:17" hidden="1" x14ac:dyDescent="0.25">
      <c r="A199" s="47" t="s">
        <v>412</v>
      </c>
      <c r="B199" s="46" t="str">
        <f>IFERROR(VLOOKUP($A199,Equipos!$C$2:$M$967,2,FALSE()),"")</f>
        <v>Desfibrilador</v>
      </c>
      <c r="C199" s="46" t="str">
        <f>IFERROR(VLOOKUP($A199,Equipos!$C$2:$M$967,9,FALSE()),"")</f>
        <v>02609</v>
      </c>
      <c r="D199" s="46" t="str">
        <f>IFERROR(VLOOKUP($A199,Equipos!$C$2:$M$967,3,FALSE()),"")</f>
        <v>Cardiología</v>
      </c>
      <c r="E199" s="46" t="str">
        <f>IFERROR(VLOOKUP($A199,Equipos!$C$2:$M$967,7,FALSE()),"")</f>
        <v>Nihon Kohden</v>
      </c>
      <c r="F199" s="46" t="str">
        <f>IFERROR(VLOOKUP($A199,Equipos!$C$2:$M$967,8,FALSE()),"")</f>
        <v>TEC 5531E</v>
      </c>
      <c r="G199" s="46" t="s">
        <v>298</v>
      </c>
      <c r="H199" s="46"/>
      <c r="I199" s="46"/>
      <c r="J199" s="46" t="s">
        <v>297</v>
      </c>
      <c r="K199" s="46" t="str">
        <f>IFERROR(VLOOKUP($J199,Catálogos!$M$4:$N$17,2,FALSE()),"")</f>
        <v>Mantención Preventiva Realizada</v>
      </c>
      <c r="L199" s="46"/>
      <c r="M199" s="46"/>
      <c r="N199" s="46"/>
      <c r="O199" s="46"/>
      <c r="P199" s="46"/>
      <c r="Q199" s="46"/>
    </row>
    <row r="200" spans="1:17" hidden="1" x14ac:dyDescent="0.25">
      <c r="A200" s="47" t="s">
        <v>413</v>
      </c>
      <c r="B200" s="46" t="str">
        <f>IFERROR(VLOOKUP($A200,Equipos!$C$2:$M$967,2,FALSE()),"")</f>
        <v>Desfibrilador</v>
      </c>
      <c r="C200" s="46" t="str">
        <f>IFERROR(VLOOKUP($A200,Equipos!$C$2:$M$967,9,FALSE()),"")</f>
        <v>03249</v>
      </c>
      <c r="D200" s="46" t="str">
        <f>IFERROR(VLOOKUP($A200,Equipos!$C$2:$M$967,3,FALSE()),"")</f>
        <v>UPC 3er Piso</v>
      </c>
      <c r="E200" s="46" t="str">
        <f>IFERROR(VLOOKUP($A200,Equipos!$C$2:$M$967,7,FALSE()),"")</f>
        <v>Nihon Kohden</v>
      </c>
      <c r="F200" s="46" t="str">
        <f>IFERROR(VLOOKUP($A200,Equipos!$C$2:$M$967,8,FALSE()),"")</f>
        <v>TEC 5531E</v>
      </c>
      <c r="G200" s="46" t="s">
        <v>298</v>
      </c>
      <c r="H200" s="46"/>
      <c r="I200" s="46"/>
      <c r="J200" s="46" t="s">
        <v>297</v>
      </c>
      <c r="K200" s="46" t="str">
        <f>IFERROR(VLOOKUP($J200,Catálogos!$M$4:$N$17,2,FALSE()),"")</f>
        <v>Mantención Preventiva Realizada</v>
      </c>
      <c r="L200" s="46"/>
      <c r="M200" s="46"/>
      <c r="N200" s="46"/>
      <c r="O200" s="46"/>
      <c r="P200" s="46"/>
      <c r="Q200" s="46"/>
    </row>
    <row r="201" spans="1:17" hidden="1" x14ac:dyDescent="0.25">
      <c r="A201" s="47" t="s">
        <v>414</v>
      </c>
      <c r="B201" s="46" t="str">
        <f>IFERROR(VLOOKUP($A201,Equipos!$C$2:$M$967,2,FALSE()),"")</f>
        <v>Desfibrilador</v>
      </c>
      <c r="C201" s="46" t="str">
        <f>IFERROR(VLOOKUP($A201,Equipos!$C$2:$M$967,9,FALSE()),"")</f>
        <v>298</v>
      </c>
      <c r="D201" s="46" t="str">
        <f>IFERROR(VLOOKUP($A201,Equipos!$C$2:$M$967,3,FALSE()),"")</f>
        <v>Urgencia Adulto</v>
      </c>
      <c r="E201" s="46" t="str">
        <f>IFERROR(VLOOKUP($A201,Equipos!$C$2:$M$967,7,FALSE()),"")</f>
        <v>Nihon Kohden</v>
      </c>
      <c r="F201" s="46" t="str">
        <f>IFERROR(VLOOKUP($A201,Equipos!$C$2:$M$967,8,FALSE()),"")</f>
        <v>EMS-1052E</v>
      </c>
      <c r="G201" s="46" t="s">
        <v>316</v>
      </c>
      <c r="H201" s="46"/>
      <c r="I201" s="46"/>
      <c r="J201" s="46" t="s">
        <v>277</v>
      </c>
      <c r="K201" s="46" t="str">
        <f>IFERROR(VLOOKUP($J201,Catálogos!$M$4:$N$17,2,FALSE()),"")</f>
        <v>Reprogramada · Equipo no operativo, a la espera de repuestos o accesorios</v>
      </c>
      <c r="L201" s="46"/>
      <c r="M201" s="46"/>
      <c r="N201" s="46"/>
      <c r="O201" s="46"/>
      <c r="P201" s="46"/>
      <c r="Q201" s="46"/>
    </row>
    <row r="202" spans="1:17" hidden="1" x14ac:dyDescent="0.25">
      <c r="A202" s="47" t="s">
        <v>414</v>
      </c>
      <c r="B202" s="46" t="str">
        <f>IFERROR(VLOOKUP($A202,Equipos!$C$2:$M$967,2,FALSE()),"")</f>
        <v>Desfibrilador</v>
      </c>
      <c r="C202" s="46" t="str">
        <f>IFERROR(VLOOKUP($A202,Equipos!$C$2:$M$967,9,FALSE()),"")</f>
        <v>298</v>
      </c>
      <c r="D202" s="46" t="str">
        <f>IFERROR(VLOOKUP($A202,Equipos!$C$2:$M$967,3,FALSE()),"")</f>
        <v>Urgencia Adulto</v>
      </c>
      <c r="E202" s="46" t="str">
        <f>IFERROR(VLOOKUP($A202,Equipos!$C$2:$M$967,7,FALSE()),"")</f>
        <v>Nihon Kohden</v>
      </c>
      <c r="F202" s="46" t="str">
        <f>IFERROR(VLOOKUP($A202,Equipos!$C$2:$M$967,8,FALSE()),"")</f>
        <v>EMS-1052E</v>
      </c>
      <c r="G202" s="46" t="s">
        <v>298</v>
      </c>
      <c r="H202" s="46"/>
      <c r="I202" s="46"/>
      <c r="J202" s="46" t="s">
        <v>297</v>
      </c>
      <c r="K202" s="46" t="str">
        <f>IFERROR(VLOOKUP($J202,Catálogos!$M$4:$N$17,2,FALSE()),"")</f>
        <v>Mantención Preventiva Realizada</v>
      </c>
      <c r="L202" s="46"/>
      <c r="M202" s="46"/>
      <c r="N202" s="46"/>
      <c r="O202" s="46"/>
      <c r="P202" s="46"/>
      <c r="Q202" s="46"/>
    </row>
    <row r="203" spans="1:17" hidden="1" x14ac:dyDescent="0.25">
      <c r="A203" s="47" t="s">
        <v>415</v>
      </c>
      <c r="B203" s="46" t="str">
        <f>IFERROR(VLOOKUP($A203,Equipos!$C$2:$M$967,2,FALSE()),"")</f>
        <v>Desfibrilador</v>
      </c>
      <c r="C203" s="46" t="str">
        <f>IFERROR(VLOOKUP($A203,Equipos!$C$2:$M$967,9,FALSE()),"")</f>
        <v>BA19F000013</v>
      </c>
      <c r="D203" s="46" t="str">
        <f>IFERROR(VLOOKUP($A203,Equipos!$C$2:$M$967,3,FALSE()),"")</f>
        <v>SAMU</v>
      </c>
      <c r="E203" s="46" t="str">
        <f>IFERROR(VLOOKUP($A203,Equipos!$C$2:$M$967,7,FALSE()),"")</f>
        <v>Zoll</v>
      </c>
      <c r="F203" s="46" t="str">
        <f>IFERROR(VLOOKUP($A203,Equipos!$C$2:$M$967,8,FALSE()),"")</f>
        <v>M2</v>
      </c>
      <c r="G203" s="46" t="s">
        <v>296</v>
      </c>
      <c r="H203" s="46"/>
      <c r="I203" s="46"/>
      <c r="J203" s="46" t="s">
        <v>416</v>
      </c>
      <c r="K203" s="46" t="str">
        <f>IFERROR(VLOOKUP($J203,Catálogos!$M$4:$N$17,2,FALSE()),"")</f>
        <v>Mantención de Año Anterior Realizada</v>
      </c>
      <c r="L203" s="46"/>
      <c r="M203" s="46"/>
      <c r="N203" s="46"/>
      <c r="O203" s="46"/>
      <c r="P203" s="46"/>
      <c r="Q203" s="46"/>
    </row>
    <row r="204" spans="1:17" hidden="1" x14ac:dyDescent="0.25">
      <c r="A204" s="47" t="s">
        <v>415</v>
      </c>
      <c r="B204" s="46" t="str">
        <f>IFERROR(VLOOKUP($A204,Equipos!$C$2:$M$967,2,FALSE()),"")</f>
        <v>Desfibrilador</v>
      </c>
      <c r="C204" s="46" t="str">
        <f>IFERROR(VLOOKUP($A204,Equipos!$C$2:$M$967,9,FALSE()),"")</f>
        <v>BA19F000013</v>
      </c>
      <c r="D204" s="46" t="str">
        <f>IFERROR(VLOOKUP($A204,Equipos!$C$2:$M$967,3,FALSE()),"")</f>
        <v>SAMU</v>
      </c>
      <c r="E204" s="46" t="str">
        <f>IFERROR(VLOOKUP($A204,Equipos!$C$2:$M$967,7,FALSE()),"")</f>
        <v>Zoll</v>
      </c>
      <c r="F204" s="46" t="str">
        <f>IFERROR(VLOOKUP($A204,Equipos!$C$2:$M$967,8,FALSE()),"")</f>
        <v>M2</v>
      </c>
      <c r="G204" s="46" t="s">
        <v>331</v>
      </c>
      <c r="H204" s="46"/>
      <c r="I204" s="46"/>
      <c r="J204" s="46" t="s">
        <v>297</v>
      </c>
      <c r="K204" s="46" t="str">
        <f>IFERROR(VLOOKUP($J204,Catálogos!$M$4:$N$17,2,FALSE()),"")</f>
        <v>Mantención Preventiva Realizada</v>
      </c>
      <c r="L204" s="46"/>
      <c r="M204" s="46"/>
      <c r="N204" s="46"/>
      <c r="O204" s="46"/>
      <c r="P204" s="46"/>
      <c r="Q204" s="46"/>
    </row>
    <row r="205" spans="1:17" hidden="1" x14ac:dyDescent="0.25">
      <c r="A205" s="47" t="s">
        <v>417</v>
      </c>
      <c r="B205" s="46" t="str">
        <f>IFERROR(VLOOKUP($A205,Equipos!$C$2:$M$967,2,FALSE()),"")</f>
        <v>DEA</v>
      </c>
      <c r="C205" s="46" t="str">
        <f>IFERROR(VLOOKUP($A205,Equipos!$C$2:$M$967,9,FALSE()),"")</f>
        <v>13036</v>
      </c>
      <c r="D205" s="46" t="str">
        <f>IFERROR(VLOOKUP($A205,Equipos!$C$2:$M$967,3,FALSE()),"")</f>
        <v>SAMU</v>
      </c>
      <c r="E205" s="46" t="str">
        <f>IFERROR(VLOOKUP($A205,Equipos!$C$2:$M$967,7,FALSE()),"")</f>
        <v>Nihon Kohden</v>
      </c>
      <c r="F205" s="46" t="str">
        <f>IFERROR(VLOOKUP($A205,Equipos!$C$2:$M$967,8,FALSE()),"")</f>
        <v>AED-3100K</v>
      </c>
      <c r="G205" s="46" t="s">
        <v>335</v>
      </c>
      <c r="H205" s="46"/>
      <c r="I205" s="46"/>
      <c r="J205" s="46" t="s">
        <v>297</v>
      </c>
      <c r="K205" s="46" t="str">
        <f>IFERROR(VLOOKUP($J205,Catálogos!$M$4:$N$17,2,FALSE()),"")</f>
        <v>Mantención Preventiva Realizada</v>
      </c>
      <c r="L205" s="46"/>
      <c r="M205" s="46"/>
      <c r="N205" s="46"/>
      <c r="O205" s="46"/>
      <c r="P205" s="46"/>
      <c r="Q205" s="46"/>
    </row>
    <row r="206" spans="1:17" hidden="1" x14ac:dyDescent="0.25">
      <c r="A206" s="47" t="s">
        <v>417</v>
      </c>
      <c r="B206" s="46" t="str">
        <f>IFERROR(VLOOKUP($A206,Equipos!$C$2:$M$967,2,FALSE()),"")</f>
        <v>DEA</v>
      </c>
      <c r="C206" s="46" t="str">
        <f>IFERROR(VLOOKUP($A206,Equipos!$C$2:$M$967,9,FALSE()),"")</f>
        <v>13036</v>
      </c>
      <c r="D206" s="46" t="str">
        <f>IFERROR(VLOOKUP($A206,Equipos!$C$2:$M$967,3,FALSE()),"")</f>
        <v>SAMU</v>
      </c>
      <c r="E206" s="46" t="str">
        <f>IFERROR(VLOOKUP($A206,Equipos!$C$2:$M$967,7,FALSE()),"")</f>
        <v>Nihon Kohden</v>
      </c>
      <c r="F206" s="46" t="str">
        <f>IFERROR(VLOOKUP($A206,Equipos!$C$2:$M$967,8,FALSE()),"")</f>
        <v>AED-3100K</v>
      </c>
      <c r="G206" s="46" t="s">
        <v>296</v>
      </c>
      <c r="H206" s="46"/>
      <c r="I206" s="46"/>
      <c r="J206" s="46" t="s">
        <v>297</v>
      </c>
      <c r="K206" s="46" t="str">
        <f>IFERROR(VLOOKUP($J206,Catálogos!$M$4:$N$17,2,FALSE()),"")</f>
        <v>Mantención Preventiva Realizada</v>
      </c>
      <c r="L206" s="46"/>
      <c r="M206" s="46"/>
      <c r="N206" s="46"/>
      <c r="O206" s="46"/>
      <c r="P206" s="46"/>
      <c r="Q206" s="46"/>
    </row>
    <row r="207" spans="1:17" hidden="1" x14ac:dyDescent="0.25">
      <c r="A207" s="47" t="s">
        <v>417</v>
      </c>
      <c r="B207" s="46" t="str">
        <f>IFERROR(VLOOKUP($A207,Equipos!$C$2:$M$967,2,FALSE()),"")</f>
        <v>DEA</v>
      </c>
      <c r="C207" s="46" t="str">
        <f>IFERROR(VLOOKUP($A207,Equipos!$C$2:$M$967,9,FALSE()),"")</f>
        <v>13036</v>
      </c>
      <c r="D207" s="46" t="str">
        <f>IFERROR(VLOOKUP($A207,Equipos!$C$2:$M$967,3,FALSE()),"")</f>
        <v>SAMU</v>
      </c>
      <c r="E207" s="46" t="str">
        <f>IFERROR(VLOOKUP($A207,Equipos!$C$2:$M$967,7,FALSE()),"")</f>
        <v>Nihon Kohden</v>
      </c>
      <c r="F207" s="46" t="str">
        <f>IFERROR(VLOOKUP($A207,Equipos!$C$2:$M$967,8,FALSE()),"")</f>
        <v>AED-3100K</v>
      </c>
      <c r="G207" s="46" t="s">
        <v>316</v>
      </c>
      <c r="H207" s="46"/>
      <c r="I207" s="46"/>
      <c r="J207" s="46" t="s">
        <v>297</v>
      </c>
      <c r="K207" s="46" t="str">
        <f>IFERROR(VLOOKUP($J207,Catálogos!$M$4:$N$17,2,FALSE()),"")</f>
        <v>Mantención Preventiva Realizada</v>
      </c>
      <c r="L207" s="46"/>
      <c r="M207" s="46"/>
      <c r="N207" s="46"/>
      <c r="O207" s="46"/>
      <c r="P207" s="46"/>
      <c r="Q207" s="46"/>
    </row>
    <row r="208" spans="1:17" hidden="1" x14ac:dyDescent="0.25">
      <c r="A208" s="47" t="s">
        <v>417</v>
      </c>
      <c r="B208" s="46" t="str">
        <f>IFERROR(VLOOKUP($A208,Equipos!$C$2:$M$967,2,FALSE()),"")</f>
        <v>DEA</v>
      </c>
      <c r="C208" s="46" t="str">
        <f>IFERROR(VLOOKUP($A208,Equipos!$C$2:$M$967,9,FALSE()),"")</f>
        <v>13036</v>
      </c>
      <c r="D208" s="46" t="str">
        <f>IFERROR(VLOOKUP($A208,Equipos!$C$2:$M$967,3,FALSE()),"")</f>
        <v>SAMU</v>
      </c>
      <c r="E208" s="46" t="str">
        <f>IFERROR(VLOOKUP($A208,Equipos!$C$2:$M$967,7,FALSE()),"")</f>
        <v>Nihon Kohden</v>
      </c>
      <c r="F208" s="46" t="str">
        <f>IFERROR(VLOOKUP($A208,Equipos!$C$2:$M$967,8,FALSE()),"")</f>
        <v>AED-3100K</v>
      </c>
      <c r="G208" s="46" t="s">
        <v>331</v>
      </c>
      <c r="H208" s="46"/>
      <c r="I208" s="46"/>
      <c r="J208" s="46" t="s">
        <v>297</v>
      </c>
      <c r="K208" s="46" t="str">
        <f>IFERROR(VLOOKUP($J208,Catálogos!$M$4:$N$17,2,FALSE()),"")</f>
        <v>Mantención Preventiva Realizada</v>
      </c>
      <c r="L208" s="46"/>
      <c r="M208" s="46"/>
      <c r="N208" s="46"/>
      <c r="O208" s="46"/>
      <c r="P208" s="46"/>
      <c r="Q208" s="46"/>
    </row>
    <row r="209" spans="1:17" hidden="1" x14ac:dyDescent="0.25">
      <c r="A209" s="47" t="s">
        <v>417</v>
      </c>
      <c r="B209" s="46" t="str">
        <f>IFERROR(VLOOKUP($A209,Equipos!$C$2:$M$967,2,FALSE()),"")</f>
        <v>DEA</v>
      </c>
      <c r="C209" s="46" t="str">
        <f>IFERROR(VLOOKUP($A209,Equipos!$C$2:$M$967,9,FALSE()),"")</f>
        <v>13036</v>
      </c>
      <c r="D209" s="46" t="str">
        <f>IFERROR(VLOOKUP($A209,Equipos!$C$2:$M$967,3,FALSE()),"")</f>
        <v>SAMU</v>
      </c>
      <c r="E209" s="46" t="str">
        <f>IFERROR(VLOOKUP($A209,Equipos!$C$2:$M$967,7,FALSE()),"")</f>
        <v>Nihon Kohden</v>
      </c>
      <c r="F209" s="46" t="str">
        <f>IFERROR(VLOOKUP($A209,Equipos!$C$2:$M$967,8,FALSE()),"")</f>
        <v>AED-3100K</v>
      </c>
      <c r="G209" s="46" t="s">
        <v>298</v>
      </c>
      <c r="H209" s="46"/>
      <c r="I209" s="46"/>
      <c r="J209" s="46" t="s">
        <v>297</v>
      </c>
      <c r="K209" s="46" t="str">
        <f>IFERROR(VLOOKUP($J209,Catálogos!$M$4:$N$17,2,FALSE()),"")</f>
        <v>Mantención Preventiva Realizada</v>
      </c>
      <c r="L209" s="46"/>
      <c r="M209" s="46"/>
      <c r="N209" s="46"/>
      <c r="O209" s="46"/>
      <c r="P209" s="46"/>
      <c r="Q209" s="46"/>
    </row>
    <row r="210" spans="1:17" hidden="1" x14ac:dyDescent="0.25">
      <c r="A210" s="47" t="s">
        <v>418</v>
      </c>
      <c r="B210" s="46" t="str">
        <f>IFERROR(VLOOKUP($A210,Equipos!$C$2:$M$967,2,FALSE()),"")</f>
        <v>Desfibrilador</v>
      </c>
      <c r="C210" s="46" t="str">
        <f>IFERROR(VLOOKUP($A210,Equipos!$C$2:$M$967,9,FALSE()),"")</f>
        <v>03938</v>
      </c>
      <c r="D210" s="46" t="str">
        <f>IFERROR(VLOOKUP($A210,Equipos!$C$2:$M$967,3,FALSE()),"")</f>
        <v>Medicina</v>
      </c>
      <c r="E210" s="46" t="str">
        <f>IFERROR(VLOOKUP($A210,Equipos!$C$2:$M$967,7,FALSE()),"")</f>
        <v>Nihon Kohden</v>
      </c>
      <c r="F210" s="46" t="str">
        <f>IFERROR(VLOOKUP($A210,Equipos!$C$2:$M$967,8,FALSE()),"")</f>
        <v>TEC-5631</v>
      </c>
      <c r="G210" s="46" t="s">
        <v>296</v>
      </c>
      <c r="H210" s="46"/>
      <c r="I210" s="46"/>
      <c r="J210" s="46" t="s">
        <v>297</v>
      </c>
      <c r="K210" s="46" t="str">
        <f>IFERROR(VLOOKUP($J210,Catálogos!$M$4:$N$17,2,FALSE()),"")</f>
        <v>Mantención Preventiva Realizada</v>
      </c>
      <c r="L210" s="46"/>
      <c r="M210" s="46"/>
      <c r="N210" s="46"/>
      <c r="O210" s="46"/>
      <c r="P210" s="46"/>
      <c r="Q210" s="46"/>
    </row>
    <row r="211" spans="1:17" hidden="1" x14ac:dyDescent="0.25">
      <c r="A211" s="47" t="s">
        <v>419</v>
      </c>
      <c r="B211" s="46" t="str">
        <f>IFERROR(VLOOKUP($A211,Equipos!$C$2:$M$967,2,FALSE()),"")</f>
        <v>Desfibrilador</v>
      </c>
      <c r="C211" s="46" t="str">
        <f>IFERROR(VLOOKUP($A211,Equipos!$C$2:$M$967,9,FALSE()),"")</f>
        <v>03939</v>
      </c>
      <c r="D211" s="46" t="str">
        <f>IFERROR(VLOOKUP($A211,Equipos!$C$2:$M$967,3,FALSE()),"")</f>
        <v>Medicina</v>
      </c>
      <c r="E211" s="46" t="str">
        <f>IFERROR(VLOOKUP($A211,Equipos!$C$2:$M$967,7,FALSE()),"")</f>
        <v>Nihon Kohden</v>
      </c>
      <c r="F211" s="46" t="str">
        <f>IFERROR(VLOOKUP($A211,Equipos!$C$2:$M$967,8,FALSE()),"")</f>
        <v>TEC-5631</v>
      </c>
      <c r="G211" s="46" t="s">
        <v>296</v>
      </c>
      <c r="H211" s="46"/>
      <c r="I211" s="46"/>
      <c r="J211" s="46" t="s">
        <v>297</v>
      </c>
      <c r="K211" s="46" t="str">
        <f>IFERROR(VLOOKUP($J211,Catálogos!$M$4:$N$17,2,FALSE()),"")</f>
        <v>Mantención Preventiva Realizada</v>
      </c>
      <c r="L211" s="46"/>
      <c r="M211" s="46"/>
      <c r="N211" s="46"/>
      <c r="O211" s="46"/>
      <c r="P211" s="46"/>
      <c r="Q211" s="46"/>
    </row>
    <row r="212" spans="1:17" hidden="1" x14ac:dyDescent="0.25">
      <c r="A212" s="47" t="s">
        <v>420</v>
      </c>
      <c r="B212" s="46" t="str">
        <f>IFERROR(VLOOKUP($A212,Equipos!$C$2:$M$967,2,FALSE()),"")</f>
        <v>DEA</v>
      </c>
      <c r="C212" s="46" t="str">
        <f>IFERROR(VLOOKUP($A212,Equipos!$C$2:$M$967,9,FALSE()),"")</f>
        <v>X21A332744</v>
      </c>
      <c r="D212" s="46" t="str">
        <f>IFERROR(VLOOKUP($A212,Equipos!$C$2:$M$967,3,FALSE()),"")</f>
        <v>Gestión de Pacientes</v>
      </c>
      <c r="E212" s="46" t="str">
        <f>IFERROR(VLOOKUP($A212,Equipos!$C$2:$M$967,7,FALSE()),"")</f>
        <v>Zoll</v>
      </c>
      <c r="F212" s="46" t="str">
        <f>IFERROR(VLOOKUP($A212,Equipos!$C$2:$M$967,8,FALSE()),"")</f>
        <v>AEDPLUS</v>
      </c>
      <c r="G212" s="46" t="s">
        <v>335</v>
      </c>
      <c r="H212" s="46"/>
      <c r="I212" s="46"/>
      <c r="J212" s="46" t="s">
        <v>297</v>
      </c>
      <c r="K212" s="46" t="str">
        <f>IFERROR(VLOOKUP($J212,Catálogos!$M$4:$N$17,2,FALSE()),"")</f>
        <v>Mantención Preventiva Realizada</v>
      </c>
      <c r="L212" s="46"/>
      <c r="M212" s="46"/>
      <c r="N212" s="46"/>
      <c r="O212" s="46"/>
      <c r="P212" s="46"/>
      <c r="Q212" s="46"/>
    </row>
    <row r="213" spans="1:17" hidden="1" x14ac:dyDescent="0.25">
      <c r="A213" s="47" t="s">
        <v>420</v>
      </c>
      <c r="B213" s="46" t="str">
        <f>IFERROR(VLOOKUP($A213,Equipos!$C$2:$M$967,2,FALSE()),"")</f>
        <v>DEA</v>
      </c>
      <c r="C213" s="46" t="str">
        <f>IFERROR(VLOOKUP($A213,Equipos!$C$2:$M$967,9,FALSE()),"")</f>
        <v>X21A332744</v>
      </c>
      <c r="D213" s="46" t="str">
        <f>IFERROR(VLOOKUP($A213,Equipos!$C$2:$M$967,3,FALSE()),"")</f>
        <v>Gestión de Pacientes</v>
      </c>
      <c r="E213" s="46" t="str">
        <f>IFERROR(VLOOKUP($A213,Equipos!$C$2:$M$967,7,FALSE()),"")</f>
        <v>Zoll</v>
      </c>
      <c r="F213" s="46" t="str">
        <f>IFERROR(VLOOKUP($A213,Equipos!$C$2:$M$967,8,FALSE()),"")</f>
        <v>AEDPLUS</v>
      </c>
      <c r="G213" s="46" t="s">
        <v>296</v>
      </c>
      <c r="H213" s="46"/>
      <c r="I213" s="46"/>
      <c r="J213" s="46" t="s">
        <v>297</v>
      </c>
      <c r="K213" s="46" t="str">
        <f>IFERROR(VLOOKUP($J213,Catálogos!$M$4:$N$17,2,FALSE()),"")</f>
        <v>Mantención Preventiva Realizada</v>
      </c>
      <c r="L213" s="46"/>
      <c r="M213" s="46"/>
      <c r="N213" s="46"/>
      <c r="O213" s="46"/>
      <c r="P213" s="46"/>
      <c r="Q213" s="46"/>
    </row>
    <row r="214" spans="1:17" hidden="1" x14ac:dyDescent="0.25">
      <c r="A214" s="47" t="s">
        <v>420</v>
      </c>
      <c r="B214" s="46" t="str">
        <f>IFERROR(VLOOKUP($A214,Equipos!$C$2:$M$967,2,FALSE()),"")</f>
        <v>DEA</v>
      </c>
      <c r="C214" s="46" t="str">
        <f>IFERROR(VLOOKUP($A214,Equipos!$C$2:$M$967,9,FALSE()),"")</f>
        <v>X21A332744</v>
      </c>
      <c r="D214" s="46" t="str">
        <f>IFERROR(VLOOKUP($A214,Equipos!$C$2:$M$967,3,FALSE()),"")</f>
        <v>Gestión de Pacientes</v>
      </c>
      <c r="E214" s="46" t="str">
        <f>IFERROR(VLOOKUP($A214,Equipos!$C$2:$M$967,7,FALSE()),"")</f>
        <v>Zoll</v>
      </c>
      <c r="F214" s="46" t="str">
        <f>IFERROR(VLOOKUP($A214,Equipos!$C$2:$M$967,8,FALSE()),"")</f>
        <v>AEDPLUS</v>
      </c>
      <c r="G214" s="46" t="s">
        <v>316</v>
      </c>
      <c r="H214" s="46"/>
      <c r="I214" s="46"/>
      <c r="J214" s="46" t="s">
        <v>297</v>
      </c>
      <c r="K214" s="46" t="str">
        <f>IFERROR(VLOOKUP($J214,Catálogos!$M$4:$N$17,2,FALSE()),"")</f>
        <v>Mantención Preventiva Realizada</v>
      </c>
      <c r="L214" s="46"/>
      <c r="M214" s="46"/>
      <c r="N214" s="46"/>
      <c r="O214" s="46"/>
      <c r="P214" s="46"/>
      <c r="Q214" s="46"/>
    </row>
    <row r="215" spans="1:17" hidden="1" x14ac:dyDescent="0.25">
      <c r="A215" s="47" t="s">
        <v>420</v>
      </c>
      <c r="B215" s="46" t="str">
        <f>IFERROR(VLOOKUP($A215,Equipos!$C$2:$M$967,2,FALSE()),"")</f>
        <v>DEA</v>
      </c>
      <c r="C215" s="46" t="str">
        <f>IFERROR(VLOOKUP($A215,Equipos!$C$2:$M$967,9,FALSE()),"")</f>
        <v>X21A332744</v>
      </c>
      <c r="D215" s="46" t="str">
        <f>IFERROR(VLOOKUP($A215,Equipos!$C$2:$M$967,3,FALSE()),"")</f>
        <v>Gestión de Pacientes</v>
      </c>
      <c r="E215" s="46" t="str">
        <f>IFERROR(VLOOKUP($A215,Equipos!$C$2:$M$967,7,FALSE()),"")</f>
        <v>Zoll</v>
      </c>
      <c r="F215" s="46" t="str">
        <f>IFERROR(VLOOKUP($A215,Equipos!$C$2:$M$967,8,FALSE()),"")</f>
        <v>AEDPLUS</v>
      </c>
      <c r="G215" s="46" t="s">
        <v>331</v>
      </c>
      <c r="H215" s="46"/>
      <c r="I215" s="46"/>
      <c r="J215" s="46" t="s">
        <v>297</v>
      </c>
      <c r="K215" s="46" t="str">
        <f>IFERROR(VLOOKUP($J215,Catálogos!$M$4:$N$17,2,FALSE()),"")</f>
        <v>Mantención Preventiva Realizada</v>
      </c>
      <c r="L215" s="46"/>
      <c r="M215" s="46"/>
      <c r="N215" s="46"/>
      <c r="O215" s="46"/>
      <c r="P215" s="46"/>
      <c r="Q215" s="46"/>
    </row>
    <row r="216" spans="1:17" hidden="1" x14ac:dyDescent="0.25">
      <c r="A216" s="47" t="s">
        <v>420</v>
      </c>
      <c r="B216" s="46" t="str">
        <f>IFERROR(VLOOKUP($A216,Equipos!$C$2:$M$967,2,FALSE()),"")</f>
        <v>DEA</v>
      </c>
      <c r="C216" s="46" t="str">
        <f>IFERROR(VLOOKUP($A216,Equipos!$C$2:$M$967,9,FALSE()),"")</f>
        <v>X21A332744</v>
      </c>
      <c r="D216" s="46" t="str">
        <f>IFERROR(VLOOKUP($A216,Equipos!$C$2:$M$967,3,FALSE()),"")</f>
        <v>Gestión de Pacientes</v>
      </c>
      <c r="E216" s="46" t="str">
        <f>IFERROR(VLOOKUP($A216,Equipos!$C$2:$M$967,7,FALSE()),"")</f>
        <v>Zoll</v>
      </c>
      <c r="F216" s="46" t="str">
        <f>IFERROR(VLOOKUP($A216,Equipos!$C$2:$M$967,8,FALSE()),"")</f>
        <v>AEDPLUS</v>
      </c>
      <c r="G216" s="46" t="s">
        <v>298</v>
      </c>
      <c r="H216" s="46"/>
      <c r="I216" s="46"/>
      <c r="J216" s="46" t="s">
        <v>297</v>
      </c>
      <c r="K216" s="46" t="str">
        <f>IFERROR(VLOOKUP($J216,Catálogos!$M$4:$N$17,2,FALSE()),"")</f>
        <v>Mantención Preventiva Realizada</v>
      </c>
      <c r="L216" s="46"/>
      <c r="M216" s="46"/>
      <c r="N216" s="46"/>
      <c r="O216" s="46"/>
      <c r="P216" s="46"/>
      <c r="Q216" s="46"/>
    </row>
    <row r="217" spans="1:17" hidden="1" x14ac:dyDescent="0.25">
      <c r="A217" s="47" t="s">
        <v>421</v>
      </c>
      <c r="B217" s="46" t="str">
        <f>IFERROR(VLOOKUP($A217,Equipos!$C$2:$M$967,2,FALSE()),"")</f>
        <v>Desfibrilador</v>
      </c>
      <c r="C217" s="46" t="str">
        <f>IFERROR(VLOOKUP($A217,Equipos!$C$2:$M$967,9,FALSE()),"")</f>
        <v>03945</v>
      </c>
      <c r="D217" s="46" t="str">
        <f>IFERROR(VLOOKUP($A217,Equipos!$C$2:$M$967,3,FALSE()),"")</f>
        <v>Hemato Oncología Adulto</v>
      </c>
      <c r="E217" s="46" t="str">
        <f>IFERROR(VLOOKUP($A217,Equipos!$C$2:$M$967,7,FALSE()),"")</f>
        <v>Nihon Kohden</v>
      </c>
      <c r="F217" s="46" t="str">
        <f>IFERROR(VLOOKUP($A217,Equipos!$C$2:$M$967,8,FALSE()),"")</f>
        <v>TEC-5631</v>
      </c>
      <c r="G217" s="46" t="s">
        <v>316</v>
      </c>
      <c r="H217" s="46"/>
      <c r="I217" s="46"/>
      <c r="J217" s="46" t="s">
        <v>297</v>
      </c>
      <c r="K217" s="46" t="str">
        <f>IFERROR(VLOOKUP($J217,Catálogos!$M$4:$N$17,2,FALSE()),"")</f>
        <v>Mantención Preventiva Realizada</v>
      </c>
      <c r="L217" s="46"/>
      <c r="M217" s="46"/>
      <c r="N217" s="46"/>
      <c r="O217" s="46"/>
      <c r="P217" s="46"/>
      <c r="Q217" s="46"/>
    </row>
    <row r="218" spans="1:17" hidden="1" x14ac:dyDescent="0.25">
      <c r="A218" s="47" t="s">
        <v>422</v>
      </c>
      <c r="B218" s="46" t="str">
        <f>IFERROR(VLOOKUP($A218,Equipos!$C$2:$M$967,2,FALSE()),"")</f>
        <v>Máquina de Anestesia</v>
      </c>
      <c r="C218" s="46" t="str">
        <f>IFERROR(VLOOKUP($A218,Equipos!$C$2:$M$967,9,FALSE()),"")</f>
        <v>ASLJ-0308</v>
      </c>
      <c r="D218" s="46" t="str">
        <f>IFERROR(VLOOKUP($A218,Equipos!$C$2:$M$967,3,FALSE()),"")</f>
        <v>Pabellones Gineco-Obstétricos</v>
      </c>
      <c r="E218" s="46" t="str">
        <f>IFERROR(VLOOKUP($A218,Equipos!$C$2:$M$967,7,FALSE()),"")</f>
        <v xml:space="preserve">Drager </v>
      </c>
      <c r="F218" s="46" t="str">
        <f>IFERROR(VLOOKUP($A218,Equipos!$C$2:$M$967,8,FALSE()),"")</f>
        <v>Primus IE</v>
      </c>
      <c r="G218" s="46" t="s">
        <v>316</v>
      </c>
      <c r="H218" s="46"/>
      <c r="I218" s="46"/>
      <c r="J218" s="46" t="s">
        <v>423</v>
      </c>
      <c r="K218" s="46" t="str">
        <f>IFERROR(VLOOKUP($J218,Catálogos!$M$4:$N$17,2,FALSE()),"")</f>
        <v>Reprogramada · No disponibilidad de horas hombre del servicio técnico externo</v>
      </c>
      <c r="L218" s="46"/>
      <c r="M218" s="46"/>
      <c r="N218" s="46"/>
      <c r="O218" s="46"/>
      <c r="P218" s="46"/>
      <c r="Q218" s="46"/>
    </row>
    <row r="219" spans="1:17" hidden="1" x14ac:dyDescent="0.25">
      <c r="A219" s="47" t="s">
        <v>424</v>
      </c>
      <c r="B219" s="46" t="str">
        <f>IFERROR(VLOOKUP($A219,Equipos!$C$2:$M$967,2,FALSE()),"")</f>
        <v>Máquina de Anestesia</v>
      </c>
      <c r="C219" s="46" t="str">
        <f>IFERROR(VLOOKUP($A219,Equipos!$C$2:$M$967,9,FALSE()),"")</f>
        <v>ASRJ-0185</v>
      </c>
      <c r="D219" s="46" t="str">
        <f>IFERROR(VLOOKUP($A219,Equipos!$C$2:$M$967,3,FALSE()),"")</f>
        <v>Pabellones Gineco-Obstétricos</v>
      </c>
      <c r="E219" s="46" t="str">
        <f>IFERROR(VLOOKUP($A219,Equipos!$C$2:$M$967,7,FALSE()),"")</f>
        <v xml:space="preserve">Drager </v>
      </c>
      <c r="F219" s="46" t="str">
        <f>IFERROR(VLOOKUP($A219,Equipos!$C$2:$M$967,8,FALSE()),"")</f>
        <v>Perseus A500</v>
      </c>
      <c r="G219" s="46" t="s">
        <v>316</v>
      </c>
      <c r="H219" s="46"/>
      <c r="I219" s="46"/>
      <c r="J219" s="46" t="s">
        <v>423</v>
      </c>
      <c r="K219" s="46" t="str">
        <f>IFERROR(VLOOKUP($J219,Catálogos!$M$4:$N$17,2,FALSE()),"")</f>
        <v>Reprogramada · No disponibilidad de horas hombre del servicio técnico externo</v>
      </c>
      <c r="L219" s="46"/>
      <c r="M219" s="46"/>
      <c r="N219" s="46"/>
      <c r="O219" s="46"/>
      <c r="P219" s="46"/>
      <c r="Q219" s="46"/>
    </row>
    <row r="220" spans="1:17" hidden="1" x14ac:dyDescent="0.25">
      <c r="A220" s="47" t="s">
        <v>425</v>
      </c>
      <c r="B220" s="46" t="str">
        <f>IFERROR(VLOOKUP($A220,Equipos!$C$2:$M$967,2,FALSE()),"")</f>
        <v>Máquina de Anestesia</v>
      </c>
      <c r="C220" s="46" t="str">
        <f>IFERROR(VLOOKUP($A220,Equipos!$C$2:$M$967,9,FALSE()),"")</f>
        <v>ASUD-0008</v>
      </c>
      <c r="D220" s="46" t="str">
        <f>IFERROR(VLOOKUP($A220,Equipos!$C$2:$M$967,3,FALSE()),"")</f>
        <v>TROI</v>
      </c>
      <c r="E220" s="46" t="str">
        <f>IFERROR(VLOOKUP($A220,Equipos!$C$2:$M$967,7,FALSE()),"")</f>
        <v>Drager</v>
      </c>
      <c r="F220" s="46" t="str">
        <f>IFERROR(VLOOKUP($A220,Equipos!$C$2:$M$967,8,FALSE()),"")</f>
        <v>Atlan A350</v>
      </c>
      <c r="G220" s="46" t="s">
        <v>331</v>
      </c>
      <c r="H220" s="46"/>
      <c r="I220" s="46"/>
      <c r="J220" s="46" t="s">
        <v>297</v>
      </c>
      <c r="K220" s="46" t="str">
        <f>IFERROR(VLOOKUP($J220,Catálogos!$M$4:$N$17,2,FALSE()),"")</f>
        <v>Mantención Preventiva Realizada</v>
      </c>
      <c r="L220" s="46"/>
      <c r="M220" s="46"/>
      <c r="N220" s="46"/>
      <c r="O220" s="46"/>
      <c r="P220" s="46"/>
      <c r="Q220" s="46"/>
    </row>
    <row r="221" spans="1:17" hidden="1" x14ac:dyDescent="0.25">
      <c r="A221" s="47" t="s">
        <v>426</v>
      </c>
      <c r="B221" s="46" t="str">
        <f>IFERROR(VLOOKUP($A221,Equipos!$C$2:$M$967,2,FALSE()),"")</f>
        <v>Máquina de Anestesia</v>
      </c>
      <c r="C221" s="46" t="str">
        <f>IFERROR(VLOOKUP($A221,Equipos!$C$2:$M$967,9,FALSE()),"")</f>
        <v>ARXN-0048</v>
      </c>
      <c r="D221" s="46" t="str">
        <f>IFERROR(VLOOKUP($A221,Equipos!$C$2:$M$967,3,FALSE()),"")</f>
        <v>Pabellón Quirúrgico (Prestado a Electrofisiología)</v>
      </c>
      <c r="E221" s="46" t="str">
        <f>IFERROR(VLOOKUP($A221,Equipos!$C$2:$M$967,7,FALSE()),"")</f>
        <v xml:space="preserve">Drager </v>
      </c>
      <c r="F221" s="46" t="str">
        <f>IFERROR(VLOOKUP($A221,Equipos!$C$2:$M$967,8,FALSE()),"")</f>
        <v>Fabius GS</v>
      </c>
      <c r="G221" s="46" t="s">
        <v>316</v>
      </c>
      <c r="H221" s="46"/>
      <c r="I221" s="46"/>
      <c r="J221" s="46" t="s">
        <v>277</v>
      </c>
      <c r="K221" s="46" t="str">
        <f>IFERROR(VLOOKUP($J221,Catálogos!$M$4:$N$17,2,FALSE()),"")</f>
        <v>Reprogramada · Equipo no operativo, a la espera de repuestos o accesorios</v>
      </c>
      <c r="L221" s="46"/>
      <c r="M221" s="46"/>
      <c r="N221" s="46"/>
      <c r="O221" s="46"/>
      <c r="P221" s="46"/>
      <c r="Q221" s="46"/>
    </row>
    <row r="222" spans="1:17" hidden="1" x14ac:dyDescent="0.25">
      <c r="A222" s="47" t="s">
        <v>427</v>
      </c>
      <c r="B222" s="46" t="str">
        <f>IFERROR(VLOOKUP($A222,Equipos!$C$2:$M$967,2,FALSE()),"")</f>
        <v>Máquina de Anestesia</v>
      </c>
      <c r="C222" s="46" t="str">
        <f>IFERROR(VLOOKUP($A222,Equipos!$C$2:$M$967,9,FALSE()),"")</f>
        <v>ARYA-0173</v>
      </c>
      <c r="D222" s="46" t="str">
        <f>IFERROR(VLOOKUP($A222,Equipos!$C$2:$M$967,3,FALSE()),"")</f>
        <v>Pabellón Quirúrgico (Prestado a Imagenología)</v>
      </c>
      <c r="E222" s="46" t="str">
        <f>IFERROR(VLOOKUP($A222,Equipos!$C$2:$M$967,7,FALSE()),"")</f>
        <v xml:space="preserve">Drager </v>
      </c>
      <c r="F222" s="46" t="str">
        <f>IFERROR(VLOOKUP($A222,Equipos!$C$2:$M$967,8,FALSE()),"")</f>
        <v xml:space="preserve">Primus </v>
      </c>
      <c r="G222" s="46" t="s">
        <v>316</v>
      </c>
      <c r="H222" s="46"/>
      <c r="I222" s="46"/>
      <c r="J222" s="46" t="s">
        <v>423</v>
      </c>
      <c r="K222" s="46" t="str">
        <f>IFERROR(VLOOKUP($J222,Catálogos!$M$4:$N$17,2,FALSE()),"")</f>
        <v>Reprogramada · No disponibilidad de horas hombre del servicio técnico externo</v>
      </c>
      <c r="L222" s="46"/>
      <c r="M222" s="46"/>
      <c r="N222" s="46"/>
      <c r="O222" s="46"/>
      <c r="P222" s="46"/>
      <c r="Q222" s="46"/>
    </row>
    <row r="223" spans="1:17" hidden="1" x14ac:dyDescent="0.25">
      <c r="A223" s="47" t="s">
        <v>427</v>
      </c>
      <c r="B223" s="46" t="str">
        <f>IFERROR(VLOOKUP($A223,Equipos!$C$2:$M$967,2,FALSE()),"")</f>
        <v>Máquina de Anestesia</v>
      </c>
      <c r="C223" s="46" t="str">
        <f>IFERROR(VLOOKUP($A223,Equipos!$C$2:$M$967,9,FALSE()),"")</f>
        <v>ARYA-0173</v>
      </c>
      <c r="D223" s="46" t="str">
        <f>IFERROR(VLOOKUP($A223,Equipos!$C$2:$M$967,3,FALSE()),"")</f>
        <v>Pabellón Quirúrgico (Prestado a Imagenología)</v>
      </c>
      <c r="E223" s="46" t="str">
        <f>IFERROR(VLOOKUP($A223,Equipos!$C$2:$M$967,7,FALSE()),"")</f>
        <v xml:space="preserve">Drager </v>
      </c>
      <c r="F223" s="46" t="str">
        <f>IFERROR(VLOOKUP($A223,Equipos!$C$2:$M$967,8,FALSE()),"")</f>
        <v xml:space="preserve">Primus </v>
      </c>
      <c r="G223" s="46" t="s">
        <v>331</v>
      </c>
      <c r="H223" s="46"/>
      <c r="I223" s="46"/>
      <c r="J223" s="46" t="s">
        <v>297</v>
      </c>
      <c r="K223" s="46" t="str">
        <f>IFERROR(VLOOKUP($J223,Catálogos!$M$4:$N$17,2,FALSE()),"")</f>
        <v>Mantención Preventiva Realizada</v>
      </c>
      <c r="L223" s="46"/>
      <c r="M223" s="46"/>
      <c r="N223" s="46"/>
      <c r="O223" s="46"/>
      <c r="P223" s="46"/>
      <c r="Q223" s="46"/>
    </row>
    <row r="224" spans="1:17" hidden="1" x14ac:dyDescent="0.25">
      <c r="A224" s="47" t="s">
        <v>428</v>
      </c>
      <c r="B224" s="46" t="str">
        <f>IFERROR(VLOOKUP($A224,Equipos!$C$2:$M$967,2,FALSE()),"")</f>
        <v>Máquina de Anestesia</v>
      </c>
      <c r="C224" s="46" t="str">
        <f>IFERROR(VLOOKUP($A224,Equipos!$C$2:$M$967,9,FALSE()),"")</f>
        <v>ARXK-0016</v>
      </c>
      <c r="D224" s="46" t="str">
        <f>IFERROR(VLOOKUP($A224,Equipos!$C$2:$M$967,3,FALSE()),"")</f>
        <v>Pabellón Quirúrgico</v>
      </c>
      <c r="E224" s="46" t="str">
        <f>IFERROR(VLOOKUP($A224,Equipos!$C$2:$M$967,7,FALSE()),"")</f>
        <v xml:space="preserve">Drager </v>
      </c>
      <c r="F224" s="46" t="str">
        <f>IFERROR(VLOOKUP($A224,Equipos!$C$2:$M$967,8,FALSE()),"")</f>
        <v>Primus</v>
      </c>
      <c r="G224" s="46" t="s">
        <v>316</v>
      </c>
      <c r="H224" s="46"/>
      <c r="I224" s="46"/>
      <c r="J224" s="46" t="s">
        <v>423</v>
      </c>
      <c r="K224" s="46" t="str">
        <f>IFERROR(VLOOKUP($J224,Catálogos!$M$4:$N$17,2,FALSE()),"")</f>
        <v>Reprogramada · No disponibilidad de horas hombre del servicio técnico externo</v>
      </c>
      <c r="L224" s="46"/>
      <c r="M224" s="46"/>
      <c r="N224" s="46"/>
      <c r="O224" s="46"/>
      <c r="P224" s="46"/>
      <c r="Q224" s="46"/>
    </row>
    <row r="225" spans="1:17" hidden="1" x14ac:dyDescent="0.25">
      <c r="A225" s="47" t="s">
        <v>428</v>
      </c>
      <c r="B225" s="46" t="str">
        <f>IFERROR(VLOOKUP($A225,Equipos!$C$2:$M$967,2,FALSE()),"")</f>
        <v>Máquina de Anestesia</v>
      </c>
      <c r="C225" s="46" t="str">
        <f>IFERROR(VLOOKUP($A225,Equipos!$C$2:$M$967,9,FALSE()),"")</f>
        <v>ARXK-0016</v>
      </c>
      <c r="D225" s="46" t="str">
        <f>IFERROR(VLOOKUP($A225,Equipos!$C$2:$M$967,3,FALSE()),"")</f>
        <v>Pabellón Quirúrgico</v>
      </c>
      <c r="E225" s="46" t="str">
        <f>IFERROR(VLOOKUP($A225,Equipos!$C$2:$M$967,7,FALSE()),"")</f>
        <v xml:space="preserve">Drager </v>
      </c>
      <c r="F225" s="46" t="str">
        <f>IFERROR(VLOOKUP($A225,Equipos!$C$2:$M$967,8,FALSE()),"")</f>
        <v>Primus</v>
      </c>
      <c r="G225" s="46" t="s">
        <v>331</v>
      </c>
      <c r="H225" s="46"/>
      <c r="I225" s="46"/>
      <c r="J225" s="46" t="s">
        <v>297</v>
      </c>
      <c r="K225" s="46" t="str">
        <f>IFERROR(VLOOKUP($J225,Catálogos!$M$4:$N$17,2,FALSE()),"")</f>
        <v>Mantención Preventiva Realizada</v>
      </c>
      <c r="L225" s="46"/>
      <c r="M225" s="46"/>
      <c r="N225" s="46"/>
      <c r="O225" s="46"/>
      <c r="P225" s="46"/>
      <c r="Q225" s="46"/>
    </row>
    <row r="226" spans="1:17" hidden="1" x14ac:dyDescent="0.25">
      <c r="A226" s="47" t="s">
        <v>429</v>
      </c>
      <c r="B226" s="46" t="str">
        <f>IFERROR(VLOOKUP($A226,Equipos!$C$2:$M$967,2,FALSE()),"")</f>
        <v>Máquina de Anestesia</v>
      </c>
      <c r="C226" s="46" t="str">
        <f>IFERROR(VLOOKUP($A226,Equipos!$C$2:$M$967,9,FALSE()),"")</f>
        <v>ASMB-0232</v>
      </c>
      <c r="D226" s="46" t="str">
        <f>IFERROR(VLOOKUP($A226,Equipos!$C$2:$M$967,3,FALSE()),"")</f>
        <v>Pabellón Quirúrgico (Prestado a Pabellón CMA)</v>
      </c>
      <c r="E226" s="46" t="str">
        <f>IFERROR(VLOOKUP($A226,Equipos!$C$2:$M$967,7,FALSE()),"")</f>
        <v>Drager</v>
      </c>
      <c r="F226" s="46" t="str">
        <f>IFERROR(VLOOKUP($A226,Equipos!$C$2:$M$967,8,FALSE()),"")</f>
        <v>Primus IE</v>
      </c>
      <c r="G226" s="46" t="s">
        <v>316</v>
      </c>
      <c r="H226" s="46"/>
      <c r="I226" s="46"/>
      <c r="J226" s="46" t="s">
        <v>423</v>
      </c>
      <c r="K226" s="46" t="str">
        <f>IFERROR(VLOOKUP($J226,Catálogos!$M$4:$N$17,2,FALSE()),"")</f>
        <v>Reprogramada · No disponibilidad de horas hombre del servicio técnico externo</v>
      </c>
      <c r="L226" s="46"/>
      <c r="M226" s="46"/>
      <c r="N226" s="46"/>
      <c r="O226" s="46"/>
      <c r="P226" s="46"/>
      <c r="Q226" s="46"/>
    </row>
    <row r="227" spans="1:17" hidden="1" x14ac:dyDescent="0.25">
      <c r="A227" s="47" t="s">
        <v>429</v>
      </c>
      <c r="B227" s="46" t="str">
        <f>IFERROR(VLOOKUP($A227,Equipos!$C$2:$M$967,2,FALSE()),"")</f>
        <v>Máquina de Anestesia</v>
      </c>
      <c r="C227" s="46" t="str">
        <f>IFERROR(VLOOKUP($A227,Equipos!$C$2:$M$967,9,FALSE()),"")</f>
        <v>ASMB-0232</v>
      </c>
      <c r="D227" s="46" t="str">
        <f>IFERROR(VLOOKUP($A227,Equipos!$C$2:$M$967,3,FALSE()),"")</f>
        <v>Pabellón Quirúrgico (Prestado a Pabellón CMA)</v>
      </c>
      <c r="E227" s="46" t="str">
        <f>IFERROR(VLOOKUP($A227,Equipos!$C$2:$M$967,7,FALSE()),"")</f>
        <v>Drager</v>
      </c>
      <c r="F227" s="46" t="str">
        <f>IFERROR(VLOOKUP($A227,Equipos!$C$2:$M$967,8,FALSE()),"")</f>
        <v>Primus IE</v>
      </c>
      <c r="G227" s="46" t="s">
        <v>331</v>
      </c>
      <c r="H227" s="46"/>
      <c r="I227" s="46"/>
      <c r="J227" s="46" t="s">
        <v>297</v>
      </c>
      <c r="K227" s="46" t="str">
        <f>IFERROR(VLOOKUP($J227,Catálogos!$M$4:$N$17,2,FALSE()),"")</f>
        <v>Mantención Preventiva Realizada</v>
      </c>
      <c r="L227" s="46"/>
      <c r="M227" s="46"/>
      <c r="N227" s="46"/>
      <c r="O227" s="46"/>
      <c r="P227" s="46"/>
      <c r="Q227" s="46"/>
    </row>
    <row r="228" spans="1:17" hidden="1" x14ac:dyDescent="0.25">
      <c r="A228" s="47" t="s">
        <v>430</v>
      </c>
      <c r="B228" s="46" t="str">
        <f>IFERROR(VLOOKUP($A228,Equipos!$C$2:$M$967,2,FALSE()),"")</f>
        <v>Máquina de Anestesia</v>
      </c>
      <c r="C228" s="46" t="str">
        <f>IFERROR(VLOOKUP($A228,Equipos!$C$2:$M$967,9,FALSE()),"")</f>
        <v>ASCB-0130</v>
      </c>
      <c r="D228" s="46" t="str">
        <f>IFERROR(VLOOKUP($A228,Equipos!$C$2:$M$967,3,FALSE()),"")</f>
        <v>Pabellón Quirúrgico (Prestado a Imagenología)</v>
      </c>
      <c r="E228" s="46" t="str">
        <f>IFERROR(VLOOKUP($A228,Equipos!$C$2:$M$967,7,FALSE()),"")</f>
        <v xml:space="preserve">Drager </v>
      </c>
      <c r="F228" s="46" t="str">
        <f>IFERROR(VLOOKUP($A228,Equipos!$C$2:$M$967,8,FALSE()),"")</f>
        <v xml:space="preserve">Primus </v>
      </c>
      <c r="G228" s="46" t="s">
        <v>316</v>
      </c>
      <c r="H228" s="46"/>
      <c r="I228" s="46"/>
      <c r="J228" s="46" t="s">
        <v>277</v>
      </c>
      <c r="K228" s="46" t="str">
        <f>IFERROR(VLOOKUP($J228,Catálogos!$M$4:$N$17,2,FALSE()),"")</f>
        <v>Reprogramada · Equipo no operativo, a la espera de repuestos o accesorios</v>
      </c>
      <c r="L228" s="46"/>
      <c r="M228" s="46"/>
      <c r="N228" s="46"/>
      <c r="O228" s="46"/>
      <c r="P228" s="46"/>
      <c r="Q228" s="46"/>
    </row>
    <row r="229" spans="1:17" hidden="1" x14ac:dyDescent="0.25">
      <c r="A229" s="47" t="s">
        <v>431</v>
      </c>
      <c r="B229" s="46" t="str">
        <f>IFERROR(VLOOKUP($A229,Equipos!$C$2:$M$967,2,FALSE()),"")</f>
        <v>Máquina de Anestesia</v>
      </c>
      <c r="C229" s="46" t="str">
        <f>IFERROR(VLOOKUP($A229,Equipos!$C$2:$M$967,9,FALSE()),"")</f>
        <v>ASCB-0129</v>
      </c>
      <c r="D229" s="46" t="str">
        <f>IFERROR(VLOOKUP($A229,Equipos!$C$2:$M$967,3,FALSE()),"")</f>
        <v>Pabellón Quirúrgico</v>
      </c>
      <c r="E229" s="46" t="str">
        <f>IFERROR(VLOOKUP($A229,Equipos!$C$2:$M$967,7,FALSE()),"")</f>
        <v xml:space="preserve">Drager </v>
      </c>
      <c r="F229" s="46" t="str">
        <f>IFERROR(VLOOKUP($A229,Equipos!$C$2:$M$967,8,FALSE()),"")</f>
        <v>Primus</v>
      </c>
      <c r="G229" s="46" t="s">
        <v>316</v>
      </c>
      <c r="H229" s="46"/>
      <c r="I229" s="46"/>
      <c r="J229" s="46" t="s">
        <v>297</v>
      </c>
      <c r="K229" s="46" t="str">
        <f>IFERROR(VLOOKUP($J229,Catálogos!$M$4:$N$17,2,FALSE()),"")</f>
        <v>Mantención Preventiva Realizada</v>
      </c>
      <c r="L229" s="46"/>
      <c r="M229" s="46"/>
      <c r="N229" s="46"/>
      <c r="O229" s="46"/>
      <c r="P229" s="46"/>
      <c r="Q229" s="46"/>
    </row>
    <row r="230" spans="1:17" hidden="1" x14ac:dyDescent="0.25">
      <c r="A230" s="47" t="s">
        <v>127</v>
      </c>
      <c r="B230" s="46" t="str">
        <f>IFERROR(VLOOKUP($A230,Equipos!$C$2:$M$967,2,FALSE()),"")</f>
        <v>Máquina de Anestesia</v>
      </c>
      <c r="C230" s="46" t="str">
        <f>IFERROR(VLOOKUP($A230,Equipos!$C$2:$M$967,9,FALSE()),"")</f>
        <v>ASMB-0231</v>
      </c>
      <c r="D230" s="46" t="str">
        <f>IFERROR(VLOOKUP($A230,Equipos!$C$2:$M$967,3,FALSE()),"")</f>
        <v>Pabellón Quirúrgico</v>
      </c>
      <c r="E230" s="46" t="str">
        <f>IFERROR(VLOOKUP($A230,Equipos!$C$2:$M$967,7,FALSE()),"")</f>
        <v>Drager</v>
      </c>
      <c r="F230" s="46" t="str">
        <f>IFERROR(VLOOKUP($A230,Equipos!$C$2:$M$967,8,FALSE()),"")</f>
        <v>Primus IE</v>
      </c>
      <c r="G230" s="46" t="s">
        <v>316</v>
      </c>
      <c r="H230" s="46"/>
      <c r="I230" s="46"/>
      <c r="J230" s="46" t="s">
        <v>277</v>
      </c>
      <c r="K230" s="46" t="str">
        <f>IFERROR(VLOOKUP($J230,Catálogos!$M$4:$N$17,2,FALSE()),"")</f>
        <v>Reprogramada · Equipo no operativo, a la espera de repuestos o accesorios</v>
      </c>
      <c r="L230" s="46"/>
      <c r="M230" s="46"/>
      <c r="N230" s="46"/>
      <c r="O230" s="46"/>
      <c r="P230" s="46"/>
      <c r="Q230" s="46"/>
    </row>
    <row r="231" spans="1:17" hidden="1" x14ac:dyDescent="0.25">
      <c r="A231" s="47" t="s">
        <v>432</v>
      </c>
      <c r="B231" s="46" t="str">
        <f>IFERROR(VLOOKUP($A231,Equipos!$C$2:$M$967,2,FALSE()),"")</f>
        <v>Máquina de Anestesia</v>
      </c>
      <c r="C231" s="46" t="str">
        <f>IFERROR(VLOOKUP($A231,Equipos!$C$2:$M$967,9,FALSE()),"")</f>
        <v>ASMB-0230</v>
      </c>
      <c r="D231" s="46" t="str">
        <f>IFERROR(VLOOKUP($A231,Equipos!$C$2:$M$967,3,FALSE()),"")</f>
        <v>Pabellón Quirúrgico</v>
      </c>
      <c r="E231" s="46" t="str">
        <f>IFERROR(VLOOKUP($A231,Equipos!$C$2:$M$967,7,FALSE()),"")</f>
        <v>Drager</v>
      </c>
      <c r="F231" s="46" t="str">
        <f>IFERROR(VLOOKUP($A231,Equipos!$C$2:$M$967,8,FALSE()),"")</f>
        <v>Primus IE</v>
      </c>
      <c r="G231" s="46" t="s">
        <v>316</v>
      </c>
      <c r="H231" s="46"/>
      <c r="I231" s="46"/>
      <c r="J231" s="46" t="s">
        <v>423</v>
      </c>
      <c r="K231" s="46" t="str">
        <f>IFERROR(VLOOKUP($J231,Catálogos!$M$4:$N$17,2,FALSE()),"")</f>
        <v>Reprogramada · No disponibilidad de horas hombre del servicio técnico externo</v>
      </c>
      <c r="L231" s="46"/>
      <c r="M231" s="46"/>
      <c r="N231" s="46"/>
      <c r="O231" s="46"/>
      <c r="P231" s="46"/>
      <c r="Q231" s="46"/>
    </row>
    <row r="232" spans="1:17" hidden="1" x14ac:dyDescent="0.25">
      <c r="A232" s="47" t="s">
        <v>432</v>
      </c>
      <c r="B232" s="46" t="str">
        <f>IFERROR(VLOOKUP($A232,Equipos!$C$2:$M$967,2,FALSE()),"")</f>
        <v>Máquina de Anestesia</v>
      </c>
      <c r="C232" s="46" t="str">
        <f>IFERROR(VLOOKUP($A232,Equipos!$C$2:$M$967,9,FALSE()),"")</f>
        <v>ASMB-0230</v>
      </c>
      <c r="D232" s="46" t="str">
        <f>IFERROR(VLOOKUP($A232,Equipos!$C$2:$M$967,3,FALSE()),"")</f>
        <v>Pabellón Quirúrgico</v>
      </c>
      <c r="E232" s="46" t="str">
        <f>IFERROR(VLOOKUP($A232,Equipos!$C$2:$M$967,7,FALSE()),"")</f>
        <v>Drager</v>
      </c>
      <c r="F232" s="46" t="str">
        <f>IFERROR(VLOOKUP($A232,Equipos!$C$2:$M$967,8,FALSE()),"")</f>
        <v>Primus IE</v>
      </c>
      <c r="G232" s="46" t="s">
        <v>331</v>
      </c>
      <c r="H232" s="46"/>
      <c r="I232" s="46"/>
      <c r="J232" s="46" t="s">
        <v>297</v>
      </c>
      <c r="K232" s="46" t="str">
        <f>IFERROR(VLOOKUP($J232,Catálogos!$M$4:$N$17,2,FALSE()),"")</f>
        <v>Mantención Preventiva Realizada</v>
      </c>
      <c r="L232" s="46"/>
      <c r="M232" s="46"/>
      <c r="N232" s="46"/>
      <c r="O232" s="46"/>
      <c r="P232" s="46"/>
      <c r="Q232" s="46"/>
    </row>
    <row r="233" spans="1:17" hidden="1" x14ac:dyDescent="0.25">
      <c r="A233" s="47" t="s">
        <v>433</v>
      </c>
      <c r="B233" s="46" t="str">
        <f>IFERROR(VLOOKUP($A233,Equipos!$C$2:$M$967,2,FALSE()),"")</f>
        <v>Máquina de Anestesia</v>
      </c>
      <c r="C233" s="46" t="str">
        <f>IFERROR(VLOOKUP($A233,Equipos!$C$2:$M$967,9,FALSE()),"")</f>
        <v>ARYA-0174</v>
      </c>
      <c r="D233" s="46" t="str">
        <f>IFERROR(VLOOKUP($A233,Equipos!$C$2:$M$967,3,FALSE()),"")</f>
        <v>Pabellón Quirúrgico</v>
      </c>
      <c r="E233" s="46" t="str">
        <f>IFERROR(VLOOKUP($A233,Equipos!$C$2:$M$967,7,FALSE()),"")</f>
        <v>Drager</v>
      </c>
      <c r="F233" s="46" t="str">
        <f>IFERROR(VLOOKUP($A233,Equipos!$C$2:$M$967,8,FALSE()),"")</f>
        <v xml:space="preserve">Primus </v>
      </c>
      <c r="G233" s="46" t="s">
        <v>316</v>
      </c>
      <c r="H233" s="46"/>
      <c r="I233" s="46"/>
      <c r="J233" s="46" t="s">
        <v>423</v>
      </c>
      <c r="K233" s="46" t="str">
        <f>IFERROR(VLOOKUP($J233,Catálogos!$M$4:$N$17,2,FALSE()),"")</f>
        <v>Reprogramada · No disponibilidad de horas hombre del servicio técnico externo</v>
      </c>
      <c r="L233" s="46"/>
      <c r="M233" s="46"/>
      <c r="N233" s="46"/>
      <c r="O233" s="46"/>
      <c r="P233" s="46"/>
      <c r="Q233" s="46"/>
    </row>
    <row r="234" spans="1:17" hidden="1" x14ac:dyDescent="0.25">
      <c r="A234" s="47" t="s">
        <v>433</v>
      </c>
      <c r="B234" s="46" t="str">
        <f>IFERROR(VLOOKUP($A234,Equipos!$C$2:$M$967,2,FALSE()),"")</f>
        <v>Máquina de Anestesia</v>
      </c>
      <c r="C234" s="46" t="str">
        <f>IFERROR(VLOOKUP($A234,Equipos!$C$2:$M$967,9,FALSE()),"")</f>
        <v>ARYA-0174</v>
      </c>
      <c r="D234" s="46" t="str">
        <f>IFERROR(VLOOKUP($A234,Equipos!$C$2:$M$967,3,FALSE()),"")</f>
        <v>Pabellón Quirúrgico</v>
      </c>
      <c r="E234" s="46" t="str">
        <f>IFERROR(VLOOKUP($A234,Equipos!$C$2:$M$967,7,FALSE()),"")</f>
        <v>Drager</v>
      </c>
      <c r="F234" s="46" t="str">
        <f>IFERROR(VLOOKUP($A234,Equipos!$C$2:$M$967,8,FALSE()),"")</f>
        <v xml:space="preserve">Primus </v>
      </c>
      <c r="G234" s="46" t="s">
        <v>331</v>
      </c>
      <c r="H234" s="46"/>
      <c r="I234" s="46"/>
      <c r="J234" s="46" t="s">
        <v>297</v>
      </c>
      <c r="K234" s="46" t="str">
        <f>IFERROR(VLOOKUP($J234,Catálogos!$M$4:$N$17,2,FALSE()),"")</f>
        <v>Mantención Preventiva Realizada</v>
      </c>
      <c r="L234" s="46"/>
      <c r="M234" s="46"/>
      <c r="N234" s="46"/>
      <c r="O234" s="46"/>
      <c r="P234" s="46"/>
      <c r="Q234" s="46"/>
    </row>
    <row r="235" spans="1:17" hidden="1" x14ac:dyDescent="0.25">
      <c r="A235" s="47" t="s">
        <v>434</v>
      </c>
      <c r="B235" s="46" t="str">
        <f>IFERROR(VLOOKUP($A235,Equipos!$C$2:$M$967,2,FALSE()),"")</f>
        <v>Máquina de Anestesia</v>
      </c>
      <c r="C235" s="46" t="str">
        <f>IFERROR(VLOOKUP($A235,Equipos!$C$2:$M$967,9,FALSE()),"")</f>
        <v>ASDK-0158</v>
      </c>
      <c r="D235" s="46" t="str">
        <f>IFERROR(VLOOKUP($A235,Equipos!$C$2:$M$967,3,FALSE()),"")</f>
        <v>Pabellón Quirúrgico</v>
      </c>
      <c r="E235" s="46" t="str">
        <f>IFERROR(VLOOKUP($A235,Equipos!$C$2:$M$967,7,FALSE()),"")</f>
        <v xml:space="preserve">Drager </v>
      </c>
      <c r="F235" s="46" t="str">
        <f>IFERROR(VLOOKUP($A235,Equipos!$C$2:$M$967,8,FALSE()),"")</f>
        <v xml:space="preserve">Primus </v>
      </c>
      <c r="G235" s="46" t="s">
        <v>316</v>
      </c>
      <c r="H235" s="46"/>
      <c r="I235" s="46"/>
      <c r="J235" s="46" t="s">
        <v>423</v>
      </c>
      <c r="K235" s="46" t="str">
        <f>IFERROR(VLOOKUP($J235,Catálogos!$M$4:$N$17,2,FALSE()),"")</f>
        <v>Reprogramada · No disponibilidad de horas hombre del servicio técnico externo</v>
      </c>
      <c r="L235" s="46"/>
      <c r="M235" s="46"/>
      <c r="N235" s="46"/>
      <c r="O235" s="46"/>
      <c r="P235" s="46"/>
      <c r="Q235" s="46"/>
    </row>
    <row r="236" spans="1:17" hidden="1" x14ac:dyDescent="0.25">
      <c r="A236" s="47" t="s">
        <v>434</v>
      </c>
      <c r="B236" s="46" t="str">
        <f>IFERROR(VLOOKUP($A236,Equipos!$C$2:$M$967,2,FALSE()),"")</f>
        <v>Máquina de Anestesia</v>
      </c>
      <c r="C236" s="46" t="str">
        <f>IFERROR(VLOOKUP($A236,Equipos!$C$2:$M$967,9,FALSE()),"")</f>
        <v>ASDK-0158</v>
      </c>
      <c r="D236" s="46" t="str">
        <f>IFERROR(VLOOKUP($A236,Equipos!$C$2:$M$967,3,FALSE()),"")</f>
        <v>Pabellón Quirúrgico</v>
      </c>
      <c r="E236" s="46" t="str">
        <f>IFERROR(VLOOKUP($A236,Equipos!$C$2:$M$967,7,FALSE()),"")</f>
        <v xml:space="preserve">Drager </v>
      </c>
      <c r="F236" s="46" t="str">
        <f>IFERROR(VLOOKUP($A236,Equipos!$C$2:$M$967,8,FALSE()),"")</f>
        <v xml:space="preserve">Primus </v>
      </c>
      <c r="G236" s="46" t="s">
        <v>331</v>
      </c>
      <c r="H236" s="46"/>
      <c r="I236" s="46"/>
      <c r="J236" s="46" t="s">
        <v>297</v>
      </c>
      <c r="K236" s="46" t="str">
        <f>IFERROR(VLOOKUP($J236,Catálogos!$M$4:$N$17,2,FALSE()),"")</f>
        <v>Mantención Preventiva Realizada</v>
      </c>
      <c r="L236" s="46"/>
      <c r="M236" s="46"/>
      <c r="N236" s="46"/>
      <c r="O236" s="46"/>
      <c r="P236" s="46"/>
      <c r="Q236" s="46"/>
    </row>
    <row r="237" spans="1:17" hidden="1" x14ac:dyDescent="0.25">
      <c r="A237" s="47" t="s">
        <v>435</v>
      </c>
      <c r="B237" s="46" t="str">
        <f>IFERROR(VLOOKUP($A237,Equipos!$C$2:$M$967,2,FALSE()),"")</f>
        <v>Máquina de Anestesia</v>
      </c>
      <c r="C237" s="46" t="str">
        <f>IFERROR(VLOOKUP($A237,Equipos!$C$2:$M$967,9,FALSE()),"")</f>
        <v>ARYL-0080</v>
      </c>
      <c r="D237" s="46" t="str">
        <f>IFERROR(VLOOKUP($A237,Equipos!$C$2:$M$967,3,FALSE()),"")</f>
        <v>Pabellón Quirúrgico</v>
      </c>
      <c r="E237" s="46" t="str">
        <f>IFERROR(VLOOKUP($A237,Equipos!$C$2:$M$967,7,FALSE()),"")</f>
        <v>Drager</v>
      </c>
      <c r="F237" s="46" t="str">
        <f>IFERROR(VLOOKUP($A237,Equipos!$C$2:$M$967,8,FALSE()),"")</f>
        <v>Fabius GS</v>
      </c>
      <c r="G237" s="46" t="s">
        <v>316</v>
      </c>
      <c r="H237" s="46"/>
      <c r="I237" s="46"/>
      <c r="J237" s="46" t="s">
        <v>423</v>
      </c>
      <c r="K237" s="46" t="str">
        <f>IFERROR(VLOOKUP($J237,Catálogos!$M$4:$N$17,2,FALSE()),"")</f>
        <v>Reprogramada · No disponibilidad de horas hombre del servicio técnico externo</v>
      </c>
      <c r="L237" s="46"/>
      <c r="M237" s="46"/>
      <c r="N237" s="46"/>
      <c r="O237" s="46"/>
      <c r="P237" s="46"/>
      <c r="Q237" s="46"/>
    </row>
    <row r="238" spans="1:17" hidden="1" x14ac:dyDescent="0.25">
      <c r="A238" s="47" t="s">
        <v>435</v>
      </c>
      <c r="B238" s="46" t="str">
        <f>IFERROR(VLOOKUP($A238,Equipos!$C$2:$M$967,2,FALSE()),"")</f>
        <v>Máquina de Anestesia</v>
      </c>
      <c r="C238" s="46" t="str">
        <f>IFERROR(VLOOKUP($A238,Equipos!$C$2:$M$967,9,FALSE()),"")</f>
        <v>ARYL-0080</v>
      </c>
      <c r="D238" s="46" t="str">
        <f>IFERROR(VLOOKUP($A238,Equipos!$C$2:$M$967,3,FALSE()),"")</f>
        <v>Pabellón Quirúrgico</v>
      </c>
      <c r="E238" s="46" t="str">
        <f>IFERROR(VLOOKUP($A238,Equipos!$C$2:$M$967,7,FALSE()),"")</f>
        <v>Drager</v>
      </c>
      <c r="F238" s="46" t="str">
        <f>IFERROR(VLOOKUP($A238,Equipos!$C$2:$M$967,8,FALSE()),"")</f>
        <v>Fabius GS</v>
      </c>
      <c r="G238" s="46" t="s">
        <v>331</v>
      </c>
      <c r="H238" s="46"/>
      <c r="I238" s="46"/>
      <c r="J238" s="46" t="s">
        <v>297</v>
      </c>
      <c r="K238" s="46" t="str">
        <f>IFERROR(VLOOKUP($J238,Catálogos!$M$4:$N$17,2,FALSE()),"")</f>
        <v>Mantención Preventiva Realizada</v>
      </c>
      <c r="L238" s="46"/>
      <c r="M238" s="46"/>
      <c r="N238" s="46"/>
      <c r="O238" s="46"/>
      <c r="P238" s="46"/>
      <c r="Q238" s="46"/>
    </row>
    <row r="239" spans="1:17" hidden="1" x14ac:dyDescent="0.25">
      <c r="A239" s="47" t="s">
        <v>436</v>
      </c>
      <c r="B239" s="46" t="str">
        <f>IFERROR(VLOOKUP($A239,Equipos!$C$2:$M$967,2,FALSE()),"")</f>
        <v>Máquina de Anestesia</v>
      </c>
      <c r="C239" s="46" t="str">
        <f>IFERROR(VLOOKUP($A239,Equipos!$C$2:$M$967,9,FALSE()),"")</f>
        <v>AMTK00245</v>
      </c>
      <c r="D239" s="46" t="str">
        <f>IFERROR(VLOOKUP($A239,Equipos!$C$2:$M$967,3,FALSE()),"")</f>
        <v>Imagenología</v>
      </c>
      <c r="E239" s="46" t="str">
        <f>IFERROR(VLOOKUP($A239,Equipos!$C$2:$M$967,7,FALSE()),"")</f>
        <v xml:space="preserve">Datex Ohmeda </v>
      </c>
      <c r="F239" s="46" t="str">
        <f>IFERROR(VLOOKUP($A239,Equipos!$C$2:$M$967,8,FALSE()),"")</f>
        <v>Aestiva/5 MRI</v>
      </c>
      <c r="G239" s="46" t="s">
        <v>316</v>
      </c>
      <c r="H239" s="46"/>
      <c r="I239" s="46"/>
      <c r="J239" s="46" t="s">
        <v>423</v>
      </c>
      <c r="K239" s="46" t="str">
        <f>IFERROR(VLOOKUP($J239,Catálogos!$M$4:$N$17,2,FALSE()),"")</f>
        <v>Reprogramada · No disponibilidad de horas hombre del servicio técnico externo</v>
      </c>
      <c r="L239" s="46"/>
      <c r="M239" s="46"/>
      <c r="N239" s="46"/>
      <c r="O239" s="46"/>
      <c r="P239" s="46"/>
      <c r="Q239" s="46"/>
    </row>
    <row r="240" spans="1:17" hidden="1" x14ac:dyDescent="0.25">
      <c r="A240" s="47" t="s">
        <v>436</v>
      </c>
      <c r="B240" s="46" t="str">
        <f>IFERROR(VLOOKUP($A240,Equipos!$C$2:$M$967,2,FALSE()),"")</f>
        <v>Máquina de Anestesia</v>
      </c>
      <c r="C240" s="46" t="str">
        <f>IFERROR(VLOOKUP($A240,Equipos!$C$2:$M$967,9,FALSE()),"")</f>
        <v>AMTK00245</v>
      </c>
      <c r="D240" s="46" t="str">
        <f>IFERROR(VLOOKUP($A240,Equipos!$C$2:$M$967,3,FALSE()),"")</f>
        <v>Imagenología</v>
      </c>
      <c r="E240" s="46" t="str">
        <f>IFERROR(VLOOKUP($A240,Equipos!$C$2:$M$967,7,FALSE()),"")</f>
        <v xml:space="preserve">Datex Ohmeda </v>
      </c>
      <c r="F240" s="46" t="str">
        <f>IFERROR(VLOOKUP($A240,Equipos!$C$2:$M$967,8,FALSE()),"")</f>
        <v>Aestiva/5 MRI</v>
      </c>
      <c r="G240" s="46" t="s">
        <v>331</v>
      </c>
      <c r="H240" s="46"/>
      <c r="I240" s="46"/>
      <c r="J240" s="46" t="s">
        <v>297</v>
      </c>
      <c r="K240" s="46" t="str">
        <f>IFERROR(VLOOKUP($J240,Catálogos!$M$4:$N$17,2,FALSE()),"")</f>
        <v>Mantención Preventiva Realizada</v>
      </c>
      <c r="L240" s="46"/>
      <c r="M240" s="46"/>
      <c r="N240" s="46"/>
      <c r="O240" s="46"/>
      <c r="P240" s="46"/>
      <c r="Q240" s="46"/>
    </row>
    <row r="241" spans="1:17" hidden="1" x14ac:dyDescent="0.25">
      <c r="A241" s="47" t="s">
        <v>437</v>
      </c>
      <c r="B241" s="46" t="str">
        <f>IFERROR(VLOOKUP($A241,Equipos!$C$2:$M$967,2,FALSE()),"")</f>
        <v>Máquina de Anestesia</v>
      </c>
      <c r="C241" s="46" t="str">
        <f>IFERROR(VLOOKUP($A241,Equipos!$C$2:$M$967,9,FALSE()),"")</f>
        <v>ARXK-0015</v>
      </c>
      <c r="D241" s="46" t="str">
        <f>IFERROR(VLOOKUP($A241,Equipos!$C$2:$M$967,3,FALSE()),"")</f>
        <v>Pabellón (Prestado a Hemodinamia)</v>
      </c>
      <c r="E241" s="46" t="str">
        <f>IFERROR(VLOOKUP($A241,Equipos!$C$2:$M$967,7,FALSE()),"")</f>
        <v>Drager</v>
      </c>
      <c r="F241" s="46" t="str">
        <f>IFERROR(VLOOKUP($A241,Equipos!$C$2:$M$967,8,FALSE()),"")</f>
        <v>Primus</v>
      </c>
      <c r="G241" s="46" t="s">
        <v>316</v>
      </c>
      <c r="H241" s="46"/>
      <c r="I241" s="46"/>
      <c r="J241" s="46" t="s">
        <v>423</v>
      </c>
      <c r="K241" s="46" t="str">
        <f>IFERROR(VLOOKUP($J241,Catálogos!$M$4:$N$17,2,FALSE()),"")</f>
        <v>Reprogramada · No disponibilidad de horas hombre del servicio técnico externo</v>
      </c>
      <c r="L241" s="46"/>
      <c r="M241" s="46"/>
      <c r="N241" s="46"/>
      <c r="O241" s="46"/>
      <c r="P241" s="46"/>
      <c r="Q241" s="46"/>
    </row>
    <row r="242" spans="1:17" hidden="1" x14ac:dyDescent="0.25">
      <c r="A242" s="47" t="s">
        <v>437</v>
      </c>
      <c r="B242" s="46" t="str">
        <f>IFERROR(VLOOKUP($A242,Equipos!$C$2:$M$967,2,FALSE()),"")</f>
        <v>Máquina de Anestesia</v>
      </c>
      <c r="C242" s="46" t="str">
        <f>IFERROR(VLOOKUP($A242,Equipos!$C$2:$M$967,9,FALSE()),"")</f>
        <v>ARXK-0015</v>
      </c>
      <c r="D242" s="46" t="str">
        <f>IFERROR(VLOOKUP($A242,Equipos!$C$2:$M$967,3,FALSE()),"")</f>
        <v>Pabellón (Prestado a Hemodinamia)</v>
      </c>
      <c r="E242" s="46" t="str">
        <f>IFERROR(VLOOKUP($A242,Equipos!$C$2:$M$967,7,FALSE()),"")</f>
        <v>Drager</v>
      </c>
      <c r="F242" s="46" t="str">
        <f>IFERROR(VLOOKUP($A242,Equipos!$C$2:$M$967,8,FALSE()),"")</f>
        <v>Primus</v>
      </c>
      <c r="G242" s="46" t="s">
        <v>331</v>
      </c>
      <c r="H242" s="46"/>
      <c r="I242" s="46"/>
      <c r="J242" s="46" t="s">
        <v>297</v>
      </c>
      <c r="K242" s="46" t="str">
        <f>IFERROR(VLOOKUP($J242,Catálogos!$M$4:$N$17,2,FALSE()),"")</f>
        <v>Mantención Preventiva Realizada</v>
      </c>
      <c r="L242" s="46"/>
      <c r="M242" s="46"/>
      <c r="N242" s="46"/>
      <c r="O242" s="46"/>
      <c r="P242" s="46"/>
      <c r="Q242" s="46"/>
    </row>
    <row r="243" spans="1:17" hidden="1" x14ac:dyDescent="0.25">
      <c r="A243" s="47" t="s">
        <v>438</v>
      </c>
      <c r="B243" s="46" t="str">
        <f>IFERROR(VLOOKUP($A243,Equipos!$C$2:$M$967,2,FALSE()),"")</f>
        <v>Máquina de Anestesia</v>
      </c>
      <c r="C243" s="46" t="str">
        <f>IFERROR(VLOOKUP($A243,Equipos!$C$2:$M$967,9,FALSE()),"")</f>
        <v>ASHB-0263</v>
      </c>
      <c r="D243" s="46" t="str">
        <f>IFERROR(VLOOKUP($A243,Equipos!$C$2:$M$967,3,FALSE()),"")</f>
        <v>Pabellones Gineco-Obstétricos</v>
      </c>
      <c r="E243" s="46" t="str">
        <f>IFERROR(VLOOKUP($A243,Equipos!$C$2:$M$967,7,FALSE()),"")</f>
        <v>Drager</v>
      </c>
      <c r="F243" s="46" t="str">
        <f>IFERROR(VLOOKUP($A243,Equipos!$C$2:$M$967,8,FALSE()),"")</f>
        <v>Primus IE</v>
      </c>
      <c r="G243" s="46" t="s">
        <v>316</v>
      </c>
      <c r="H243" s="46"/>
      <c r="I243" s="46"/>
      <c r="J243" s="46" t="s">
        <v>297</v>
      </c>
      <c r="K243" s="46" t="str">
        <f>IFERROR(VLOOKUP($J243,Catálogos!$M$4:$N$17,2,FALSE()),"")</f>
        <v>Mantención Preventiva Realizada</v>
      </c>
      <c r="L243" s="46"/>
      <c r="M243" s="46"/>
      <c r="N243" s="46"/>
      <c r="O243" s="46"/>
      <c r="P243" s="46"/>
      <c r="Q243" s="46"/>
    </row>
    <row r="244" spans="1:17" hidden="1" x14ac:dyDescent="0.25">
      <c r="A244" s="47" t="s">
        <v>439</v>
      </c>
      <c r="B244" s="46" t="str">
        <f>IFERROR(VLOOKUP($A244,Equipos!$C$2:$M$967,2,FALSE()),"")</f>
        <v>Máquina de Anestesia</v>
      </c>
      <c r="C244" s="46" t="str">
        <f>IFERROR(VLOOKUP($A244,Equipos!$C$2:$M$967,9,FALSE()),"")</f>
        <v>ASHB-0262</v>
      </c>
      <c r="D244" s="46" t="str">
        <f>IFERROR(VLOOKUP($A244,Equipos!$C$2:$M$967,3,FALSE()),"")</f>
        <v>Pabellón Quirúrgico</v>
      </c>
      <c r="E244" s="46" t="str">
        <f>IFERROR(VLOOKUP($A244,Equipos!$C$2:$M$967,7,FALSE()),"")</f>
        <v xml:space="preserve">Drager </v>
      </c>
      <c r="F244" s="46" t="str">
        <f>IFERROR(VLOOKUP($A244,Equipos!$C$2:$M$967,8,FALSE()),"")</f>
        <v>Primus IE</v>
      </c>
      <c r="G244" s="46" t="s">
        <v>316</v>
      </c>
      <c r="H244" s="46"/>
      <c r="I244" s="46"/>
      <c r="J244" s="46" t="s">
        <v>277</v>
      </c>
      <c r="K244" s="46" t="str">
        <f>IFERROR(VLOOKUP($J244,Catálogos!$M$4:$N$17,2,FALSE()),"")</f>
        <v>Reprogramada · Equipo no operativo, a la espera de repuestos o accesorios</v>
      </c>
      <c r="L244" s="46"/>
      <c r="M244" s="46"/>
      <c r="N244" s="46"/>
      <c r="O244" s="46"/>
      <c r="P244" s="46"/>
      <c r="Q244" s="46"/>
    </row>
    <row r="245" spans="1:17" hidden="1" x14ac:dyDescent="0.25">
      <c r="A245" s="47" t="s">
        <v>439</v>
      </c>
      <c r="B245" s="46" t="str">
        <f>IFERROR(VLOOKUP($A245,Equipos!$C$2:$M$967,2,FALSE()),"")</f>
        <v>Máquina de Anestesia</v>
      </c>
      <c r="C245" s="46" t="str">
        <f>IFERROR(VLOOKUP($A245,Equipos!$C$2:$M$967,9,FALSE()),"")</f>
        <v>ASHB-0262</v>
      </c>
      <c r="D245" s="46" t="str">
        <f>IFERROR(VLOOKUP($A245,Equipos!$C$2:$M$967,3,FALSE()),"")</f>
        <v>Pabellón Quirúrgico</v>
      </c>
      <c r="E245" s="46" t="str">
        <f>IFERROR(VLOOKUP($A245,Equipos!$C$2:$M$967,7,FALSE()),"")</f>
        <v xml:space="preserve">Drager </v>
      </c>
      <c r="F245" s="46" t="str">
        <f>IFERROR(VLOOKUP($A245,Equipos!$C$2:$M$967,8,FALSE()),"")</f>
        <v>Primus IE</v>
      </c>
      <c r="G245" s="46" t="s">
        <v>331</v>
      </c>
      <c r="H245" s="46"/>
      <c r="I245" s="46"/>
      <c r="J245" s="46" t="s">
        <v>297</v>
      </c>
      <c r="K245" s="46" t="str">
        <f>IFERROR(VLOOKUP($J245,Catálogos!$M$4:$N$17,2,FALSE()),"")</f>
        <v>Mantención Preventiva Realizada</v>
      </c>
      <c r="L245" s="46"/>
      <c r="M245" s="46"/>
      <c r="N245" s="46"/>
      <c r="O245" s="46"/>
      <c r="P245" s="46"/>
      <c r="Q245" s="46"/>
    </row>
    <row r="246" spans="1:17" hidden="1" x14ac:dyDescent="0.25">
      <c r="A246" s="47" t="s">
        <v>440</v>
      </c>
      <c r="B246" s="46" t="str">
        <f>IFERROR(VLOOKUP($A246,Equipos!$C$2:$M$967,2,FALSE()),"")</f>
        <v>Máquina de Anestesia</v>
      </c>
      <c r="C246" s="46" t="str">
        <f>IFERROR(VLOOKUP($A246,Equipos!$C$2:$M$967,9,FALSE()),"")</f>
        <v>ASHB-0261</v>
      </c>
      <c r="D246" s="46" t="str">
        <f>IFERROR(VLOOKUP($A246,Equipos!$C$2:$M$967,3,FALSE()),"")</f>
        <v>Pabellón Quirúrgico</v>
      </c>
      <c r="E246" s="46" t="str">
        <f>IFERROR(VLOOKUP($A246,Equipos!$C$2:$M$967,7,FALSE()),"")</f>
        <v xml:space="preserve">Drager </v>
      </c>
      <c r="F246" s="46" t="str">
        <f>IFERROR(VLOOKUP($A246,Equipos!$C$2:$M$967,8,FALSE()),"")</f>
        <v>Primus IE</v>
      </c>
      <c r="G246" s="46" t="s">
        <v>316</v>
      </c>
      <c r="H246" s="46"/>
      <c r="I246" s="46"/>
      <c r="J246" s="46" t="s">
        <v>423</v>
      </c>
      <c r="K246" s="46" t="str">
        <f>IFERROR(VLOOKUP($J246,Catálogos!$M$4:$N$17,2,FALSE()),"")</f>
        <v>Reprogramada · No disponibilidad de horas hombre del servicio técnico externo</v>
      </c>
      <c r="L246" s="46"/>
      <c r="M246" s="46"/>
      <c r="N246" s="46"/>
      <c r="O246" s="46"/>
      <c r="P246" s="46"/>
      <c r="Q246" s="46"/>
    </row>
    <row r="247" spans="1:17" hidden="1" x14ac:dyDescent="0.25">
      <c r="A247" s="47" t="s">
        <v>440</v>
      </c>
      <c r="B247" s="46" t="str">
        <f>IFERROR(VLOOKUP($A247,Equipos!$C$2:$M$967,2,FALSE()),"")</f>
        <v>Máquina de Anestesia</v>
      </c>
      <c r="C247" s="46" t="str">
        <f>IFERROR(VLOOKUP($A247,Equipos!$C$2:$M$967,9,FALSE()),"")</f>
        <v>ASHB-0261</v>
      </c>
      <c r="D247" s="46" t="str">
        <f>IFERROR(VLOOKUP($A247,Equipos!$C$2:$M$967,3,FALSE()),"")</f>
        <v>Pabellón Quirúrgico</v>
      </c>
      <c r="E247" s="46" t="str">
        <f>IFERROR(VLOOKUP($A247,Equipos!$C$2:$M$967,7,FALSE()),"")</f>
        <v xml:space="preserve">Drager </v>
      </c>
      <c r="F247" s="46" t="str">
        <f>IFERROR(VLOOKUP($A247,Equipos!$C$2:$M$967,8,FALSE()),"")</f>
        <v>Primus IE</v>
      </c>
      <c r="G247" s="46" t="s">
        <v>331</v>
      </c>
      <c r="H247" s="46"/>
      <c r="I247" s="46"/>
      <c r="J247" s="46" t="s">
        <v>297</v>
      </c>
      <c r="K247" s="46" t="str">
        <f>IFERROR(VLOOKUP($J247,Catálogos!$M$4:$N$17,2,FALSE()),"")</f>
        <v>Mantención Preventiva Realizada</v>
      </c>
      <c r="L247" s="46"/>
      <c r="M247" s="46"/>
      <c r="N247" s="46"/>
      <c r="O247" s="46"/>
      <c r="P247" s="46"/>
      <c r="Q247" s="46"/>
    </row>
    <row r="248" spans="1:17" hidden="1" x14ac:dyDescent="0.25">
      <c r="A248" s="47" t="s">
        <v>441</v>
      </c>
      <c r="B248" s="46" t="str">
        <f>IFERROR(VLOOKUP($A248,Equipos!$C$2:$M$967,2,FALSE()),"")</f>
        <v>Máquina de Anestesia</v>
      </c>
      <c r="C248" s="46" t="str">
        <f>IFERROR(VLOOKUP($A248,Equipos!$C$2:$M$967,9,FALSE()),"")</f>
        <v>ASMB-0233</v>
      </c>
      <c r="D248" s="46" t="str">
        <f>IFERROR(VLOOKUP($A248,Equipos!$C$2:$M$967,3,FALSE()),"")</f>
        <v>Pabellón Quirúrgico</v>
      </c>
      <c r="E248" s="46" t="str">
        <f>IFERROR(VLOOKUP($A248,Equipos!$C$2:$M$967,7,FALSE()),"")</f>
        <v>Drager</v>
      </c>
      <c r="F248" s="46" t="str">
        <f>IFERROR(VLOOKUP($A248,Equipos!$C$2:$M$967,8,FALSE()),"")</f>
        <v>Primus IE</v>
      </c>
      <c r="G248" s="46" t="s">
        <v>316</v>
      </c>
      <c r="H248" s="46"/>
      <c r="I248" s="46"/>
      <c r="J248" s="46" t="s">
        <v>423</v>
      </c>
      <c r="K248" s="46" t="str">
        <f>IFERROR(VLOOKUP($J248,Catálogos!$M$4:$N$17,2,FALSE()),"")</f>
        <v>Reprogramada · No disponibilidad de horas hombre del servicio técnico externo</v>
      </c>
      <c r="L248" s="46"/>
      <c r="M248" s="46"/>
      <c r="N248" s="46"/>
      <c r="O248" s="46"/>
      <c r="P248" s="46"/>
      <c r="Q248" s="46"/>
    </row>
    <row r="249" spans="1:17" hidden="1" x14ac:dyDescent="0.25">
      <c r="A249" s="47" t="s">
        <v>441</v>
      </c>
      <c r="B249" s="46" t="str">
        <f>IFERROR(VLOOKUP($A249,Equipos!$C$2:$M$967,2,FALSE()),"")</f>
        <v>Máquina de Anestesia</v>
      </c>
      <c r="C249" s="46" t="str">
        <f>IFERROR(VLOOKUP($A249,Equipos!$C$2:$M$967,9,FALSE()),"")</f>
        <v>ASMB-0233</v>
      </c>
      <c r="D249" s="46" t="str">
        <f>IFERROR(VLOOKUP($A249,Equipos!$C$2:$M$967,3,FALSE()),"")</f>
        <v>Pabellón Quirúrgico</v>
      </c>
      <c r="E249" s="46" t="str">
        <f>IFERROR(VLOOKUP($A249,Equipos!$C$2:$M$967,7,FALSE()),"")</f>
        <v>Drager</v>
      </c>
      <c r="F249" s="46" t="str">
        <f>IFERROR(VLOOKUP($A249,Equipos!$C$2:$M$967,8,FALSE()),"")</f>
        <v>Primus IE</v>
      </c>
      <c r="G249" s="46" t="s">
        <v>331</v>
      </c>
      <c r="H249" s="46"/>
      <c r="I249" s="46"/>
      <c r="J249" s="46" t="s">
        <v>297</v>
      </c>
      <c r="K249" s="46" t="str">
        <f>IFERROR(VLOOKUP($J249,Catálogos!$M$4:$N$17,2,FALSE()),"")</f>
        <v>Mantención Preventiva Realizada</v>
      </c>
      <c r="L249" s="46"/>
      <c r="M249" s="46"/>
      <c r="N249" s="46"/>
      <c r="O249" s="46"/>
      <c r="P249" s="46"/>
      <c r="Q249" s="46"/>
    </row>
    <row r="250" spans="1:17" hidden="1" x14ac:dyDescent="0.25">
      <c r="A250" s="47" t="s">
        <v>442</v>
      </c>
      <c r="B250" s="46" t="str">
        <f>IFERROR(VLOOKUP($A250,Equipos!$C$2:$M$967,2,FALSE()),"")</f>
        <v>Máquina de Anestesia</v>
      </c>
      <c r="C250" s="46" t="str">
        <f>IFERROR(VLOOKUP($A250,Equipos!$C$2:$M$967,9,FALSE()),"")</f>
        <v>ASMB-0234</v>
      </c>
      <c r="D250" s="46" t="str">
        <f>IFERROR(VLOOKUP($A250,Equipos!$C$2:$M$967,3,FALSE()),"")</f>
        <v>Pabellón Quirúrgico (Prestado a Pabellón CMA)</v>
      </c>
      <c r="E250" s="46" t="str">
        <f>IFERROR(VLOOKUP($A250,Equipos!$C$2:$M$967,7,FALSE()),"")</f>
        <v>Drager</v>
      </c>
      <c r="F250" s="46" t="str">
        <f>IFERROR(VLOOKUP($A250,Equipos!$C$2:$M$967,8,FALSE()),"")</f>
        <v>Primus</v>
      </c>
      <c r="G250" s="46" t="s">
        <v>316</v>
      </c>
      <c r="H250" s="46"/>
      <c r="I250" s="46"/>
      <c r="J250" s="46" t="s">
        <v>423</v>
      </c>
      <c r="K250" s="46" t="str">
        <f>IFERROR(VLOOKUP($J250,Catálogos!$M$4:$N$17,2,FALSE()),"")</f>
        <v>Reprogramada · No disponibilidad de horas hombre del servicio técnico externo</v>
      </c>
      <c r="L250" s="46"/>
      <c r="M250" s="46"/>
      <c r="N250" s="46"/>
      <c r="O250" s="46"/>
      <c r="P250" s="46"/>
      <c r="Q250" s="46"/>
    </row>
    <row r="251" spans="1:17" hidden="1" x14ac:dyDescent="0.25">
      <c r="A251" s="47" t="s">
        <v>442</v>
      </c>
      <c r="B251" s="46" t="str">
        <f>IFERROR(VLOOKUP($A251,Equipos!$C$2:$M$967,2,FALSE()),"")</f>
        <v>Máquina de Anestesia</v>
      </c>
      <c r="C251" s="46" t="str">
        <f>IFERROR(VLOOKUP($A251,Equipos!$C$2:$M$967,9,FALSE()),"")</f>
        <v>ASMB-0234</v>
      </c>
      <c r="D251" s="46" t="str">
        <f>IFERROR(VLOOKUP($A251,Equipos!$C$2:$M$967,3,FALSE()),"")</f>
        <v>Pabellón Quirúrgico (Prestado a Pabellón CMA)</v>
      </c>
      <c r="E251" s="46" t="str">
        <f>IFERROR(VLOOKUP($A251,Equipos!$C$2:$M$967,7,FALSE()),"")</f>
        <v>Drager</v>
      </c>
      <c r="F251" s="46" t="str">
        <f>IFERROR(VLOOKUP($A251,Equipos!$C$2:$M$967,8,FALSE()),"")</f>
        <v>Primus</v>
      </c>
      <c r="G251" s="46" t="s">
        <v>331</v>
      </c>
      <c r="H251" s="46"/>
      <c r="I251" s="46"/>
      <c r="J251" s="46" t="s">
        <v>297</v>
      </c>
      <c r="K251" s="46" t="str">
        <f>IFERROR(VLOOKUP($J251,Catálogos!$M$4:$N$17,2,FALSE()),"")</f>
        <v>Mantención Preventiva Realizada</v>
      </c>
      <c r="L251" s="46"/>
      <c r="M251" s="46"/>
      <c r="N251" s="46"/>
      <c r="O251" s="46"/>
      <c r="P251" s="46"/>
      <c r="Q251" s="46"/>
    </row>
    <row r="252" spans="1:17" hidden="1" x14ac:dyDescent="0.25">
      <c r="A252" s="47" t="s">
        <v>443</v>
      </c>
      <c r="B252" s="46" t="str">
        <f>IFERROR(VLOOKUP($A252,Equipos!$C$2:$M$967,2,FALSE()),"")</f>
        <v>Máquina de Anestesia</v>
      </c>
      <c r="C252" s="46" t="str">
        <f>IFERROR(VLOOKUP($A252,Equipos!$C$2:$M$967,9,FALSE()),"")</f>
        <v>ASMK-0087</v>
      </c>
      <c r="D252" s="46" t="str">
        <f>IFERROR(VLOOKUP($A252,Equipos!$C$2:$M$967,3,FALSE()),"")</f>
        <v>Pabellón Quirúrgico</v>
      </c>
      <c r="E252" s="46" t="str">
        <f>IFERROR(VLOOKUP($A252,Equipos!$C$2:$M$967,7,FALSE()),"")</f>
        <v>Drager</v>
      </c>
      <c r="F252" s="46" t="str">
        <f>IFERROR(VLOOKUP($A252,Equipos!$C$2:$M$967,8,FALSE()),"")</f>
        <v>Perseus A500</v>
      </c>
      <c r="G252" s="46" t="s">
        <v>316</v>
      </c>
      <c r="H252" s="46"/>
      <c r="I252" s="46"/>
      <c r="J252" s="46" t="s">
        <v>423</v>
      </c>
      <c r="K252" s="46" t="str">
        <f>IFERROR(VLOOKUP($J252,Catálogos!$M$4:$N$17,2,FALSE()),"")</f>
        <v>Reprogramada · No disponibilidad de horas hombre del servicio técnico externo</v>
      </c>
      <c r="L252" s="46"/>
      <c r="M252" s="46"/>
      <c r="N252" s="46"/>
      <c r="O252" s="46"/>
      <c r="P252" s="46"/>
      <c r="Q252" s="46"/>
    </row>
    <row r="253" spans="1:17" hidden="1" x14ac:dyDescent="0.25">
      <c r="A253" s="47" t="s">
        <v>443</v>
      </c>
      <c r="B253" s="46" t="str">
        <f>IFERROR(VLOOKUP($A253,Equipos!$C$2:$M$967,2,FALSE()),"")</f>
        <v>Máquina de Anestesia</v>
      </c>
      <c r="C253" s="46" t="str">
        <f>IFERROR(VLOOKUP($A253,Equipos!$C$2:$M$967,9,FALSE()),"")</f>
        <v>ASMK-0087</v>
      </c>
      <c r="D253" s="46" t="str">
        <f>IFERROR(VLOOKUP($A253,Equipos!$C$2:$M$967,3,FALSE()),"")</f>
        <v>Pabellón Quirúrgico</v>
      </c>
      <c r="E253" s="46" t="str">
        <f>IFERROR(VLOOKUP($A253,Equipos!$C$2:$M$967,7,FALSE()),"")</f>
        <v>Drager</v>
      </c>
      <c r="F253" s="46" t="str">
        <f>IFERROR(VLOOKUP($A253,Equipos!$C$2:$M$967,8,FALSE()),"")</f>
        <v>Perseus A500</v>
      </c>
      <c r="G253" s="46" t="s">
        <v>331</v>
      </c>
      <c r="H253" s="46"/>
      <c r="I253" s="46"/>
      <c r="J253" s="46" t="s">
        <v>297</v>
      </c>
      <c r="K253" s="46" t="str">
        <f>IFERROR(VLOOKUP($J253,Catálogos!$M$4:$N$17,2,FALSE()),"")</f>
        <v>Mantención Preventiva Realizada</v>
      </c>
      <c r="L253" s="46"/>
      <c r="M253" s="46"/>
      <c r="N253" s="46"/>
      <c r="O253" s="46"/>
      <c r="P253" s="46"/>
      <c r="Q253" s="46"/>
    </row>
    <row r="254" spans="1:17" hidden="1" x14ac:dyDescent="0.25">
      <c r="A254" s="47" t="s">
        <v>444</v>
      </c>
      <c r="B254" s="46" t="str">
        <f>IFERROR(VLOOKUP($A254,Equipos!$C$2:$M$967,2,FALSE()),"")</f>
        <v>Máquina de Anestesia</v>
      </c>
      <c r="C254" s="46" t="str">
        <f>IFERROR(VLOOKUP($A254,Equipos!$C$2:$M$967,9,FALSE()),"")</f>
        <v>ASMK-0086</v>
      </c>
      <c r="D254" s="46" t="str">
        <f>IFERROR(VLOOKUP($A254,Equipos!$C$2:$M$967,3,FALSE()),"")</f>
        <v>Pabellón Quirúrgico</v>
      </c>
      <c r="E254" s="46" t="str">
        <f>IFERROR(VLOOKUP($A254,Equipos!$C$2:$M$967,7,FALSE()),"")</f>
        <v>Drager</v>
      </c>
      <c r="F254" s="46" t="str">
        <f>IFERROR(VLOOKUP($A254,Equipos!$C$2:$M$967,8,FALSE()),"")</f>
        <v>Perseus A500</v>
      </c>
      <c r="G254" s="46" t="s">
        <v>316</v>
      </c>
      <c r="H254" s="46"/>
      <c r="I254" s="46"/>
      <c r="J254" s="46" t="s">
        <v>423</v>
      </c>
      <c r="K254" s="46" t="str">
        <f>IFERROR(VLOOKUP($J254,Catálogos!$M$4:$N$17,2,FALSE()),"")</f>
        <v>Reprogramada · No disponibilidad de horas hombre del servicio técnico externo</v>
      </c>
      <c r="L254" s="46"/>
      <c r="M254" s="46"/>
      <c r="N254" s="46"/>
      <c r="O254" s="46"/>
      <c r="P254" s="46"/>
      <c r="Q254" s="46"/>
    </row>
    <row r="255" spans="1:17" hidden="1" x14ac:dyDescent="0.25">
      <c r="A255" s="47" t="s">
        <v>444</v>
      </c>
      <c r="B255" s="46" t="str">
        <f>IFERROR(VLOOKUP($A255,Equipos!$C$2:$M$967,2,FALSE()),"")</f>
        <v>Máquina de Anestesia</v>
      </c>
      <c r="C255" s="46" t="str">
        <f>IFERROR(VLOOKUP($A255,Equipos!$C$2:$M$967,9,FALSE()),"")</f>
        <v>ASMK-0086</v>
      </c>
      <c r="D255" s="46" t="str">
        <f>IFERROR(VLOOKUP($A255,Equipos!$C$2:$M$967,3,FALSE()),"")</f>
        <v>Pabellón Quirúrgico</v>
      </c>
      <c r="E255" s="46" t="str">
        <f>IFERROR(VLOOKUP($A255,Equipos!$C$2:$M$967,7,FALSE()),"")</f>
        <v>Drager</v>
      </c>
      <c r="F255" s="46" t="str">
        <f>IFERROR(VLOOKUP($A255,Equipos!$C$2:$M$967,8,FALSE()),"")</f>
        <v>Perseus A500</v>
      </c>
      <c r="G255" s="46" t="s">
        <v>331</v>
      </c>
      <c r="H255" s="46"/>
      <c r="I255" s="46"/>
      <c r="J255" s="46" t="s">
        <v>297</v>
      </c>
      <c r="K255" s="46" t="str">
        <f>IFERROR(VLOOKUP($J255,Catálogos!$M$4:$N$17,2,FALSE()),"")</f>
        <v>Mantención Preventiva Realizada</v>
      </c>
      <c r="L255" s="46"/>
      <c r="M255" s="46"/>
      <c r="N255" s="46"/>
      <c r="O255" s="46"/>
      <c r="P255" s="46"/>
      <c r="Q255" s="46"/>
    </row>
    <row r="256" spans="1:17" hidden="1" x14ac:dyDescent="0.25">
      <c r="A256" s="47" t="s">
        <v>445</v>
      </c>
      <c r="B256" s="46" t="str">
        <f>IFERROR(VLOOKUP($A256,Equipos!$C$2:$M$967,2,FALSE()),"")</f>
        <v>Máquina de Anestesia</v>
      </c>
      <c r="C256" s="46" t="str">
        <f>IFERROR(VLOOKUP($A256,Equipos!$C$2:$M$967,9,FALSE()),"")</f>
        <v>ASMK-0085</v>
      </c>
      <c r="D256" s="46" t="str">
        <f>IFERROR(VLOOKUP($A256,Equipos!$C$2:$M$967,3,FALSE()),"")</f>
        <v>Pabellón Quirúrgico</v>
      </c>
      <c r="E256" s="46" t="str">
        <f>IFERROR(VLOOKUP($A256,Equipos!$C$2:$M$967,7,FALSE()),"")</f>
        <v>Drager</v>
      </c>
      <c r="F256" s="46" t="str">
        <f>IFERROR(VLOOKUP($A256,Equipos!$C$2:$M$967,8,FALSE()),"")</f>
        <v>Perseus A500</v>
      </c>
      <c r="G256" s="46" t="s">
        <v>316</v>
      </c>
      <c r="H256" s="46"/>
      <c r="I256" s="46"/>
      <c r="J256" s="46" t="s">
        <v>423</v>
      </c>
      <c r="K256" s="46" t="str">
        <f>IFERROR(VLOOKUP($J256,Catálogos!$M$4:$N$17,2,FALSE()),"")</f>
        <v>Reprogramada · No disponibilidad de horas hombre del servicio técnico externo</v>
      </c>
      <c r="L256" s="46"/>
      <c r="M256" s="46"/>
      <c r="N256" s="46"/>
      <c r="O256" s="46"/>
      <c r="P256" s="46"/>
      <c r="Q256" s="46"/>
    </row>
    <row r="257" spans="1:17" hidden="1" x14ac:dyDescent="0.25">
      <c r="A257" s="47" t="s">
        <v>446</v>
      </c>
      <c r="B257" s="46" t="str">
        <f>IFERROR(VLOOKUP($A257,Equipos!$C$2:$M$967,2,FALSE()),"")</f>
        <v>Máquina de Anestesia</v>
      </c>
      <c r="C257" s="46" t="str">
        <f>IFERROR(VLOOKUP($A257,Equipos!$C$2:$M$967,9,FALSE()),"")</f>
        <v>ASMK-0178</v>
      </c>
      <c r="D257" s="46" t="str">
        <f>IFERROR(VLOOKUP($A257,Equipos!$C$2:$M$967,3,FALSE()),"")</f>
        <v>Pabellón Quirúrgico</v>
      </c>
      <c r="E257" s="46" t="str">
        <f>IFERROR(VLOOKUP($A257,Equipos!$C$2:$M$967,7,FALSE()),"")</f>
        <v>Drager</v>
      </c>
      <c r="F257" s="46" t="str">
        <f>IFERROR(VLOOKUP($A257,Equipos!$C$2:$M$967,8,FALSE()),"")</f>
        <v>Primus</v>
      </c>
      <c r="G257" s="46" t="s">
        <v>316</v>
      </c>
      <c r="H257" s="46"/>
      <c r="I257" s="46"/>
      <c r="J257" s="46" t="s">
        <v>423</v>
      </c>
      <c r="K257" s="46" t="str">
        <f>IFERROR(VLOOKUP($J257,Catálogos!$M$4:$N$17,2,FALSE()),"")</f>
        <v>Reprogramada · No disponibilidad de horas hombre del servicio técnico externo</v>
      </c>
      <c r="L257" s="46"/>
      <c r="M257" s="46"/>
      <c r="N257" s="46"/>
      <c r="O257" s="46"/>
      <c r="P257" s="46"/>
      <c r="Q257" s="46"/>
    </row>
    <row r="258" spans="1:17" hidden="1" x14ac:dyDescent="0.25">
      <c r="A258" s="47" t="s">
        <v>446</v>
      </c>
      <c r="B258" s="46" t="str">
        <f>IFERROR(VLOOKUP($A258,Equipos!$C$2:$M$967,2,FALSE()),"")</f>
        <v>Máquina de Anestesia</v>
      </c>
      <c r="C258" s="46" t="str">
        <f>IFERROR(VLOOKUP($A258,Equipos!$C$2:$M$967,9,FALSE()),"")</f>
        <v>ASMK-0178</v>
      </c>
      <c r="D258" s="46" t="str">
        <f>IFERROR(VLOOKUP($A258,Equipos!$C$2:$M$967,3,FALSE()),"")</f>
        <v>Pabellón Quirúrgico</v>
      </c>
      <c r="E258" s="46" t="str">
        <f>IFERROR(VLOOKUP($A258,Equipos!$C$2:$M$967,7,FALSE()),"")</f>
        <v>Drager</v>
      </c>
      <c r="F258" s="46" t="str">
        <f>IFERROR(VLOOKUP($A258,Equipos!$C$2:$M$967,8,FALSE()),"")</f>
        <v>Primus</v>
      </c>
      <c r="G258" s="46" t="s">
        <v>331</v>
      </c>
      <c r="H258" s="46"/>
      <c r="I258" s="46"/>
      <c r="J258" s="46" t="s">
        <v>297</v>
      </c>
      <c r="K258" s="46" t="str">
        <f>IFERROR(VLOOKUP($J258,Catálogos!$M$4:$N$17,2,FALSE()),"")</f>
        <v>Mantención Preventiva Realizada</v>
      </c>
      <c r="L258" s="46"/>
      <c r="M258" s="46"/>
      <c r="N258" s="46"/>
      <c r="O258" s="46"/>
      <c r="P258" s="46"/>
      <c r="Q258" s="46"/>
    </row>
    <row r="259" spans="1:17" hidden="1" x14ac:dyDescent="0.25">
      <c r="A259" s="47" t="s">
        <v>447</v>
      </c>
      <c r="B259" s="46" t="str">
        <f>IFERROR(VLOOKUP($A259,Equipos!$C$2:$M$967,2,FALSE()),"")</f>
        <v>Máquina de Anestesia</v>
      </c>
      <c r="C259" s="46" t="str">
        <f>IFERROR(VLOOKUP($A259,Equipos!$C$2:$M$967,9,FALSE()),"")</f>
        <v>ASMK-0179</v>
      </c>
      <c r="D259" s="46" t="str">
        <f>IFERROR(VLOOKUP($A259,Equipos!$C$2:$M$967,3,FALSE()),"")</f>
        <v>Pabellón Quirúrgico</v>
      </c>
      <c r="E259" s="46" t="str">
        <f>IFERROR(VLOOKUP($A259,Equipos!$C$2:$M$967,7,FALSE()),"")</f>
        <v>Drager</v>
      </c>
      <c r="F259" s="46" t="str">
        <f>IFERROR(VLOOKUP($A259,Equipos!$C$2:$M$967,8,FALSE()),"")</f>
        <v>Primus</v>
      </c>
      <c r="G259" s="46" t="s">
        <v>316</v>
      </c>
      <c r="H259" s="46"/>
      <c r="I259" s="46"/>
      <c r="J259" s="46" t="s">
        <v>423</v>
      </c>
      <c r="K259" s="46" t="str">
        <f>IFERROR(VLOOKUP($J259,Catálogos!$M$4:$N$17,2,FALSE()),"")</f>
        <v>Reprogramada · No disponibilidad de horas hombre del servicio técnico externo</v>
      </c>
      <c r="L259" s="46"/>
      <c r="M259" s="46"/>
      <c r="N259" s="46"/>
      <c r="O259" s="46"/>
      <c r="P259" s="46"/>
      <c r="Q259" s="46"/>
    </row>
    <row r="260" spans="1:17" hidden="1" x14ac:dyDescent="0.25">
      <c r="A260" s="47" t="s">
        <v>447</v>
      </c>
      <c r="B260" s="46" t="str">
        <f>IFERROR(VLOOKUP($A260,Equipos!$C$2:$M$967,2,FALSE()),"")</f>
        <v>Máquina de Anestesia</v>
      </c>
      <c r="C260" s="46" t="str">
        <f>IFERROR(VLOOKUP($A260,Equipos!$C$2:$M$967,9,FALSE()),"")</f>
        <v>ASMK-0179</v>
      </c>
      <c r="D260" s="46" t="str">
        <f>IFERROR(VLOOKUP($A260,Equipos!$C$2:$M$967,3,FALSE()),"")</f>
        <v>Pabellón Quirúrgico</v>
      </c>
      <c r="E260" s="46" t="str">
        <f>IFERROR(VLOOKUP($A260,Equipos!$C$2:$M$967,7,FALSE()),"")</f>
        <v>Drager</v>
      </c>
      <c r="F260" s="46" t="str">
        <f>IFERROR(VLOOKUP($A260,Equipos!$C$2:$M$967,8,FALSE()),"")</f>
        <v>Primus</v>
      </c>
      <c r="G260" s="46" t="s">
        <v>331</v>
      </c>
      <c r="H260" s="46"/>
      <c r="I260" s="46"/>
      <c r="J260" s="46" t="s">
        <v>297</v>
      </c>
      <c r="K260" s="46" t="str">
        <f>IFERROR(VLOOKUP($J260,Catálogos!$M$4:$N$17,2,FALSE()),"")</f>
        <v>Mantención Preventiva Realizada</v>
      </c>
      <c r="L260" s="46"/>
      <c r="M260" s="46"/>
      <c r="N260" s="46"/>
      <c r="O260" s="46"/>
      <c r="P260" s="46"/>
      <c r="Q260" s="46"/>
    </row>
    <row r="261" spans="1:17" hidden="1" x14ac:dyDescent="0.25">
      <c r="A261" s="47" t="s">
        <v>448</v>
      </c>
      <c r="B261" s="46" t="str">
        <f>IFERROR(VLOOKUP($A261,Equipos!$C$2:$M$967,2,FALSE()),"")</f>
        <v>Máquina de Anestesia</v>
      </c>
      <c r="C261" s="46" t="str">
        <f>IFERROR(VLOOKUP($A261,Equipos!$C$2:$M$967,9,FALSE()),"")</f>
        <v>ASML-0015</v>
      </c>
      <c r="D261" s="46" t="str">
        <f>IFERROR(VLOOKUP($A261,Equipos!$C$2:$M$967,3,FALSE()),"")</f>
        <v>Pabellón Quirúrgico (Prestado a Imagenología)</v>
      </c>
      <c r="E261" s="46" t="str">
        <f>IFERROR(VLOOKUP($A261,Equipos!$C$2:$M$967,7,FALSE()),"")</f>
        <v>Drager</v>
      </c>
      <c r="F261" s="46" t="str">
        <f>IFERROR(VLOOKUP($A261,Equipos!$C$2:$M$967,8,FALSE()),"")</f>
        <v>Fabius MRI</v>
      </c>
      <c r="G261" s="46" t="s">
        <v>316</v>
      </c>
      <c r="H261" s="46"/>
      <c r="I261" s="46"/>
      <c r="J261" s="46" t="s">
        <v>423</v>
      </c>
      <c r="K261" s="46" t="str">
        <f>IFERROR(VLOOKUP($J261,Catálogos!$M$4:$N$17,2,FALSE()),"")</f>
        <v>Reprogramada · No disponibilidad de horas hombre del servicio técnico externo</v>
      </c>
      <c r="L261" s="46"/>
      <c r="M261" s="46"/>
      <c r="N261" s="46"/>
      <c r="O261" s="46"/>
      <c r="P261" s="46"/>
      <c r="Q261" s="46"/>
    </row>
    <row r="262" spans="1:17" hidden="1" x14ac:dyDescent="0.25">
      <c r="A262" s="47" t="s">
        <v>448</v>
      </c>
      <c r="B262" s="46" t="str">
        <f>IFERROR(VLOOKUP($A262,Equipos!$C$2:$M$967,2,FALSE()),"")</f>
        <v>Máquina de Anestesia</v>
      </c>
      <c r="C262" s="46" t="str">
        <f>IFERROR(VLOOKUP($A262,Equipos!$C$2:$M$967,9,FALSE()),"")</f>
        <v>ASML-0015</v>
      </c>
      <c r="D262" s="46" t="str">
        <f>IFERROR(VLOOKUP($A262,Equipos!$C$2:$M$967,3,FALSE()),"")</f>
        <v>Pabellón Quirúrgico (Prestado a Imagenología)</v>
      </c>
      <c r="E262" s="46" t="str">
        <f>IFERROR(VLOOKUP($A262,Equipos!$C$2:$M$967,7,FALSE()),"")</f>
        <v>Drager</v>
      </c>
      <c r="F262" s="46" t="str">
        <f>IFERROR(VLOOKUP($A262,Equipos!$C$2:$M$967,8,FALSE()),"")</f>
        <v>Fabius MRI</v>
      </c>
      <c r="G262" s="46" t="s">
        <v>331</v>
      </c>
      <c r="H262" s="46"/>
      <c r="I262" s="46"/>
      <c r="J262" s="46" t="s">
        <v>297</v>
      </c>
      <c r="K262" s="46" t="str">
        <f>IFERROR(VLOOKUP($J262,Catálogos!$M$4:$N$17,2,FALSE()),"")</f>
        <v>Mantención Preventiva Realizada</v>
      </c>
      <c r="L262" s="46"/>
      <c r="M262" s="46"/>
      <c r="N262" s="46"/>
      <c r="O262" s="46"/>
      <c r="P262" s="46"/>
      <c r="Q262" s="46"/>
    </row>
    <row r="263" spans="1:17" hidden="1" x14ac:dyDescent="0.25">
      <c r="A263" s="47" t="s">
        <v>449</v>
      </c>
      <c r="B263" s="46" t="str">
        <f>IFERROR(VLOOKUP($A263,Equipos!$C$2:$M$967,2,FALSE()),"")</f>
        <v xml:space="preserve">Ventilador Mecánico </v>
      </c>
      <c r="C263" s="46" t="str">
        <f>IFERROR(VLOOKUP($A263,Equipos!$C$2:$M$967,9,FALSE()),"")</f>
        <v>3510094199</v>
      </c>
      <c r="D263" s="46" t="str">
        <f>IFERROR(VLOOKUP($A263,Equipos!$C$2:$M$967,3,FALSE()),"")</f>
        <v>UPC Adulto</v>
      </c>
      <c r="E263" s="46" t="str">
        <f>IFERROR(VLOOKUP($A263,Equipos!$C$2:$M$967,7,FALSE()),"")</f>
        <v>Puritan Bennett</v>
      </c>
      <c r="F263" s="46" t="str">
        <f>IFERROR(VLOOKUP($A263,Equipos!$C$2:$M$967,8,FALSE()),"")</f>
        <v>840/Sin Comp.</v>
      </c>
      <c r="G263" s="46" t="s">
        <v>316</v>
      </c>
      <c r="H263" s="46"/>
      <c r="I263" s="46"/>
      <c r="J263" s="46" t="s">
        <v>423</v>
      </c>
      <c r="K263" s="46" t="str">
        <f>IFERROR(VLOOKUP($J263,Catálogos!$M$4:$N$17,2,FALSE()),"")</f>
        <v>Reprogramada · No disponibilidad de horas hombre del servicio técnico externo</v>
      </c>
      <c r="L263" s="46"/>
      <c r="M263" s="46"/>
      <c r="N263" s="46"/>
      <c r="O263" s="46"/>
      <c r="P263" s="46"/>
      <c r="Q263" s="46"/>
    </row>
    <row r="264" spans="1:17" hidden="1" x14ac:dyDescent="0.25">
      <c r="A264" s="47" t="s">
        <v>449</v>
      </c>
      <c r="B264" s="46" t="str">
        <f>IFERROR(VLOOKUP($A264,Equipos!$C$2:$M$967,2,FALSE()),"")</f>
        <v xml:space="preserve">Ventilador Mecánico </v>
      </c>
      <c r="C264" s="46" t="str">
        <f>IFERROR(VLOOKUP($A264,Equipos!$C$2:$M$967,9,FALSE()),"")</f>
        <v>3510094199</v>
      </c>
      <c r="D264" s="46" t="str">
        <f>IFERROR(VLOOKUP($A264,Equipos!$C$2:$M$967,3,FALSE()),"")</f>
        <v>UPC Adulto</v>
      </c>
      <c r="E264" s="46" t="str">
        <f>IFERROR(VLOOKUP($A264,Equipos!$C$2:$M$967,7,FALSE()),"")</f>
        <v>Puritan Bennett</v>
      </c>
      <c r="F264" s="46" t="str">
        <f>IFERROR(VLOOKUP($A264,Equipos!$C$2:$M$967,8,FALSE()),"")</f>
        <v>840/Sin Comp.</v>
      </c>
      <c r="G264" s="46" t="s">
        <v>331</v>
      </c>
      <c r="H264" s="46"/>
      <c r="I264" s="46"/>
      <c r="J264" s="46" t="s">
        <v>297</v>
      </c>
      <c r="K264" s="46" t="str">
        <f>IFERROR(VLOOKUP($J264,Catálogos!$M$4:$N$17,2,FALSE()),"")</f>
        <v>Mantención Preventiva Realizada</v>
      </c>
      <c r="L264" s="46"/>
      <c r="M264" s="46"/>
      <c r="N264" s="46"/>
      <c r="O264" s="46"/>
      <c r="P264" s="46"/>
      <c r="Q264" s="46"/>
    </row>
    <row r="265" spans="1:17" hidden="1" x14ac:dyDescent="0.25">
      <c r="A265" s="47" t="s">
        <v>450</v>
      </c>
      <c r="B265" s="46" t="str">
        <f>IFERROR(VLOOKUP($A265,Equipos!$C$2:$M$967,2,FALSE()),"")</f>
        <v xml:space="preserve">Ventilador Mecánico </v>
      </c>
      <c r="C265" s="46" t="str">
        <f>IFERROR(VLOOKUP($A265,Equipos!$C$2:$M$967,9,FALSE()),"")</f>
        <v>MTV1KUA1C0139</v>
      </c>
      <c r="D265" s="46" t="str">
        <f>IFERROR(VLOOKUP($A265,Equipos!$C$2:$M$967,3,FALSE()),"")</f>
        <v>UPC Adulto</v>
      </c>
      <c r="E265" s="46" t="str">
        <f>IFERROR(VLOOKUP($A265,Equipos!$C$2:$M$967,7,FALSE()),"")</f>
        <v>MEK ICS</v>
      </c>
      <c r="F265" s="46" t="str">
        <f>IFERROR(VLOOKUP($A265,Equipos!$C$2:$M$967,8,FALSE()),"")</f>
        <v>MTV1000</v>
      </c>
      <c r="G265" s="46" t="s">
        <v>331</v>
      </c>
      <c r="H265" s="46"/>
      <c r="I265" s="46"/>
      <c r="J265" s="46" t="s">
        <v>297</v>
      </c>
      <c r="K265" s="46" t="str">
        <f>IFERROR(VLOOKUP($J265,Catálogos!$M$4:$N$17,2,FALSE()),"")</f>
        <v>Mantención Preventiva Realizada</v>
      </c>
      <c r="L265" s="46"/>
      <c r="M265" s="46"/>
      <c r="N265" s="46"/>
      <c r="O265" s="46"/>
      <c r="P265" s="46"/>
      <c r="Q265" s="46"/>
    </row>
    <row r="266" spans="1:17" hidden="1" x14ac:dyDescent="0.25">
      <c r="A266" s="47" t="s">
        <v>451</v>
      </c>
      <c r="B266" s="46" t="str">
        <f>IFERROR(VLOOKUP($A266,Equipos!$C$2:$M$967,2,FALSE()),"")</f>
        <v xml:space="preserve">Ventilador Mecánico </v>
      </c>
      <c r="C266" s="46" t="str">
        <f>IFERROR(VLOOKUP($A266,Equipos!$C$2:$M$967,9,FALSE()),"")</f>
        <v>ASSM-0041</v>
      </c>
      <c r="D266" s="46" t="str">
        <f>IFERROR(VLOOKUP($A266,Equipos!$C$2:$M$967,3,FALSE()),"")</f>
        <v>UPC Adulto</v>
      </c>
      <c r="E266" s="46" t="str">
        <f>IFERROR(VLOOKUP($A266,Equipos!$C$2:$M$967,7,FALSE()),"")</f>
        <v>Drager</v>
      </c>
      <c r="F266" s="46" t="str">
        <f>IFERROR(VLOOKUP($A266,Equipos!$C$2:$M$967,8,FALSE()),"")</f>
        <v>Savina 300 Classic</v>
      </c>
      <c r="G266" s="46" t="s">
        <v>296</v>
      </c>
      <c r="H266" s="46"/>
      <c r="I266" s="46"/>
      <c r="J266" s="46" t="s">
        <v>297</v>
      </c>
      <c r="K266" s="46" t="str">
        <f>IFERROR(VLOOKUP($J266,Catálogos!$M$4:$N$17,2,FALSE()),"")</f>
        <v>Mantención Preventiva Realizada</v>
      </c>
      <c r="L266" s="46"/>
      <c r="M266" s="46"/>
      <c r="N266" s="46"/>
      <c r="O266" s="46"/>
      <c r="P266" s="46"/>
      <c r="Q266" s="46"/>
    </row>
    <row r="267" spans="1:17" hidden="1" x14ac:dyDescent="0.25">
      <c r="A267" s="47" t="s">
        <v>451</v>
      </c>
      <c r="B267" s="46" t="str">
        <f>IFERROR(VLOOKUP($A267,Equipos!$C$2:$M$967,2,FALSE()),"")</f>
        <v xml:space="preserve">Ventilador Mecánico </v>
      </c>
      <c r="C267" s="46" t="str">
        <f>IFERROR(VLOOKUP($A267,Equipos!$C$2:$M$967,9,FALSE()),"")</f>
        <v>ASSM-0041</v>
      </c>
      <c r="D267" s="46" t="str">
        <f>IFERROR(VLOOKUP($A267,Equipos!$C$2:$M$967,3,FALSE()),"")</f>
        <v>UPC Adulto</v>
      </c>
      <c r="E267" s="46" t="str">
        <f>IFERROR(VLOOKUP($A267,Equipos!$C$2:$M$967,7,FALSE()),"")</f>
        <v>Drager</v>
      </c>
      <c r="F267" s="46" t="str">
        <f>IFERROR(VLOOKUP($A267,Equipos!$C$2:$M$967,8,FALSE()),"")</f>
        <v>Savina 300 Classic</v>
      </c>
      <c r="G267" s="46" t="s">
        <v>331</v>
      </c>
      <c r="H267" s="46"/>
      <c r="I267" s="46"/>
      <c r="J267" s="46" t="s">
        <v>297</v>
      </c>
      <c r="K267" s="46" t="str">
        <f>IFERROR(VLOOKUP($J267,Catálogos!$M$4:$N$17,2,FALSE()),"")</f>
        <v>Mantención Preventiva Realizada</v>
      </c>
      <c r="L267" s="46"/>
      <c r="M267" s="46"/>
      <c r="N267" s="46"/>
      <c r="O267" s="46"/>
      <c r="P267" s="46"/>
      <c r="Q267" s="46"/>
    </row>
    <row r="268" spans="1:17" hidden="1" x14ac:dyDescent="0.25">
      <c r="A268" s="47" t="s">
        <v>452</v>
      </c>
      <c r="B268" s="46" t="str">
        <f>IFERROR(VLOOKUP($A268,Equipos!$C$2:$M$967,2,FALSE()),"")</f>
        <v xml:space="preserve">Ventilador Mecánico </v>
      </c>
      <c r="C268" s="46" t="str">
        <f>IFERROR(VLOOKUP($A268,Equipos!$C$2:$M$967,9,FALSE()),"")</f>
        <v>3510094181</v>
      </c>
      <c r="D268" s="46" t="str">
        <f>IFERROR(VLOOKUP($A268,Equipos!$C$2:$M$967,3,FALSE()),"")</f>
        <v>UPC Adulto</v>
      </c>
      <c r="E268" s="46" t="str">
        <f>IFERROR(VLOOKUP($A268,Equipos!$C$2:$M$967,7,FALSE()),"")</f>
        <v>Puritan Bennett</v>
      </c>
      <c r="F268" s="46" t="str">
        <f>IFERROR(VLOOKUP($A268,Equipos!$C$2:$M$967,8,FALSE()),"")</f>
        <v>840</v>
      </c>
      <c r="G268" s="46" t="s">
        <v>316</v>
      </c>
      <c r="H268" s="46"/>
      <c r="I268" s="46"/>
      <c r="J268" s="46" t="s">
        <v>423</v>
      </c>
      <c r="K268" s="46" t="str">
        <f>IFERROR(VLOOKUP($J268,Catálogos!$M$4:$N$17,2,FALSE()),"")</f>
        <v>Reprogramada · No disponibilidad de horas hombre del servicio técnico externo</v>
      </c>
      <c r="L268" s="46"/>
      <c r="M268" s="46"/>
      <c r="N268" s="46"/>
      <c r="O268" s="46"/>
      <c r="P268" s="46"/>
      <c r="Q268" s="46"/>
    </row>
    <row r="269" spans="1:17" hidden="1" x14ac:dyDescent="0.25">
      <c r="A269" s="47" t="s">
        <v>452</v>
      </c>
      <c r="B269" s="46" t="str">
        <f>IFERROR(VLOOKUP($A269,Equipos!$C$2:$M$967,2,FALSE()),"")</f>
        <v xml:space="preserve">Ventilador Mecánico </v>
      </c>
      <c r="C269" s="46" t="str">
        <f>IFERROR(VLOOKUP($A269,Equipos!$C$2:$M$967,9,FALSE()),"")</f>
        <v>3510094181</v>
      </c>
      <c r="D269" s="46" t="str">
        <f>IFERROR(VLOOKUP($A269,Equipos!$C$2:$M$967,3,FALSE()),"")</f>
        <v>UPC Adulto</v>
      </c>
      <c r="E269" s="46" t="str">
        <f>IFERROR(VLOOKUP($A269,Equipos!$C$2:$M$967,7,FALSE()),"")</f>
        <v>Puritan Bennett</v>
      </c>
      <c r="F269" s="46" t="str">
        <f>IFERROR(VLOOKUP($A269,Equipos!$C$2:$M$967,8,FALSE()),"")</f>
        <v>840</v>
      </c>
      <c r="G269" s="46" t="s">
        <v>331</v>
      </c>
      <c r="H269" s="46"/>
      <c r="I269" s="46"/>
      <c r="J269" s="46" t="s">
        <v>297</v>
      </c>
      <c r="K269" s="46" t="str">
        <f>IFERROR(VLOOKUP($J269,Catálogos!$M$4:$N$17,2,FALSE()),"")</f>
        <v>Mantención Preventiva Realizada</v>
      </c>
      <c r="L269" s="46"/>
      <c r="M269" s="46"/>
      <c r="N269" s="46"/>
      <c r="O269" s="46"/>
      <c r="P269" s="46"/>
      <c r="Q269" s="46"/>
    </row>
    <row r="270" spans="1:17" hidden="1" x14ac:dyDescent="0.25">
      <c r="A270" s="47" t="s">
        <v>453</v>
      </c>
      <c r="B270" s="46" t="str">
        <f>IFERROR(VLOOKUP($A270,Equipos!$C$2:$M$967,2,FALSE()),"")</f>
        <v xml:space="preserve">Ventilador Mecánico </v>
      </c>
      <c r="C270" s="46" t="str">
        <f>IFERROR(VLOOKUP($A270,Equipos!$C$2:$M$967,9,FALSE()),"")</f>
        <v>3510094192</v>
      </c>
      <c r="D270" s="46" t="str">
        <f>IFERROR(VLOOKUP($A270,Equipos!$C$2:$M$967,3,FALSE()),"")</f>
        <v>UPC Adulto</v>
      </c>
      <c r="E270" s="46" t="str">
        <f>IFERROR(VLOOKUP($A270,Equipos!$C$2:$M$967,7,FALSE()),"")</f>
        <v>Puritan Bennett</v>
      </c>
      <c r="F270" s="46" t="str">
        <f>IFERROR(VLOOKUP($A270,Equipos!$C$2:$M$967,8,FALSE()),"")</f>
        <v>840/Sin Comp.</v>
      </c>
      <c r="G270" s="46" t="s">
        <v>316</v>
      </c>
      <c r="H270" s="46"/>
      <c r="I270" s="46"/>
      <c r="J270" s="46" t="s">
        <v>423</v>
      </c>
      <c r="K270" s="46" t="str">
        <f>IFERROR(VLOOKUP($J270,Catálogos!$M$4:$N$17,2,FALSE()),"")</f>
        <v>Reprogramada · No disponibilidad de horas hombre del servicio técnico externo</v>
      </c>
      <c r="L270" s="46"/>
      <c r="M270" s="46"/>
      <c r="N270" s="46"/>
      <c r="O270" s="46"/>
      <c r="P270" s="46"/>
      <c r="Q270" s="46"/>
    </row>
    <row r="271" spans="1:17" hidden="1" x14ac:dyDescent="0.25">
      <c r="A271" s="47" t="s">
        <v>453</v>
      </c>
      <c r="B271" s="46" t="str">
        <f>IFERROR(VLOOKUP($A271,Equipos!$C$2:$M$967,2,FALSE()),"")</f>
        <v xml:space="preserve">Ventilador Mecánico </v>
      </c>
      <c r="C271" s="46" t="str">
        <f>IFERROR(VLOOKUP($A271,Equipos!$C$2:$M$967,9,FALSE()),"")</f>
        <v>3510094192</v>
      </c>
      <c r="D271" s="46" t="str">
        <f>IFERROR(VLOOKUP($A271,Equipos!$C$2:$M$967,3,FALSE()),"")</f>
        <v>UPC Adulto</v>
      </c>
      <c r="E271" s="46" t="str">
        <f>IFERROR(VLOOKUP($A271,Equipos!$C$2:$M$967,7,FALSE()),"")</f>
        <v>Puritan Bennett</v>
      </c>
      <c r="F271" s="46" t="str">
        <f>IFERROR(VLOOKUP($A271,Equipos!$C$2:$M$967,8,FALSE()),"")</f>
        <v>840/Sin Comp.</v>
      </c>
      <c r="G271" s="46" t="s">
        <v>331</v>
      </c>
      <c r="H271" s="46"/>
      <c r="I271" s="46"/>
      <c r="J271" s="46" t="s">
        <v>297</v>
      </c>
      <c r="K271" s="46" t="str">
        <f>IFERROR(VLOOKUP($J271,Catálogos!$M$4:$N$17,2,FALSE()),"")</f>
        <v>Mantención Preventiva Realizada</v>
      </c>
      <c r="L271" s="46"/>
      <c r="M271" s="46"/>
      <c r="N271" s="46"/>
      <c r="O271" s="46"/>
      <c r="P271" s="46"/>
      <c r="Q271" s="46"/>
    </row>
    <row r="272" spans="1:17" hidden="1" x14ac:dyDescent="0.25">
      <c r="A272" s="47" t="s">
        <v>454</v>
      </c>
      <c r="B272" s="46" t="str">
        <f>IFERROR(VLOOKUP($A272,Equipos!$C$2:$M$967,2,FALSE()),"")</f>
        <v xml:space="preserve">Ventilador Mecánico </v>
      </c>
      <c r="C272" s="46" t="str">
        <f>IFERROR(VLOOKUP($A272,Equipos!$C$2:$M$967,9,FALSE()),"")</f>
        <v>35B2101536</v>
      </c>
      <c r="D272" s="46" t="str">
        <f>IFERROR(VLOOKUP($A272,Equipos!$C$2:$M$967,3,FALSE()),"")</f>
        <v>UPC Cardiovascular</v>
      </c>
      <c r="E272" s="46" t="str">
        <f>IFERROR(VLOOKUP($A272,Equipos!$C$2:$M$967,7,FALSE()),"")</f>
        <v>Puritan Bennett</v>
      </c>
      <c r="F272" s="46" t="str">
        <f>IFERROR(VLOOKUP($A272,Equipos!$C$2:$M$967,8,FALSE()),"")</f>
        <v>980/cc</v>
      </c>
      <c r="G272" s="46" t="s">
        <v>316</v>
      </c>
      <c r="H272" s="46"/>
      <c r="I272" s="46"/>
      <c r="J272" s="46" t="s">
        <v>423</v>
      </c>
      <c r="K272" s="46" t="str">
        <f>IFERROR(VLOOKUP($J272,Catálogos!$M$4:$N$17,2,FALSE()),"")</f>
        <v>Reprogramada · No disponibilidad de horas hombre del servicio técnico externo</v>
      </c>
      <c r="L272" s="46"/>
      <c r="M272" s="46"/>
      <c r="N272" s="46"/>
      <c r="O272" s="46"/>
      <c r="P272" s="46"/>
      <c r="Q272" s="46"/>
    </row>
    <row r="273" spans="1:17" hidden="1" x14ac:dyDescent="0.25">
      <c r="A273" s="47" t="s">
        <v>454</v>
      </c>
      <c r="B273" s="46" t="str">
        <f>IFERROR(VLOOKUP($A273,Equipos!$C$2:$M$967,2,FALSE()),"")</f>
        <v xml:space="preserve">Ventilador Mecánico </v>
      </c>
      <c r="C273" s="46" t="str">
        <f>IFERROR(VLOOKUP($A273,Equipos!$C$2:$M$967,9,FALSE()),"")</f>
        <v>35B2101536</v>
      </c>
      <c r="D273" s="46" t="str">
        <f>IFERROR(VLOOKUP($A273,Equipos!$C$2:$M$967,3,FALSE()),"")</f>
        <v>UPC Cardiovascular</v>
      </c>
      <c r="E273" s="46" t="str">
        <f>IFERROR(VLOOKUP($A273,Equipos!$C$2:$M$967,7,FALSE()),"")</f>
        <v>Puritan Bennett</v>
      </c>
      <c r="F273" s="46" t="str">
        <f>IFERROR(VLOOKUP($A273,Equipos!$C$2:$M$967,8,FALSE()),"")</f>
        <v>980/cc</v>
      </c>
      <c r="G273" s="46" t="s">
        <v>331</v>
      </c>
      <c r="H273" s="46"/>
      <c r="I273" s="46"/>
      <c r="J273" s="46" t="s">
        <v>297</v>
      </c>
      <c r="K273" s="46" t="str">
        <f>IFERROR(VLOOKUP($J273,Catálogos!$M$4:$N$17,2,FALSE()),"")</f>
        <v>Mantención Preventiva Realizada</v>
      </c>
      <c r="L273" s="46"/>
      <c r="M273" s="46"/>
      <c r="N273" s="46"/>
      <c r="O273" s="46"/>
      <c r="P273" s="46"/>
      <c r="Q273" s="46"/>
    </row>
    <row r="274" spans="1:17" hidden="1" x14ac:dyDescent="0.25">
      <c r="A274" s="47" t="s">
        <v>455</v>
      </c>
      <c r="B274" s="46" t="str">
        <f>IFERROR(VLOOKUP($A274,Equipos!$C$2:$M$967,2,FALSE()),"")</f>
        <v xml:space="preserve">Ventilador Mecánico </v>
      </c>
      <c r="C274" s="46" t="str">
        <f>IFERROR(VLOOKUP($A274,Equipos!$C$2:$M$967,9,FALSE()),"")</f>
        <v>MTV1KUA1B0123</v>
      </c>
      <c r="D274" s="46" t="str">
        <f>IFERROR(VLOOKUP($A274,Equipos!$C$2:$M$967,3,FALSE()),"")</f>
        <v>UPC Cardiovascular</v>
      </c>
      <c r="E274" s="46" t="str">
        <f>IFERROR(VLOOKUP($A274,Equipos!$C$2:$M$967,7,FALSE()),"")</f>
        <v>MEK ICS</v>
      </c>
      <c r="F274" s="46" t="str">
        <f>IFERROR(VLOOKUP($A274,Equipos!$C$2:$M$967,8,FALSE()),"")</f>
        <v>MTV1000</v>
      </c>
      <c r="G274" s="46" t="s">
        <v>331</v>
      </c>
      <c r="H274" s="46"/>
      <c r="I274" s="46"/>
      <c r="J274" s="46" t="s">
        <v>297</v>
      </c>
      <c r="K274" s="46" t="str">
        <f>IFERROR(VLOOKUP($J274,Catálogos!$M$4:$N$17,2,FALSE()),"")</f>
        <v>Mantención Preventiva Realizada</v>
      </c>
      <c r="L274" s="46"/>
      <c r="M274" s="46"/>
      <c r="N274" s="46"/>
      <c r="O274" s="46"/>
      <c r="P274" s="46"/>
      <c r="Q274" s="46"/>
    </row>
    <row r="275" spans="1:17" hidden="1" x14ac:dyDescent="0.25">
      <c r="A275" s="47" t="s">
        <v>456</v>
      </c>
      <c r="B275" s="46" t="str">
        <f>IFERROR(VLOOKUP($A275,Equipos!$C$2:$M$967,2,FALSE()),"")</f>
        <v xml:space="preserve">Ventilador Mecánico </v>
      </c>
      <c r="C275" s="46" t="str">
        <f>IFERROR(VLOOKUP($A275,Equipos!$C$2:$M$967,9,FALSE()),"")</f>
        <v>35B2101595</v>
      </c>
      <c r="D275" s="46" t="str">
        <f>IFERROR(VLOOKUP($A275,Equipos!$C$2:$M$967,3,FALSE()),"")</f>
        <v>UPC Cardiovascular</v>
      </c>
      <c r="E275" s="46" t="str">
        <f>IFERROR(VLOOKUP($A275,Equipos!$C$2:$M$967,7,FALSE()),"")</f>
        <v>Puritan Bennett</v>
      </c>
      <c r="F275" s="46" t="str">
        <f>IFERROR(VLOOKUP($A275,Equipos!$C$2:$M$967,8,FALSE()),"")</f>
        <v>980/cc</v>
      </c>
      <c r="G275" s="46" t="s">
        <v>316</v>
      </c>
      <c r="H275" s="46"/>
      <c r="I275" s="46"/>
      <c r="J275" s="46" t="s">
        <v>423</v>
      </c>
      <c r="K275" s="46" t="str">
        <f>IFERROR(VLOOKUP($J275,Catálogos!$M$4:$N$17,2,FALSE()),"")</f>
        <v>Reprogramada · No disponibilidad de horas hombre del servicio técnico externo</v>
      </c>
      <c r="L275" s="46"/>
      <c r="M275" s="46"/>
      <c r="N275" s="46"/>
      <c r="O275" s="46"/>
      <c r="P275" s="46"/>
      <c r="Q275" s="46"/>
    </row>
    <row r="276" spans="1:17" hidden="1" x14ac:dyDescent="0.25">
      <c r="A276" s="47" t="s">
        <v>456</v>
      </c>
      <c r="B276" s="46" t="str">
        <f>IFERROR(VLOOKUP($A276,Equipos!$C$2:$M$967,2,FALSE()),"")</f>
        <v xml:space="preserve">Ventilador Mecánico </v>
      </c>
      <c r="C276" s="46" t="str">
        <f>IFERROR(VLOOKUP($A276,Equipos!$C$2:$M$967,9,FALSE()),"")</f>
        <v>35B2101595</v>
      </c>
      <c r="D276" s="46" t="str">
        <f>IFERROR(VLOOKUP($A276,Equipos!$C$2:$M$967,3,FALSE()),"")</f>
        <v>UPC Cardiovascular</v>
      </c>
      <c r="E276" s="46" t="str">
        <f>IFERROR(VLOOKUP($A276,Equipos!$C$2:$M$967,7,FALSE()),"")</f>
        <v>Puritan Bennett</v>
      </c>
      <c r="F276" s="46" t="str">
        <f>IFERROR(VLOOKUP($A276,Equipos!$C$2:$M$967,8,FALSE()),"")</f>
        <v>980/cc</v>
      </c>
      <c r="G276" s="46" t="s">
        <v>331</v>
      </c>
      <c r="H276" s="46"/>
      <c r="I276" s="46"/>
      <c r="J276" s="46" t="s">
        <v>297</v>
      </c>
      <c r="K276" s="46" t="str">
        <f>IFERROR(VLOOKUP($J276,Catálogos!$M$4:$N$17,2,FALSE()),"")</f>
        <v>Mantención Preventiva Realizada</v>
      </c>
      <c r="L276" s="46"/>
      <c r="M276" s="46"/>
      <c r="N276" s="46"/>
      <c r="O276" s="46"/>
      <c r="P276" s="46"/>
      <c r="Q276" s="46"/>
    </row>
    <row r="277" spans="1:17" hidden="1" x14ac:dyDescent="0.25">
      <c r="A277" s="47" t="s">
        <v>457</v>
      </c>
      <c r="B277" s="46" t="str">
        <f>IFERROR(VLOOKUP($A277,Equipos!$C$2:$M$967,2,FALSE()),"")</f>
        <v xml:space="preserve">Ventilador Mecánico </v>
      </c>
      <c r="C277" s="46" t="str">
        <f>IFERROR(VLOOKUP($A277,Equipos!$C$2:$M$967,9,FALSE()),"")</f>
        <v>16124260</v>
      </c>
      <c r="D277" s="46" t="str">
        <f>IFERROR(VLOOKUP($A277,Equipos!$C$2:$M$967,3,FALSE()),"")</f>
        <v>UPC Adulto</v>
      </c>
      <c r="E277" s="46" t="str">
        <f>IFERROR(VLOOKUP($A277,Equipos!$C$2:$M$967,7,FALSE()),"")</f>
        <v>Flight Medical</v>
      </c>
      <c r="F277" s="46" t="str">
        <f>IFERROR(VLOOKUP($A277,Equipos!$C$2:$M$967,8,FALSE()),"")</f>
        <v>Flight 60</v>
      </c>
      <c r="G277" s="46" t="s">
        <v>335</v>
      </c>
      <c r="H277" s="46"/>
      <c r="I277" s="46"/>
      <c r="J277" s="46" t="s">
        <v>297</v>
      </c>
      <c r="K277" s="46" t="str">
        <f>IFERROR(VLOOKUP($J277,Catálogos!$M$4:$N$17,2,FALSE()),"")</f>
        <v>Mantención Preventiva Realizada</v>
      </c>
      <c r="L277" s="46"/>
      <c r="M277" s="46"/>
      <c r="N277" s="46"/>
      <c r="O277" s="46"/>
      <c r="P277" s="46"/>
      <c r="Q277" s="46"/>
    </row>
    <row r="278" spans="1:17" hidden="1" x14ac:dyDescent="0.25">
      <c r="A278" s="47" t="s">
        <v>458</v>
      </c>
      <c r="B278" s="46" t="str">
        <f>IFERROR(VLOOKUP($A278,Equipos!$C$2:$M$967,2,FALSE()),"")</f>
        <v xml:space="preserve">Ventilador Mecánico </v>
      </c>
      <c r="C278" s="46" t="str">
        <f>IFERROR(VLOOKUP($A278,Equipos!$C$2:$M$967,9,FALSE()),"")</f>
        <v>35B2101546</v>
      </c>
      <c r="D278" s="46" t="str">
        <f>IFERROR(VLOOKUP($A278,Equipos!$C$2:$M$967,3,FALSE()),"")</f>
        <v>UPC Cardiovascular</v>
      </c>
      <c r="E278" s="46" t="str">
        <f>IFERROR(VLOOKUP($A278,Equipos!$C$2:$M$967,7,FALSE()),"")</f>
        <v>Puritan Bennett</v>
      </c>
      <c r="F278" s="46" t="str">
        <f>IFERROR(VLOOKUP($A278,Equipos!$C$2:$M$967,8,FALSE()),"")</f>
        <v>980/cc</v>
      </c>
      <c r="G278" s="46" t="s">
        <v>316</v>
      </c>
      <c r="H278" s="46"/>
      <c r="I278" s="46"/>
      <c r="J278" s="46" t="s">
        <v>423</v>
      </c>
      <c r="K278" s="46" t="str">
        <f>IFERROR(VLOOKUP($J278,Catálogos!$M$4:$N$17,2,FALSE()),"")</f>
        <v>Reprogramada · No disponibilidad de horas hombre del servicio técnico externo</v>
      </c>
      <c r="L278" s="46"/>
      <c r="M278" s="46"/>
      <c r="N278" s="46"/>
      <c r="O278" s="46"/>
      <c r="P278" s="46"/>
      <c r="Q278" s="46"/>
    </row>
    <row r="279" spans="1:17" hidden="1" x14ac:dyDescent="0.25">
      <c r="A279" s="47" t="s">
        <v>458</v>
      </c>
      <c r="B279" s="46" t="str">
        <f>IFERROR(VLOOKUP($A279,Equipos!$C$2:$M$967,2,FALSE()),"")</f>
        <v xml:space="preserve">Ventilador Mecánico </v>
      </c>
      <c r="C279" s="46" t="str">
        <f>IFERROR(VLOOKUP($A279,Equipos!$C$2:$M$967,9,FALSE()),"")</f>
        <v>35B2101546</v>
      </c>
      <c r="D279" s="46" t="str">
        <f>IFERROR(VLOOKUP($A279,Equipos!$C$2:$M$967,3,FALSE()),"")</f>
        <v>UPC Cardiovascular</v>
      </c>
      <c r="E279" s="46" t="str">
        <f>IFERROR(VLOOKUP($A279,Equipos!$C$2:$M$967,7,FALSE()),"")</f>
        <v>Puritan Bennett</v>
      </c>
      <c r="F279" s="46" t="str">
        <f>IFERROR(VLOOKUP($A279,Equipos!$C$2:$M$967,8,FALSE()),"")</f>
        <v>980/cc</v>
      </c>
      <c r="G279" s="46" t="s">
        <v>331</v>
      </c>
      <c r="H279" s="46"/>
      <c r="I279" s="46"/>
      <c r="J279" s="46" t="s">
        <v>297</v>
      </c>
      <c r="K279" s="46" t="str">
        <f>IFERROR(VLOOKUP($J279,Catálogos!$M$4:$N$17,2,FALSE()),"")</f>
        <v>Mantención Preventiva Realizada</v>
      </c>
      <c r="L279" s="46"/>
      <c r="M279" s="46"/>
      <c r="N279" s="46"/>
      <c r="O279" s="46"/>
      <c r="P279" s="46"/>
      <c r="Q279" s="46"/>
    </row>
    <row r="280" spans="1:17" hidden="1" x14ac:dyDescent="0.25">
      <c r="A280" s="47" t="s">
        <v>459</v>
      </c>
      <c r="B280" s="46" t="str">
        <f>IFERROR(VLOOKUP($A280,Equipos!$C$2:$M$967,2,FALSE()),"")</f>
        <v xml:space="preserve">Ventilador Mecánico </v>
      </c>
      <c r="C280" s="46" t="str">
        <f>IFERROR(VLOOKUP($A280,Equipos!$C$2:$M$967,9,FALSE()),"")</f>
        <v>35B2004446</v>
      </c>
      <c r="D280" s="46" t="str">
        <f>IFERROR(VLOOKUP($A280,Equipos!$C$2:$M$967,3,FALSE()),"")</f>
        <v>UPC Cardiovascular</v>
      </c>
      <c r="E280" s="46" t="str">
        <f>IFERROR(VLOOKUP($A280,Equipos!$C$2:$M$967,7,FALSE()),"")</f>
        <v>Puritan Bennett</v>
      </c>
      <c r="F280" s="46" t="str">
        <f>IFERROR(VLOOKUP($A280,Equipos!$C$2:$M$967,8,FALSE()),"")</f>
        <v>980</v>
      </c>
      <c r="G280" s="46" t="s">
        <v>335</v>
      </c>
      <c r="H280" s="46"/>
      <c r="I280" s="46"/>
      <c r="J280" s="46" t="s">
        <v>297</v>
      </c>
      <c r="K280" s="46" t="str">
        <f>IFERROR(VLOOKUP($J280,Catálogos!$M$4:$N$17,2,FALSE()),"")</f>
        <v>Mantención Preventiva Realizada</v>
      </c>
      <c r="L280" s="46"/>
      <c r="M280" s="46"/>
      <c r="N280" s="46"/>
      <c r="O280" s="46"/>
      <c r="P280" s="46"/>
      <c r="Q280" s="46"/>
    </row>
    <row r="281" spans="1:17" x14ac:dyDescent="0.25">
      <c r="A281" s="47" t="s">
        <v>147</v>
      </c>
      <c r="B281" s="46" t="str">
        <f>IFERROR(VLOOKUP($A281,Equipos!$C$2:$M$967,2,FALSE()),"")</f>
        <v xml:space="preserve">Ventilador Mecánico </v>
      </c>
      <c r="C281" s="46" t="str">
        <f>IFERROR(VLOOKUP($A281,Equipos!$C$2:$M$967,9,FALSE()),"")</f>
        <v>ASCL-0116</v>
      </c>
      <c r="D281" s="46" t="str">
        <f>IFERROR(VLOOKUP($A281,Equipos!$C$2:$M$967,3,FALSE()),"")</f>
        <v>UPC Adulto</v>
      </c>
      <c r="E281" s="46" t="str">
        <f>IFERROR(VLOOKUP($A281,Equipos!$C$2:$M$967,7,FALSE()),"")</f>
        <v xml:space="preserve">Drager </v>
      </c>
      <c r="F281" s="46" t="str">
        <f>IFERROR(VLOOKUP($A281,Equipos!$C$2:$M$967,8,FALSE()),"")</f>
        <v>Oxylog 3000</v>
      </c>
      <c r="G281" s="46" t="s">
        <v>331</v>
      </c>
      <c r="H281" s="46" t="s">
        <v>460</v>
      </c>
      <c r="I281" s="46"/>
      <c r="J281" s="46" t="s">
        <v>423</v>
      </c>
      <c r="K281" s="46" t="str">
        <f>IFERROR(VLOOKUP($J281,Catálogos!$M$4:$N$17,2,FALSE()),"")</f>
        <v>Reprogramada · No disponibilidad de horas hombre del servicio técnico externo</v>
      </c>
      <c r="L281" s="48">
        <v>46142</v>
      </c>
      <c r="M281" s="46" t="s">
        <v>461</v>
      </c>
      <c r="N281" s="46" t="s">
        <v>113</v>
      </c>
      <c r="O281" s="46"/>
      <c r="P281" s="46"/>
      <c r="Q281" s="46"/>
    </row>
    <row r="282" spans="1:17" x14ac:dyDescent="0.25">
      <c r="A282" s="47" t="s">
        <v>147</v>
      </c>
      <c r="B282" s="46" t="str">
        <f>IFERROR(VLOOKUP($A282,Equipos!$C$2:$M$967,2,FALSE()),"")</f>
        <v xml:space="preserve">Ventilador Mecánico </v>
      </c>
      <c r="C282" s="46" t="str">
        <f>IFERROR(VLOOKUP($A282,Equipos!$C$2:$M$967,9,FALSE()),"")</f>
        <v>ASCL-0116</v>
      </c>
      <c r="D282" s="46" t="str">
        <f>IFERROR(VLOOKUP($A282,Equipos!$C$2:$M$967,3,FALSE()),"")</f>
        <v>UPC Adulto</v>
      </c>
      <c r="E282" s="46" t="str">
        <f>IFERROR(VLOOKUP($A282,Equipos!$C$2:$M$967,7,FALSE()),"")</f>
        <v xml:space="preserve">Drager </v>
      </c>
      <c r="F282" s="46" t="str">
        <f>IFERROR(VLOOKUP($A282,Equipos!$C$2:$M$967,8,FALSE()),"")</f>
        <v>Oxylog 3000</v>
      </c>
      <c r="G282" s="46" t="s">
        <v>298</v>
      </c>
      <c r="H282" s="46" t="s">
        <v>460</v>
      </c>
      <c r="I282" s="46"/>
      <c r="J282" s="46" t="s">
        <v>297</v>
      </c>
      <c r="K282" s="46" t="str">
        <f>IFERROR(VLOOKUP($J282,Catálogos!$M$4:$N$17,2,FALSE()),"")</f>
        <v>Mantención Preventiva Realizada</v>
      </c>
      <c r="L282" s="48">
        <v>46160</v>
      </c>
      <c r="M282" s="46" t="s">
        <v>461</v>
      </c>
      <c r="N282" s="46" t="s">
        <v>113</v>
      </c>
      <c r="O282" s="46"/>
      <c r="P282" s="46"/>
      <c r="Q282" s="46"/>
    </row>
    <row r="283" spans="1:17" hidden="1" x14ac:dyDescent="0.25">
      <c r="A283" s="47" t="s">
        <v>184</v>
      </c>
      <c r="B283" s="46" t="str">
        <f>IFERROR(VLOOKUP($A283,Equipos!$C$2:$M$967,2,FALSE()),"")</f>
        <v xml:space="preserve">Ventilador Mecánico </v>
      </c>
      <c r="C283" s="46" t="str">
        <f>IFERROR(VLOOKUP($A283,Equipos!$C$2:$M$967,9,FALSE()),"")</f>
        <v>ASJA-0097</v>
      </c>
      <c r="D283" s="46" t="str">
        <f>IFERROR(VLOOKUP($A283,Equipos!$C$2:$M$967,3,FALSE()),"")</f>
        <v>UPC Pediátrica</v>
      </c>
      <c r="E283" s="46" t="str">
        <f>IFERROR(VLOOKUP($A283,Equipos!$C$2:$M$967,7,FALSE()),"")</f>
        <v>Drager</v>
      </c>
      <c r="F283" s="46" t="str">
        <f>IFERROR(VLOOKUP($A283,Equipos!$C$2:$M$967,8,FALSE()),"")</f>
        <v>Evita V300</v>
      </c>
      <c r="G283" s="46" t="s">
        <v>298</v>
      </c>
      <c r="H283" s="46" t="s">
        <v>460</v>
      </c>
      <c r="I283" s="46"/>
      <c r="J283" s="46" t="s">
        <v>297</v>
      </c>
      <c r="K283" s="46" t="str">
        <f>IFERROR(VLOOKUP($J283,Catálogos!$M$4:$N$17,2,FALSE()),"")</f>
        <v>Mantención Preventiva Realizada</v>
      </c>
      <c r="L283" s="48">
        <v>46156</v>
      </c>
      <c r="M283" s="46" t="s">
        <v>461</v>
      </c>
      <c r="N283" s="46" t="s">
        <v>113</v>
      </c>
      <c r="O283" s="46"/>
      <c r="P283" s="46"/>
      <c r="Q283" s="46"/>
    </row>
    <row r="284" spans="1:17" hidden="1" x14ac:dyDescent="0.25">
      <c r="A284" s="47" t="s">
        <v>462</v>
      </c>
      <c r="B284" s="46" t="str">
        <f>IFERROR(VLOOKUP($A284,Equipos!$C$2:$M$967,2,FALSE()),"")</f>
        <v xml:space="preserve">Ventilador Mecánico </v>
      </c>
      <c r="C284" s="46" t="str">
        <f>IFERROR(VLOOKUP($A284,Equipos!$C$2:$M$967,9,FALSE()),"")</f>
        <v>3510094107</v>
      </c>
      <c r="D284" s="46" t="str">
        <f>IFERROR(VLOOKUP($A284,Equipos!$C$2:$M$967,3,FALSE()),"")</f>
        <v>UPC Cardiovascular</v>
      </c>
      <c r="E284" s="46" t="str">
        <f>IFERROR(VLOOKUP($A284,Equipos!$C$2:$M$967,7,FALSE()),"")</f>
        <v>Puritan Bennett</v>
      </c>
      <c r="F284" s="46" t="str">
        <f>IFERROR(VLOOKUP($A284,Equipos!$C$2:$M$967,8,FALSE()),"")</f>
        <v>840/Sin Comp.</v>
      </c>
      <c r="G284" s="46" t="s">
        <v>316</v>
      </c>
      <c r="H284" s="46"/>
      <c r="I284" s="46"/>
      <c r="J284" s="46" t="s">
        <v>423</v>
      </c>
      <c r="K284" s="46" t="str">
        <f>IFERROR(VLOOKUP($J284,Catálogos!$M$4:$N$17,2,FALSE()),"")</f>
        <v>Reprogramada · No disponibilidad de horas hombre del servicio técnico externo</v>
      </c>
      <c r="L284" s="46"/>
      <c r="M284" s="46"/>
      <c r="N284" s="46"/>
      <c r="O284" s="46"/>
      <c r="P284" s="46"/>
      <c r="Q284" s="46"/>
    </row>
    <row r="285" spans="1:17" hidden="1" x14ac:dyDescent="0.25">
      <c r="A285" s="47" t="s">
        <v>462</v>
      </c>
      <c r="B285" s="46" t="str">
        <f>IFERROR(VLOOKUP($A285,Equipos!$C$2:$M$967,2,FALSE()),"")</f>
        <v xml:space="preserve">Ventilador Mecánico </v>
      </c>
      <c r="C285" s="46" t="str">
        <f>IFERROR(VLOOKUP($A285,Equipos!$C$2:$M$967,9,FALSE()),"")</f>
        <v>3510094107</v>
      </c>
      <c r="D285" s="46" t="str">
        <f>IFERROR(VLOOKUP($A285,Equipos!$C$2:$M$967,3,FALSE()),"")</f>
        <v>UPC Cardiovascular</v>
      </c>
      <c r="E285" s="46" t="str">
        <f>IFERROR(VLOOKUP($A285,Equipos!$C$2:$M$967,7,FALSE()),"")</f>
        <v>Puritan Bennett</v>
      </c>
      <c r="F285" s="46" t="str">
        <f>IFERROR(VLOOKUP($A285,Equipos!$C$2:$M$967,8,FALSE()),"")</f>
        <v>840/Sin Comp.</v>
      </c>
      <c r="G285" s="46" t="s">
        <v>331</v>
      </c>
      <c r="H285" s="46"/>
      <c r="I285" s="46"/>
      <c r="J285" s="46" t="s">
        <v>297</v>
      </c>
      <c r="K285" s="46" t="str">
        <f>IFERROR(VLOOKUP($J285,Catálogos!$M$4:$N$17,2,FALSE()),"")</f>
        <v>Mantención Preventiva Realizada</v>
      </c>
      <c r="L285" s="46"/>
      <c r="M285" s="46"/>
      <c r="N285" s="46"/>
      <c r="O285" s="46"/>
      <c r="P285" s="46"/>
      <c r="Q285" s="46"/>
    </row>
    <row r="286" spans="1:17" hidden="1" x14ac:dyDescent="0.25">
      <c r="A286" s="47" t="s">
        <v>463</v>
      </c>
      <c r="B286" s="46" t="str">
        <f>IFERROR(VLOOKUP($A286,Equipos!$C$2:$M$967,2,FALSE()),"")</f>
        <v xml:space="preserve">Ventilador Mecánico </v>
      </c>
      <c r="C286" s="46" t="str">
        <f>IFERROR(VLOOKUP($A286,Equipos!$C$2:$M$967,9,FALSE()),"")</f>
        <v>HT7P200663</v>
      </c>
      <c r="D286" s="46" t="str">
        <f>IFERROR(VLOOKUP($A286,Equipos!$C$2:$M$967,3,FALSE()),"")</f>
        <v>SAMU</v>
      </c>
      <c r="E286" s="46" t="str">
        <f>IFERROR(VLOOKUP($A286,Equipos!$C$2:$M$967,7,FALSE()),"")</f>
        <v>Newport</v>
      </c>
      <c r="F286" s="46" t="str">
        <f>IFERROR(VLOOKUP($A286,Equipos!$C$2:$M$967,8,FALSE()),"")</f>
        <v>HT70 PLUS</v>
      </c>
      <c r="G286" s="46" t="s">
        <v>316</v>
      </c>
      <c r="H286" s="46"/>
      <c r="I286" s="46"/>
      <c r="J286" s="46" t="s">
        <v>423</v>
      </c>
      <c r="K286" s="46" t="str">
        <f>IFERROR(VLOOKUP($J286,Catálogos!$M$4:$N$17,2,FALSE()),"")</f>
        <v>Reprogramada · No disponibilidad de horas hombre del servicio técnico externo</v>
      </c>
      <c r="L286" s="46"/>
      <c r="M286" s="46"/>
      <c r="N286" s="46"/>
      <c r="O286" s="46"/>
      <c r="P286" s="46"/>
      <c r="Q286" s="46"/>
    </row>
    <row r="287" spans="1:17" hidden="1" x14ac:dyDescent="0.25">
      <c r="A287" s="47" t="s">
        <v>463</v>
      </c>
      <c r="B287" s="46" t="str">
        <f>IFERROR(VLOOKUP($A287,Equipos!$C$2:$M$967,2,FALSE()),"")</f>
        <v xml:space="preserve">Ventilador Mecánico </v>
      </c>
      <c r="C287" s="46" t="str">
        <f>IFERROR(VLOOKUP($A287,Equipos!$C$2:$M$967,9,FALSE()),"")</f>
        <v>HT7P200663</v>
      </c>
      <c r="D287" s="46" t="str">
        <f>IFERROR(VLOOKUP($A287,Equipos!$C$2:$M$967,3,FALSE()),"")</f>
        <v>SAMU</v>
      </c>
      <c r="E287" s="46" t="str">
        <f>IFERROR(VLOOKUP($A287,Equipos!$C$2:$M$967,7,FALSE()),"")</f>
        <v>Newport</v>
      </c>
      <c r="F287" s="46" t="str">
        <f>IFERROR(VLOOKUP($A287,Equipos!$C$2:$M$967,8,FALSE()),"")</f>
        <v>HT70 PLUS</v>
      </c>
      <c r="G287" s="46" t="s">
        <v>331</v>
      </c>
      <c r="H287" s="46"/>
      <c r="I287" s="46"/>
      <c r="J287" s="46" t="s">
        <v>297</v>
      </c>
      <c r="K287" s="46" t="str">
        <f>IFERROR(VLOOKUP($J287,Catálogos!$M$4:$N$17,2,FALSE()),"")</f>
        <v>Mantención Preventiva Realizada</v>
      </c>
      <c r="L287" s="46"/>
      <c r="M287" s="46"/>
      <c r="N287" s="46"/>
      <c r="O287" s="46"/>
      <c r="P287" s="46"/>
      <c r="Q287" s="46"/>
    </row>
    <row r="288" spans="1:17" hidden="1" x14ac:dyDescent="0.25">
      <c r="A288" s="47" t="s">
        <v>464</v>
      </c>
      <c r="B288" s="46" t="str">
        <f>IFERROR(VLOOKUP($A288,Equipos!$C$2:$M$967,2,FALSE()),"")</f>
        <v xml:space="preserve">Ventilador Mecánico </v>
      </c>
      <c r="C288" s="46" t="str">
        <f>IFERROR(VLOOKUP($A288,Equipos!$C$2:$M$967,9,FALSE()),"")</f>
        <v>3510053116</v>
      </c>
      <c r="D288" s="46" t="str">
        <f>IFERROR(VLOOKUP($A288,Equipos!$C$2:$M$967,3,FALSE()),"")</f>
        <v>UPC Cardiovascular</v>
      </c>
      <c r="E288" s="46" t="str">
        <f>IFERROR(VLOOKUP($A288,Equipos!$C$2:$M$967,7,FALSE()),"")</f>
        <v>Puritan Bennett</v>
      </c>
      <c r="F288" s="46" t="str">
        <f>IFERROR(VLOOKUP($A288,Equipos!$C$2:$M$967,8,FALSE()),"")</f>
        <v>840</v>
      </c>
      <c r="G288" s="46" t="s">
        <v>316</v>
      </c>
      <c r="H288" s="46"/>
      <c r="I288" s="46"/>
      <c r="J288" s="46" t="s">
        <v>423</v>
      </c>
      <c r="K288" s="46" t="str">
        <f>IFERROR(VLOOKUP($J288,Catálogos!$M$4:$N$17,2,FALSE()),"")</f>
        <v>Reprogramada · No disponibilidad de horas hombre del servicio técnico externo</v>
      </c>
      <c r="L288" s="46"/>
      <c r="M288" s="46"/>
      <c r="N288" s="46"/>
      <c r="O288" s="46"/>
      <c r="P288" s="46"/>
      <c r="Q288" s="46"/>
    </row>
    <row r="289" spans="1:17" hidden="1" x14ac:dyDescent="0.25">
      <c r="A289" s="47" t="s">
        <v>464</v>
      </c>
      <c r="B289" s="46" t="str">
        <f>IFERROR(VLOOKUP($A289,Equipos!$C$2:$M$967,2,FALSE()),"")</f>
        <v xml:space="preserve">Ventilador Mecánico </v>
      </c>
      <c r="C289" s="46" t="str">
        <f>IFERROR(VLOOKUP($A289,Equipos!$C$2:$M$967,9,FALSE()),"")</f>
        <v>3510053116</v>
      </c>
      <c r="D289" s="46" t="str">
        <f>IFERROR(VLOOKUP($A289,Equipos!$C$2:$M$967,3,FALSE()),"")</f>
        <v>UPC Cardiovascular</v>
      </c>
      <c r="E289" s="46" t="str">
        <f>IFERROR(VLOOKUP($A289,Equipos!$C$2:$M$967,7,FALSE()),"")</f>
        <v>Puritan Bennett</v>
      </c>
      <c r="F289" s="46" t="str">
        <f>IFERROR(VLOOKUP($A289,Equipos!$C$2:$M$967,8,FALSE()),"")</f>
        <v>840</v>
      </c>
      <c r="G289" s="46" t="s">
        <v>331</v>
      </c>
      <c r="H289" s="46"/>
      <c r="I289" s="46"/>
      <c r="J289" s="46" t="s">
        <v>297</v>
      </c>
      <c r="K289" s="46" t="str">
        <f>IFERROR(VLOOKUP($J289,Catálogos!$M$4:$N$17,2,FALSE()),"")</f>
        <v>Mantención Preventiva Realizada</v>
      </c>
      <c r="L289" s="46"/>
      <c r="M289" s="46"/>
      <c r="N289" s="46"/>
      <c r="O289" s="46"/>
      <c r="P289" s="46"/>
      <c r="Q289" s="46"/>
    </row>
    <row r="290" spans="1:17" hidden="1" x14ac:dyDescent="0.25">
      <c r="A290" s="47" t="s">
        <v>465</v>
      </c>
      <c r="B290" s="46" t="str">
        <f>IFERROR(VLOOKUP($A290,Equipos!$C$2:$M$967,2,FALSE()),"")</f>
        <v xml:space="preserve">Ventilador Mecánico </v>
      </c>
      <c r="C290" s="46" t="str">
        <f>IFERROR(VLOOKUP($A290,Equipos!$C$2:$M$967,9,FALSE()),"")</f>
        <v>3510053070</v>
      </c>
      <c r="D290" s="46" t="str">
        <f>IFERROR(VLOOKUP($A290,Equipos!$C$2:$M$967,3,FALSE()),"")</f>
        <v>UPC Cardiovascular</v>
      </c>
      <c r="E290" s="46" t="str">
        <f>IFERROR(VLOOKUP($A290,Equipos!$C$2:$M$967,7,FALSE()),"")</f>
        <v>Puritan Bennett</v>
      </c>
      <c r="F290" s="46" t="str">
        <f>IFERROR(VLOOKUP($A290,Equipos!$C$2:$M$967,8,FALSE()),"")</f>
        <v>840</v>
      </c>
      <c r="G290" s="46" t="s">
        <v>316</v>
      </c>
      <c r="H290" s="46"/>
      <c r="I290" s="46"/>
      <c r="J290" s="46" t="s">
        <v>423</v>
      </c>
      <c r="K290" s="46" t="str">
        <f>IFERROR(VLOOKUP($J290,Catálogos!$M$4:$N$17,2,FALSE()),"")</f>
        <v>Reprogramada · No disponibilidad de horas hombre del servicio técnico externo</v>
      </c>
      <c r="L290" s="46"/>
      <c r="M290" s="46"/>
      <c r="N290" s="46"/>
      <c r="O290" s="46"/>
      <c r="P290" s="46"/>
      <c r="Q290" s="46" t="s">
        <v>466</v>
      </c>
    </row>
    <row r="291" spans="1:17" hidden="1" x14ac:dyDescent="0.25">
      <c r="A291" s="47" t="s">
        <v>465</v>
      </c>
      <c r="B291" s="46" t="str">
        <f>IFERROR(VLOOKUP($A291,Equipos!$C$2:$M$967,2,FALSE()),"")</f>
        <v xml:space="preserve">Ventilador Mecánico </v>
      </c>
      <c r="C291" s="46" t="str">
        <f>IFERROR(VLOOKUP($A291,Equipos!$C$2:$M$967,9,FALSE()),"")</f>
        <v>3510053070</v>
      </c>
      <c r="D291" s="46" t="str">
        <f>IFERROR(VLOOKUP($A291,Equipos!$C$2:$M$967,3,FALSE()),"")</f>
        <v>UPC Cardiovascular</v>
      </c>
      <c r="E291" s="46" t="str">
        <f>IFERROR(VLOOKUP($A291,Equipos!$C$2:$M$967,7,FALSE()),"")</f>
        <v>Puritan Bennett</v>
      </c>
      <c r="F291" s="46" t="str">
        <f>IFERROR(VLOOKUP($A291,Equipos!$C$2:$M$967,8,FALSE()),"")</f>
        <v>840</v>
      </c>
      <c r="G291" s="46" t="s">
        <v>331</v>
      </c>
      <c r="H291" s="46"/>
      <c r="I291" s="46"/>
      <c r="J291" s="46" t="s">
        <v>297</v>
      </c>
      <c r="K291" s="46" t="str">
        <f>IFERROR(VLOOKUP($J291,Catálogos!$M$4:$N$17,2,FALSE()),"")</f>
        <v>Mantención Preventiva Realizada</v>
      </c>
      <c r="L291" s="46"/>
      <c r="M291" s="46"/>
      <c r="N291" s="46"/>
      <c r="O291" s="46"/>
      <c r="P291" s="46"/>
      <c r="Q291" s="46" t="s">
        <v>466</v>
      </c>
    </row>
    <row r="292" spans="1:17" hidden="1" x14ac:dyDescent="0.25">
      <c r="A292" s="47" t="s">
        <v>467</v>
      </c>
      <c r="B292" s="46" t="str">
        <f>IFERROR(VLOOKUP($A292,Equipos!$C$2:$M$967,2,FALSE()),"")</f>
        <v>Ventilador Alta Frecuencia</v>
      </c>
      <c r="C292" s="46" t="str">
        <f>IFERROR(VLOOKUP($A292,Equipos!$C$2:$M$967,9,FALSE()),"")</f>
        <v>AJW01025</v>
      </c>
      <c r="D292" s="46" t="str">
        <f>IFERROR(VLOOKUP($A292,Equipos!$C$2:$M$967,3,FALSE()),"")</f>
        <v xml:space="preserve">UPC Pediátrica </v>
      </c>
      <c r="E292" s="46" t="str">
        <f>IFERROR(VLOOKUP($A292,Equipos!$C$2:$M$967,7,FALSE()),"")</f>
        <v>CareFusion</v>
      </c>
      <c r="F292" s="46" t="str">
        <f>IFERROR(VLOOKUP($A292,Equipos!$C$2:$M$967,8,FALSE()),"")</f>
        <v xml:space="preserve">Sensormedics 3100A </v>
      </c>
      <c r="G292" s="46" t="s">
        <v>331</v>
      </c>
      <c r="H292" s="46"/>
      <c r="I292" s="46"/>
      <c r="J292" s="46" t="s">
        <v>297</v>
      </c>
      <c r="K292" s="46" t="str">
        <f>IFERROR(VLOOKUP($J292,Catálogos!$M$4:$N$17,2,FALSE()),"")</f>
        <v>Mantención Preventiva Realizada</v>
      </c>
      <c r="L292" s="46"/>
      <c r="M292" s="46"/>
      <c r="N292" s="46"/>
      <c r="O292" s="46"/>
      <c r="P292" s="46"/>
      <c r="Q292" s="46"/>
    </row>
    <row r="293" spans="1:17" hidden="1" x14ac:dyDescent="0.25">
      <c r="A293" s="47" t="s">
        <v>236</v>
      </c>
      <c r="B293" s="46" t="str">
        <f>IFERROR(VLOOKUP($A293,Equipos!$C$2:$M$967,2,FALSE()),"")</f>
        <v xml:space="preserve">Ventilador Mecánico </v>
      </c>
      <c r="C293" s="46" t="str">
        <f>IFERROR(VLOOKUP($A293,Equipos!$C$2:$M$967,9,FALSE()),"")</f>
        <v>ASLE-0157</v>
      </c>
      <c r="D293" s="46" t="str">
        <f>IFERROR(VLOOKUP($A293,Equipos!$C$2:$M$967,3,FALSE()),"")</f>
        <v>UPC Adulto</v>
      </c>
      <c r="E293" s="46" t="str">
        <f>IFERROR(VLOOKUP($A293,Equipos!$C$2:$M$967,7,FALSE()),"")</f>
        <v>Drager</v>
      </c>
      <c r="F293" s="46" t="str">
        <f>IFERROR(VLOOKUP($A293,Equipos!$C$2:$M$967,8,FALSE()),"")</f>
        <v>Evita V300/SC</v>
      </c>
      <c r="G293" s="46" t="s">
        <v>331</v>
      </c>
      <c r="H293" s="46" t="s">
        <v>468</v>
      </c>
      <c r="I293" s="46"/>
      <c r="J293" s="46" t="s">
        <v>423</v>
      </c>
      <c r="K293" s="46" t="str">
        <f>IFERROR(VLOOKUP($J293,Catálogos!$M$4:$N$17,2,FALSE()),"")</f>
        <v>Reprogramada · No disponibilidad de horas hombre del servicio técnico externo</v>
      </c>
      <c r="L293" s="48">
        <v>46142</v>
      </c>
      <c r="M293" s="46" t="s">
        <v>461</v>
      </c>
      <c r="N293" s="46" t="s">
        <v>113</v>
      </c>
      <c r="O293" s="46"/>
      <c r="P293" s="46"/>
      <c r="Q293" s="46"/>
    </row>
    <row r="294" spans="1:17" hidden="1" x14ac:dyDescent="0.25">
      <c r="A294" s="47" t="s">
        <v>236</v>
      </c>
      <c r="B294" s="46" t="str">
        <f>IFERROR(VLOOKUP($A294,Equipos!$C$2:$M$967,2,FALSE()),"")</f>
        <v xml:space="preserve">Ventilador Mecánico </v>
      </c>
      <c r="C294" s="46" t="str">
        <f>IFERROR(VLOOKUP($A294,Equipos!$C$2:$M$967,9,FALSE()),"")</f>
        <v>ASLE-0157</v>
      </c>
      <c r="D294" s="46" t="str">
        <f>IFERROR(VLOOKUP($A294,Equipos!$C$2:$M$967,3,FALSE()),"")</f>
        <v>UPC Adulto</v>
      </c>
      <c r="E294" s="46" t="str">
        <f>IFERROR(VLOOKUP($A294,Equipos!$C$2:$M$967,7,FALSE()),"")</f>
        <v>Drager</v>
      </c>
      <c r="F294" s="46" t="str">
        <f>IFERROR(VLOOKUP($A294,Equipos!$C$2:$M$967,8,FALSE()),"")</f>
        <v>Evita V300/SC</v>
      </c>
      <c r="G294" s="46" t="s">
        <v>298</v>
      </c>
      <c r="H294" s="46" t="s">
        <v>468</v>
      </c>
      <c r="I294" s="46"/>
      <c r="J294" s="46" t="s">
        <v>297</v>
      </c>
      <c r="K294" s="46" t="str">
        <f>IFERROR(VLOOKUP($J294,Catálogos!$M$4:$N$17,2,FALSE()),"")</f>
        <v>Mantención Preventiva Realizada</v>
      </c>
      <c r="L294" s="48">
        <v>46147</v>
      </c>
      <c r="M294" s="46" t="s">
        <v>461</v>
      </c>
      <c r="N294" s="46" t="s">
        <v>113</v>
      </c>
      <c r="O294" s="46"/>
      <c r="P294" s="46"/>
      <c r="Q294" s="46"/>
    </row>
    <row r="295" spans="1:17" hidden="1" x14ac:dyDescent="0.25">
      <c r="A295" s="47" t="s">
        <v>469</v>
      </c>
      <c r="B295" s="46" t="str">
        <f>IFERROR(VLOOKUP($A295,Equipos!$C$2:$M$967,2,FALSE()),"")</f>
        <v xml:space="preserve">Ventilador Mecánico </v>
      </c>
      <c r="C295" s="46" t="str">
        <f>IFERROR(VLOOKUP($A295,Equipos!$C$2:$M$967,9,FALSE()),"")</f>
        <v>MV2000UA1D0803</v>
      </c>
      <c r="D295" s="46" t="str">
        <f>IFERROR(VLOOKUP($A295,Equipos!$C$2:$M$967,3,FALSE()),"")</f>
        <v>UPC Adulto</v>
      </c>
      <c r="E295" s="46" t="str">
        <f>IFERROR(VLOOKUP($A295,Equipos!$C$2:$M$967,7,FALSE()),"")</f>
        <v>MEK ICS</v>
      </c>
      <c r="F295" s="46" t="str">
        <f>IFERROR(VLOOKUP($A295,Equipos!$C$2:$M$967,8,FALSE()),"")</f>
        <v>MV2000 EVO5</v>
      </c>
      <c r="G295" s="46" t="s">
        <v>331</v>
      </c>
      <c r="H295" s="46"/>
      <c r="I295" s="46"/>
      <c r="J295" s="46" t="s">
        <v>297</v>
      </c>
      <c r="K295" s="46" t="str">
        <f>IFERROR(VLOOKUP($J295,Catálogos!$M$4:$N$17,2,FALSE()),"")</f>
        <v>Mantención Preventiva Realizada</v>
      </c>
      <c r="L295" s="46"/>
      <c r="M295" s="46"/>
      <c r="N295" s="46"/>
      <c r="O295" s="46"/>
      <c r="P295" s="46"/>
      <c r="Q295" s="46"/>
    </row>
    <row r="296" spans="1:17" hidden="1" x14ac:dyDescent="0.25">
      <c r="A296" s="47" t="s">
        <v>470</v>
      </c>
      <c r="B296" s="46" t="str">
        <f>IFERROR(VLOOKUP($A296,Equipos!$C$2:$M$967,2,FALSE()),"")</f>
        <v xml:space="preserve">Ventilador Mecánico </v>
      </c>
      <c r="C296" s="46" t="str">
        <f>IFERROR(VLOOKUP($A296,Equipos!$C$2:$M$967,9,FALSE()),"")</f>
        <v>15062</v>
      </c>
      <c r="D296" s="46" t="str">
        <f>IFERROR(VLOOKUP($A296,Equipos!$C$2:$M$967,3,FALSE()),"")</f>
        <v xml:space="preserve">UPC Pediátrica </v>
      </c>
      <c r="E296" s="46" t="str">
        <f>IFERROR(VLOOKUP($A296,Equipos!$C$2:$M$967,7,FALSE()),"")</f>
        <v>Maquet</v>
      </c>
      <c r="F296" s="46" t="str">
        <f>IFERROR(VLOOKUP($A296,Equipos!$C$2:$M$967,8,FALSE()),"")</f>
        <v>Servo i</v>
      </c>
      <c r="G296" s="46" t="s">
        <v>316</v>
      </c>
      <c r="H296" s="46"/>
      <c r="I296" s="46"/>
      <c r="J296" s="46" t="s">
        <v>423</v>
      </c>
      <c r="K296" s="46" t="str">
        <f>IFERROR(VLOOKUP($J296,Catálogos!$M$4:$N$17,2,FALSE()),"")</f>
        <v>Reprogramada · No disponibilidad de horas hombre del servicio técnico externo</v>
      </c>
      <c r="L296" s="46"/>
      <c r="M296" s="46"/>
      <c r="N296" s="46"/>
      <c r="O296" s="46"/>
      <c r="P296" s="46"/>
      <c r="Q296" s="46"/>
    </row>
    <row r="297" spans="1:17" hidden="1" x14ac:dyDescent="0.25">
      <c r="A297" s="47" t="s">
        <v>470</v>
      </c>
      <c r="B297" s="46" t="str">
        <f>IFERROR(VLOOKUP($A297,Equipos!$C$2:$M$967,2,FALSE()),"")</f>
        <v xml:space="preserve">Ventilador Mecánico </v>
      </c>
      <c r="C297" s="46" t="str">
        <f>IFERROR(VLOOKUP($A297,Equipos!$C$2:$M$967,9,FALSE()),"")</f>
        <v>15062</v>
      </c>
      <c r="D297" s="46" t="str">
        <f>IFERROR(VLOOKUP($A297,Equipos!$C$2:$M$967,3,FALSE()),"")</f>
        <v xml:space="preserve">UPC Pediátrica </v>
      </c>
      <c r="E297" s="46" t="str">
        <f>IFERROR(VLOOKUP($A297,Equipos!$C$2:$M$967,7,FALSE()),"")</f>
        <v>Maquet</v>
      </c>
      <c r="F297" s="46" t="str">
        <f>IFERROR(VLOOKUP($A297,Equipos!$C$2:$M$967,8,FALSE()),"")</f>
        <v>Servo i</v>
      </c>
      <c r="G297" s="46" t="s">
        <v>331</v>
      </c>
      <c r="H297" s="46"/>
      <c r="I297" s="46"/>
      <c r="J297" s="46" t="s">
        <v>297</v>
      </c>
      <c r="K297" s="46" t="str">
        <f>IFERROR(VLOOKUP($J297,Catálogos!$M$4:$N$17,2,FALSE()),"")</f>
        <v>Mantención Preventiva Realizada</v>
      </c>
      <c r="L297" s="46"/>
      <c r="M297" s="46"/>
      <c r="N297" s="46"/>
      <c r="O297" s="46"/>
      <c r="P297" s="46"/>
      <c r="Q297" s="46"/>
    </row>
    <row r="298" spans="1:17" hidden="1" x14ac:dyDescent="0.25">
      <c r="A298" s="47" t="s">
        <v>471</v>
      </c>
      <c r="B298" s="46" t="str">
        <f>IFERROR(VLOOKUP($A298,Equipos!$C$2:$M$967,2,FALSE()),"")</f>
        <v xml:space="preserve">Ventilador Mecánico </v>
      </c>
      <c r="C298" s="46" t="str">
        <f>IFERROR(VLOOKUP($A298,Equipos!$C$2:$M$967,9,FALSE()),"")</f>
        <v>27409</v>
      </c>
      <c r="D298" s="46" t="str">
        <f>IFERROR(VLOOKUP($A298,Equipos!$C$2:$M$967,3,FALSE()),"")</f>
        <v xml:space="preserve">UPC Pediátrica </v>
      </c>
      <c r="E298" s="46" t="str">
        <f>IFERROR(VLOOKUP($A298,Equipos!$C$2:$M$967,7,FALSE()),"")</f>
        <v>Maquet</v>
      </c>
      <c r="F298" s="46" t="str">
        <f>IFERROR(VLOOKUP($A298,Equipos!$C$2:$M$967,8,FALSE()),"")</f>
        <v>Servo i</v>
      </c>
      <c r="G298" s="46" t="s">
        <v>316</v>
      </c>
      <c r="H298" s="46"/>
      <c r="I298" s="46"/>
      <c r="J298" s="46" t="s">
        <v>423</v>
      </c>
      <c r="K298" s="46" t="str">
        <f>IFERROR(VLOOKUP($J298,Catálogos!$M$4:$N$17,2,FALSE()),"")</f>
        <v>Reprogramada · No disponibilidad de horas hombre del servicio técnico externo</v>
      </c>
      <c r="L298" s="46"/>
      <c r="M298" s="46"/>
      <c r="N298" s="46"/>
      <c r="O298" s="46"/>
      <c r="P298" s="46"/>
      <c r="Q298" s="46"/>
    </row>
    <row r="299" spans="1:17" hidden="1" x14ac:dyDescent="0.25">
      <c r="A299" s="47" t="s">
        <v>471</v>
      </c>
      <c r="B299" s="46" t="str">
        <f>IFERROR(VLOOKUP($A299,Equipos!$C$2:$M$967,2,FALSE()),"")</f>
        <v xml:space="preserve">Ventilador Mecánico </v>
      </c>
      <c r="C299" s="46" t="str">
        <f>IFERROR(VLOOKUP($A299,Equipos!$C$2:$M$967,9,FALSE()),"")</f>
        <v>27409</v>
      </c>
      <c r="D299" s="46" t="str">
        <f>IFERROR(VLOOKUP($A299,Equipos!$C$2:$M$967,3,FALSE()),"")</f>
        <v xml:space="preserve">UPC Pediátrica </v>
      </c>
      <c r="E299" s="46" t="str">
        <f>IFERROR(VLOOKUP($A299,Equipos!$C$2:$M$967,7,FALSE()),"")</f>
        <v>Maquet</v>
      </c>
      <c r="F299" s="46" t="str">
        <f>IFERROR(VLOOKUP($A299,Equipos!$C$2:$M$967,8,FALSE()),"")</f>
        <v>Servo i</v>
      </c>
      <c r="G299" s="46" t="s">
        <v>331</v>
      </c>
      <c r="H299" s="46"/>
      <c r="I299" s="46"/>
      <c r="J299" s="46" t="s">
        <v>297</v>
      </c>
      <c r="K299" s="46" t="str">
        <f>IFERROR(VLOOKUP($J299,Catálogos!$M$4:$N$17,2,FALSE()),"")</f>
        <v>Mantención Preventiva Realizada</v>
      </c>
      <c r="L299" s="46"/>
      <c r="M299" s="46"/>
      <c r="N299" s="46"/>
      <c r="O299" s="46"/>
      <c r="P299" s="46"/>
      <c r="Q299" s="46"/>
    </row>
    <row r="300" spans="1:17" hidden="1" x14ac:dyDescent="0.25">
      <c r="A300" s="47" t="s">
        <v>472</v>
      </c>
      <c r="B300" s="46" t="str">
        <f>IFERROR(VLOOKUP($A300,Equipos!$C$2:$M$967,2,FALSE()),"")</f>
        <v xml:space="preserve">Ventilador Mecánico </v>
      </c>
      <c r="C300" s="46" t="str">
        <f>IFERROR(VLOOKUP($A300,Equipos!$C$2:$M$967,9,FALSE()),"")</f>
        <v>27406</v>
      </c>
      <c r="D300" s="46" t="str">
        <f>IFERROR(VLOOKUP($A300,Equipos!$C$2:$M$967,3,FALSE()),"")</f>
        <v xml:space="preserve">UPC Pediátrica </v>
      </c>
      <c r="E300" s="46" t="str">
        <f>IFERROR(VLOOKUP($A300,Equipos!$C$2:$M$967,7,FALSE()),"")</f>
        <v>Maquet</v>
      </c>
      <c r="F300" s="46" t="str">
        <f>IFERROR(VLOOKUP($A300,Equipos!$C$2:$M$967,8,FALSE()),"")</f>
        <v>Servo i RM</v>
      </c>
      <c r="G300" s="46" t="s">
        <v>316</v>
      </c>
      <c r="H300" s="46" t="s">
        <v>460</v>
      </c>
      <c r="I300" s="46"/>
      <c r="J300" s="46" t="s">
        <v>277</v>
      </c>
      <c r="K300" s="46" t="str">
        <f>IFERROR(VLOOKUP($J300,Catálogos!$M$4:$N$17,2,FALSE()),"")</f>
        <v>Reprogramada · Equipo no operativo, a la espera de repuestos o accesorios</v>
      </c>
      <c r="L300" s="48">
        <v>46112</v>
      </c>
      <c r="M300" s="46" t="s">
        <v>461</v>
      </c>
      <c r="N300" s="46" t="s">
        <v>113</v>
      </c>
      <c r="O300" s="46"/>
      <c r="P300" s="46"/>
      <c r="Q300" s="46"/>
    </row>
    <row r="301" spans="1:17" hidden="1" x14ac:dyDescent="0.25">
      <c r="A301" s="47" t="s">
        <v>473</v>
      </c>
      <c r="B301" s="46" t="str">
        <f>IFERROR(VLOOKUP($A301,Equipos!$C$2:$M$967,2,FALSE()),"")</f>
        <v xml:space="preserve">Ventilador Mecánico </v>
      </c>
      <c r="C301" s="46" t="str">
        <f>IFERROR(VLOOKUP($A301,Equipos!$C$2:$M$967,9,FALSE()),"")</f>
        <v>TV019111110</v>
      </c>
      <c r="D301" s="46" t="str">
        <f>IFERROR(VLOOKUP($A301,Equipos!$C$2:$M$967,3,FALSE()),"")</f>
        <v>UPC Pediátrica</v>
      </c>
      <c r="E301" s="46" t="str">
        <f>IFERROR(VLOOKUP($A301,Equipos!$C$2:$M$967,7,FALSE()),"")</f>
        <v>Philips</v>
      </c>
      <c r="F301" s="46" t="str">
        <f>IFERROR(VLOOKUP($A301,Equipos!$C$2:$M$967,8,FALSE()),"")</f>
        <v>Trilogy 202</v>
      </c>
      <c r="G301" s="46" t="s">
        <v>316</v>
      </c>
      <c r="H301" s="46"/>
      <c r="I301" s="46"/>
      <c r="J301" s="46" t="s">
        <v>297</v>
      </c>
      <c r="K301" s="46" t="str">
        <f>IFERROR(VLOOKUP($J301,Catálogos!$M$4:$N$17,2,FALSE()),"")</f>
        <v>Mantención Preventiva Realizada</v>
      </c>
      <c r="L301" s="46"/>
      <c r="M301" s="46"/>
      <c r="N301" s="46"/>
      <c r="O301" s="46"/>
      <c r="P301" s="46"/>
      <c r="Q301" s="46"/>
    </row>
    <row r="302" spans="1:17" hidden="1" x14ac:dyDescent="0.25">
      <c r="A302" s="47" t="s">
        <v>186</v>
      </c>
      <c r="B302" s="46" t="str">
        <f>IFERROR(VLOOKUP($A302,Equipos!$C$2:$M$967,2,FALSE()),"")</f>
        <v xml:space="preserve">Ventilador Mecánico </v>
      </c>
      <c r="C302" s="46" t="str">
        <f>IFERROR(VLOOKUP($A302,Equipos!$C$2:$M$967,9,FALSE()),"")</f>
        <v>ASJA-0098</v>
      </c>
      <c r="D302" s="46" t="str">
        <f>IFERROR(VLOOKUP($A302,Equipos!$C$2:$M$967,3,FALSE()),"")</f>
        <v xml:space="preserve">UPC Pediátrica </v>
      </c>
      <c r="E302" s="46" t="str">
        <f>IFERROR(VLOOKUP($A302,Equipos!$C$2:$M$967,7,FALSE()),"")</f>
        <v>Drager</v>
      </c>
      <c r="F302" s="46" t="str">
        <f>IFERROR(VLOOKUP($A302,Equipos!$C$2:$M$967,8,FALSE()),"")</f>
        <v>Evita V300</v>
      </c>
      <c r="G302" s="46" t="s">
        <v>298</v>
      </c>
      <c r="H302" s="46" t="s">
        <v>460</v>
      </c>
      <c r="I302" s="46"/>
      <c r="J302" s="46" t="s">
        <v>297</v>
      </c>
      <c r="K302" s="46" t="str">
        <f>IFERROR(VLOOKUP($J302,Catálogos!$M$4:$N$17,2,FALSE()),"")</f>
        <v>Mantención Preventiva Realizada</v>
      </c>
      <c r="L302" s="48">
        <v>46149</v>
      </c>
      <c r="M302" s="46" t="s">
        <v>461</v>
      </c>
      <c r="N302" s="46" t="s">
        <v>113</v>
      </c>
      <c r="O302" s="46"/>
      <c r="P302" s="46"/>
      <c r="Q302" s="46"/>
    </row>
    <row r="303" spans="1:17" hidden="1" x14ac:dyDescent="0.25">
      <c r="A303" s="47" t="s">
        <v>221</v>
      </c>
      <c r="B303" s="46" t="str">
        <f>IFERROR(VLOOKUP($A303,Equipos!$C$2:$M$967,2,FALSE()),"")</f>
        <v xml:space="preserve">Ventilador Mecánico </v>
      </c>
      <c r="C303" s="46" t="str">
        <f>IFERROR(VLOOKUP($A303,Equipos!$C$2:$M$967,9,FALSE()),"")</f>
        <v>ASJF-0007</v>
      </c>
      <c r="D303" s="46" t="str">
        <f>IFERROR(VLOOKUP($A303,Equipos!$C$2:$M$967,3,FALSE()),"")</f>
        <v xml:space="preserve">UPC Pediátrica </v>
      </c>
      <c r="E303" s="46" t="str">
        <f>IFERROR(VLOOKUP($A303,Equipos!$C$2:$M$967,7,FALSE()),"")</f>
        <v>Drager</v>
      </c>
      <c r="F303" s="46" t="str">
        <f>IFERROR(VLOOKUP($A303,Equipos!$C$2:$M$967,8,FALSE()),"")</f>
        <v>Evita V300</v>
      </c>
      <c r="G303" s="46" t="s">
        <v>298</v>
      </c>
      <c r="H303" s="46" t="s">
        <v>460</v>
      </c>
      <c r="I303" s="46"/>
      <c r="J303" s="46" t="s">
        <v>297</v>
      </c>
      <c r="K303" s="46" t="str">
        <f>IFERROR(VLOOKUP($J303,Catálogos!$M$4:$N$17,2,FALSE()),"")</f>
        <v>Mantención Preventiva Realizada</v>
      </c>
      <c r="L303" s="48">
        <v>46149</v>
      </c>
      <c r="M303" s="46" t="s">
        <v>461</v>
      </c>
      <c r="N303" s="46" t="s">
        <v>113</v>
      </c>
      <c r="O303" s="46"/>
      <c r="P303" s="46"/>
      <c r="Q303" s="46"/>
    </row>
    <row r="304" spans="1:17" hidden="1" x14ac:dyDescent="0.25">
      <c r="A304" s="47" t="s">
        <v>191</v>
      </c>
      <c r="B304" s="46" t="str">
        <f>IFERROR(VLOOKUP($A304,Equipos!$C$2:$M$967,2,FALSE()),"")</f>
        <v xml:space="preserve">Ventilador Mecánico </v>
      </c>
      <c r="C304" s="46" t="str">
        <f>IFERROR(VLOOKUP($A304,Equipos!$C$2:$M$967,9,FALSE()),"")</f>
        <v>ASJF-0008</v>
      </c>
      <c r="D304" s="46" t="str">
        <f>IFERROR(VLOOKUP($A304,Equipos!$C$2:$M$967,3,FALSE()),"")</f>
        <v xml:space="preserve">UPC Pediátrica </v>
      </c>
      <c r="E304" s="46" t="str">
        <f>IFERROR(VLOOKUP($A304,Equipos!$C$2:$M$967,7,FALSE()),"")</f>
        <v>Drager</v>
      </c>
      <c r="F304" s="46" t="str">
        <f>IFERROR(VLOOKUP($A304,Equipos!$C$2:$M$967,8,FALSE()),"")</f>
        <v>Evita V300</v>
      </c>
      <c r="G304" s="46" t="s">
        <v>298</v>
      </c>
      <c r="H304" s="46" t="s">
        <v>460</v>
      </c>
      <c r="I304" s="46"/>
      <c r="J304" s="46" t="s">
        <v>297</v>
      </c>
      <c r="K304" s="46" t="str">
        <f>IFERROR(VLOOKUP($J304,Catálogos!$M$4:$N$17,2,FALSE()),"")</f>
        <v>Mantención Preventiva Realizada</v>
      </c>
      <c r="L304" s="48">
        <v>46156</v>
      </c>
      <c r="M304" s="46" t="s">
        <v>461</v>
      </c>
      <c r="N304" s="46" t="s">
        <v>113</v>
      </c>
      <c r="O304" s="46"/>
      <c r="P304" s="46"/>
      <c r="Q304" s="46"/>
    </row>
    <row r="305" spans="1:17" hidden="1" x14ac:dyDescent="0.25">
      <c r="A305" s="47" t="s">
        <v>193</v>
      </c>
      <c r="B305" s="46" t="str">
        <f>IFERROR(VLOOKUP($A305,Equipos!$C$2:$M$967,2,FALSE()),"")</f>
        <v xml:space="preserve">Ventilador Mecánico </v>
      </c>
      <c r="C305" s="46" t="str">
        <f>IFERROR(VLOOKUP($A305,Equipos!$C$2:$M$967,9,FALSE()),"")</f>
        <v>ASJL-0149</v>
      </c>
      <c r="D305" s="46" t="str">
        <f>IFERROR(VLOOKUP($A305,Equipos!$C$2:$M$967,3,FALSE()),"")</f>
        <v>UPC Pediátrica</v>
      </c>
      <c r="E305" s="46" t="str">
        <f>IFERROR(VLOOKUP($A305,Equipos!$C$2:$M$967,7,FALSE()),"")</f>
        <v>Drager</v>
      </c>
      <c r="F305" s="46" t="str">
        <f>IFERROR(VLOOKUP($A305,Equipos!$C$2:$M$967,8,FALSE()),"")</f>
        <v>Evita V300</v>
      </c>
      <c r="G305" s="46" t="s">
        <v>298</v>
      </c>
      <c r="H305" s="46" t="s">
        <v>460</v>
      </c>
      <c r="I305" s="46"/>
      <c r="J305" s="46" t="s">
        <v>297</v>
      </c>
      <c r="K305" s="46" t="str">
        <f>IFERROR(VLOOKUP($J305,Catálogos!$M$4:$N$17,2,FALSE()),"")</f>
        <v>Mantención Preventiva Realizada</v>
      </c>
      <c r="L305" s="48">
        <v>46162</v>
      </c>
      <c r="M305" s="46" t="s">
        <v>461</v>
      </c>
      <c r="N305" s="46" t="s">
        <v>113</v>
      </c>
      <c r="O305" s="46"/>
      <c r="P305" s="46"/>
      <c r="Q305" s="46"/>
    </row>
    <row r="306" spans="1:17" hidden="1" x14ac:dyDescent="0.25">
      <c r="A306" s="47" t="s">
        <v>181</v>
      </c>
      <c r="B306" s="46" t="str">
        <f>IFERROR(VLOOKUP($A306,Equipos!$C$2:$M$967,2,FALSE()),"")</f>
        <v xml:space="preserve">Ventilador Mecánico </v>
      </c>
      <c r="C306" s="46" t="str">
        <f>IFERROR(VLOOKUP($A306,Equipos!$C$2:$M$967,9,FALSE()),"")</f>
        <v>ASJA-0096</v>
      </c>
      <c r="D306" s="46" t="str">
        <f>IFERROR(VLOOKUP($A306,Equipos!$C$2:$M$967,3,FALSE()),"")</f>
        <v>UPC Pediátrica</v>
      </c>
      <c r="E306" s="46" t="str">
        <f>IFERROR(VLOOKUP($A306,Equipos!$C$2:$M$967,7,FALSE()),"")</f>
        <v>Drager</v>
      </c>
      <c r="F306" s="46" t="str">
        <f>IFERROR(VLOOKUP($A306,Equipos!$C$2:$M$967,8,FALSE()),"")</f>
        <v>Evita V300</v>
      </c>
      <c r="G306" s="46" t="s">
        <v>298</v>
      </c>
      <c r="H306" s="46" t="s">
        <v>460</v>
      </c>
      <c r="I306" s="46"/>
      <c r="J306" s="46" t="s">
        <v>297</v>
      </c>
      <c r="K306" s="46" t="str">
        <f>IFERROR(VLOOKUP($J306,Catálogos!$M$4:$N$17,2,FALSE()),"")</f>
        <v>Mantención Preventiva Realizada</v>
      </c>
      <c r="L306" s="48">
        <v>46160</v>
      </c>
      <c r="M306" s="46" t="s">
        <v>461</v>
      </c>
      <c r="N306" s="46" t="s">
        <v>113</v>
      </c>
      <c r="O306" s="46"/>
      <c r="P306" s="46"/>
      <c r="Q306" s="46"/>
    </row>
    <row r="307" spans="1:17" hidden="1" x14ac:dyDescent="0.25">
      <c r="A307" s="47" t="s">
        <v>474</v>
      </c>
      <c r="B307" s="46" t="str">
        <f>IFERROR(VLOOKUP($A307,Equipos!$C$2:$M$967,2,FALSE()),"")</f>
        <v xml:space="preserve">Ventilador Mecánico </v>
      </c>
      <c r="C307" s="46" t="str">
        <f>IFERROR(VLOOKUP($A307,Equipos!$C$2:$M$967,9,FALSE()),"")</f>
        <v>SRYM-0043</v>
      </c>
      <c r="D307" s="46" t="str">
        <f>IFERROR(VLOOKUP($A307,Equipos!$C$2:$M$967,3,FALSE()),"")</f>
        <v>UPC Adulto</v>
      </c>
      <c r="E307" s="46" t="str">
        <f>IFERROR(VLOOKUP($A307,Equipos!$C$2:$M$967,7,FALSE()),"")</f>
        <v xml:space="preserve">Drager </v>
      </c>
      <c r="F307" s="46" t="str">
        <f>IFERROR(VLOOKUP($A307,Equipos!$C$2:$M$967,8,FALSE()),"")</f>
        <v xml:space="preserve">Carina </v>
      </c>
      <c r="G307" s="46" t="s">
        <v>296</v>
      </c>
      <c r="H307" s="46"/>
      <c r="I307" s="46"/>
      <c r="J307" s="46" t="s">
        <v>304</v>
      </c>
      <c r="K307" s="46" t="str">
        <f>IFERROR(VLOOKUP($J307,Catálogos!$M$4:$N$17,2,FALSE()),"")</f>
        <v>Equipo Dado de Baja</v>
      </c>
      <c r="L307" s="46"/>
      <c r="M307" s="46"/>
      <c r="N307" s="46"/>
      <c r="O307" s="46"/>
      <c r="P307" s="46"/>
      <c r="Q307" s="46"/>
    </row>
    <row r="308" spans="1:17" hidden="1" x14ac:dyDescent="0.25">
      <c r="A308" s="47" t="s">
        <v>475</v>
      </c>
      <c r="B308" s="46" t="str">
        <f>IFERROR(VLOOKUP($A308,Equipos!$C$2:$M$967,2,FALSE()),"")</f>
        <v xml:space="preserve">Ventilador Mecánico </v>
      </c>
      <c r="C308" s="46" t="str">
        <f>IFERROR(VLOOKUP($A308,Equipos!$C$2:$M$967,9,FALSE()),"")</f>
        <v>ASDB-0042</v>
      </c>
      <c r="D308" s="46" t="str">
        <f>IFERROR(VLOOKUP($A308,Equipos!$C$2:$M$967,3,FALSE()),"")</f>
        <v>Neonatología</v>
      </c>
      <c r="E308" s="46" t="str">
        <f>IFERROR(VLOOKUP($A308,Equipos!$C$2:$M$967,7,FALSE()),"")</f>
        <v xml:space="preserve">Drager </v>
      </c>
      <c r="F308" s="46" t="str">
        <f>IFERROR(VLOOKUP($A308,Equipos!$C$2:$M$967,8,FALSE()),"")</f>
        <v>VN500</v>
      </c>
      <c r="G308" s="46" t="s">
        <v>335</v>
      </c>
      <c r="H308" s="46"/>
      <c r="I308" s="46"/>
      <c r="J308" s="46" t="s">
        <v>476</v>
      </c>
      <c r="K308" s="46" t="str">
        <f>IFERROR(VLOOKUP($J308,Catálogos!$M$4:$N$17,2,FALSE()),"")</f>
        <v>No Realizada</v>
      </c>
      <c r="L308" s="46"/>
      <c r="M308" s="46"/>
      <c r="N308" s="46"/>
      <c r="O308" s="46"/>
      <c r="P308" s="46"/>
      <c r="Q308" s="46"/>
    </row>
    <row r="309" spans="1:17" hidden="1" x14ac:dyDescent="0.25">
      <c r="A309" s="47" t="s">
        <v>477</v>
      </c>
      <c r="B309" s="46" t="str">
        <f>IFERROR(VLOOKUP($A309,Equipos!$C$2:$M$967,2,FALSE()),"")</f>
        <v>Ventilador Alta Frecuencia</v>
      </c>
      <c r="C309" s="46" t="str">
        <f>IFERROR(VLOOKUP($A309,Equipos!$C$2:$M$967,9,FALSE()),"")</f>
        <v>TMA24453</v>
      </c>
      <c r="D309" s="46" t="str">
        <f>IFERROR(VLOOKUP($A309,Equipos!$C$2:$M$967,3,FALSE()),"")</f>
        <v>Neonatología</v>
      </c>
      <c r="E309" s="46" t="str">
        <f>IFERROR(VLOOKUP($A309,Equipos!$C$2:$M$967,7,FALSE()),"")</f>
        <v>CareFusion</v>
      </c>
      <c r="F309" s="46" t="str">
        <f>IFERROR(VLOOKUP($A309,Equipos!$C$2:$M$967,8,FALSE()),"")</f>
        <v>Sensormedics 3100A</v>
      </c>
      <c r="G309" s="46" t="s">
        <v>331</v>
      </c>
      <c r="H309" s="46"/>
      <c r="I309" s="46"/>
      <c r="J309" s="46" t="s">
        <v>297</v>
      </c>
      <c r="K309" s="46" t="str">
        <f>IFERROR(VLOOKUP($J309,Catálogos!$M$4:$N$17,2,FALSE()),"")</f>
        <v>Mantención Preventiva Realizada</v>
      </c>
      <c r="L309" s="46"/>
      <c r="M309" s="46"/>
      <c r="N309" s="46"/>
      <c r="O309" s="46"/>
      <c r="P309" s="46"/>
      <c r="Q309" s="46"/>
    </row>
    <row r="310" spans="1:17" hidden="1" x14ac:dyDescent="0.25">
      <c r="A310" s="47" t="s">
        <v>478</v>
      </c>
      <c r="B310" s="46" t="str">
        <f>IFERROR(VLOOKUP($A310,Equipos!$C$2:$M$967,2,FALSE()),"")</f>
        <v>Ventilador Alta Frecuencia</v>
      </c>
      <c r="C310" s="46" t="str">
        <f>IFERROR(VLOOKUP($A310,Equipos!$C$2:$M$967,9,FALSE()),"")</f>
        <v>BBW01018</v>
      </c>
      <c r="D310" s="46" t="str">
        <f>IFERROR(VLOOKUP($A310,Equipos!$C$2:$M$967,3,FALSE()),"")</f>
        <v>UPC Pediátrica</v>
      </c>
      <c r="E310" s="46" t="str">
        <f>IFERROR(VLOOKUP($A310,Equipos!$C$2:$M$967,7,FALSE()),"")</f>
        <v>CareFusion</v>
      </c>
      <c r="F310" s="46" t="str">
        <f>IFERROR(VLOOKUP($A310,Equipos!$C$2:$M$967,8,FALSE()),"")</f>
        <v>Sensormedics 3100B</v>
      </c>
      <c r="G310" s="46" t="s">
        <v>331</v>
      </c>
      <c r="H310" s="46"/>
      <c r="I310" s="46"/>
      <c r="J310" s="46" t="s">
        <v>297</v>
      </c>
      <c r="K310" s="46" t="str">
        <f>IFERROR(VLOOKUP($J310,Catálogos!$M$4:$N$17,2,FALSE()),"")</f>
        <v>Mantención Preventiva Realizada</v>
      </c>
      <c r="L310" s="46"/>
      <c r="M310" s="46"/>
      <c r="N310" s="46"/>
      <c r="O310" s="46"/>
      <c r="P310" s="46"/>
      <c r="Q310" s="46"/>
    </row>
    <row r="311" spans="1:17" hidden="1" x14ac:dyDescent="0.25">
      <c r="A311" s="47" t="s">
        <v>479</v>
      </c>
      <c r="B311" s="46" t="str">
        <f>IFERROR(VLOOKUP($A311,Equipos!$C$2:$M$967,2,FALSE()),"")</f>
        <v xml:space="preserve">Ventilador Mecánico </v>
      </c>
      <c r="C311" s="46" t="str">
        <f>IFERROR(VLOOKUP($A311,Equipos!$C$2:$M$967,9,FALSE()),"")</f>
        <v>TV020010610</v>
      </c>
      <c r="D311" s="46" t="str">
        <f>IFERROR(VLOOKUP($A311,Equipos!$C$2:$M$967,3,FALSE()),"")</f>
        <v>UPC Pediátrica</v>
      </c>
      <c r="E311" s="46" t="str">
        <f>IFERROR(VLOOKUP($A311,Equipos!$C$2:$M$967,7,FALSE()),"")</f>
        <v>Philips</v>
      </c>
      <c r="F311" s="46" t="str">
        <f>IFERROR(VLOOKUP($A311,Equipos!$C$2:$M$967,8,FALSE()),"")</f>
        <v>Trilogy 202</v>
      </c>
      <c r="G311" s="46" t="s">
        <v>316</v>
      </c>
      <c r="H311" s="46"/>
      <c r="I311" s="46"/>
      <c r="J311" s="46" t="s">
        <v>297</v>
      </c>
      <c r="K311" s="46" t="str">
        <f>IFERROR(VLOOKUP($J311,Catálogos!$M$4:$N$17,2,FALSE()),"")</f>
        <v>Mantención Preventiva Realizada</v>
      </c>
      <c r="L311" s="46"/>
      <c r="M311" s="46"/>
      <c r="N311" s="46"/>
      <c r="O311" s="46"/>
      <c r="P311" s="46"/>
      <c r="Q311" s="46"/>
    </row>
    <row r="312" spans="1:17" hidden="1" x14ac:dyDescent="0.25">
      <c r="A312" s="47" t="s">
        <v>480</v>
      </c>
      <c r="B312" s="46" t="str">
        <f>IFERROR(VLOOKUP($A312,Equipos!$C$2:$M$967,2,FALSE()),"")</f>
        <v xml:space="preserve">Ventilador Mecánico </v>
      </c>
      <c r="C312" s="46" t="str">
        <f>IFERROR(VLOOKUP($A312,Equipos!$C$2:$M$967,9,FALSE()),"")</f>
        <v>TV019111203</v>
      </c>
      <c r="D312" s="46" t="str">
        <f>IFERROR(VLOOKUP($A312,Equipos!$C$2:$M$967,3,FALSE()),"")</f>
        <v>Urgencia Adulto (Prestado a Urgencia Infantil)</v>
      </c>
      <c r="E312" s="46" t="str">
        <f>IFERROR(VLOOKUP($A312,Equipos!$C$2:$M$967,7,FALSE()),"")</f>
        <v>Philips</v>
      </c>
      <c r="F312" s="46" t="str">
        <f>IFERROR(VLOOKUP($A312,Equipos!$C$2:$M$967,8,FALSE()),"")</f>
        <v>Trilogy 202</v>
      </c>
      <c r="G312" s="46" t="s">
        <v>316</v>
      </c>
      <c r="H312" s="46"/>
      <c r="I312" s="46"/>
      <c r="J312" s="46" t="s">
        <v>423</v>
      </c>
      <c r="K312" s="46" t="str">
        <f>IFERROR(VLOOKUP($J312,Catálogos!$M$4:$N$17,2,FALSE()),"")</f>
        <v>Reprogramada · No disponibilidad de horas hombre del servicio técnico externo</v>
      </c>
      <c r="L312" s="46"/>
      <c r="M312" s="46"/>
      <c r="N312" s="46"/>
      <c r="O312" s="46"/>
      <c r="P312" s="46"/>
      <c r="Q312" s="46"/>
    </row>
    <row r="313" spans="1:17" hidden="1" x14ac:dyDescent="0.25">
      <c r="A313" s="47" t="s">
        <v>480</v>
      </c>
      <c r="B313" s="46" t="str">
        <f>IFERROR(VLOOKUP($A313,Equipos!$C$2:$M$967,2,FALSE()),"")</f>
        <v xml:space="preserve">Ventilador Mecánico </v>
      </c>
      <c r="C313" s="46" t="str">
        <f>IFERROR(VLOOKUP($A313,Equipos!$C$2:$M$967,9,FALSE()),"")</f>
        <v>TV019111203</v>
      </c>
      <c r="D313" s="46" t="str">
        <f>IFERROR(VLOOKUP($A313,Equipos!$C$2:$M$967,3,FALSE()),"")</f>
        <v>Urgencia Adulto (Prestado a Urgencia Infantil)</v>
      </c>
      <c r="E313" s="46" t="str">
        <f>IFERROR(VLOOKUP($A313,Equipos!$C$2:$M$967,7,FALSE()),"")</f>
        <v>Philips</v>
      </c>
      <c r="F313" s="46" t="str">
        <f>IFERROR(VLOOKUP($A313,Equipos!$C$2:$M$967,8,FALSE()),"")</f>
        <v>Trilogy 202</v>
      </c>
      <c r="G313" s="46" t="s">
        <v>331</v>
      </c>
      <c r="H313" s="46"/>
      <c r="I313" s="46"/>
      <c r="J313" s="46" t="s">
        <v>297</v>
      </c>
      <c r="K313" s="46" t="str">
        <f>IFERROR(VLOOKUP($J313,Catálogos!$M$4:$N$17,2,FALSE()),"")</f>
        <v>Mantención Preventiva Realizada</v>
      </c>
      <c r="L313" s="46"/>
      <c r="M313" s="46"/>
      <c r="N313" s="46"/>
      <c r="O313" s="46"/>
      <c r="P313" s="46"/>
      <c r="Q313" s="46"/>
    </row>
    <row r="314" spans="1:17" hidden="1" x14ac:dyDescent="0.25">
      <c r="A314" s="47" t="s">
        <v>481</v>
      </c>
      <c r="B314" s="46" t="str">
        <f>IFERROR(VLOOKUP($A314,Equipos!$C$2:$M$967,2,FALSE()),"")</f>
        <v xml:space="preserve">Ventilador Mecánico </v>
      </c>
      <c r="C314" s="46" t="str">
        <f>IFERROR(VLOOKUP($A314,Equipos!$C$2:$M$967,9,FALSE()),"")</f>
        <v>ASHC-0026</v>
      </c>
      <c r="D314" s="46" t="str">
        <f>IFERROR(VLOOKUP($A314,Equipos!$C$2:$M$967,3,FALSE()),"")</f>
        <v>Urgencia Adulto</v>
      </c>
      <c r="E314" s="46" t="str">
        <f>IFERROR(VLOOKUP($A314,Equipos!$C$2:$M$967,7,FALSE()),"")</f>
        <v>Drager</v>
      </c>
      <c r="F314" s="46" t="str">
        <f>IFERROR(VLOOKUP($A314,Equipos!$C$2:$M$967,8,FALSE()),"")</f>
        <v xml:space="preserve">Carina </v>
      </c>
      <c r="G314" s="46" t="s">
        <v>298</v>
      </c>
      <c r="H314" s="46"/>
      <c r="I314" s="46"/>
      <c r="J314" s="46" t="s">
        <v>297</v>
      </c>
      <c r="K314" s="46" t="str">
        <f>IFERROR(VLOOKUP($J314,Catálogos!$M$4:$N$17,2,FALSE()),"")</f>
        <v>Mantención Preventiva Realizada</v>
      </c>
      <c r="L314" s="46"/>
      <c r="M314" s="46"/>
      <c r="N314" s="46"/>
      <c r="O314" s="46"/>
      <c r="P314" s="46"/>
      <c r="Q314" s="46"/>
    </row>
    <row r="315" spans="1:17" hidden="1" x14ac:dyDescent="0.25">
      <c r="A315" s="47" t="s">
        <v>482</v>
      </c>
      <c r="B315" s="46" t="str">
        <f>IFERROR(VLOOKUP($A315,Equipos!$C$2:$M$967,2,FALSE()),"")</f>
        <v xml:space="preserve">Ventilador Mecánico </v>
      </c>
      <c r="C315" s="46" t="str">
        <f>IFERROR(VLOOKUP($A315,Equipos!$C$2:$M$967,9,FALSE()),"")</f>
        <v>201038729</v>
      </c>
      <c r="D315" s="46" t="str">
        <f>IFERROR(VLOOKUP($A315,Equipos!$C$2:$M$967,3,FALSE()),"")</f>
        <v>UPC Cardiovascular</v>
      </c>
      <c r="E315" s="46" t="str">
        <f>IFERROR(VLOOKUP($A315,Equipos!$C$2:$M$967,7,FALSE()),"")</f>
        <v>Philips</v>
      </c>
      <c r="F315" s="46" t="str">
        <f>IFERROR(VLOOKUP($A315,Equipos!$C$2:$M$967,8,FALSE()),"")</f>
        <v>Respironic V60</v>
      </c>
      <c r="G315" s="46" t="s">
        <v>316</v>
      </c>
      <c r="H315" s="46"/>
      <c r="I315" s="46"/>
      <c r="J315" s="46" t="s">
        <v>297</v>
      </c>
      <c r="K315" s="46" t="str">
        <f>IFERROR(VLOOKUP($J315,Catálogos!$M$4:$N$17,2,FALSE()),"")</f>
        <v>Mantención Preventiva Realizada</v>
      </c>
      <c r="L315" s="46"/>
      <c r="M315" s="46"/>
      <c r="N315" s="46"/>
      <c r="O315" s="46"/>
      <c r="P315" s="46"/>
      <c r="Q315" s="46"/>
    </row>
    <row r="316" spans="1:17" hidden="1" x14ac:dyDescent="0.25">
      <c r="A316" s="47" t="s">
        <v>483</v>
      </c>
      <c r="B316" s="46" t="str">
        <f>IFERROR(VLOOKUP($A316,Equipos!$C$2:$M$967,2,FALSE()),"")</f>
        <v xml:space="preserve">Ventilador Mecánico </v>
      </c>
      <c r="C316" s="46" t="str">
        <f>IFERROR(VLOOKUP($A316,Equipos!$C$2:$M$967,9,FALSE()),"")</f>
        <v>TV02001060B</v>
      </c>
      <c r="D316" s="46" t="str">
        <f>IFERROR(VLOOKUP($A316,Equipos!$C$2:$M$967,3,FALSE()),"")</f>
        <v>Urgencia Adulto</v>
      </c>
      <c r="E316" s="46" t="str">
        <f>IFERROR(VLOOKUP($A316,Equipos!$C$2:$M$967,7,FALSE()),"")</f>
        <v>Philips</v>
      </c>
      <c r="F316" s="46" t="str">
        <f>IFERROR(VLOOKUP($A316,Equipos!$C$2:$M$967,8,FALSE()),"")</f>
        <v>Trilogy 202</v>
      </c>
      <c r="G316" s="46" t="s">
        <v>316</v>
      </c>
      <c r="H316" s="46"/>
      <c r="I316" s="46"/>
      <c r="J316" s="46" t="s">
        <v>297</v>
      </c>
      <c r="K316" s="46" t="str">
        <f>IFERROR(VLOOKUP($J316,Catálogos!$M$4:$N$17,2,FALSE()),"")</f>
        <v>Mantención Preventiva Realizada</v>
      </c>
      <c r="L316" s="46"/>
      <c r="M316" s="46"/>
      <c r="N316" s="46"/>
      <c r="O316" s="46"/>
      <c r="P316" s="46"/>
      <c r="Q316" s="46"/>
    </row>
    <row r="317" spans="1:17" hidden="1" x14ac:dyDescent="0.25">
      <c r="A317" s="47" t="s">
        <v>484</v>
      </c>
      <c r="B317" s="46" t="str">
        <f>IFERROR(VLOOKUP($A317,Equipos!$C$2:$M$967,2,FALSE()),"")</f>
        <v xml:space="preserve">Ventilador Mecánico </v>
      </c>
      <c r="C317" s="46" t="str">
        <f>IFERROR(VLOOKUP($A317,Equipos!$C$2:$M$967,9,FALSE()),"")</f>
        <v>ASJL-0099</v>
      </c>
      <c r="D317" s="46" t="str">
        <f>IFERROR(VLOOKUP($A317,Equipos!$C$2:$M$967,3,FALSE()),"")</f>
        <v>Neonatología</v>
      </c>
      <c r="E317" s="46" t="str">
        <f>IFERROR(VLOOKUP($A317,Equipos!$C$2:$M$967,7,FALSE()),"")</f>
        <v>Drager</v>
      </c>
      <c r="F317" s="46" t="str">
        <f>IFERROR(VLOOKUP($A317,Equipos!$C$2:$M$967,8,FALSE()),"")</f>
        <v>VN500</v>
      </c>
      <c r="G317" s="46" t="s">
        <v>298</v>
      </c>
      <c r="H317" s="46"/>
      <c r="I317" s="46"/>
      <c r="J317" s="46" t="s">
        <v>297</v>
      </c>
      <c r="K317" s="46" t="str">
        <f>IFERROR(VLOOKUP($J317,Catálogos!$M$4:$N$17,2,FALSE()),"")</f>
        <v>Mantención Preventiva Realizada</v>
      </c>
      <c r="L317" s="46"/>
      <c r="M317" s="46"/>
      <c r="N317" s="46"/>
      <c r="O317" s="46"/>
      <c r="P317" s="46"/>
      <c r="Q317" s="46"/>
    </row>
    <row r="318" spans="1:17" hidden="1" x14ac:dyDescent="0.25">
      <c r="A318" s="47" t="s">
        <v>485</v>
      </c>
      <c r="B318" s="46" t="str">
        <f>IFERROR(VLOOKUP($A318,Equipos!$C$2:$M$967,2,FALSE()),"")</f>
        <v xml:space="preserve">Ventilador Mecánico </v>
      </c>
      <c r="C318" s="46" t="str">
        <f>IFERROR(VLOOKUP($A318,Equipos!$C$2:$M$967,9,FALSE()),"")</f>
        <v>TV020010608</v>
      </c>
      <c r="D318" s="46" t="str">
        <f>IFERROR(VLOOKUP($A318,Equipos!$C$2:$M$967,3,FALSE()),"")</f>
        <v>UPC Pediátrica</v>
      </c>
      <c r="E318" s="46" t="str">
        <f>IFERROR(VLOOKUP($A318,Equipos!$C$2:$M$967,7,FALSE()),"")</f>
        <v>Philips</v>
      </c>
      <c r="F318" s="46" t="str">
        <f>IFERROR(VLOOKUP($A318,Equipos!$C$2:$M$967,8,FALSE()),"")</f>
        <v>Trilogy 202</v>
      </c>
      <c r="G318" s="46" t="s">
        <v>316</v>
      </c>
      <c r="H318" s="46"/>
      <c r="I318" s="46"/>
      <c r="J318" s="46" t="s">
        <v>297</v>
      </c>
      <c r="K318" s="46" t="str">
        <f>IFERROR(VLOOKUP($J318,Catálogos!$M$4:$N$17,2,FALSE()),"")</f>
        <v>Mantención Preventiva Realizada</v>
      </c>
      <c r="L318" s="46"/>
      <c r="M318" s="46"/>
      <c r="N318" s="46"/>
      <c r="O318" s="46"/>
      <c r="P318" s="46"/>
      <c r="Q318" s="46"/>
    </row>
    <row r="319" spans="1:17" hidden="1" x14ac:dyDescent="0.25">
      <c r="A319" s="47" t="s">
        <v>486</v>
      </c>
      <c r="B319" s="46" t="str">
        <f>IFERROR(VLOOKUP($A319,Equipos!$C$2:$M$967,2,FALSE()),"")</f>
        <v xml:space="preserve">Ventilador Mecánico </v>
      </c>
      <c r="C319" s="46" t="str">
        <f>IFERROR(VLOOKUP($A319,Equipos!$C$2:$M$967,9,FALSE()),"")</f>
        <v>ASKK-0196</v>
      </c>
      <c r="D319" s="46" t="str">
        <f>IFERROR(VLOOKUP($A319,Equipos!$C$2:$M$967,3,FALSE()),"")</f>
        <v>Neonatología</v>
      </c>
      <c r="E319" s="46" t="str">
        <f>IFERROR(VLOOKUP($A319,Equipos!$C$2:$M$967,7,FALSE()),"")</f>
        <v>Drager</v>
      </c>
      <c r="F319" s="46" t="str">
        <f>IFERROR(VLOOKUP($A319,Equipos!$C$2:$M$967,8,FALSE()),"")</f>
        <v>VN500</v>
      </c>
      <c r="G319" s="46" t="s">
        <v>298</v>
      </c>
      <c r="H319" s="46"/>
      <c r="I319" s="46"/>
      <c r="J319" s="46" t="s">
        <v>297</v>
      </c>
      <c r="K319" s="46" t="str">
        <f>IFERROR(VLOOKUP($J319,Catálogos!$M$4:$N$17,2,FALSE()),"")</f>
        <v>Mantención Preventiva Realizada</v>
      </c>
      <c r="L319" s="46"/>
      <c r="M319" s="46"/>
      <c r="N319" s="46"/>
      <c r="O319" s="46"/>
      <c r="P319" s="46"/>
      <c r="Q319" s="46"/>
    </row>
    <row r="320" spans="1:17" hidden="1" x14ac:dyDescent="0.25">
      <c r="A320" s="47" t="s">
        <v>487</v>
      </c>
      <c r="B320" s="46" t="str">
        <f>IFERROR(VLOOKUP($A320,Equipos!$C$2:$M$967,2,FALSE()),"")</f>
        <v xml:space="preserve">Ventilador Mecánico </v>
      </c>
      <c r="C320" s="46" t="str">
        <f>IFERROR(VLOOKUP($A320,Equipos!$C$2:$M$967,9,FALSE()),"")</f>
        <v>27365</v>
      </c>
      <c r="D320" s="46" t="str">
        <f>IFERROR(VLOOKUP($A320,Equipos!$C$2:$M$967,3,FALSE()),"")</f>
        <v>SAMU</v>
      </c>
      <c r="E320" s="46" t="str">
        <f>IFERROR(VLOOKUP($A320,Equipos!$C$2:$M$967,7,FALSE()),"")</f>
        <v>Hamilton</v>
      </c>
      <c r="F320" s="46" t="str">
        <f>IFERROR(VLOOKUP($A320,Equipos!$C$2:$M$967,8,FALSE()),"")</f>
        <v>T1</v>
      </c>
      <c r="G320" s="46" t="s">
        <v>316</v>
      </c>
      <c r="H320" s="46"/>
      <c r="I320" s="46"/>
      <c r="J320" s="46" t="s">
        <v>297</v>
      </c>
      <c r="K320" s="46" t="str">
        <f>IFERROR(VLOOKUP($J320,Catálogos!$M$4:$N$17,2,FALSE()),"")</f>
        <v>Mantención Preventiva Realizada</v>
      </c>
      <c r="L320" s="46"/>
      <c r="M320" s="46"/>
      <c r="N320" s="46"/>
      <c r="O320" s="46"/>
      <c r="P320" s="46"/>
      <c r="Q320" s="46"/>
    </row>
    <row r="321" spans="1:17" hidden="1" x14ac:dyDescent="0.25">
      <c r="A321" s="47" t="s">
        <v>488</v>
      </c>
      <c r="B321" s="46" t="str">
        <f>IFERROR(VLOOKUP($A321,Equipos!$C$2:$M$967,2,FALSE()),"")</f>
        <v xml:space="preserve">Ventilador Mecánico </v>
      </c>
      <c r="C321" s="46" t="str">
        <f>IFERROR(VLOOKUP($A321,Equipos!$C$2:$M$967,9,FALSE()),"")</f>
        <v>ASCL-0118</v>
      </c>
      <c r="D321" s="46" t="str">
        <f>IFERROR(VLOOKUP($A321,Equipos!$C$2:$M$967,3,FALSE()),"")</f>
        <v>Urgencia Adulto</v>
      </c>
      <c r="E321" s="46" t="str">
        <f>IFERROR(VLOOKUP($A321,Equipos!$C$2:$M$967,7,FALSE()),"")</f>
        <v>Drager</v>
      </c>
      <c r="F321" s="46" t="str">
        <f>IFERROR(VLOOKUP($A321,Equipos!$C$2:$M$967,8,FALSE()),"")</f>
        <v>Oxylog 3000</v>
      </c>
      <c r="G321" s="46" t="s">
        <v>298</v>
      </c>
      <c r="H321" s="46"/>
      <c r="I321" s="46"/>
      <c r="J321" s="46" t="s">
        <v>297</v>
      </c>
      <c r="K321" s="46" t="str">
        <f>IFERROR(VLOOKUP($J321,Catálogos!$M$4:$N$17,2,FALSE()),"")</f>
        <v>Mantención Preventiva Realizada</v>
      </c>
      <c r="L321" s="46"/>
      <c r="M321" s="46"/>
      <c r="N321" s="46"/>
      <c r="O321" s="46"/>
      <c r="P321" s="46"/>
      <c r="Q321" s="46"/>
    </row>
    <row r="322" spans="1:17" hidden="1" x14ac:dyDescent="0.25">
      <c r="A322" s="47" t="s">
        <v>303</v>
      </c>
      <c r="B322" s="46" t="str">
        <f>IFERROR(VLOOKUP($A322,Equipos!$C$2:$M$967,2,FALSE()),"")</f>
        <v/>
      </c>
      <c r="C322" s="46" t="str">
        <f>IFERROR(VLOOKUP($A322,Equipos!$C$2:$M$967,9,FALSE()),"")</f>
        <v/>
      </c>
      <c r="D322" s="46" t="str">
        <f>IFERROR(VLOOKUP($A322,Equipos!$C$2:$M$967,3,FALSE()),"")</f>
        <v/>
      </c>
      <c r="E322" s="46" t="str">
        <f>IFERROR(VLOOKUP($A322,Equipos!$C$2:$M$967,7,FALSE()),"")</f>
        <v/>
      </c>
      <c r="F322" s="46" t="str">
        <f>IFERROR(VLOOKUP($A322,Equipos!$C$2:$M$967,8,FALSE()),"")</f>
        <v/>
      </c>
      <c r="G322" s="46" t="s">
        <v>335</v>
      </c>
      <c r="H322" s="46"/>
      <c r="I322" s="46"/>
      <c r="J322" s="46" t="s">
        <v>304</v>
      </c>
      <c r="K322" s="46" t="str">
        <f>IFERROR(VLOOKUP($J322,Catálogos!$M$4:$N$17,2,FALSE()),"")</f>
        <v>Equipo Dado de Baja</v>
      </c>
      <c r="L322" s="46"/>
      <c r="M322" s="46"/>
      <c r="N322" s="46"/>
      <c r="O322" s="46"/>
      <c r="P322" s="46"/>
      <c r="Q322" s="46"/>
    </row>
    <row r="323" spans="1:17" hidden="1" x14ac:dyDescent="0.25">
      <c r="A323" s="47" t="s">
        <v>489</v>
      </c>
      <c r="B323" s="46" t="str">
        <f>IFERROR(VLOOKUP($A323,Equipos!$C$2:$M$967,2,FALSE()),"")</f>
        <v xml:space="preserve">Ventilador Mecánico </v>
      </c>
      <c r="C323" s="46" t="str">
        <f>IFERROR(VLOOKUP($A323,Equipos!$C$2:$M$967,9,FALSE()),"")</f>
        <v>3510053115</v>
      </c>
      <c r="D323" s="46" t="str">
        <f>IFERROR(VLOOKUP($A323,Equipos!$C$2:$M$967,3,FALSE()),"")</f>
        <v>UPC Adulto</v>
      </c>
      <c r="E323" s="46" t="str">
        <f>IFERROR(VLOOKUP($A323,Equipos!$C$2:$M$967,7,FALSE()),"")</f>
        <v>Puritan Bennett</v>
      </c>
      <c r="F323" s="46" t="str">
        <f>IFERROR(VLOOKUP($A323,Equipos!$C$2:$M$967,8,FALSE()),"")</f>
        <v>840/Sin Comp.</v>
      </c>
      <c r="G323" s="46" t="s">
        <v>316</v>
      </c>
      <c r="H323" s="46"/>
      <c r="I323" s="46"/>
      <c r="J323" s="46" t="s">
        <v>277</v>
      </c>
      <c r="K323" s="46" t="str">
        <f>IFERROR(VLOOKUP($J323,Catálogos!$M$4:$N$17,2,FALSE()),"")</f>
        <v>Reprogramada · Equipo no operativo, a la espera de repuestos o accesorios</v>
      </c>
      <c r="L323" s="46"/>
      <c r="M323" s="46"/>
      <c r="N323" s="46"/>
      <c r="O323" s="46"/>
      <c r="P323" s="46"/>
      <c r="Q323" s="46"/>
    </row>
    <row r="324" spans="1:17" hidden="1" x14ac:dyDescent="0.25">
      <c r="A324" s="47" t="s">
        <v>490</v>
      </c>
      <c r="B324" s="46" t="str">
        <f>IFERROR(VLOOKUP($A324,Equipos!$C$2:$M$967,2,FALSE()),"")</f>
        <v xml:space="preserve">Ventilador Mecánico </v>
      </c>
      <c r="C324" s="46" t="str">
        <f>IFERROR(VLOOKUP($A324,Equipos!$C$2:$M$967,9,FALSE()),"")</f>
        <v>35B2100833</v>
      </c>
      <c r="D324" s="46" t="str">
        <f>IFERROR(VLOOKUP($A324,Equipos!$C$2:$M$967,3,FALSE()),"")</f>
        <v>UPC Cardiovascular</v>
      </c>
      <c r="E324" s="46" t="str">
        <f>IFERROR(VLOOKUP($A324,Equipos!$C$2:$M$967,7,FALSE()),"")</f>
        <v>Puritan Bennett</v>
      </c>
      <c r="F324" s="46" t="str">
        <f>IFERROR(VLOOKUP($A324,Equipos!$C$2:$M$967,8,FALSE()),"")</f>
        <v>980/cc</v>
      </c>
      <c r="G324" s="46" t="s">
        <v>316</v>
      </c>
      <c r="H324" s="46"/>
      <c r="I324" s="46"/>
      <c r="J324" s="46" t="s">
        <v>423</v>
      </c>
      <c r="K324" s="46" t="str">
        <f>IFERROR(VLOOKUP($J324,Catálogos!$M$4:$N$17,2,FALSE()),"")</f>
        <v>Reprogramada · No disponibilidad de horas hombre del servicio técnico externo</v>
      </c>
      <c r="L324" s="46"/>
      <c r="M324" s="46"/>
      <c r="N324" s="46"/>
      <c r="O324" s="46"/>
      <c r="P324" s="46"/>
      <c r="Q324" s="46"/>
    </row>
    <row r="325" spans="1:17" hidden="1" x14ac:dyDescent="0.25">
      <c r="A325" s="47" t="s">
        <v>490</v>
      </c>
      <c r="B325" s="46" t="str">
        <f>IFERROR(VLOOKUP($A325,Equipos!$C$2:$M$967,2,FALSE()),"")</f>
        <v xml:space="preserve">Ventilador Mecánico </v>
      </c>
      <c r="C325" s="46" t="str">
        <f>IFERROR(VLOOKUP($A325,Equipos!$C$2:$M$967,9,FALSE()),"")</f>
        <v>35B2100833</v>
      </c>
      <c r="D325" s="46" t="str">
        <f>IFERROR(VLOOKUP($A325,Equipos!$C$2:$M$967,3,FALSE()),"")</f>
        <v>UPC Cardiovascular</v>
      </c>
      <c r="E325" s="46" t="str">
        <f>IFERROR(VLOOKUP($A325,Equipos!$C$2:$M$967,7,FALSE()),"")</f>
        <v>Puritan Bennett</v>
      </c>
      <c r="F325" s="46" t="str">
        <f>IFERROR(VLOOKUP($A325,Equipos!$C$2:$M$967,8,FALSE()),"")</f>
        <v>980/cc</v>
      </c>
      <c r="G325" s="46" t="s">
        <v>331</v>
      </c>
      <c r="H325" s="46"/>
      <c r="I325" s="46"/>
      <c r="J325" s="46" t="s">
        <v>297</v>
      </c>
      <c r="K325" s="46" t="str">
        <f>IFERROR(VLOOKUP($J325,Catálogos!$M$4:$N$17,2,FALSE()),"")</f>
        <v>Mantención Preventiva Realizada</v>
      </c>
      <c r="L325" s="46"/>
      <c r="M325" s="46"/>
      <c r="N325" s="46"/>
      <c r="O325" s="46"/>
      <c r="P325" s="46"/>
      <c r="Q325" s="46"/>
    </row>
    <row r="326" spans="1:17" hidden="1" x14ac:dyDescent="0.25">
      <c r="A326" s="47" t="s">
        <v>491</v>
      </c>
      <c r="B326" s="46" t="str">
        <f>IFERROR(VLOOKUP($A326,Equipos!$C$2:$M$967,2,FALSE()),"")</f>
        <v xml:space="preserve">Ventilador Mecánico </v>
      </c>
      <c r="C326" s="46" t="str">
        <f>IFERROR(VLOOKUP($A326,Equipos!$C$2:$M$967,9,FALSE()),"")</f>
        <v>27332</v>
      </c>
      <c r="D326" s="46" t="str">
        <f>IFERROR(VLOOKUP($A326,Equipos!$C$2:$M$967,3,FALSE()),"")</f>
        <v>SAMU</v>
      </c>
      <c r="E326" s="46" t="str">
        <f>IFERROR(VLOOKUP($A326,Equipos!$C$2:$M$967,7,FALSE()),"")</f>
        <v>Hamilton</v>
      </c>
      <c r="F326" s="46" t="str">
        <f>IFERROR(VLOOKUP($A326,Equipos!$C$2:$M$967,8,FALSE()),"")</f>
        <v>T1</v>
      </c>
      <c r="G326" s="46" t="s">
        <v>316</v>
      </c>
      <c r="H326" s="46"/>
      <c r="I326" s="46"/>
      <c r="J326" s="46" t="s">
        <v>297</v>
      </c>
      <c r="K326" s="46" t="str">
        <f>IFERROR(VLOOKUP($J326,Catálogos!$M$4:$N$17,2,FALSE()),"")</f>
        <v>Mantención Preventiva Realizada</v>
      </c>
      <c r="L326" s="46"/>
      <c r="M326" s="46"/>
      <c r="N326" s="46"/>
      <c r="O326" s="46"/>
      <c r="P326" s="46"/>
      <c r="Q326" s="46"/>
    </row>
    <row r="327" spans="1:17" hidden="1" x14ac:dyDescent="0.25">
      <c r="A327" s="47" t="s">
        <v>492</v>
      </c>
      <c r="B327" s="46" t="str">
        <f>IFERROR(VLOOKUP($A327,Equipos!$C$2:$M$967,2,FALSE()),"")</f>
        <v xml:space="preserve">Ventilador Mecánico </v>
      </c>
      <c r="C327" s="46" t="str">
        <f>IFERROR(VLOOKUP($A327,Equipos!$C$2:$M$967,9,FALSE()),"")</f>
        <v>ASKK-0198</v>
      </c>
      <c r="D327" s="46" t="str">
        <f>IFERROR(VLOOKUP($A327,Equipos!$C$2:$M$967,3,FALSE()),"")</f>
        <v>Neonatología</v>
      </c>
      <c r="E327" s="46" t="str">
        <f>IFERROR(VLOOKUP($A327,Equipos!$C$2:$M$967,7,FALSE()),"")</f>
        <v>Drager</v>
      </c>
      <c r="F327" s="46" t="str">
        <f>IFERROR(VLOOKUP($A327,Equipos!$C$2:$M$967,8,FALSE()),"")</f>
        <v>VN500</v>
      </c>
      <c r="G327" s="46" t="s">
        <v>298</v>
      </c>
      <c r="H327" s="46"/>
      <c r="I327" s="46"/>
      <c r="J327" s="46" t="s">
        <v>297</v>
      </c>
      <c r="K327" s="46" t="str">
        <f>IFERROR(VLOOKUP($J327,Catálogos!$M$4:$N$17,2,FALSE()),"")</f>
        <v>Mantención Preventiva Realizada</v>
      </c>
      <c r="L327" s="46"/>
      <c r="M327" s="46"/>
      <c r="N327" s="46"/>
      <c r="O327" s="46"/>
      <c r="P327" s="46"/>
      <c r="Q327" s="46"/>
    </row>
    <row r="328" spans="1:17" hidden="1" x14ac:dyDescent="0.25">
      <c r="A328" s="47" t="s">
        <v>493</v>
      </c>
      <c r="B328" s="46" t="str">
        <f>IFERROR(VLOOKUP($A328,Equipos!$C$2:$M$967,2,FALSE()),"")</f>
        <v xml:space="preserve">Ventilador Mecánico </v>
      </c>
      <c r="C328" s="46" t="str">
        <f>IFERROR(VLOOKUP($A328,Equipos!$C$2:$M$967,9,FALSE()),"")</f>
        <v>5497</v>
      </c>
      <c r="D328" s="46" t="str">
        <f>IFERROR(VLOOKUP($A328,Equipos!$C$2:$M$967,3,FALSE()),"")</f>
        <v>Urgencia Adulto</v>
      </c>
      <c r="E328" s="46" t="str">
        <f>IFERROR(VLOOKUP($A328,Equipos!$C$2:$M$967,7,FALSE()),"")</f>
        <v>Hamilton</v>
      </c>
      <c r="F328" s="46" t="str">
        <f>IFERROR(VLOOKUP($A328,Equipos!$C$2:$M$967,8,FALSE()),"")</f>
        <v>MR1</v>
      </c>
      <c r="G328" s="46" t="s">
        <v>316</v>
      </c>
      <c r="H328" s="46"/>
      <c r="I328" s="46"/>
      <c r="J328" s="46" t="s">
        <v>297</v>
      </c>
      <c r="K328" s="46" t="str">
        <f>IFERROR(VLOOKUP($J328,Catálogos!$M$4:$N$17,2,FALSE()),"")</f>
        <v>Mantención Preventiva Realizada</v>
      </c>
      <c r="L328" s="46"/>
      <c r="M328" s="46"/>
      <c r="N328" s="46"/>
      <c r="O328" s="46"/>
      <c r="P328" s="46"/>
      <c r="Q328" s="46"/>
    </row>
    <row r="329" spans="1:17" hidden="1" x14ac:dyDescent="0.25">
      <c r="A329" s="47" t="s">
        <v>494</v>
      </c>
      <c r="B329" s="46" t="str">
        <f>IFERROR(VLOOKUP($A329,Equipos!$C$2:$M$967,2,FALSE()),"")</f>
        <v xml:space="preserve">Ventilador Mecánico </v>
      </c>
      <c r="C329" s="46" t="str">
        <f>IFERROR(VLOOKUP($A329,Equipos!$C$2:$M$967,9,FALSE()),"")</f>
        <v>3512141901</v>
      </c>
      <c r="D329" s="46" t="str">
        <f>IFERROR(VLOOKUP($A329,Equipos!$C$2:$M$967,3,FALSE()),"")</f>
        <v>Urgencia Adulto (Prestado a UPC Cardiovascular)</v>
      </c>
      <c r="E329" s="46" t="str">
        <f>IFERROR(VLOOKUP($A329,Equipos!$C$2:$M$967,7,FALSE()),"")</f>
        <v>Puritan Bennett</v>
      </c>
      <c r="F329" s="46" t="str">
        <f>IFERROR(VLOOKUP($A329,Equipos!$C$2:$M$967,8,FALSE()),"")</f>
        <v>840/Sin Comp.</v>
      </c>
      <c r="G329" s="46" t="s">
        <v>316</v>
      </c>
      <c r="H329" s="46"/>
      <c r="I329" s="46"/>
      <c r="J329" s="46" t="s">
        <v>423</v>
      </c>
      <c r="K329" s="46" t="str">
        <f>IFERROR(VLOOKUP($J329,Catálogos!$M$4:$N$17,2,FALSE()),"")</f>
        <v>Reprogramada · No disponibilidad de horas hombre del servicio técnico externo</v>
      </c>
      <c r="L329" s="46"/>
      <c r="M329" s="46"/>
      <c r="N329" s="46"/>
      <c r="O329" s="46"/>
      <c r="P329" s="46"/>
      <c r="Q329" s="46"/>
    </row>
    <row r="330" spans="1:17" hidden="1" x14ac:dyDescent="0.25">
      <c r="A330" s="47" t="s">
        <v>494</v>
      </c>
      <c r="B330" s="46" t="str">
        <f>IFERROR(VLOOKUP($A330,Equipos!$C$2:$M$967,2,FALSE()),"")</f>
        <v xml:space="preserve">Ventilador Mecánico </v>
      </c>
      <c r="C330" s="46" t="str">
        <f>IFERROR(VLOOKUP($A330,Equipos!$C$2:$M$967,9,FALSE()),"")</f>
        <v>3512141901</v>
      </c>
      <c r="D330" s="46" t="str">
        <f>IFERROR(VLOOKUP($A330,Equipos!$C$2:$M$967,3,FALSE()),"")</f>
        <v>Urgencia Adulto (Prestado a UPC Cardiovascular)</v>
      </c>
      <c r="E330" s="46" t="str">
        <f>IFERROR(VLOOKUP($A330,Equipos!$C$2:$M$967,7,FALSE()),"")</f>
        <v>Puritan Bennett</v>
      </c>
      <c r="F330" s="46" t="str">
        <f>IFERROR(VLOOKUP($A330,Equipos!$C$2:$M$967,8,FALSE()),"")</f>
        <v>840/Sin Comp.</v>
      </c>
      <c r="G330" s="46" t="s">
        <v>331</v>
      </c>
      <c r="H330" s="46"/>
      <c r="I330" s="46"/>
      <c r="J330" s="46" t="s">
        <v>297</v>
      </c>
      <c r="K330" s="46" t="str">
        <f>IFERROR(VLOOKUP($J330,Catálogos!$M$4:$N$17,2,FALSE()),"")</f>
        <v>Mantención Preventiva Realizada</v>
      </c>
      <c r="L330" s="46"/>
      <c r="M330" s="46"/>
      <c r="N330" s="46"/>
      <c r="O330" s="46"/>
      <c r="P330" s="46"/>
      <c r="Q330" s="46"/>
    </row>
    <row r="331" spans="1:17" hidden="1" x14ac:dyDescent="0.25">
      <c r="A331" s="47" t="s">
        <v>495</v>
      </c>
      <c r="B331" s="46" t="str">
        <f>IFERROR(VLOOKUP($A331,Equipos!$C$2:$M$967,2,FALSE()),"")</f>
        <v xml:space="preserve">Ventilador Mecánico </v>
      </c>
      <c r="C331" s="46" t="str">
        <f>IFERROR(VLOOKUP($A331,Equipos!$C$2:$M$967,9,FALSE()),"")</f>
        <v>ASFM-0081</v>
      </c>
      <c r="D331" s="46" t="str">
        <f>IFERROR(VLOOKUP($A331,Equipos!$C$2:$M$967,3,FALSE()),"")</f>
        <v>UPC Adulto</v>
      </c>
      <c r="E331" s="46" t="str">
        <f>IFERROR(VLOOKUP($A331,Equipos!$C$2:$M$967,7,FALSE()),"")</f>
        <v xml:space="preserve">Drager </v>
      </c>
      <c r="F331" s="46" t="str">
        <f>IFERROR(VLOOKUP($A331,Equipos!$C$2:$M$967,8,FALSE()),"")</f>
        <v>Oxylog 3000</v>
      </c>
      <c r="G331" s="46" t="s">
        <v>335</v>
      </c>
      <c r="H331" s="46"/>
      <c r="I331" s="46"/>
      <c r="J331" s="46" t="s">
        <v>476</v>
      </c>
      <c r="K331" s="46" t="str">
        <f>IFERROR(VLOOKUP($J331,Catálogos!$M$4:$N$17,2,FALSE()),"")</f>
        <v>No Realizada</v>
      </c>
      <c r="L331" s="46"/>
      <c r="M331" s="46"/>
      <c r="N331" s="46"/>
      <c r="O331" s="46"/>
      <c r="P331" s="46"/>
      <c r="Q331" s="46"/>
    </row>
    <row r="332" spans="1:17" hidden="1" x14ac:dyDescent="0.25">
      <c r="A332" s="47" t="s">
        <v>159</v>
      </c>
      <c r="B332" s="46" t="str">
        <f>IFERROR(VLOOKUP($A332,Equipos!$C$2:$M$967,2,FALSE()),"")</f>
        <v xml:space="preserve">Ventilador Mecánico </v>
      </c>
      <c r="C332" s="46" t="str">
        <f>IFERROR(VLOOKUP($A332,Equipos!$C$2:$M$967,9,FALSE()),"")</f>
        <v>ASFM-0082</v>
      </c>
      <c r="D332" s="46" t="str">
        <f>IFERROR(VLOOKUP($A332,Equipos!$C$2:$M$967,3,FALSE()),"")</f>
        <v>UPC Adulto</v>
      </c>
      <c r="E332" s="46" t="str">
        <f>IFERROR(VLOOKUP($A332,Equipos!$C$2:$M$967,7,FALSE()),"")</f>
        <v xml:space="preserve">Drager </v>
      </c>
      <c r="F332" s="46" t="str">
        <f>IFERROR(VLOOKUP($A332,Equipos!$C$2:$M$967,8,FALSE()),"")</f>
        <v>Oxylog 3000</v>
      </c>
      <c r="G332" s="46" t="s">
        <v>331</v>
      </c>
      <c r="H332" s="46" t="s">
        <v>468</v>
      </c>
      <c r="I332" s="46"/>
      <c r="J332" s="46" t="s">
        <v>423</v>
      </c>
      <c r="K332" s="46" t="str">
        <f>IFERROR(VLOOKUP($J332,Catálogos!$M$4:$N$17,2,FALSE()),"")</f>
        <v>Reprogramada · No disponibilidad de horas hombre del servicio técnico externo</v>
      </c>
      <c r="L332" s="48">
        <v>46142</v>
      </c>
      <c r="M332" s="46" t="s">
        <v>461</v>
      </c>
      <c r="N332" s="46" t="s">
        <v>113</v>
      </c>
      <c r="O332" s="46"/>
      <c r="P332" s="46"/>
      <c r="Q332" s="46"/>
    </row>
    <row r="333" spans="1:17" hidden="1" x14ac:dyDescent="0.25">
      <c r="A333" s="47" t="s">
        <v>159</v>
      </c>
      <c r="B333" s="46" t="str">
        <f>IFERROR(VLOOKUP($A333,Equipos!$C$2:$M$967,2,FALSE()),"")</f>
        <v xml:space="preserve">Ventilador Mecánico </v>
      </c>
      <c r="C333" s="46" t="str">
        <f>IFERROR(VLOOKUP($A333,Equipos!$C$2:$M$967,9,FALSE()),"")</f>
        <v>ASFM-0082</v>
      </c>
      <c r="D333" s="46" t="str">
        <f>IFERROR(VLOOKUP($A333,Equipos!$C$2:$M$967,3,FALSE()),"")</f>
        <v>UPC Adulto</v>
      </c>
      <c r="E333" s="46" t="str">
        <f>IFERROR(VLOOKUP($A333,Equipos!$C$2:$M$967,7,FALSE()),"")</f>
        <v xml:space="preserve">Drager </v>
      </c>
      <c r="F333" s="46" t="str">
        <f>IFERROR(VLOOKUP($A333,Equipos!$C$2:$M$967,8,FALSE()),"")</f>
        <v>Oxylog 3000</v>
      </c>
      <c r="G333" s="46" t="s">
        <v>298</v>
      </c>
      <c r="H333" s="46" t="s">
        <v>460</v>
      </c>
      <c r="I333" s="46"/>
      <c r="J333" s="46" t="s">
        <v>297</v>
      </c>
      <c r="K333" s="46" t="str">
        <f>IFERROR(VLOOKUP($J333,Catálogos!$M$4:$N$17,2,FALSE()),"")</f>
        <v>Mantención Preventiva Realizada</v>
      </c>
      <c r="L333" s="48">
        <v>46160</v>
      </c>
      <c r="M333" s="46" t="s">
        <v>461</v>
      </c>
      <c r="N333" s="46" t="s">
        <v>113</v>
      </c>
      <c r="O333" s="46"/>
      <c r="P333" s="46"/>
      <c r="Q333" s="46"/>
    </row>
    <row r="334" spans="1:17" hidden="1" x14ac:dyDescent="0.25">
      <c r="A334" s="47" t="s">
        <v>496</v>
      </c>
      <c r="B334" s="46" t="str">
        <f>IFERROR(VLOOKUP($A334,Equipos!$C$2:$M$967,2,FALSE()),"")</f>
        <v xml:space="preserve">Ventilador Mecánico </v>
      </c>
      <c r="C334" s="46" t="str">
        <f>IFERROR(VLOOKUP($A334,Equipos!$C$2:$M$967,9,FALSE()),"")</f>
        <v>ASFN-0010</v>
      </c>
      <c r="D334" s="46" t="str">
        <f>IFERROR(VLOOKUP($A334,Equipos!$C$2:$M$967,3,FALSE()),"")</f>
        <v>UPC Adulto</v>
      </c>
      <c r="E334" s="46" t="str">
        <f>IFERROR(VLOOKUP($A334,Equipos!$C$2:$M$967,7,FALSE()),"")</f>
        <v>Drager</v>
      </c>
      <c r="F334" s="46" t="str">
        <f>IFERROR(VLOOKUP($A334,Equipos!$C$2:$M$967,8,FALSE()),"")</f>
        <v xml:space="preserve">Carina </v>
      </c>
      <c r="G334" s="46" t="s">
        <v>335</v>
      </c>
      <c r="H334" s="46"/>
      <c r="I334" s="46"/>
      <c r="J334" s="46" t="s">
        <v>476</v>
      </c>
      <c r="K334" s="46" t="str">
        <f>IFERROR(VLOOKUP($J334,Catálogos!$M$4:$N$17,2,FALSE()),"")</f>
        <v>No Realizada</v>
      </c>
      <c r="L334" s="46"/>
      <c r="M334" s="46"/>
      <c r="N334" s="46"/>
      <c r="O334" s="46"/>
      <c r="P334" s="46"/>
      <c r="Q334" s="46"/>
    </row>
    <row r="335" spans="1:17" hidden="1" x14ac:dyDescent="0.25">
      <c r="A335" s="47" t="s">
        <v>3</v>
      </c>
      <c r="B335" s="46" t="str">
        <f>IFERROR(VLOOKUP($A335,Equipos!$C$2:$M$967,2,FALSE()),"")</f>
        <v xml:space="preserve">Ventilador Mecánico </v>
      </c>
      <c r="C335" s="46" t="str">
        <f>IFERROR(VLOOKUP($A335,Equipos!$C$2:$M$967,9,FALSE()),"")</f>
        <v>ASFN-0008</v>
      </c>
      <c r="D335" s="46" t="str">
        <f>IFERROR(VLOOKUP($A335,Equipos!$C$2:$M$967,3,FALSE()),"")</f>
        <v>UPC Adulto</v>
      </c>
      <c r="E335" s="46" t="str">
        <f>IFERROR(VLOOKUP($A335,Equipos!$C$2:$M$967,7,FALSE()),"")</f>
        <v>Drager</v>
      </c>
      <c r="F335" s="46" t="str">
        <f>IFERROR(VLOOKUP($A335,Equipos!$C$2:$M$967,8,FALSE()),"")</f>
        <v xml:space="preserve">Carina </v>
      </c>
      <c r="G335" s="46" t="s">
        <v>335</v>
      </c>
      <c r="H335" s="46"/>
      <c r="I335" s="46"/>
      <c r="J335" s="46" t="s">
        <v>476</v>
      </c>
      <c r="K335" s="46" t="str">
        <f>IFERROR(VLOOKUP($J335,Catálogos!$M$4:$N$17,2,FALSE()),"")</f>
        <v>No Realizada</v>
      </c>
      <c r="L335" s="46"/>
      <c r="M335" s="46"/>
      <c r="N335" s="46"/>
      <c r="O335" s="46"/>
      <c r="P335" s="46"/>
      <c r="Q335" s="46"/>
    </row>
    <row r="336" spans="1:17" hidden="1" x14ac:dyDescent="0.25">
      <c r="A336" s="47" t="s">
        <v>3</v>
      </c>
      <c r="B336" s="46" t="str">
        <f>IFERROR(VLOOKUP($A336,Equipos!$C$2:$M$967,2,FALSE()),"")</f>
        <v xml:space="preserve">Ventilador Mecánico </v>
      </c>
      <c r="C336" s="46" t="str">
        <f>IFERROR(VLOOKUP($A336,Equipos!$C$2:$M$967,9,FALSE()),"")</f>
        <v>ASFN-0008</v>
      </c>
      <c r="D336" s="46" t="str">
        <f>IFERROR(VLOOKUP($A336,Equipos!$C$2:$M$967,3,FALSE()),"")</f>
        <v>UPC Adulto</v>
      </c>
      <c r="E336" s="46" t="str">
        <f>IFERROR(VLOOKUP($A336,Equipos!$C$2:$M$967,7,FALSE()),"")</f>
        <v>Drager</v>
      </c>
      <c r="F336" s="46" t="str">
        <f>IFERROR(VLOOKUP($A336,Equipos!$C$2:$M$967,8,FALSE()),"")</f>
        <v xml:space="preserve">Carina </v>
      </c>
      <c r="G336" s="46" t="s">
        <v>331</v>
      </c>
      <c r="H336" s="46" t="s">
        <v>460</v>
      </c>
      <c r="I336" s="46"/>
      <c r="J336" s="46" t="s">
        <v>277</v>
      </c>
      <c r="K336" s="46" t="str">
        <f>IFERROR(VLOOKUP($J336,Catálogos!$M$4:$N$17,2,FALSE()),"")</f>
        <v>Reprogramada · Equipo no operativo, a la espera de repuestos o accesorios</v>
      </c>
      <c r="L336" s="48">
        <v>46142</v>
      </c>
      <c r="M336" s="46" t="s">
        <v>461</v>
      </c>
      <c r="N336" s="46" t="s">
        <v>113</v>
      </c>
      <c r="O336" s="46"/>
      <c r="P336" s="46"/>
      <c r="Q336" s="46"/>
    </row>
    <row r="337" spans="1:17" hidden="1" x14ac:dyDescent="0.25">
      <c r="A337" s="47" t="s">
        <v>3</v>
      </c>
      <c r="B337" s="46" t="str">
        <f>IFERROR(VLOOKUP($A337,Equipos!$C$2:$M$967,2,FALSE()),"")</f>
        <v xml:space="preserve">Ventilador Mecánico </v>
      </c>
      <c r="C337" s="46" t="str">
        <f>IFERROR(VLOOKUP($A337,Equipos!$C$2:$M$967,9,FALSE()),"")</f>
        <v>ASFN-0008</v>
      </c>
      <c r="D337" s="46" t="str">
        <f>IFERROR(VLOOKUP($A337,Equipos!$C$2:$M$967,3,FALSE()),"")</f>
        <v>UPC Adulto</v>
      </c>
      <c r="E337" s="46" t="str">
        <f>IFERROR(VLOOKUP($A337,Equipos!$C$2:$M$967,7,FALSE()),"")</f>
        <v>Drager</v>
      </c>
      <c r="F337" s="46" t="str">
        <f>IFERROR(VLOOKUP($A337,Equipos!$C$2:$M$967,8,FALSE()),"")</f>
        <v xml:space="preserve">Carina </v>
      </c>
      <c r="G337" s="46" t="s">
        <v>298</v>
      </c>
      <c r="H337" s="46"/>
      <c r="I337" s="46"/>
      <c r="J337" s="46" t="s">
        <v>297</v>
      </c>
      <c r="K337" s="46" t="str">
        <f>IFERROR(VLOOKUP($J337,Catálogos!$M$4:$N$17,2,FALSE()),"")</f>
        <v>Mantención Preventiva Realizada</v>
      </c>
      <c r="L337" s="46"/>
      <c r="M337" s="46"/>
      <c r="N337" s="46"/>
      <c r="O337" s="46"/>
      <c r="P337" s="46"/>
      <c r="Q337" s="46"/>
    </row>
    <row r="338" spans="1:17" hidden="1" x14ac:dyDescent="0.25">
      <c r="A338" s="47" t="s">
        <v>497</v>
      </c>
      <c r="B338" s="46" t="str">
        <f>IFERROR(VLOOKUP($A338,Equipos!$C$2:$M$967,2,FALSE()),"")</f>
        <v xml:space="preserve">Ventilador Mecánico </v>
      </c>
      <c r="C338" s="46" t="str">
        <f>IFERROR(VLOOKUP($A338,Equipos!$C$2:$M$967,9,FALSE()),"")</f>
        <v>ASFN-0007</v>
      </c>
      <c r="D338" s="46" t="str">
        <f>IFERROR(VLOOKUP($A338,Equipos!$C$2:$M$967,3,FALSE()),"")</f>
        <v>UPC Adulto</v>
      </c>
      <c r="E338" s="46" t="str">
        <f>IFERROR(VLOOKUP($A338,Equipos!$C$2:$M$967,7,FALSE()),"")</f>
        <v>Drager</v>
      </c>
      <c r="F338" s="46" t="str">
        <f>IFERROR(VLOOKUP($A338,Equipos!$C$2:$M$967,8,FALSE()),"")</f>
        <v xml:space="preserve">Carina </v>
      </c>
      <c r="G338" s="46" t="s">
        <v>335</v>
      </c>
      <c r="H338" s="46"/>
      <c r="I338" s="46"/>
      <c r="J338" s="46" t="s">
        <v>476</v>
      </c>
      <c r="K338" s="46" t="str">
        <f>IFERROR(VLOOKUP($J338,Catálogos!$M$4:$N$17,2,FALSE()),"")</f>
        <v>No Realizada</v>
      </c>
      <c r="L338" s="46"/>
      <c r="M338" s="46"/>
      <c r="N338" s="46"/>
      <c r="O338" s="46"/>
      <c r="P338" s="46"/>
      <c r="Q338" s="46"/>
    </row>
    <row r="339" spans="1:17" hidden="1" x14ac:dyDescent="0.25">
      <c r="A339" s="47" t="s">
        <v>238</v>
      </c>
      <c r="B339" s="46" t="str">
        <f>IFERROR(VLOOKUP($A339,Equipos!$C$2:$M$967,2,FALSE()),"")</f>
        <v xml:space="preserve">Ventilador Mecánico </v>
      </c>
      <c r="C339" s="46" t="str">
        <f>IFERROR(VLOOKUP($A339,Equipos!$C$2:$M$967,9,FALSE()),"")</f>
        <v>ASFN-0006</v>
      </c>
      <c r="D339" s="46" t="str">
        <f>IFERROR(VLOOKUP($A339,Equipos!$C$2:$M$967,3,FALSE()),"")</f>
        <v>UPC Adulto</v>
      </c>
      <c r="E339" s="46" t="str">
        <f>IFERROR(VLOOKUP($A339,Equipos!$C$2:$M$967,7,FALSE()),"")</f>
        <v>Drager</v>
      </c>
      <c r="F339" s="46" t="str">
        <f>IFERROR(VLOOKUP($A339,Equipos!$C$2:$M$967,8,FALSE()),"")</f>
        <v xml:space="preserve">Carina </v>
      </c>
      <c r="G339" s="46" t="s">
        <v>335</v>
      </c>
      <c r="H339" s="46"/>
      <c r="I339" s="46"/>
      <c r="J339" s="46" t="s">
        <v>416</v>
      </c>
      <c r="K339" s="46" t="str">
        <f>IFERROR(VLOOKUP($J339,Catálogos!$M$4:$N$17,2,FALSE()),"")</f>
        <v>Mantención de Año Anterior Realizada</v>
      </c>
      <c r="L339" s="46"/>
      <c r="M339" s="46"/>
      <c r="N339" s="46"/>
      <c r="O339" s="46"/>
      <c r="P339" s="46"/>
      <c r="Q339" s="46"/>
    </row>
    <row r="340" spans="1:17" hidden="1" x14ac:dyDescent="0.25">
      <c r="A340" s="47" t="s">
        <v>238</v>
      </c>
      <c r="B340" s="46" t="str">
        <f>IFERROR(VLOOKUP($A340,Equipos!$C$2:$M$967,2,FALSE()),"")</f>
        <v xml:space="preserve">Ventilador Mecánico </v>
      </c>
      <c r="C340" s="46" t="str">
        <f>IFERROR(VLOOKUP($A340,Equipos!$C$2:$M$967,9,FALSE()),"")</f>
        <v>ASFN-0006</v>
      </c>
      <c r="D340" s="46" t="str">
        <f>IFERROR(VLOOKUP($A340,Equipos!$C$2:$M$967,3,FALSE()),"")</f>
        <v>UPC Adulto</v>
      </c>
      <c r="E340" s="46" t="str">
        <f>IFERROR(VLOOKUP($A340,Equipos!$C$2:$M$967,7,FALSE()),"")</f>
        <v>Drager</v>
      </c>
      <c r="F340" s="46" t="str">
        <f>IFERROR(VLOOKUP($A340,Equipos!$C$2:$M$967,8,FALSE()),"")</f>
        <v xml:space="preserve">Carina </v>
      </c>
      <c r="G340" s="46" t="s">
        <v>331</v>
      </c>
      <c r="H340" s="46" t="s">
        <v>468</v>
      </c>
      <c r="I340" s="46"/>
      <c r="J340" s="46" t="s">
        <v>423</v>
      </c>
      <c r="K340" s="46" t="str">
        <f>IFERROR(VLOOKUP($J340,Catálogos!$M$4:$N$17,2,FALSE()),"")</f>
        <v>Reprogramada · No disponibilidad de horas hombre del servicio técnico externo</v>
      </c>
      <c r="L340" s="48">
        <v>46142</v>
      </c>
      <c r="M340" s="46" t="s">
        <v>461</v>
      </c>
      <c r="N340" s="46" t="s">
        <v>113</v>
      </c>
      <c r="O340" s="46"/>
      <c r="P340" s="46"/>
      <c r="Q340" s="46"/>
    </row>
    <row r="341" spans="1:17" hidden="1" x14ac:dyDescent="0.25">
      <c r="A341" s="47" t="s">
        <v>238</v>
      </c>
      <c r="B341" s="46" t="str">
        <f>IFERROR(VLOOKUP($A341,Equipos!$C$2:$M$967,2,FALSE()),"")</f>
        <v xml:space="preserve">Ventilador Mecánico </v>
      </c>
      <c r="C341" s="46" t="str">
        <f>IFERROR(VLOOKUP($A341,Equipos!$C$2:$M$967,9,FALSE()),"")</f>
        <v>ASFN-0006</v>
      </c>
      <c r="D341" s="46" t="str">
        <f>IFERROR(VLOOKUP($A341,Equipos!$C$2:$M$967,3,FALSE()),"")</f>
        <v>UPC Adulto</v>
      </c>
      <c r="E341" s="46" t="str">
        <f>IFERROR(VLOOKUP($A341,Equipos!$C$2:$M$967,7,FALSE()),"")</f>
        <v>Drager</v>
      </c>
      <c r="F341" s="46" t="str">
        <f>IFERROR(VLOOKUP($A341,Equipos!$C$2:$M$967,8,FALSE()),"")</f>
        <v xml:space="preserve">Carina </v>
      </c>
      <c r="G341" s="46" t="s">
        <v>298</v>
      </c>
      <c r="H341" s="46" t="s">
        <v>468</v>
      </c>
      <c r="I341" s="46"/>
      <c r="J341" s="46" t="s">
        <v>297</v>
      </c>
      <c r="K341" s="46" t="str">
        <f>IFERROR(VLOOKUP($J341,Catálogos!$M$4:$N$17,2,FALSE()),"")</f>
        <v>Mantención Preventiva Realizada</v>
      </c>
      <c r="L341" s="48">
        <v>46170</v>
      </c>
      <c r="M341" s="46" t="s">
        <v>461</v>
      </c>
      <c r="N341" s="46" t="s">
        <v>113</v>
      </c>
      <c r="O341" s="46"/>
      <c r="P341" s="46"/>
      <c r="Q341" s="46"/>
    </row>
    <row r="342" spans="1:17" hidden="1" x14ac:dyDescent="0.25">
      <c r="A342" s="47" t="s">
        <v>498</v>
      </c>
      <c r="B342" s="46" t="str">
        <f>IFERROR(VLOOKUP($A342,Equipos!$C$2:$M$967,2,FALSE()),"")</f>
        <v xml:space="preserve">Ventilador Mecánico </v>
      </c>
      <c r="C342" s="46" t="str">
        <f>IFERROR(VLOOKUP($A342,Equipos!$C$2:$M$967,9,FALSE()),"")</f>
        <v>ASFN-0009</v>
      </c>
      <c r="D342" s="46" t="str">
        <f>IFERROR(VLOOKUP($A342,Equipos!$C$2:$M$967,3,FALSE()),"")</f>
        <v>UPC Adulto</v>
      </c>
      <c r="E342" s="46" t="str">
        <f>IFERROR(VLOOKUP($A342,Equipos!$C$2:$M$967,7,FALSE()),"")</f>
        <v>Drager</v>
      </c>
      <c r="F342" s="46" t="str">
        <f>IFERROR(VLOOKUP($A342,Equipos!$C$2:$M$967,8,FALSE()),"")</f>
        <v xml:space="preserve">Carina </v>
      </c>
      <c r="G342" s="46" t="s">
        <v>298</v>
      </c>
      <c r="H342" s="46"/>
      <c r="I342" s="46"/>
      <c r="J342" s="46" t="s">
        <v>297</v>
      </c>
      <c r="K342" s="46" t="str">
        <f>IFERROR(VLOOKUP($J342,Catálogos!$M$4:$N$17,2,FALSE()),"")</f>
        <v>Mantención Preventiva Realizada</v>
      </c>
      <c r="L342" s="46"/>
      <c r="M342" s="46"/>
      <c r="N342" s="46"/>
      <c r="O342" s="46"/>
      <c r="P342" s="46"/>
      <c r="Q342" s="46"/>
    </row>
    <row r="343" spans="1:17" hidden="1" x14ac:dyDescent="0.25">
      <c r="A343" s="47" t="s">
        <v>173</v>
      </c>
      <c r="B343" s="46" t="str">
        <f>IFERROR(VLOOKUP($A343,Equipos!$C$2:$M$967,2,FALSE()),"")</f>
        <v xml:space="preserve">Ventilador Mecánico </v>
      </c>
      <c r="C343" s="46" t="str">
        <f>IFERROR(VLOOKUP($A343,Equipos!$C$2:$M$967,9,FALSE()),"")</f>
        <v>ASHK-0158</v>
      </c>
      <c r="D343" s="46" t="str">
        <f>IFERROR(VLOOKUP($A343,Equipos!$C$2:$M$967,3,FALSE()),"")</f>
        <v>UPC Adulto</v>
      </c>
      <c r="E343" s="46" t="str">
        <f>IFERROR(VLOOKUP($A343,Equipos!$C$2:$M$967,7,FALSE()),"")</f>
        <v>Drager</v>
      </c>
      <c r="F343" s="46" t="str">
        <f>IFERROR(VLOOKUP($A343,Equipos!$C$2:$M$967,8,FALSE()),"")</f>
        <v>Evita V300</v>
      </c>
      <c r="G343" s="46" t="s">
        <v>331</v>
      </c>
      <c r="H343" s="46" t="s">
        <v>460</v>
      </c>
      <c r="I343" s="46"/>
      <c r="J343" s="46" t="s">
        <v>423</v>
      </c>
      <c r="K343" s="46" t="str">
        <f>IFERROR(VLOOKUP($J343,Catálogos!$M$4:$N$17,2,FALSE()),"")</f>
        <v>Reprogramada · No disponibilidad de horas hombre del servicio técnico externo</v>
      </c>
      <c r="L343" s="48">
        <v>46142</v>
      </c>
      <c r="M343" s="46" t="s">
        <v>461</v>
      </c>
      <c r="N343" s="46" t="s">
        <v>113</v>
      </c>
      <c r="O343" s="46"/>
      <c r="P343" s="46"/>
      <c r="Q343" s="46"/>
    </row>
    <row r="344" spans="1:17" hidden="1" x14ac:dyDescent="0.25">
      <c r="A344" s="47" t="s">
        <v>173</v>
      </c>
      <c r="B344" s="46" t="str">
        <f>IFERROR(VLOOKUP($A344,Equipos!$C$2:$M$967,2,FALSE()),"")</f>
        <v xml:space="preserve">Ventilador Mecánico </v>
      </c>
      <c r="C344" s="46" t="str">
        <f>IFERROR(VLOOKUP($A344,Equipos!$C$2:$M$967,9,FALSE()),"")</f>
        <v>ASHK-0158</v>
      </c>
      <c r="D344" s="46" t="str">
        <f>IFERROR(VLOOKUP($A344,Equipos!$C$2:$M$967,3,FALSE()),"")</f>
        <v>UPC Adulto</v>
      </c>
      <c r="E344" s="46" t="str">
        <f>IFERROR(VLOOKUP($A344,Equipos!$C$2:$M$967,7,FALSE()),"")</f>
        <v>Drager</v>
      </c>
      <c r="F344" s="46" t="str">
        <f>IFERROR(VLOOKUP($A344,Equipos!$C$2:$M$967,8,FALSE()),"")</f>
        <v>Evita V300</v>
      </c>
      <c r="G344" s="46" t="s">
        <v>298</v>
      </c>
      <c r="H344" s="46" t="s">
        <v>460</v>
      </c>
      <c r="I344" s="46"/>
      <c r="J344" s="46" t="s">
        <v>297</v>
      </c>
      <c r="K344" s="46" t="str">
        <f>IFERROR(VLOOKUP($J344,Catálogos!$M$4:$N$17,2,FALSE()),"")</f>
        <v>Mantención Preventiva Realizada</v>
      </c>
      <c r="L344" s="48">
        <v>46148</v>
      </c>
      <c r="M344" s="46" t="s">
        <v>461</v>
      </c>
      <c r="N344" s="46" t="s">
        <v>113</v>
      </c>
      <c r="O344" s="46"/>
      <c r="P344" s="46"/>
      <c r="Q344" s="46"/>
    </row>
    <row r="345" spans="1:17" hidden="1" x14ac:dyDescent="0.25">
      <c r="A345" s="47" t="s">
        <v>179</v>
      </c>
      <c r="B345" s="46" t="str">
        <f>IFERROR(VLOOKUP($A345,Equipos!$C$2:$M$967,2,FALSE()),"")</f>
        <v xml:space="preserve">Ventilador Mecánico </v>
      </c>
      <c r="C345" s="46" t="str">
        <f>IFERROR(VLOOKUP($A345,Equipos!$C$2:$M$967,9,FALSE()),"")</f>
        <v>ASHK-0163</v>
      </c>
      <c r="D345" s="46" t="str">
        <f>IFERROR(VLOOKUP($A345,Equipos!$C$2:$M$967,3,FALSE()),"")</f>
        <v>UPC Adulto</v>
      </c>
      <c r="E345" s="46" t="str">
        <f>IFERROR(VLOOKUP($A345,Equipos!$C$2:$M$967,7,FALSE()),"")</f>
        <v>Drager</v>
      </c>
      <c r="F345" s="46" t="str">
        <f>IFERROR(VLOOKUP($A345,Equipos!$C$2:$M$967,8,FALSE()),"")</f>
        <v>Evita V300</v>
      </c>
      <c r="G345" s="46" t="s">
        <v>331</v>
      </c>
      <c r="H345" s="46" t="s">
        <v>460</v>
      </c>
      <c r="I345" s="46"/>
      <c r="J345" s="46" t="s">
        <v>423</v>
      </c>
      <c r="K345" s="46" t="str">
        <f>IFERROR(VLOOKUP($J345,Catálogos!$M$4:$N$17,2,FALSE()),"")</f>
        <v>Reprogramada · No disponibilidad de horas hombre del servicio técnico externo</v>
      </c>
      <c r="L345" s="48">
        <v>46142</v>
      </c>
      <c r="M345" s="46" t="s">
        <v>461</v>
      </c>
      <c r="N345" s="46" t="s">
        <v>113</v>
      </c>
      <c r="O345" s="46"/>
      <c r="P345" s="46"/>
      <c r="Q345" s="46"/>
    </row>
    <row r="346" spans="1:17" hidden="1" x14ac:dyDescent="0.25">
      <c r="A346" s="47" t="s">
        <v>179</v>
      </c>
      <c r="B346" s="46" t="str">
        <f>IFERROR(VLOOKUP($A346,Equipos!$C$2:$M$967,2,FALSE()),"")</f>
        <v xml:space="preserve">Ventilador Mecánico </v>
      </c>
      <c r="C346" s="46" t="str">
        <f>IFERROR(VLOOKUP($A346,Equipos!$C$2:$M$967,9,FALSE()),"")</f>
        <v>ASHK-0163</v>
      </c>
      <c r="D346" s="46" t="str">
        <f>IFERROR(VLOOKUP($A346,Equipos!$C$2:$M$967,3,FALSE()),"")</f>
        <v>UPC Adulto</v>
      </c>
      <c r="E346" s="46" t="str">
        <f>IFERROR(VLOOKUP($A346,Equipos!$C$2:$M$967,7,FALSE()),"")</f>
        <v>Drager</v>
      </c>
      <c r="F346" s="46" t="str">
        <f>IFERROR(VLOOKUP($A346,Equipos!$C$2:$M$967,8,FALSE()),"")</f>
        <v>Evita V300</v>
      </c>
      <c r="G346" s="46" t="s">
        <v>298</v>
      </c>
      <c r="H346" s="46" t="s">
        <v>460</v>
      </c>
      <c r="I346" s="46"/>
      <c r="J346" s="46" t="s">
        <v>297</v>
      </c>
      <c r="K346" s="46" t="str">
        <f>IFERROR(VLOOKUP($J346,Catálogos!$M$4:$N$17,2,FALSE()),"")</f>
        <v>Mantención Preventiva Realizada</v>
      </c>
      <c r="L346" s="48">
        <v>46155</v>
      </c>
      <c r="M346" s="46" t="s">
        <v>461</v>
      </c>
      <c r="N346" s="46" t="s">
        <v>113</v>
      </c>
      <c r="O346" s="46"/>
      <c r="P346" s="46"/>
      <c r="Q346" s="46"/>
    </row>
    <row r="347" spans="1:17" hidden="1" x14ac:dyDescent="0.25">
      <c r="A347" s="47" t="s">
        <v>176</v>
      </c>
      <c r="B347" s="46" t="str">
        <f>IFERROR(VLOOKUP($A347,Equipos!$C$2:$M$967,2,FALSE()),"")</f>
        <v xml:space="preserve">Ventilador Mecánico </v>
      </c>
      <c r="C347" s="46" t="str">
        <f>IFERROR(VLOOKUP($A347,Equipos!$C$2:$M$967,9,FALSE()),"")</f>
        <v>ASHK-0162</v>
      </c>
      <c r="D347" s="46" t="str">
        <f>IFERROR(VLOOKUP($A347,Equipos!$C$2:$M$967,3,FALSE()),"")</f>
        <v>UPC Adulto</v>
      </c>
      <c r="E347" s="46" t="str">
        <f>IFERROR(VLOOKUP($A347,Equipos!$C$2:$M$967,7,FALSE()),"")</f>
        <v>Drager</v>
      </c>
      <c r="F347" s="46" t="str">
        <f>IFERROR(VLOOKUP($A347,Equipos!$C$2:$M$967,8,FALSE()),"")</f>
        <v>Evita V300</v>
      </c>
      <c r="G347" s="46" t="s">
        <v>331</v>
      </c>
      <c r="H347" s="46" t="s">
        <v>460</v>
      </c>
      <c r="I347" s="46"/>
      <c r="J347" s="46" t="s">
        <v>423</v>
      </c>
      <c r="K347" s="46" t="str">
        <f>IFERROR(VLOOKUP($J347,Catálogos!$M$4:$N$17,2,FALSE()),"")</f>
        <v>Reprogramada · No disponibilidad de horas hombre del servicio técnico externo</v>
      </c>
      <c r="L347" s="48">
        <v>46142</v>
      </c>
      <c r="M347" s="46" t="s">
        <v>461</v>
      </c>
      <c r="N347" s="46" t="s">
        <v>113</v>
      </c>
      <c r="O347" s="46"/>
      <c r="P347" s="46"/>
      <c r="Q347" s="46"/>
    </row>
    <row r="348" spans="1:17" hidden="1" x14ac:dyDescent="0.25">
      <c r="A348" s="47" t="s">
        <v>176</v>
      </c>
      <c r="B348" s="46" t="str">
        <f>IFERROR(VLOOKUP($A348,Equipos!$C$2:$M$967,2,FALSE()),"")</f>
        <v xml:space="preserve">Ventilador Mecánico </v>
      </c>
      <c r="C348" s="46" t="str">
        <f>IFERROR(VLOOKUP($A348,Equipos!$C$2:$M$967,9,FALSE()),"")</f>
        <v>ASHK-0162</v>
      </c>
      <c r="D348" s="46" t="str">
        <f>IFERROR(VLOOKUP($A348,Equipos!$C$2:$M$967,3,FALSE()),"")</f>
        <v>UPC Adulto</v>
      </c>
      <c r="E348" s="46" t="str">
        <f>IFERROR(VLOOKUP($A348,Equipos!$C$2:$M$967,7,FALSE()),"")</f>
        <v>Drager</v>
      </c>
      <c r="F348" s="46" t="str">
        <f>IFERROR(VLOOKUP($A348,Equipos!$C$2:$M$967,8,FALSE()),"")</f>
        <v>Evita V300</v>
      </c>
      <c r="G348" s="46" t="s">
        <v>298</v>
      </c>
      <c r="H348" s="46" t="s">
        <v>460</v>
      </c>
      <c r="I348" s="46"/>
      <c r="J348" s="46" t="s">
        <v>297</v>
      </c>
      <c r="K348" s="46" t="str">
        <f>IFERROR(VLOOKUP($J348,Catálogos!$M$4:$N$17,2,FALSE()),"")</f>
        <v>Mantención Preventiva Realizada</v>
      </c>
      <c r="L348" s="48">
        <v>46155</v>
      </c>
      <c r="M348" s="46" t="s">
        <v>461</v>
      </c>
      <c r="N348" s="46" t="s">
        <v>113</v>
      </c>
      <c r="O348" s="46"/>
      <c r="P348" s="46"/>
      <c r="Q348" s="46"/>
    </row>
    <row r="349" spans="1:17" hidden="1" x14ac:dyDescent="0.25">
      <c r="A349" s="47" t="s">
        <v>68</v>
      </c>
      <c r="B349" s="46" t="str">
        <f>IFERROR(VLOOKUP($A349,Equipos!$C$2:$M$967,2,FALSE()),"")</f>
        <v xml:space="preserve">Ventilador Mecánico </v>
      </c>
      <c r="C349" s="46" t="str">
        <f>IFERROR(VLOOKUP($A349,Equipos!$C$2:$M$967,9,FALSE()),"")</f>
        <v>ASHK-0151</v>
      </c>
      <c r="D349" s="46" t="str">
        <f>IFERROR(VLOOKUP($A349,Equipos!$C$2:$M$967,3,FALSE()),"")</f>
        <v>UPC Adulto</v>
      </c>
      <c r="E349" s="46" t="str">
        <f>IFERROR(VLOOKUP($A349,Equipos!$C$2:$M$967,7,FALSE()),"")</f>
        <v>Drager</v>
      </c>
      <c r="F349" s="46" t="str">
        <f>IFERROR(VLOOKUP($A349,Equipos!$C$2:$M$967,8,FALSE()),"")</f>
        <v>Evita V300</v>
      </c>
      <c r="G349" s="46" t="s">
        <v>335</v>
      </c>
      <c r="H349" s="46"/>
      <c r="I349" s="46"/>
      <c r="J349" s="46" t="s">
        <v>476</v>
      </c>
      <c r="K349" s="46" t="str">
        <f>IFERROR(VLOOKUP($J349,Catálogos!$M$4:$N$17,2,FALSE()),"")</f>
        <v>No Realizada</v>
      </c>
      <c r="L349" s="46"/>
      <c r="M349" s="46"/>
      <c r="N349" s="46"/>
      <c r="O349" s="46"/>
      <c r="P349" s="46"/>
      <c r="Q349" s="46"/>
    </row>
    <row r="350" spans="1:17" hidden="1" x14ac:dyDescent="0.25">
      <c r="A350" s="47" t="s">
        <v>68</v>
      </c>
      <c r="B350" s="46" t="str">
        <f>IFERROR(VLOOKUP($A350,Equipos!$C$2:$M$967,2,FALSE()),"")</f>
        <v xml:space="preserve">Ventilador Mecánico </v>
      </c>
      <c r="C350" s="46" t="str">
        <f>IFERROR(VLOOKUP($A350,Equipos!$C$2:$M$967,9,FALSE()),"")</f>
        <v>ASHK-0151</v>
      </c>
      <c r="D350" s="46" t="str">
        <f>IFERROR(VLOOKUP($A350,Equipos!$C$2:$M$967,3,FALSE()),"")</f>
        <v>UPC Adulto</v>
      </c>
      <c r="E350" s="46" t="str">
        <f>IFERROR(VLOOKUP($A350,Equipos!$C$2:$M$967,7,FALSE()),"")</f>
        <v>Drager</v>
      </c>
      <c r="F350" s="46" t="str">
        <f>IFERROR(VLOOKUP($A350,Equipos!$C$2:$M$967,8,FALSE()),"")</f>
        <v>Evita V300</v>
      </c>
      <c r="G350" s="46" t="s">
        <v>331</v>
      </c>
      <c r="H350" s="46" t="s">
        <v>468</v>
      </c>
      <c r="I350" s="46"/>
      <c r="J350" s="46" t="s">
        <v>278</v>
      </c>
      <c r="K350" s="46" t="str">
        <f>IFERROR(VLOOKUP($J350,Catálogos!$M$4:$N$17,2,FALSE()),"")</f>
        <v>Reprogramada · Equipo en servicio técnico</v>
      </c>
      <c r="L350" s="48">
        <v>46142</v>
      </c>
      <c r="M350" s="46" t="s">
        <v>461</v>
      </c>
      <c r="N350" s="46" t="s">
        <v>113</v>
      </c>
      <c r="O350" s="46"/>
      <c r="P350" s="46"/>
      <c r="Q350" s="46"/>
    </row>
    <row r="351" spans="1:17" hidden="1" x14ac:dyDescent="0.25">
      <c r="A351" s="47" t="s">
        <v>68</v>
      </c>
      <c r="B351" s="46" t="str">
        <f>IFERROR(VLOOKUP($A351,Equipos!$C$2:$M$967,2,FALSE()),"")</f>
        <v xml:space="preserve">Ventilador Mecánico </v>
      </c>
      <c r="C351" s="46" t="str">
        <f>IFERROR(VLOOKUP($A351,Equipos!$C$2:$M$967,9,FALSE()),"")</f>
        <v>ASHK-0151</v>
      </c>
      <c r="D351" s="46" t="str">
        <f>IFERROR(VLOOKUP($A351,Equipos!$C$2:$M$967,3,FALSE()),"")</f>
        <v>UPC Adulto</v>
      </c>
      <c r="E351" s="46" t="str">
        <f>IFERROR(VLOOKUP($A351,Equipos!$C$2:$M$967,7,FALSE()),"")</f>
        <v>Drager</v>
      </c>
      <c r="F351" s="46" t="str">
        <f>IFERROR(VLOOKUP($A351,Equipos!$C$2:$M$967,8,FALSE()),"")</f>
        <v>Evita V300</v>
      </c>
      <c r="G351" s="46" t="s">
        <v>298</v>
      </c>
      <c r="H351" s="46" t="s">
        <v>468</v>
      </c>
      <c r="I351" s="46"/>
      <c r="J351" s="46" t="s">
        <v>297</v>
      </c>
      <c r="K351" s="46" t="str">
        <f>IFERROR(VLOOKUP($J351,Catálogos!$M$4:$N$17,2,FALSE()),"")</f>
        <v>Mantención Preventiva Realizada</v>
      </c>
      <c r="L351" s="48">
        <v>46147</v>
      </c>
      <c r="M351" s="46" t="s">
        <v>461</v>
      </c>
      <c r="N351" s="46" t="s">
        <v>113</v>
      </c>
      <c r="O351" s="46"/>
      <c r="P351" s="46"/>
      <c r="Q351" s="46"/>
    </row>
    <row r="352" spans="1:17" hidden="1" x14ac:dyDescent="0.25">
      <c r="A352" s="47" t="s">
        <v>166</v>
      </c>
      <c r="B352" s="46" t="str">
        <f>IFERROR(VLOOKUP($A352,Equipos!$C$2:$M$967,2,FALSE()),"")</f>
        <v xml:space="preserve">Ventilador Mecánico </v>
      </c>
      <c r="C352" s="46" t="str">
        <f>IFERROR(VLOOKUP($A352,Equipos!$C$2:$M$967,9,FALSE()),"")</f>
        <v>ASHK-0155</v>
      </c>
      <c r="D352" s="46" t="str">
        <f>IFERROR(VLOOKUP($A352,Equipos!$C$2:$M$967,3,FALSE()),"")</f>
        <v>UPC Adulto</v>
      </c>
      <c r="E352" s="46" t="str">
        <f>IFERROR(VLOOKUP($A352,Equipos!$C$2:$M$967,7,FALSE()),"")</f>
        <v>Drager</v>
      </c>
      <c r="F352" s="46" t="str">
        <f>IFERROR(VLOOKUP($A352,Equipos!$C$2:$M$967,8,FALSE()),"")</f>
        <v>Evita V300</v>
      </c>
      <c r="G352" s="46" t="s">
        <v>331</v>
      </c>
      <c r="H352" s="46" t="s">
        <v>460</v>
      </c>
      <c r="I352" s="46"/>
      <c r="J352" s="46" t="s">
        <v>423</v>
      </c>
      <c r="K352" s="46" t="str">
        <f>IFERROR(VLOOKUP($J352,Catálogos!$M$4:$N$17,2,FALSE()),"")</f>
        <v>Reprogramada · No disponibilidad de horas hombre del servicio técnico externo</v>
      </c>
      <c r="L352" s="48">
        <v>46142</v>
      </c>
      <c r="M352" s="46" t="s">
        <v>461</v>
      </c>
      <c r="N352" s="46" t="s">
        <v>113</v>
      </c>
      <c r="O352" s="46"/>
      <c r="P352" s="46"/>
      <c r="Q352" s="46"/>
    </row>
    <row r="353" spans="1:17" hidden="1" x14ac:dyDescent="0.25">
      <c r="A353" s="47" t="s">
        <v>166</v>
      </c>
      <c r="B353" s="46" t="str">
        <f>IFERROR(VLOOKUP($A353,Equipos!$C$2:$M$967,2,FALSE()),"")</f>
        <v xml:space="preserve">Ventilador Mecánico </v>
      </c>
      <c r="C353" s="46" t="str">
        <f>IFERROR(VLOOKUP($A353,Equipos!$C$2:$M$967,9,FALSE()),"")</f>
        <v>ASHK-0155</v>
      </c>
      <c r="D353" s="46" t="str">
        <f>IFERROR(VLOOKUP($A353,Equipos!$C$2:$M$967,3,FALSE()),"")</f>
        <v>UPC Adulto</v>
      </c>
      <c r="E353" s="46" t="str">
        <f>IFERROR(VLOOKUP($A353,Equipos!$C$2:$M$967,7,FALSE()),"")</f>
        <v>Drager</v>
      </c>
      <c r="F353" s="46" t="str">
        <f>IFERROR(VLOOKUP($A353,Equipos!$C$2:$M$967,8,FALSE()),"")</f>
        <v>Evita V300</v>
      </c>
      <c r="G353" s="46" t="s">
        <v>298</v>
      </c>
      <c r="H353" s="46" t="s">
        <v>460</v>
      </c>
      <c r="I353" s="46"/>
      <c r="J353" s="46" t="s">
        <v>297</v>
      </c>
      <c r="K353" s="46" t="str">
        <f>IFERROR(VLOOKUP($J353,Catálogos!$M$4:$N$17,2,FALSE()),"")</f>
        <v>Mantención Preventiva Realizada</v>
      </c>
      <c r="L353" s="48">
        <v>46162</v>
      </c>
      <c r="M353" s="46" t="s">
        <v>461</v>
      </c>
      <c r="N353" s="46" t="s">
        <v>113</v>
      </c>
      <c r="O353" s="46"/>
      <c r="P353" s="46"/>
      <c r="Q353" s="46"/>
    </row>
    <row r="354" spans="1:17" hidden="1" x14ac:dyDescent="0.25">
      <c r="A354" s="47" t="s">
        <v>170</v>
      </c>
      <c r="B354" s="46" t="str">
        <f>IFERROR(VLOOKUP($A354,Equipos!$C$2:$M$967,2,FALSE()),"")</f>
        <v xml:space="preserve">Ventilador Mecánico </v>
      </c>
      <c r="C354" s="46" t="str">
        <f>IFERROR(VLOOKUP($A354,Equipos!$C$2:$M$967,9,FALSE()),"")</f>
        <v>ASHK-0157</v>
      </c>
      <c r="D354" s="46" t="str">
        <f>IFERROR(VLOOKUP($A354,Equipos!$C$2:$M$967,3,FALSE()),"")</f>
        <v>UPC Adulto</v>
      </c>
      <c r="E354" s="46" t="str">
        <f>IFERROR(VLOOKUP($A354,Equipos!$C$2:$M$967,7,FALSE()),"")</f>
        <v>Drager</v>
      </c>
      <c r="F354" s="46" t="str">
        <f>IFERROR(VLOOKUP($A354,Equipos!$C$2:$M$967,8,FALSE()),"")</f>
        <v>Evita V300</v>
      </c>
      <c r="G354" s="46" t="s">
        <v>331</v>
      </c>
      <c r="H354" s="46" t="s">
        <v>460</v>
      </c>
      <c r="I354" s="46"/>
      <c r="J354" s="46" t="s">
        <v>423</v>
      </c>
      <c r="K354" s="46" t="str">
        <f>IFERROR(VLOOKUP($J354,Catálogos!$M$4:$N$17,2,FALSE()),"")</f>
        <v>Reprogramada · No disponibilidad de horas hombre del servicio técnico externo</v>
      </c>
      <c r="L354" s="48">
        <v>46142</v>
      </c>
      <c r="M354" s="46" t="s">
        <v>461</v>
      </c>
      <c r="N354" s="46" t="s">
        <v>113</v>
      </c>
      <c r="O354" s="46"/>
      <c r="P354" s="46"/>
      <c r="Q354" s="46"/>
    </row>
    <row r="355" spans="1:17" hidden="1" x14ac:dyDescent="0.25">
      <c r="A355" s="47" t="s">
        <v>170</v>
      </c>
      <c r="B355" s="46" t="str">
        <f>IFERROR(VLOOKUP($A355,Equipos!$C$2:$M$967,2,FALSE()),"")</f>
        <v xml:space="preserve">Ventilador Mecánico </v>
      </c>
      <c r="C355" s="46" t="str">
        <f>IFERROR(VLOOKUP($A355,Equipos!$C$2:$M$967,9,FALSE()),"")</f>
        <v>ASHK-0157</v>
      </c>
      <c r="D355" s="46" t="str">
        <f>IFERROR(VLOOKUP($A355,Equipos!$C$2:$M$967,3,FALSE()),"")</f>
        <v>UPC Adulto</v>
      </c>
      <c r="E355" s="46" t="str">
        <f>IFERROR(VLOOKUP($A355,Equipos!$C$2:$M$967,7,FALSE()),"")</f>
        <v>Drager</v>
      </c>
      <c r="F355" s="46" t="str">
        <f>IFERROR(VLOOKUP($A355,Equipos!$C$2:$M$967,8,FALSE()),"")</f>
        <v>Evita V300</v>
      </c>
      <c r="G355" s="46" t="s">
        <v>298</v>
      </c>
      <c r="H355" s="46" t="s">
        <v>460</v>
      </c>
      <c r="I355" s="46"/>
      <c r="J355" s="46" t="s">
        <v>297</v>
      </c>
      <c r="K355" s="46" t="str">
        <f>IFERROR(VLOOKUP($J355,Catálogos!$M$4:$N$17,2,FALSE()),"")</f>
        <v>Mantención Preventiva Realizada</v>
      </c>
      <c r="L355" s="48">
        <v>46156</v>
      </c>
      <c r="M355" s="46" t="s">
        <v>461</v>
      </c>
      <c r="N355" s="46" t="s">
        <v>113</v>
      </c>
      <c r="O355" s="46"/>
      <c r="P355" s="46"/>
      <c r="Q355" s="46"/>
    </row>
    <row r="356" spans="1:17" hidden="1" x14ac:dyDescent="0.25">
      <c r="A356" s="47" t="s">
        <v>164</v>
      </c>
      <c r="B356" s="46" t="str">
        <f>IFERROR(VLOOKUP($A356,Equipos!$C$2:$M$967,2,FALSE()),"")</f>
        <v xml:space="preserve">Ventilador Mecánico </v>
      </c>
      <c r="C356" s="46" t="str">
        <f>IFERROR(VLOOKUP($A356,Equipos!$C$2:$M$967,9,FALSE()),"")</f>
        <v>ASHK-0152</v>
      </c>
      <c r="D356" s="46" t="str">
        <f>IFERROR(VLOOKUP($A356,Equipos!$C$2:$M$967,3,FALSE()),"")</f>
        <v>UPC Adulto</v>
      </c>
      <c r="E356" s="46" t="str">
        <f>IFERROR(VLOOKUP($A356,Equipos!$C$2:$M$967,7,FALSE()),"")</f>
        <v>Drager</v>
      </c>
      <c r="F356" s="46" t="str">
        <f>IFERROR(VLOOKUP($A356,Equipos!$C$2:$M$967,8,FALSE()),"")</f>
        <v>Evita V300</v>
      </c>
      <c r="G356" s="46" t="s">
        <v>331</v>
      </c>
      <c r="H356" s="46" t="s">
        <v>468</v>
      </c>
      <c r="I356" s="46" t="s">
        <v>499</v>
      </c>
      <c r="J356" s="46" t="s">
        <v>423</v>
      </c>
      <c r="K356" s="46" t="str">
        <f>IFERROR(VLOOKUP($J356,Catálogos!$M$4:$N$17,2,FALSE()),"")</f>
        <v>Reprogramada · No disponibilidad de horas hombre del servicio técnico externo</v>
      </c>
      <c r="L356" s="48">
        <v>46142</v>
      </c>
      <c r="M356" s="46" t="s">
        <v>461</v>
      </c>
      <c r="N356" s="46" t="s">
        <v>113</v>
      </c>
      <c r="O356" s="46"/>
      <c r="P356" s="46"/>
      <c r="Q356" s="46"/>
    </row>
    <row r="357" spans="1:17" hidden="1" x14ac:dyDescent="0.25">
      <c r="A357" s="47" t="s">
        <v>164</v>
      </c>
      <c r="B357" s="46" t="str">
        <f>IFERROR(VLOOKUP($A357,Equipos!$C$2:$M$967,2,FALSE()),"")</f>
        <v xml:space="preserve">Ventilador Mecánico </v>
      </c>
      <c r="C357" s="46" t="str">
        <f>IFERROR(VLOOKUP($A357,Equipos!$C$2:$M$967,9,FALSE()),"")</f>
        <v>ASHK-0152</v>
      </c>
      <c r="D357" s="46" t="str">
        <f>IFERROR(VLOOKUP($A357,Equipos!$C$2:$M$967,3,FALSE()),"")</f>
        <v>UPC Adulto</v>
      </c>
      <c r="E357" s="46" t="str">
        <f>IFERROR(VLOOKUP($A357,Equipos!$C$2:$M$967,7,FALSE()),"")</f>
        <v>Drager</v>
      </c>
      <c r="F357" s="46" t="str">
        <f>IFERROR(VLOOKUP($A357,Equipos!$C$2:$M$967,8,FALSE()),"")</f>
        <v>Evita V300</v>
      </c>
      <c r="G357" s="46" t="s">
        <v>298</v>
      </c>
      <c r="H357" s="46" t="s">
        <v>460</v>
      </c>
      <c r="I357" s="46"/>
      <c r="J357" s="46" t="s">
        <v>297</v>
      </c>
      <c r="K357" s="46" t="str">
        <f>IFERROR(VLOOKUP($J357,Catálogos!$M$4:$N$17,2,FALSE()),"")</f>
        <v>Mantención Preventiva Realizada</v>
      </c>
      <c r="L357" s="48">
        <v>46160</v>
      </c>
      <c r="M357" s="46" t="s">
        <v>461</v>
      </c>
      <c r="N357" s="46" t="s">
        <v>113</v>
      </c>
      <c r="O357" s="46"/>
      <c r="P357" s="46"/>
      <c r="Q357" s="46"/>
    </row>
    <row r="358" spans="1:17" hidden="1" x14ac:dyDescent="0.25">
      <c r="A358" s="47" t="s">
        <v>500</v>
      </c>
      <c r="B358" s="46" t="str">
        <f>IFERROR(VLOOKUP($A358,Equipos!$C$2:$M$967,2,FALSE()),"")</f>
        <v xml:space="preserve">Ventilador Mecánico </v>
      </c>
      <c r="C358" s="46" t="str">
        <f>IFERROR(VLOOKUP($A358,Equipos!$C$2:$M$967,9,FALSE()),"")</f>
        <v>ASHK-0154</v>
      </c>
      <c r="D358" s="46" t="str">
        <f>IFERROR(VLOOKUP($A358,Equipos!$C$2:$M$967,3,FALSE()),"")</f>
        <v>UPC Adulto</v>
      </c>
      <c r="E358" s="46" t="str">
        <f>IFERROR(VLOOKUP($A358,Equipos!$C$2:$M$967,7,FALSE()),"")</f>
        <v>Drager</v>
      </c>
      <c r="F358" s="46" t="str">
        <f>IFERROR(VLOOKUP($A358,Equipos!$C$2:$M$967,8,FALSE()),"")</f>
        <v>Evita V300</v>
      </c>
      <c r="G358" s="46" t="s">
        <v>335</v>
      </c>
      <c r="H358" s="46"/>
      <c r="I358" s="46"/>
      <c r="J358" s="46" t="s">
        <v>476</v>
      </c>
      <c r="K358" s="46" t="str">
        <f>IFERROR(VLOOKUP($J358,Catálogos!$M$4:$N$17,2,FALSE()),"")</f>
        <v>No Realizada</v>
      </c>
      <c r="L358" s="46"/>
      <c r="M358" s="46"/>
      <c r="N358" s="46"/>
      <c r="O358" s="46"/>
      <c r="P358" s="46"/>
      <c r="Q358" s="46"/>
    </row>
    <row r="359" spans="1:17" hidden="1" x14ac:dyDescent="0.25">
      <c r="A359" s="47" t="s">
        <v>501</v>
      </c>
      <c r="B359" s="46" t="str">
        <f>IFERROR(VLOOKUP($A359,Equipos!$C$2:$M$967,2,FALSE()),"")</f>
        <v xml:space="preserve">Ventilador Mecánico </v>
      </c>
      <c r="C359" s="46" t="str">
        <f>IFERROR(VLOOKUP($A359,Equipos!$C$2:$M$967,9,FALSE()),"")</f>
        <v>MV2000UA1D0984</v>
      </c>
      <c r="D359" s="46" t="str">
        <f>IFERROR(VLOOKUP($A359,Equipos!$C$2:$M$967,3,FALSE()),"")</f>
        <v>UPC Adulto</v>
      </c>
      <c r="E359" s="46" t="str">
        <f>IFERROR(VLOOKUP($A359,Equipos!$C$2:$M$967,7,FALSE()),"")</f>
        <v>MEK ICS</v>
      </c>
      <c r="F359" s="46" t="str">
        <f>IFERROR(VLOOKUP($A359,Equipos!$C$2:$M$967,8,FALSE()),"")</f>
        <v>MV2000 EVO5</v>
      </c>
      <c r="G359" s="46" t="s">
        <v>331</v>
      </c>
      <c r="H359" s="46"/>
      <c r="I359" s="46"/>
      <c r="J359" s="46" t="s">
        <v>297</v>
      </c>
      <c r="K359" s="46" t="str">
        <f>IFERROR(VLOOKUP($J359,Catálogos!$M$4:$N$17,2,FALSE()),"")</f>
        <v>Mantención Preventiva Realizada</v>
      </c>
      <c r="L359" s="46"/>
      <c r="M359" s="46"/>
      <c r="N359" s="46"/>
      <c r="O359" s="46"/>
      <c r="P359" s="46"/>
      <c r="Q359" s="46"/>
    </row>
    <row r="360" spans="1:17" hidden="1" x14ac:dyDescent="0.25">
      <c r="A360" s="47" t="s">
        <v>502</v>
      </c>
      <c r="B360" s="46" t="str">
        <f>IFERROR(VLOOKUP($A360,Equipos!$C$2:$M$967,2,FALSE()),"")</f>
        <v xml:space="preserve">Ventilador Mecánico </v>
      </c>
      <c r="C360" s="46" t="str">
        <f>IFERROR(VLOOKUP($A360,Equipos!$C$2:$M$967,9,FALSE()),"")</f>
        <v>79510</v>
      </c>
      <c r="D360" s="46" t="str">
        <f>IFERROR(VLOOKUP($A360,Equipos!$C$2:$M$967,3,FALSE()),"")</f>
        <v>UPC Adulto</v>
      </c>
      <c r="E360" s="46" t="str">
        <f>IFERROR(VLOOKUP($A360,Equipos!$C$2:$M$967,7,FALSE()),"")</f>
        <v>Maquet</v>
      </c>
      <c r="F360" s="46" t="str">
        <f>IFERROR(VLOOKUP($A360,Equipos!$C$2:$M$967,8,FALSE()),"")</f>
        <v>Servo i RM</v>
      </c>
      <c r="G360" s="46" t="s">
        <v>316</v>
      </c>
      <c r="H360" s="46"/>
      <c r="I360" s="46"/>
      <c r="J360" s="46" t="s">
        <v>423</v>
      </c>
      <c r="K360" s="46" t="str">
        <f>IFERROR(VLOOKUP($J360,Catálogos!$M$4:$N$17,2,FALSE()),"")</f>
        <v>Reprogramada · No disponibilidad de horas hombre del servicio técnico externo</v>
      </c>
      <c r="L360" s="46"/>
      <c r="M360" s="46"/>
      <c r="N360" s="46"/>
      <c r="O360" s="46"/>
      <c r="P360" s="46"/>
      <c r="Q360" s="46"/>
    </row>
    <row r="361" spans="1:17" hidden="1" x14ac:dyDescent="0.25">
      <c r="A361" s="47" t="s">
        <v>502</v>
      </c>
      <c r="B361" s="46" t="str">
        <f>IFERROR(VLOOKUP($A361,Equipos!$C$2:$M$967,2,FALSE()),"")</f>
        <v xml:space="preserve">Ventilador Mecánico </v>
      </c>
      <c r="C361" s="46" t="str">
        <f>IFERROR(VLOOKUP($A361,Equipos!$C$2:$M$967,9,FALSE()),"")</f>
        <v>79510</v>
      </c>
      <c r="D361" s="46" t="str">
        <f>IFERROR(VLOOKUP($A361,Equipos!$C$2:$M$967,3,FALSE()),"")</f>
        <v>UPC Adulto</v>
      </c>
      <c r="E361" s="46" t="str">
        <f>IFERROR(VLOOKUP($A361,Equipos!$C$2:$M$967,7,FALSE()),"")</f>
        <v>Maquet</v>
      </c>
      <c r="F361" s="46" t="str">
        <f>IFERROR(VLOOKUP($A361,Equipos!$C$2:$M$967,8,FALSE()),"")</f>
        <v>Servo i RM</v>
      </c>
      <c r="G361" s="46" t="s">
        <v>331</v>
      </c>
      <c r="H361" s="46"/>
      <c r="I361" s="46"/>
      <c r="J361" s="46" t="s">
        <v>297</v>
      </c>
      <c r="K361" s="46" t="str">
        <f>IFERROR(VLOOKUP($J361,Catálogos!$M$4:$N$17,2,FALSE()),"")</f>
        <v>Mantención Preventiva Realizada</v>
      </c>
      <c r="L361" s="46"/>
      <c r="M361" s="46"/>
      <c r="N361" s="46"/>
      <c r="O361" s="46"/>
      <c r="P361" s="46"/>
      <c r="Q361" s="46"/>
    </row>
    <row r="362" spans="1:17" hidden="1" x14ac:dyDescent="0.25">
      <c r="A362" s="47" t="s">
        <v>503</v>
      </c>
      <c r="B362" s="46" t="str">
        <f>IFERROR(VLOOKUP($A362,Equipos!$C$2:$M$967,2,FALSE()),"")</f>
        <v xml:space="preserve">Ventilador Mecánico </v>
      </c>
      <c r="C362" s="46" t="str">
        <f>IFERROR(VLOOKUP($A362,Equipos!$C$2:$M$967,9,FALSE()),"")</f>
        <v>MV2000UA1D0987</v>
      </c>
      <c r="D362" s="46" t="str">
        <f>IFERROR(VLOOKUP($A362,Equipos!$C$2:$M$967,3,FALSE()),"")</f>
        <v>UPC Adulto</v>
      </c>
      <c r="E362" s="46" t="str">
        <f>IFERROR(VLOOKUP($A362,Equipos!$C$2:$M$967,7,FALSE()),"")</f>
        <v>MEK ICS</v>
      </c>
      <c r="F362" s="46" t="str">
        <f>IFERROR(VLOOKUP($A362,Equipos!$C$2:$M$967,8,FALSE()),"")</f>
        <v>MV2000 EVO5</v>
      </c>
      <c r="G362" s="46" t="s">
        <v>331</v>
      </c>
      <c r="H362" s="46"/>
      <c r="I362" s="46"/>
      <c r="J362" s="46" t="s">
        <v>297</v>
      </c>
      <c r="K362" s="46" t="str">
        <f>IFERROR(VLOOKUP($J362,Catálogos!$M$4:$N$17,2,FALSE()),"")</f>
        <v>Mantención Preventiva Realizada</v>
      </c>
      <c r="L362" s="46"/>
      <c r="M362" s="46"/>
      <c r="N362" s="46"/>
      <c r="O362" s="46"/>
      <c r="P362" s="46"/>
      <c r="Q362" s="46"/>
    </row>
    <row r="363" spans="1:17" hidden="1" x14ac:dyDescent="0.25">
      <c r="A363" s="47" t="s">
        <v>504</v>
      </c>
      <c r="B363" s="46" t="str">
        <f>IFERROR(VLOOKUP($A363,Equipos!$C$2:$M$967,2,FALSE()),"")</f>
        <v xml:space="preserve">Ventilador Mecánico </v>
      </c>
      <c r="C363" s="46" t="str">
        <f>IFERROR(VLOOKUP($A363,Equipos!$C$2:$M$967,9,FALSE()),"")</f>
        <v>N14HT720413504</v>
      </c>
      <c r="D363" s="46" t="str">
        <f>IFERROR(VLOOKUP($A363,Equipos!$C$2:$M$967,3,FALSE()),"")</f>
        <v>Urgencia Adulto (Prestado a UPC Cardiovascular)</v>
      </c>
      <c r="E363" s="46" t="str">
        <f>IFERROR(VLOOKUP($A363,Equipos!$C$2:$M$967,7,FALSE()),"")</f>
        <v xml:space="preserve">Newport </v>
      </c>
      <c r="F363" s="46" t="str">
        <f>IFERROR(VLOOKUP($A363,Equipos!$C$2:$M$967,8,FALSE()),"")</f>
        <v>HT70 PLUS</v>
      </c>
      <c r="G363" s="46" t="s">
        <v>316</v>
      </c>
      <c r="H363" s="46"/>
      <c r="I363" s="46"/>
      <c r="J363" s="46" t="s">
        <v>423</v>
      </c>
      <c r="K363" s="46" t="str">
        <f>IFERROR(VLOOKUP($J363,Catálogos!$M$4:$N$17,2,FALSE()),"")</f>
        <v>Reprogramada · No disponibilidad de horas hombre del servicio técnico externo</v>
      </c>
      <c r="L363" s="46"/>
      <c r="M363" s="46"/>
      <c r="N363" s="46"/>
      <c r="O363" s="46"/>
      <c r="P363" s="46"/>
      <c r="Q363" s="46"/>
    </row>
    <row r="364" spans="1:17" hidden="1" x14ac:dyDescent="0.25">
      <c r="A364" s="47" t="s">
        <v>504</v>
      </c>
      <c r="B364" s="46" t="str">
        <f>IFERROR(VLOOKUP($A364,Equipos!$C$2:$M$967,2,FALSE()),"")</f>
        <v xml:space="preserve">Ventilador Mecánico </v>
      </c>
      <c r="C364" s="46" t="str">
        <f>IFERROR(VLOOKUP($A364,Equipos!$C$2:$M$967,9,FALSE()),"")</f>
        <v>N14HT720413504</v>
      </c>
      <c r="D364" s="46" t="str">
        <f>IFERROR(VLOOKUP($A364,Equipos!$C$2:$M$967,3,FALSE()),"")</f>
        <v>Urgencia Adulto (Prestado a UPC Cardiovascular)</v>
      </c>
      <c r="E364" s="46" t="str">
        <f>IFERROR(VLOOKUP($A364,Equipos!$C$2:$M$967,7,FALSE()),"")</f>
        <v xml:space="preserve">Newport </v>
      </c>
      <c r="F364" s="46" t="str">
        <f>IFERROR(VLOOKUP($A364,Equipos!$C$2:$M$967,8,FALSE()),"")</f>
        <v>HT70 PLUS</v>
      </c>
      <c r="G364" s="46" t="s">
        <v>331</v>
      </c>
      <c r="H364" s="46"/>
      <c r="I364" s="46"/>
      <c r="J364" s="46" t="s">
        <v>297</v>
      </c>
      <c r="K364" s="46" t="str">
        <f>IFERROR(VLOOKUP($J364,Catálogos!$M$4:$N$17,2,FALSE()),"")</f>
        <v>Mantención Preventiva Realizada</v>
      </c>
      <c r="L364" s="46"/>
      <c r="M364" s="46"/>
      <c r="N364" s="46"/>
      <c r="O364" s="46"/>
      <c r="P364" s="46"/>
      <c r="Q364" s="46"/>
    </row>
    <row r="365" spans="1:17" hidden="1" x14ac:dyDescent="0.25">
      <c r="A365" s="47" t="s">
        <v>195</v>
      </c>
      <c r="B365" s="46" t="str">
        <f>IFERROR(VLOOKUP($A365,Equipos!$C$2:$M$967,2,FALSE()),"")</f>
        <v xml:space="preserve">Ventilador Mecánico </v>
      </c>
      <c r="C365" s="46" t="str">
        <f>IFERROR(VLOOKUP($A365,Equipos!$C$2:$M$967,9,FALSE()),"")</f>
        <v>ASKK-0199</v>
      </c>
      <c r="D365" s="46" t="str">
        <f>IFERROR(VLOOKUP($A365,Equipos!$C$2:$M$967,3,FALSE()),"")</f>
        <v>Neonatología</v>
      </c>
      <c r="E365" s="46" t="str">
        <f>IFERROR(VLOOKUP($A365,Equipos!$C$2:$M$967,7,FALSE()),"")</f>
        <v>Drager</v>
      </c>
      <c r="F365" s="46" t="str">
        <f>IFERROR(VLOOKUP($A365,Equipos!$C$2:$M$967,8,FALSE()),"")</f>
        <v>VN500</v>
      </c>
      <c r="G365" s="46" t="s">
        <v>298</v>
      </c>
      <c r="H365" s="46" t="s">
        <v>460</v>
      </c>
      <c r="I365" s="46"/>
      <c r="J365" s="46" t="s">
        <v>297</v>
      </c>
      <c r="K365" s="46" t="str">
        <f>IFERROR(VLOOKUP($J365,Catálogos!$M$4:$N$17,2,FALSE()),"")</f>
        <v>Mantención Preventiva Realizada</v>
      </c>
      <c r="L365" s="48">
        <v>46157</v>
      </c>
      <c r="M365" s="46" t="s">
        <v>461</v>
      </c>
      <c r="N365" s="46" t="s">
        <v>113</v>
      </c>
      <c r="O365" s="46"/>
      <c r="P365" s="46"/>
      <c r="Q365" s="46"/>
    </row>
    <row r="366" spans="1:17" hidden="1" x14ac:dyDescent="0.25">
      <c r="A366" s="47" t="s">
        <v>505</v>
      </c>
      <c r="B366" s="46" t="str">
        <f>IFERROR(VLOOKUP($A366,Equipos!$C$2:$M$967,2,FALSE()),"")</f>
        <v xml:space="preserve">Ventilador Mecánico </v>
      </c>
      <c r="C366" s="46" t="str">
        <f>IFERROR(VLOOKUP($A366,Equipos!$C$2:$M$967,9,FALSE()),"")</f>
        <v>ASKK-0200</v>
      </c>
      <c r="D366" s="46" t="str">
        <f>IFERROR(VLOOKUP($A366,Equipos!$C$2:$M$967,3,FALSE()),"")</f>
        <v>Neonatología</v>
      </c>
      <c r="E366" s="46" t="str">
        <f>IFERROR(VLOOKUP($A366,Equipos!$C$2:$M$967,7,FALSE()),"")</f>
        <v>Drager</v>
      </c>
      <c r="F366" s="46" t="str">
        <f>IFERROR(VLOOKUP($A366,Equipos!$C$2:$M$967,8,FALSE()),"")</f>
        <v>VN500</v>
      </c>
      <c r="G366" s="46" t="s">
        <v>298</v>
      </c>
      <c r="H366" s="46"/>
      <c r="I366" s="46"/>
      <c r="J366" s="46" t="s">
        <v>297</v>
      </c>
      <c r="K366" s="46" t="str">
        <f>IFERROR(VLOOKUP($J366,Catálogos!$M$4:$N$17,2,FALSE()),"")</f>
        <v>Mantención Preventiva Realizada</v>
      </c>
      <c r="L366" s="46"/>
      <c r="M366" s="46"/>
      <c r="N366" s="46"/>
      <c r="O366" s="46"/>
      <c r="P366" s="46"/>
      <c r="Q366" s="46"/>
    </row>
    <row r="367" spans="1:17" hidden="1" x14ac:dyDescent="0.25">
      <c r="A367" s="47" t="s">
        <v>202</v>
      </c>
      <c r="B367" s="46" t="str">
        <f>IFERROR(VLOOKUP($A367,Equipos!$C$2:$M$967,2,FALSE()),"")</f>
        <v xml:space="preserve">Ventilador Mecánico </v>
      </c>
      <c r="C367" s="46" t="str">
        <f>IFERROR(VLOOKUP($A367,Equipos!$C$2:$M$967,9,FALSE()),"")</f>
        <v>ASKL-0003</v>
      </c>
      <c r="D367" s="46" t="str">
        <f>IFERROR(VLOOKUP($A367,Equipos!$C$2:$M$967,3,FALSE()),"")</f>
        <v>Neonatología</v>
      </c>
      <c r="E367" s="46" t="str">
        <f>IFERROR(VLOOKUP($A367,Equipos!$C$2:$M$967,7,FALSE()),"")</f>
        <v>Drager</v>
      </c>
      <c r="F367" s="46" t="str">
        <f>IFERROR(VLOOKUP($A367,Equipos!$C$2:$M$967,8,FALSE()),"")</f>
        <v>VN500</v>
      </c>
      <c r="G367" s="46" t="s">
        <v>298</v>
      </c>
      <c r="H367" s="46" t="s">
        <v>460</v>
      </c>
      <c r="I367" s="46"/>
      <c r="J367" s="46" t="s">
        <v>297</v>
      </c>
      <c r="K367" s="46" t="str">
        <f>IFERROR(VLOOKUP($J367,Catálogos!$M$4:$N$17,2,FALSE()),"")</f>
        <v>Mantención Preventiva Realizada</v>
      </c>
      <c r="L367" s="48">
        <v>46162</v>
      </c>
      <c r="M367" s="46" t="s">
        <v>461</v>
      </c>
      <c r="N367" s="46" t="s">
        <v>113</v>
      </c>
      <c r="O367" s="46"/>
      <c r="P367" s="46"/>
      <c r="Q367" s="46"/>
    </row>
    <row r="368" spans="1:17" hidden="1" x14ac:dyDescent="0.25">
      <c r="A368" s="47" t="s">
        <v>506</v>
      </c>
      <c r="B368" s="46" t="str">
        <f>IFERROR(VLOOKUP($A368,Equipos!$C$2:$M$967,2,FALSE()),"")</f>
        <v xml:space="preserve">Ventilador Mecánico </v>
      </c>
      <c r="C368" s="46" t="str">
        <f>IFERROR(VLOOKUP($A368,Equipos!$C$2:$M$967,9,FALSE()),"")</f>
        <v>ASKL-0004</v>
      </c>
      <c r="D368" s="46" t="str">
        <f>IFERROR(VLOOKUP($A368,Equipos!$C$2:$M$967,3,FALSE()),"")</f>
        <v>Neonatología</v>
      </c>
      <c r="E368" s="46" t="str">
        <f>IFERROR(VLOOKUP($A368,Equipos!$C$2:$M$967,7,FALSE()),"")</f>
        <v>Drager</v>
      </c>
      <c r="F368" s="46" t="str">
        <f>IFERROR(VLOOKUP($A368,Equipos!$C$2:$M$967,8,FALSE()),"")</f>
        <v>VN500</v>
      </c>
      <c r="G368" s="46" t="s">
        <v>298</v>
      </c>
      <c r="H368" s="46"/>
      <c r="I368" s="46"/>
      <c r="J368" s="46" t="s">
        <v>297</v>
      </c>
      <c r="K368" s="46" t="str">
        <f>IFERROR(VLOOKUP($J368,Catálogos!$M$4:$N$17,2,FALSE()),"")</f>
        <v>Mantención Preventiva Realizada</v>
      </c>
      <c r="L368" s="46"/>
      <c r="M368" s="46"/>
      <c r="N368" s="46"/>
      <c r="O368" s="46"/>
      <c r="P368" s="46"/>
      <c r="Q368" s="46"/>
    </row>
    <row r="369" spans="1:17" hidden="1" x14ac:dyDescent="0.25">
      <c r="A369" s="47" t="s">
        <v>205</v>
      </c>
      <c r="B369" s="46" t="str">
        <f>IFERROR(VLOOKUP($A369,Equipos!$C$2:$M$967,2,FALSE()),"")</f>
        <v xml:space="preserve">Ventilador Mecánico </v>
      </c>
      <c r="C369" s="46" t="str">
        <f>IFERROR(VLOOKUP($A369,Equipos!$C$2:$M$967,9,FALSE()),"")</f>
        <v>ASKL-0008</v>
      </c>
      <c r="D369" s="46" t="str">
        <f>IFERROR(VLOOKUP($A369,Equipos!$C$2:$M$967,3,FALSE()),"")</f>
        <v>Neonatología</v>
      </c>
      <c r="E369" s="46" t="str">
        <f>IFERROR(VLOOKUP($A369,Equipos!$C$2:$M$967,7,FALSE()),"")</f>
        <v>Drager</v>
      </c>
      <c r="F369" s="46" t="str">
        <f>IFERROR(VLOOKUP($A369,Equipos!$C$2:$M$967,8,FALSE()),"")</f>
        <v>VN500</v>
      </c>
      <c r="G369" s="46" t="s">
        <v>298</v>
      </c>
      <c r="H369" s="46" t="s">
        <v>460</v>
      </c>
      <c r="I369" s="46"/>
      <c r="J369" s="46" t="s">
        <v>297</v>
      </c>
      <c r="K369" s="46" t="str">
        <f>IFERROR(VLOOKUP($J369,Catálogos!$M$4:$N$17,2,FALSE()),"")</f>
        <v>Mantención Preventiva Realizada</v>
      </c>
      <c r="L369" s="48">
        <v>46162</v>
      </c>
      <c r="M369" s="46" t="s">
        <v>461</v>
      </c>
      <c r="N369" s="46" t="s">
        <v>113</v>
      </c>
      <c r="O369" s="46"/>
      <c r="P369" s="46"/>
      <c r="Q369" s="46"/>
    </row>
    <row r="370" spans="1:17" hidden="1" x14ac:dyDescent="0.25">
      <c r="A370" s="47" t="s">
        <v>207</v>
      </c>
      <c r="B370" s="46" t="str">
        <f>IFERROR(VLOOKUP($A370,Equipos!$C$2:$M$967,2,FALSE()),"")</f>
        <v xml:space="preserve">Ventilador Mecánico </v>
      </c>
      <c r="C370" s="46" t="str">
        <f>IFERROR(VLOOKUP($A370,Equipos!$C$2:$M$967,9,FALSE()),"")</f>
        <v>ASKL-0009</v>
      </c>
      <c r="D370" s="46" t="str">
        <f>IFERROR(VLOOKUP($A370,Equipos!$C$2:$M$967,3,FALSE()),"")</f>
        <v>Neonatología</v>
      </c>
      <c r="E370" s="46" t="str">
        <f>IFERROR(VLOOKUP($A370,Equipos!$C$2:$M$967,7,FALSE()),"")</f>
        <v>Drager</v>
      </c>
      <c r="F370" s="46" t="str">
        <f>IFERROR(VLOOKUP($A370,Equipos!$C$2:$M$967,8,FALSE()),"")</f>
        <v>VN500</v>
      </c>
      <c r="G370" s="46" t="s">
        <v>298</v>
      </c>
      <c r="H370" s="46" t="s">
        <v>468</v>
      </c>
      <c r="I370" s="46"/>
      <c r="J370" s="46" t="s">
        <v>297</v>
      </c>
      <c r="K370" s="46" t="str">
        <f>IFERROR(VLOOKUP($J370,Catálogos!$M$4:$N$17,2,FALSE()),"")</f>
        <v>Mantención Preventiva Realizada</v>
      </c>
      <c r="L370" s="48">
        <v>46162</v>
      </c>
      <c r="M370" s="46" t="s">
        <v>461</v>
      </c>
      <c r="N370" s="46" t="s">
        <v>113</v>
      </c>
      <c r="O370" s="46"/>
      <c r="P370" s="46"/>
      <c r="Q370" s="46"/>
    </row>
    <row r="371" spans="1:17" hidden="1" x14ac:dyDescent="0.25">
      <c r="A371" s="47" t="s">
        <v>200</v>
      </c>
      <c r="B371" s="46" t="str">
        <f>IFERROR(VLOOKUP($A371,Equipos!$C$2:$M$967,2,FALSE()),"")</f>
        <v xml:space="preserve">Ventilador Mecánico </v>
      </c>
      <c r="C371" s="46" t="str">
        <f>IFERROR(VLOOKUP($A371,Equipos!$C$2:$M$967,9,FALSE()),"")</f>
        <v>ASKK-0201</v>
      </c>
      <c r="D371" s="46" t="str">
        <f>IFERROR(VLOOKUP($A371,Equipos!$C$2:$M$967,3,FALSE()),"")</f>
        <v>Neonatología</v>
      </c>
      <c r="E371" s="46" t="str">
        <f>IFERROR(VLOOKUP($A371,Equipos!$C$2:$M$967,7,FALSE()),"")</f>
        <v>Drager</v>
      </c>
      <c r="F371" s="46" t="str">
        <f>IFERROR(VLOOKUP($A371,Equipos!$C$2:$M$967,8,FALSE()),"")</f>
        <v>VN500</v>
      </c>
      <c r="G371" s="46" t="s">
        <v>298</v>
      </c>
      <c r="H371" s="46" t="s">
        <v>460</v>
      </c>
      <c r="I371" s="46"/>
      <c r="J371" s="46" t="s">
        <v>297</v>
      </c>
      <c r="K371" s="46" t="str">
        <f>IFERROR(VLOOKUP($J371,Catálogos!$M$4:$N$17,2,FALSE()),"")</f>
        <v>Mantención Preventiva Realizada</v>
      </c>
      <c r="L371" s="48">
        <v>46162</v>
      </c>
      <c r="M371" s="46" t="s">
        <v>461</v>
      </c>
      <c r="N371" s="46" t="s">
        <v>113</v>
      </c>
      <c r="O371" s="46"/>
      <c r="P371" s="46"/>
      <c r="Q371" s="46"/>
    </row>
    <row r="372" spans="1:17" hidden="1" x14ac:dyDescent="0.25">
      <c r="A372" s="47" t="s">
        <v>507</v>
      </c>
      <c r="B372" s="46" t="str">
        <f>IFERROR(VLOOKUP($A372,Equipos!$C$2:$M$967,2,FALSE()),"")</f>
        <v xml:space="preserve">Ventilador Mecánico </v>
      </c>
      <c r="C372" s="46" t="str">
        <f>IFERROR(VLOOKUP($A372,Equipos!$C$2:$M$967,9,FALSE()),"")</f>
        <v>ASKL-0005</v>
      </c>
      <c r="D372" s="46" t="str">
        <f>IFERROR(VLOOKUP($A372,Equipos!$C$2:$M$967,3,FALSE()),"")</f>
        <v>Neonatología</v>
      </c>
      <c r="E372" s="46" t="str">
        <f>IFERROR(VLOOKUP($A372,Equipos!$C$2:$M$967,7,FALSE()),"")</f>
        <v>Drager</v>
      </c>
      <c r="F372" s="46" t="str">
        <f>IFERROR(VLOOKUP($A372,Equipos!$C$2:$M$967,8,FALSE()),"")</f>
        <v>VN500</v>
      </c>
      <c r="G372" s="46" t="s">
        <v>298</v>
      </c>
      <c r="H372" s="46"/>
      <c r="I372" s="46"/>
      <c r="J372" s="46" t="s">
        <v>297</v>
      </c>
      <c r="K372" s="46" t="str">
        <f>IFERROR(VLOOKUP($J372,Catálogos!$M$4:$N$17,2,FALSE()),"")</f>
        <v>Mantención Preventiva Realizada</v>
      </c>
      <c r="L372" s="46"/>
      <c r="M372" s="46"/>
      <c r="N372" s="46"/>
      <c r="O372" s="46"/>
      <c r="P372" s="46"/>
      <c r="Q372" s="46"/>
    </row>
    <row r="373" spans="1:17" hidden="1" x14ac:dyDescent="0.25">
      <c r="A373" s="47" t="s">
        <v>508</v>
      </c>
      <c r="B373" s="46" t="str">
        <f>IFERROR(VLOOKUP($A373,Equipos!$C$2:$M$967,2,FALSE()),"")</f>
        <v xml:space="preserve">Ventilador Mecánico </v>
      </c>
      <c r="C373" s="46" t="str">
        <f>IFERROR(VLOOKUP($A373,Equipos!$C$2:$M$967,9,FALSE()),"")</f>
        <v>ASKL-0007</v>
      </c>
      <c r="D373" s="46" t="str">
        <f>IFERROR(VLOOKUP($A373,Equipos!$C$2:$M$967,3,FALSE()),"")</f>
        <v>Neonatología</v>
      </c>
      <c r="E373" s="46" t="str">
        <f>IFERROR(VLOOKUP($A373,Equipos!$C$2:$M$967,7,FALSE()),"")</f>
        <v>Drager</v>
      </c>
      <c r="F373" s="46" t="str">
        <f>IFERROR(VLOOKUP($A373,Equipos!$C$2:$M$967,8,FALSE()),"")</f>
        <v>VN500</v>
      </c>
      <c r="G373" s="46" t="s">
        <v>298</v>
      </c>
      <c r="H373" s="46"/>
      <c r="I373" s="46"/>
      <c r="J373" s="46" t="s">
        <v>297</v>
      </c>
      <c r="K373" s="46" t="str">
        <f>IFERROR(VLOOKUP($J373,Catálogos!$M$4:$N$17,2,FALSE()),"")</f>
        <v>Mantención Preventiva Realizada</v>
      </c>
      <c r="L373" s="46"/>
      <c r="M373" s="46"/>
      <c r="N373" s="46"/>
      <c r="O373" s="46"/>
      <c r="P373" s="46"/>
      <c r="Q373" s="46"/>
    </row>
    <row r="374" spans="1:17" hidden="1" x14ac:dyDescent="0.25">
      <c r="A374" s="47" t="s">
        <v>189</v>
      </c>
      <c r="B374" s="46" t="str">
        <f>IFERROR(VLOOKUP($A374,Equipos!$C$2:$M$967,2,FALSE()),"")</f>
        <v xml:space="preserve">Ventilador Mecánico </v>
      </c>
      <c r="C374" s="46" t="str">
        <f>IFERROR(VLOOKUP($A374,Equipos!$C$2:$M$967,9,FALSE()),"")</f>
        <v>ASJA-0138</v>
      </c>
      <c r="D374" s="46" t="str">
        <f>IFERROR(VLOOKUP($A374,Equipos!$C$2:$M$967,3,FALSE()),"")</f>
        <v>Neonatología</v>
      </c>
      <c r="E374" s="46" t="str">
        <f>IFERROR(VLOOKUP($A374,Equipos!$C$2:$M$967,7,FALSE()),"")</f>
        <v>Drager</v>
      </c>
      <c r="F374" s="46" t="str">
        <f>IFERROR(VLOOKUP($A374,Equipos!$C$2:$M$967,8,FALSE()),"")</f>
        <v>VN500</v>
      </c>
      <c r="G374" s="46" t="s">
        <v>298</v>
      </c>
      <c r="H374" s="46" t="s">
        <v>460</v>
      </c>
      <c r="I374" s="46"/>
      <c r="J374" s="46" t="s">
        <v>297</v>
      </c>
      <c r="K374" s="46" t="str">
        <f>IFERROR(VLOOKUP($J374,Catálogos!$M$4:$N$17,2,FALSE()),"")</f>
        <v>Mantención Preventiva Realizada</v>
      </c>
      <c r="L374" s="48">
        <v>46162</v>
      </c>
      <c r="M374" s="46" t="s">
        <v>461</v>
      </c>
      <c r="N374" s="46" t="s">
        <v>113</v>
      </c>
      <c r="O374" s="46"/>
      <c r="P374" s="46"/>
      <c r="Q374" s="46"/>
    </row>
    <row r="375" spans="1:17" hidden="1" x14ac:dyDescent="0.25">
      <c r="A375" s="47" t="s">
        <v>509</v>
      </c>
      <c r="B375" s="46" t="str">
        <f>IFERROR(VLOOKUP($A375,Equipos!$C$2:$M$967,2,FALSE()),"")</f>
        <v xml:space="preserve">Ventilador Mecánico </v>
      </c>
      <c r="C375" s="46" t="str">
        <f>IFERROR(VLOOKUP($A375,Equipos!$C$2:$M$967,9,FALSE()),"")</f>
        <v>N17HT720120041</v>
      </c>
      <c r="D375" s="46" t="str">
        <f>IFERROR(VLOOKUP($A375,Equipos!$C$2:$M$967,3,FALSE()),"")</f>
        <v>SAMU</v>
      </c>
      <c r="E375" s="46" t="str">
        <f>IFERROR(VLOOKUP($A375,Equipos!$C$2:$M$967,7,FALSE()),"")</f>
        <v xml:space="preserve">Newport </v>
      </c>
      <c r="F375" s="46" t="str">
        <f>IFERROR(VLOOKUP($A375,Equipos!$C$2:$M$967,8,FALSE()),"")</f>
        <v>HT70 PLUS</v>
      </c>
      <c r="G375" s="46" t="s">
        <v>316</v>
      </c>
      <c r="H375" s="46"/>
      <c r="I375" s="46"/>
      <c r="J375" s="46" t="s">
        <v>423</v>
      </c>
      <c r="K375" s="46" t="str">
        <f>IFERROR(VLOOKUP($J375,Catálogos!$M$4:$N$17,2,FALSE()),"")</f>
        <v>Reprogramada · No disponibilidad de horas hombre del servicio técnico externo</v>
      </c>
      <c r="L375" s="46"/>
      <c r="M375" s="46"/>
      <c r="N375" s="46"/>
      <c r="O375" s="46"/>
      <c r="P375" s="46"/>
      <c r="Q375" s="46"/>
    </row>
    <row r="376" spans="1:17" hidden="1" x14ac:dyDescent="0.25">
      <c r="A376" s="47" t="s">
        <v>509</v>
      </c>
      <c r="B376" s="46" t="str">
        <f>IFERROR(VLOOKUP($A376,Equipos!$C$2:$M$967,2,FALSE()),"")</f>
        <v xml:space="preserve">Ventilador Mecánico </v>
      </c>
      <c r="C376" s="46" t="str">
        <f>IFERROR(VLOOKUP($A376,Equipos!$C$2:$M$967,9,FALSE()),"")</f>
        <v>N17HT720120041</v>
      </c>
      <c r="D376" s="46" t="str">
        <f>IFERROR(VLOOKUP($A376,Equipos!$C$2:$M$967,3,FALSE()),"")</f>
        <v>SAMU</v>
      </c>
      <c r="E376" s="46" t="str">
        <f>IFERROR(VLOOKUP($A376,Equipos!$C$2:$M$967,7,FALSE()),"")</f>
        <v xml:space="preserve">Newport </v>
      </c>
      <c r="F376" s="46" t="str">
        <f>IFERROR(VLOOKUP($A376,Equipos!$C$2:$M$967,8,FALSE()),"")</f>
        <v>HT70 PLUS</v>
      </c>
      <c r="G376" s="46" t="s">
        <v>331</v>
      </c>
      <c r="H376" s="46"/>
      <c r="I376" s="46"/>
      <c r="J376" s="46" t="s">
        <v>297</v>
      </c>
      <c r="K376" s="46" t="str">
        <f>IFERROR(VLOOKUP($J376,Catálogos!$M$4:$N$17,2,FALSE()),"")</f>
        <v>Mantención Preventiva Realizada</v>
      </c>
      <c r="L376" s="46"/>
      <c r="M376" s="46"/>
      <c r="N376" s="46"/>
      <c r="O376" s="46"/>
      <c r="P376" s="46"/>
      <c r="Q376" s="46"/>
    </row>
    <row r="377" spans="1:17" hidden="1" x14ac:dyDescent="0.25">
      <c r="A377" s="47" t="s">
        <v>510</v>
      </c>
      <c r="B377" s="46" t="str">
        <f>IFERROR(VLOOKUP($A377,Equipos!$C$2:$M$967,2,FALSE()),"")</f>
        <v xml:space="preserve">Ventilador Mecánico </v>
      </c>
      <c r="C377" s="46" t="str">
        <f>IFERROR(VLOOKUP($A377,Equipos!$C$2:$M$967,9,FALSE()),"")</f>
        <v>MV2000UA1D0775</v>
      </c>
      <c r="D377" s="46" t="str">
        <f>IFERROR(VLOOKUP($A377,Equipos!$C$2:$M$967,3,FALSE()),"")</f>
        <v>UPC Adulto</v>
      </c>
      <c r="E377" s="46" t="str">
        <f>IFERROR(VLOOKUP($A377,Equipos!$C$2:$M$967,7,FALSE()),"")</f>
        <v>MEK ICS</v>
      </c>
      <c r="F377" s="46" t="str">
        <f>IFERROR(VLOOKUP($A377,Equipos!$C$2:$M$967,8,FALSE()),"")</f>
        <v>MV2000 EVO5</v>
      </c>
      <c r="G377" s="46" t="s">
        <v>331</v>
      </c>
      <c r="H377" s="46"/>
      <c r="I377" s="46"/>
      <c r="J377" s="46" t="s">
        <v>297</v>
      </c>
      <c r="K377" s="46" t="str">
        <f>IFERROR(VLOOKUP($J377,Catálogos!$M$4:$N$17,2,FALSE()),"")</f>
        <v>Mantención Preventiva Realizada</v>
      </c>
      <c r="L377" s="46"/>
      <c r="M377" s="46"/>
      <c r="N377" s="46"/>
      <c r="O377" s="46"/>
      <c r="P377" s="46"/>
      <c r="Q377" s="46"/>
    </row>
    <row r="378" spans="1:17" hidden="1" x14ac:dyDescent="0.25">
      <c r="A378" s="47" t="s">
        <v>511</v>
      </c>
      <c r="B378" s="46" t="str">
        <f>IFERROR(VLOOKUP($A378,Equipos!$C$2:$M$967,2,FALSE()),"")</f>
        <v xml:space="preserve">Ventilador Mecánico </v>
      </c>
      <c r="C378" s="46" t="str">
        <f>IFERROR(VLOOKUP($A378,Equipos!$C$2:$M$967,9,FALSE()),"")</f>
        <v>40966N0158</v>
      </c>
      <c r="D378" s="46" t="str">
        <f>IFERROR(VLOOKUP($A378,Equipos!$C$2:$M$967,3,FALSE()),"")</f>
        <v>UPC 3er Piso</v>
      </c>
      <c r="E378" s="46" t="str">
        <f>IFERROR(VLOOKUP($A378,Equipos!$C$2:$M$967,7,FALSE()),"")</f>
        <v>Puritan Bennett</v>
      </c>
      <c r="F378" s="46" t="str">
        <f>IFERROR(VLOOKUP($A378,Equipos!$C$2:$M$967,8,FALSE()),"")</f>
        <v>560</v>
      </c>
      <c r="G378" s="46" t="s">
        <v>316</v>
      </c>
      <c r="H378" s="46"/>
      <c r="I378" s="46"/>
      <c r="J378" s="46" t="s">
        <v>278</v>
      </c>
      <c r="K378" s="46" t="str">
        <f>IFERROR(VLOOKUP($J378,Catálogos!$M$4:$N$17,2,FALSE()),"")</f>
        <v>Reprogramada · Equipo en servicio técnico</v>
      </c>
      <c r="L378" s="46"/>
      <c r="M378" s="46"/>
      <c r="N378" s="46"/>
      <c r="O378" s="46"/>
      <c r="P378" s="46"/>
      <c r="Q378" s="46"/>
    </row>
    <row r="379" spans="1:17" hidden="1" x14ac:dyDescent="0.25">
      <c r="A379" s="47" t="s">
        <v>512</v>
      </c>
      <c r="B379" s="46" t="str">
        <f>IFERROR(VLOOKUP($A379,Equipos!$C$2:$M$967,2,FALSE()),"")</f>
        <v xml:space="preserve">Ventilador Mecánico </v>
      </c>
      <c r="C379" s="46" t="str">
        <f>IFERROR(VLOOKUP($A379,Equipos!$C$2:$M$967,9,FALSE()),"")</f>
        <v>40966N0156</v>
      </c>
      <c r="D379" s="46" t="str">
        <f>IFERROR(VLOOKUP($A379,Equipos!$C$2:$M$967,3,FALSE()),"")</f>
        <v>UPC 3er Piso</v>
      </c>
      <c r="E379" s="46" t="str">
        <f>IFERROR(VLOOKUP($A379,Equipos!$C$2:$M$967,7,FALSE()),"")</f>
        <v>Puritan Bennett</v>
      </c>
      <c r="F379" s="46" t="str">
        <f>IFERROR(VLOOKUP($A379,Equipos!$C$2:$M$967,8,FALSE()),"")</f>
        <v>560</v>
      </c>
      <c r="G379" s="46" t="s">
        <v>316</v>
      </c>
      <c r="H379" s="46"/>
      <c r="I379" s="46"/>
      <c r="J379" s="46" t="s">
        <v>423</v>
      </c>
      <c r="K379" s="46" t="str">
        <f>IFERROR(VLOOKUP($J379,Catálogos!$M$4:$N$17,2,FALSE()),"")</f>
        <v>Reprogramada · No disponibilidad de horas hombre del servicio técnico externo</v>
      </c>
      <c r="L379" s="46"/>
      <c r="M379" s="46"/>
      <c r="N379" s="46"/>
      <c r="O379" s="46"/>
      <c r="P379" s="46"/>
      <c r="Q379" s="46"/>
    </row>
    <row r="380" spans="1:17" hidden="1" x14ac:dyDescent="0.25">
      <c r="A380" s="47" t="s">
        <v>512</v>
      </c>
      <c r="B380" s="46" t="str">
        <f>IFERROR(VLOOKUP($A380,Equipos!$C$2:$M$967,2,FALSE()),"")</f>
        <v xml:space="preserve">Ventilador Mecánico </v>
      </c>
      <c r="C380" s="46" t="str">
        <f>IFERROR(VLOOKUP($A380,Equipos!$C$2:$M$967,9,FALSE()),"")</f>
        <v>40966N0156</v>
      </c>
      <c r="D380" s="46" t="str">
        <f>IFERROR(VLOOKUP($A380,Equipos!$C$2:$M$967,3,FALSE()),"")</f>
        <v>UPC 3er Piso</v>
      </c>
      <c r="E380" s="46" t="str">
        <f>IFERROR(VLOOKUP($A380,Equipos!$C$2:$M$967,7,FALSE()),"")</f>
        <v>Puritan Bennett</v>
      </c>
      <c r="F380" s="46" t="str">
        <f>IFERROR(VLOOKUP($A380,Equipos!$C$2:$M$967,8,FALSE()),"")</f>
        <v>560</v>
      </c>
      <c r="G380" s="46" t="s">
        <v>331</v>
      </c>
      <c r="H380" s="46"/>
      <c r="I380" s="46"/>
      <c r="J380" s="46" t="s">
        <v>297</v>
      </c>
      <c r="K380" s="46" t="str">
        <f>IFERROR(VLOOKUP($J380,Catálogos!$M$4:$N$17,2,FALSE()),"")</f>
        <v>Mantención Preventiva Realizada</v>
      </c>
      <c r="L380" s="46"/>
      <c r="M380" s="46"/>
      <c r="N380" s="46"/>
      <c r="O380" s="46"/>
      <c r="P380" s="46"/>
      <c r="Q380" s="46"/>
    </row>
    <row r="381" spans="1:17" hidden="1" x14ac:dyDescent="0.25">
      <c r="A381" s="47" t="s">
        <v>69</v>
      </c>
      <c r="B381" s="46" t="str">
        <f>IFERROR(VLOOKUP($A381,Equipos!$C$2:$M$967,2,FALSE()),"")</f>
        <v xml:space="preserve">Ventilador Mecánico </v>
      </c>
      <c r="C381" s="46" t="str">
        <f>IFERROR(VLOOKUP($A381,Equipos!$C$2:$M$967,9,FALSE()),"")</f>
        <v>40966N0134</v>
      </c>
      <c r="D381" s="46" t="str">
        <f>IFERROR(VLOOKUP($A381,Equipos!$C$2:$M$967,3,FALSE()),"")</f>
        <v>UPC 3er Piso</v>
      </c>
      <c r="E381" s="46" t="str">
        <f>IFERROR(VLOOKUP($A381,Equipos!$C$2:$M$967,7,FALSE()),"")</f>
        <v>Puritan Bennett</v>
      </c>
      <c r="F381" s="46" t="str">
        <f>IFERROR(VLOOKUP($A381,Equipos!$C$2:$M$967,8,FALSE()),"")</f>
        <v>560</v>
      </c>
      <c r="G381" s="46" t="s">
        <v>316</v>
      </c>
      <c r="H381" s="46"/>
      <c r="I381" s="46"/>
      <c r="J381" s="46" t="s">
        <v>423</v>
      </c>
      <c r="K381" s="46" t="str">
        <f>IFERROR(VLOOKUP($J381,Catálogos!$M$4:$N$17,2,FALSE()),"")</f>
        <v>Reprogramada · No disponibilidad de horas hombre del servicio técnico externo</v>
      </c>
      <c r="L381" s="46"/>
      <c r="M381" s="46"/>
      <c r="N381" s="46"/>
      <c r="O381" s="46"/>
      <c r="P381" s="46"/>
      <c r="Q381" s="46"/>
    </row>
    <row r="382" spans="1:17" hidden="1" x14ac:dyDescent="0.25">
      <c r="A382" s="47" t="s">
        <v>69</v>
      </c>
      <c r="B382" s="46" t="str">
        <f>IFERROR(VLOOKUP($A382,Equipos!$C$2:$M$967,2,FALSE()),"")</f>
        <v xml:space="preserve">Ventilador Mecánico </v>
      </c>
      <c r="C382" s="46" t="str">
        <f>IFERROR(VLOOKUP($A382,Equipos!$C$2:$M$967,9,FALSE()),"")</f>
        <v>40966N0134</v>
      </c>
      <c r="D382" s="46" t="str">
        <f>IFERROR(VLOOKUP($A382,Equipos!$C$2:$M$967,3,FALSE()),"")</f>
        <v>UPC 3er Piso</v>
      </c>
      <c r="E382" s="46" t="str">
        <f>IFERROR(VLOOKUP($A382,Equipos!$C$2:$M$967,7,FALSE()),"")</f>
        <v>Puritan Bennett</v>
      </c>
      <c r="F382" s="46" t="str">
        <f>IFERROR(VLOOKUP($A382,Equipos!$C$2:$M$967,8,FALSE()),"")</f>
        <v>560</v>
      </c>
      <c r="G382" s="46" t="s">
        <v>331</v>
      </c>
      <c r="H382" s="46" t="s">
        <v>460</v>
      </c>
      <c r="I382" s="46"/>
      <c r="J382" s="46" t="s">
        <v>297</v>
      </c>
      <c r="K382" s="46" t="str">
        <f>IFERROR(VLOOKUP($J382,Catálogos!$M$4:$N$17,2,FALSE()),"")</f>
        <v>Mantención Preventiva Realizada</v>
      </c>
      <c r="L382" s="48">
        <v>46118</v>
      </c>
      <c r="M382" s="46" t="s">
        <v>513</v>
      </c>
      <c r="N382" s="46" t="s">
        <v>113</v>
      </c>
      <c r="O382" s="46"/>
      <c r="P382" s="46"/>
      <c r="Q382" s="46" t="s">
        <v>514</v>
      </c>
    </row>
    <row r="383" spans="1:17" hidden="1" x14ac:dyDescent="0.25">
      <c r="A383" s="47" t="s">
        <v>70</v>
      </c>
      <c r="B383" s="46" t="str">
        <f>IFERROR(VLOOKUP($A383,Equipos!$C$2:$M$967,2,FALSE()),"")</f>
        <v xml:space="preserve">Ventilador Mecánico </v>
      </c>
      <c r="C383" s="46" t="str">
        <f>IFERROR(VLOOKUP($A383,Equipos!$C$2:$M$967,9,FALSE()),"")</f>
        <v>40966N0118</v>
      </c>
      <c r="D383" s="46" t="str">
        <f>IFERROR(VLOOKUP($A383,Equipos!$C$2:$M$967,3,FALSE()),"")</f>
        <v>UPC 3er Piso</v>
      </c>
      <c r="E383" s="46" t="str">
        <f>IFERROR(VLOOKUP($A383,Equipos!$C$2:$M$967,7,FALSE()),"")</f>
        <v>Puritan Bennett</v>
      </c>
      <c r="F383" s="46" t="str">
        <f>IFERROR(VLOOKUP($A383,Equipos!$C$2:$M$967,8,FALSE()),"")</f>
        <v>560</v>
      </c>
      <c r="G383" s="46" t="s">
        <v>316</v>
      </c>
      <c r="H383" s="46" t="s">
        <v>460</v>
      </c>
      <c r="I383" s="46"/>
      <c r="J383" s="46" t="s">
        <v>423</v>
      </c>
      <c r="K383" s="46" t="str">
        <f>IFERROR(VLOOKUP($J383,Catálogos!$M$4:$N$17,2,FALSE()),"")</f>
        <v>Reprogramada · No disponibilidad de horas hombre del servicio técnico externo</v>
      </c>
      <c r="L383" s="48">
        <v>46112</v>
      </c>
      <c r="M383" s="46" t="s">
        <v>461</v>
      </c>
      <c r="N383" s="46" t="s">
        <v>113</v>
      </c>
      <c r="O383" s="46"/>
      <c r="P383" s="46"/>
      <c r="Q383" s="46"/>
    </row>
    <row r="384" spans="1:17" hidden="1" x14ac:dyDescent="0.25">
      <c r="A384" s="47" t="s">
        <v>70</v>
      </c>
      <c r="B384" s="46" t="str">
        <f>IFERROR(VLOOKUP($A384,Equipos!$C$2:$M$967,2,FALSE()),"")</f>
        <v xml:space="preserve">Ventilador Mecánico </v>
      </c>
      <c r="C384" s="46" t="str">
        <f>IFERROR(VLOOKUP($A384,Equipos!$C$2:$M$967,9,FALSE()),"")</f>
        <v>40966N0118</v>
      </c>
      <c r="D384" s="46" t="str">
        <f>IFERROR(VLOOKUP($A384,Equipos!$C$2:$M$967,3,FALSE()),"")</f>
        <v>UPC 3er Piso</v>
      </c>
      <c r="E384" s="46" t="str">
        <f>IFERROR(VLOOKUP($A384,Equipos!$C$2:$M$967,7,FALSE()),"")</f>
        <v>Puritan Bennett</v>
      </c>
      <c r="F384" s="46" t="str">
        <f>IFERROR(VLOOKUP($A384,Equipos!$C$2:$M$967,8,FALSE()),"")</f>
        <v>560</v>
      </c>
      <c r="G384" s="46" t="s">
        <v>331</v>
      </c>
      <c r="H384" s="46" t="s">
        <v>460</v>
      </c>
      <c r="I384" s="46"/>
      <c r="J384" s="46" t="s">
        <v>297</v>
      </c>
      <c r="K384" s="46" t="str">
        <f>IFERROR(VLOOKUP($J384,Catálogos!$M$4:$N$17,2,FALSE()),"")</f>
        <v>Mantención Preventiva Realizada</v>
      </c>
      <c r="L384" s="48">
        <v>46118</v>
      </c>
      <c r="M384" s="46" t="s">
        <v>513</v>
      </c>
      <c r="N384" s="46" t="s">
        <v>113</v>
      </c>
      <c r="O384" s="46"/>
      <c r="P384" s="46"/>
      <c r="Q384" s="46"/>
    </row>
    <row r="385" spans="1:17" hidden="1" x14ac:dyDescent="0.25">
      <c r="A385" s="47" t="s">
        <v>515</v>
      </c>
      <c r="B385" s="46" t="str">
        <f>IFERROR(VLOOKUP($A385,Equipos!$C$2:$M$967,2,FALSE()),"")</f>
        <v xml:space="preserve">Ventilador Mecánico </v>
      </c>
      <c r="C385" s="46" t="str">
        <f>IFERROR(VLOOKUP($A385,Equipos!$C$2:$M$967,9,FALSE()),"")</f>
        <v>40966N0147</v>
      </c>
      <c r="D385" s="46" t="str">
        <f>IFERROR(VLOOKUP($A385,Equipos!$C$2:$M$967,3,FALSE()),"")</f>
        <v>Urgencia Adulto</v>
      </c>
      <c r="E385" s="46" t="str">
        <f>IFERROR(VLOOKUP($A385,Equipos!$C$2:$M$967,7,FALSE()),"")</f>
        <v>Puritan Bennett</v>
      </c>
      <c r="F385" s="46" t="str">
        <f>IFERROR(VLOOKUP($A385,Equipos!$C$2:$M$967,8,FALSE()),"")</f>
        <v>560</v>
      </c>
      <c r="G385" s="46" t="s">
        <v>316</v>
      </c>
      <c r="H385" s="46"/>
      <c r="I385" s="46"/>
      <c r="J385" s="46" t="s">
        <v>278</v>
      </c>
      <c r="K385" s="46" t="str">
        <f>IFERROR(VLOOKUP($J385,Catálogos!$M$4:$N$17,2,FALSE()),"")</f>
        <v>Reprogramada · Equipo en servicio técnico</v>
      </c>
      <c r="L385" s="46"/>
      <c r="M385" s="46"/>
      <c r="N385" s="46"/>
      <c r="O385" s="46"/>
      <c r="P385" s="46"/>
      <c r="Q385" s="46"/>
    </row>
    <row r="386" spans="1:17" hidden="1" x14ac:dyDescent="0.25">
      <c r="A386" s="47" t="s">
        <v>516</v>
      </c>
      <c r="B386" s="46" t="str">
        <f>IFERROR(VLOOKUP($A386,Equipos!$C$2:$M$967,2,FALSE()),"")</f>
        <v xml:space="preserve">Ventilador Mecánico </v>
      </c>
      <c r="C386" s="46" t="str">
        <f>IFERROR(VLOOKUP($A386,Equipos!$C$2:$M$967,9,FALSE()),"")</f>
        <v>40966N0133</v>
      </c>
      <c r="D386" s="46" t="str">
        <f>IFERROR(VLOOKUP($A386,Equipos!$C$2:$M$967,3,FALSE()),"")</f>
        <v>Urgencia Adulto (Prestado a UPC Cardiovascular)</v>
      </c>
      <c r="E386" s="46" t="str">
        <f>IFERROR(VLOOKUP($A386,Equipos!$C$2:$M$967,7,FALSE()),"")</f>
        <v>Puritan Bennett</v>
      </c>
      <c r="F386" s="46" t="str">
        <f>IFERROR(VLOOKUP($A386,Equipos!$C$2:$M$967,8,FALSE()),"")</f>
        <v>560</v>
      </c>
      <c r="G386" s="46" t="s">
        <v>316</v>
      </c>
      <c r="H386" s="46"/>
      <c r="I386" s="46"/>
      <c r="J386" s="46" t="s">
        <v>423</v>
      </c>
      <c r="K386" s="46" t="str">
        <f>IFERROR(VLOOKUP($J386,Catálogos!$M$4:$N$17,2,FALSE()),"")</f>
        <v>Reprogramada · No disponibilidad de horas hombre del servicio técnico externo</v>
      </c>
      <c r="L386" s="46"/>
      <c r="M386" s="46"/>
      <c r="N386" s="46"/>
      <c r="O386" s="46"/>
      <c r="P386" s="46"/>
      <c r="Q386" s="46"/>
    </row>
    <row r="387" spans="1:17" hidden="1" x14ac:dyDescent="0.25">
      <c r="A387" s="47" t="s">
        <v>516</v>
      </c>
      <c r="B387" s="46" t="str">
        <f>IFERROR(VLOOKUP($A387,Equipos!$C$2:$M$967,2,FALSE()),"")</f>
        <v xml:space="preserve">Ventilador Mecánico </v>
      </c>
      <c r="C387" s="46" t="str">
        <f>IFERROR(VLOOKUP($A387,Equipos!$C$2:$M$967,9,FALSE()),"")</f>
        <v>40966N0133</v>
      </c>
      <c r="D387" s="46" t="str">
        <f>IFERROR(VLOOKUP($A387,Equipos!$C$2:$M$967,3,FALSE()),"")</f>
        <v>Urgencia Adulto (Prestado a UPC Cardiovascular)</v>
      </c>
      <c r="E387" s="46" t="str">
        <f>IFERROR(VLOOKUP($A387,Equipos!$C$2:$M$967,7,FALSE()),"")</f>
        <v>Puritan Bennett</v>
      </c>
      <c r="F387" s="46" t="str">
        <f>IFERROR(VLOOKUP($A387,Equipos!$C$2:$M$967,8,FALSE()),"")</f>
        <v>560</v>
      </c>
      <c r="G387" s="46" t="s">
        <v>331</v>
      </c>
      <c r="H387" s="46"/>
      <c r="I387" s="46"/>
      <c r="J387" s="46" t="s">
        <v>297</v>
      </c>
      <c r="K387" s="46" t="str">
        <f>IFERROR(VLOOKUP($J387,Catálogos!$M$4:$N$17,2,FALSE()),"")</f>
        <v>Mantención Preventiva Realizada</v>
      </c>
      <c r="L387" s="46"/>
      <c r="M387" s="46"/>
      <c r="N387" s="46"/>
      <c r="O387" s="46"/>
      <c r="P387" s="46"/>
      <c r="Q387" s="46"/>
    </row>
    <row r="388" spans="1:17" hidden="1" x14ac:dyDescent="0.25">
      <c r="A388" s="47" t="s">
        <v>133</v>
      </c>
      <c r="B388" s="46" t="str">
        <f>IFERROR(VLOOKUP($A388,Equipos!$C$2:$M$967,2,FALSE()),"")</f>
        <v xml:space="preserve">Ventilador Mecánico </v>
      </c>
      <c r="C388" s="46" t="str">
        <f>IFERROR(VLOOKUP($A388,Equipos!$C$2:$M$967,9,FALSE()),"")</f>
        <v>40966N0126</v>
      </c>
      <c r="D388" s="46" t="str">
        <f>IFERROR(VLOOKUP($A388,Equipos!$C$2:$M$967,3,FALSE()),"")</f>
        <v>Urgencia Adulto (Prestado a UPC 3er piso)</v>
      </c>
      <c r="E388" s="46" t="str">
        <f>IFERROR(VLOOKUP($A388,Equipos!$C$2:$M$967,7,FALSE()),"")</f>
        <v>Puritan Bennett</v>
      </c>
      <c r="F388" s="46" t="str">
        <f>IFERROR(VLOOKUP($A388,Equipos!$C$2:$M$967,8,FALSE()),"")</f>
        <v>560</v>
      </c>
      <c r="G388" s="46" t="s">
        <v>316</v>
      </c>
      <c r="H388" s="46" t="s">
        <v>460</v>
      </c>
      <c r="I388" s="46"/>
      <c r="J388" s="46" t="s">
        <v>423</v>
      </c>
      <c r="K388" s="46" t="str">
        <f>IFERROR(VLOOKUP($J388,Catálogos!$M$4:$N$17,2,FALSE()),"")</f>
        <v>Reprogramada · No disponibilidad de horas hombre del servicio técnico externo</v>
      </c>
      <c r="L388" s="48">
        <v>46112</v>
      </c>
      <c r="M388" s="46" t="s">
        <v>461</v>
      </c>
      <c r="N388" s="46" t="s">
        <v>113</v>
      </c>
      <c r="O388" s="46"/>
      <c r="P388" s="46"/>
      <c r="Q388" s="46"/>
    </row>
    <row r="389" spans="1:17" hidden="1" x14ac:dyDescent="0.25">
      <c r="A389" s="47" t="s">
        <v>133</v>
      </c>
      <c r="B389" s="46" t="str">
        <f>IFERROR(VLOOKUP($A389,Equipos!$C$2:$M$967,2,FALSE()),"")</f>
        <v xml:space="preserve">Ventilador Mecánico </v>
      </c>
      <c r="C389" s="46" t="str">
        <f>IFERROR(VLOOKUP($A389,Equipos!$C$2:$M$967,9,FALSE()),"")</f>
        <v>40966N0126</v>
      </c>
      <c r="D389" s="46" t="str">
        <f>IFERROR(VLOOKUP($A389,Equipos!$C$2:$M$967,3,FALSE()),"")</f>
        <v>Urgencia Adulto (Prestado a UPC 3er piso)</v>
      </c>
      <c r="E389" s="46" t="str">
        <f>IFERROR(VLOOKUP($A389,Equipos!$C$2:$M$967,7,FALSE()),"")</f>
        <v>Puritan Bennett</v>
      </c>
      <c r="F389" s="46" t="str">
        <f>IFERROR(VLOOKUP($A389,Equipos!$C$2:$M$967,8,FALSE()),"")</f>
        <v>560</v>
      </c>
      <c r="G389" s="46" t="s">
        <v>331</v>
      </c>
      <c r="H389" s="46" t="s">
        <v>460</v>
      </c>
      <c r="I389" s="46"/>
      <c r="J389" s="46" t="s">
        <v>297</v>
      </c>
      <c r="K389" s="46" t="str">
        <f>IFERROR(VLOOKUP($J389,Catálogos!$M$4:$N$17,2,FALSE()),"")</f>
        <v>Mantención Preventiva Realizada</v>
      </c>
      <c r="L389" s="48">
        <v>46121</v>
      </c>
      <c r="M389" s="46" t="s">
        <v>513</v>
      </c>
      <c r="N389" s="46" t="s">
        <v>113</v>
      </c>
      <c r="O389" s="46"/>
      <c r="P389" s="46"/>
      <c r="Q389" s="46" t="s">
        <v>517</v>
      </c>
    </row>
    <row r="390" spans="1:17" hidden="1" x14ac:dyDescent="0.25">
      <c r="A390" s="47" t="s">
        <v>518</v>
      </c>
      <c r="B390" s="46" t="str">
        <f>IFERROR(VLOOKUP($A390,Equipos!$C$2:$M$967,2,FALSE()),"")</f>
        <v xml:space="preserve">Ventilador Mecánico </v>
      </c>
      <c r="C390" s="46" t="str">
        <f>IFERROR(VLOOKUP($A390,Equipos!$C$2:$M$967,9,FALSE()),"")</f>
        <v>HT7P200197</v>
      </c>
      <c r="D390" s="46" t="str">
        <f>IFERROR(VLOOKUP($A390,Equipos!$C$2:$M$967,3,FALSE()),"")</f>
        <v>UPC Cardiovascular</v>
      </c>
      <c r="E390" s="46" t="str">
        <f>IFERROR(VLOOKUP($A390,Equipos!$C$2:$M$967,7,FALSE()),"")</f>
        <v>Newport</v>
      </c>
      <c r="F390" s="46" t="str">
        <f>IFERROR(VLOOKUP($A390,Equipos!$C$2:$M$967,8,FALSE()),"")</f>
        <v>HT70 PLUS</v>
      </c>
      <c r="G390" s="46" t="s">
        <v>316</v>
      </c>
      <c r="H390" s="46"/>
      <c r="I390" s="46"/>
      <c r="J390" s="46" t="s">
        <v>423</v>
      </c>
      <c r="K390" s="46" t="str">
        <f>IFERROR(VLOOKUP($J390,Catálogos!$M$4:$N$17,2,FALSE()),"")</f>
        <v>Reprogramada · No disponibilidad de horas hombre del servicio técnico externo</v>
      </c>
      <c r="L390" s="46"/>
      <c r="M390" s="46"/>
      <c r="N390" s="46"/>
      <c r="O390" s="46"/>
      <c r="P390" s="46"/>
      <c r="Q390" s="46"/>
    </row>
    <row r="391" spans="1:17" hidden="1" x14ac:dyDescent="0.25">
      <c r="A391" s="47" t="s">
        <v>518</v>
      </c>
      <c r="B391" s="46" t="str">
        <f>IFERROR(VLOOKUP($A391,Equipos!$C$2:$M$967,2,FALSE()),"")</f>
        <v xml:space="preserve">Ventilador Mecánico </v>
      </c>
      <c r="C391" s="46" t="str">
        <f>IFERROR(VLOOKUP($A391,Equipos!$C$2:$M$967,9,FALSE()),"")</f>
        <v>HT7P200197</v>
      </c>
      <c r="D391" s="46" t="str">
        <f>IFERROR(VLOOKUP($A391,Equipos!$C$2:$M$967,3,FALSE()),"")</f>
        <v>UPC Cardiovascular</v>
      </c>
      <c r="E391" s="46" t="str">
        <f>IFERROR(VLOOKUP($A391,Equipos!$C$2:$M$967,7,FALSE()),"")</f>
        <v>Newport</v>
      </c>
      <c r="F391" s="46" t="str">
        <f>IFERROR(VLOOKUP($A391,Equipos!$C$2:$M$967,8,FALSE()),"")</f>
        <v>HT70 PLUS</v>
      </c>
      <c r="G391" s="46" t="s">
        <v>331</v>
      </c>
      <c r="H391" s="46"/>
      <c r="I391" s="46"/>
      <c r="J391" s="46" t="s">
        <v>297</v>
      </c>
      <c r="K391" s="46" t="str">
        <f>IFERROR(VLOOKUP($J391,Catálogos!$M$4:$N$17,2,FALSE()),"")</f>
        <v>Mantención Preventiva Realizada</v>
      </c>
      <c r="L391" s="46"/>
      <c r="M391" s="46"/>
      <c r="N391" s="46"/>
      <c r="O391" s="46"/>
      <c r="P391" s="46"/>
      <c r="Q391" s="46"/>
    </row>
    <row r="392" spans="1:17" hidden="1" x14ac:dyDescent="0.25">
      <c r="A392" s="47" t="s">
        <v>519</v>
      </c>
      <c r="B392" s="46" t="str">
        <f>IFERROR(VLOOKUP($A392,Equipos!$C$2:$M$967,2,FALSE()),"")</f>
        <v xml:space="preserve">Ventilador Mecánico </v>
      </c>
      <c r="C392" s="46" t="str">
        <f>IFERROR(VLOOKUP($A392,Equipos!$C$2:$M$967,9,FALSE()),"")</f>
        <v>VG70(E)XZZU6636</v>
      </c>
      <c r="D392" s="46" t="str">
        <f>IFERROR(VLOOKUP($A392,Equipos!$C$2:$M$967,3,FALSE()),"")</f>
        <v>UPC 3er Piso (Prestado a Urgencia Adulto)</v>
      </c>
      <c r="E392" s="46" t="str">
        <f>IFERROR(VLOOKUP($A392,Equipos!$C$2:$M$967,7,FALSE()),"")</f>
        <v>Aeonmed</v>
      </c>
      <c r="F392" s="46" t="str">
        <f>IFERROR(VLOOKUP($A392,Equipos!$C$2:$M$967,8,FALSE()),"")</f>
        <v>VG70</v>
      </c>
      <c r="G392" s="46" t="s">
        <v>331</v>
      </c>
      <c r="H392" s="46"/>
      <c r="I392" s="46"/>
      <c r="J392" s="46" t="s">
        <v>297</v>
      </c>
      <c r="K392" s="46" t="str">
        <f>IFERROR(VLOOKUP($J392,Catálogos!$M$4:$N$17,2,FALSE()),"")</f>
        <v>Mantención Preventiva Realizada</v>
      </c>
      <c r="L392" s="46"/>
      <c r="M392" s="46"/>
      <c r="N392" s="46"/>
      <c r="O392" s="46"/>
      <c r="P392" s="46"/>
      <c r="Q392" s="46"/>
    </row>
    <row r="393" spans="1:17" hidden="1" x14ac:dyDescent="0.25">
      <c r="A393" s="47" t="s">
        <v>520</v>
      </c>
      <c r="B393" s="46" t="str">
        <f>IFERROR(VLOOKUP($A393,Equipos!$C$2:$M$967,2,FALSE()),"")</f>
        <v xml:space="preserve">Ventilador Mecánico </v>
      </c>
      <c r="C393" s="46" t="str">
        <f>IFERROR(VLOOKUP($A393,Equipos!$C$2:$M$967,9,FALSE()),"")</f>
        <v>VG70(E)XZZU3360</v>
      </c>
      <c r="D393" s="46" t="str">
        <f>IFERROR(VLOOKUP($A393,Equipos!$C$2:$M$967,3,FALSE()),"")</f>
        <v>UPC 3er Piso (Prestado a Urgencia Adulto)</v>
      </c>
      <c r="E393" s="46" t="str">
        <f>IFERROR(VLOOKUP($A393,Equipos!$C$2:$M$967,7,FALSE()),"")</f>
        <v>Aeonmed</v>
      </c>
      <c r="F393" s="46" t="str">
        <f>IFERROR(VLOOKUP($A393,Equipos!$C$2:$M$967,8,FALSE()),"")</f>
        <v>VG70</v>
      </c>
      <c r="G393" s="46" t="s">
        <v>331</v>
      </c>
      <c r="H393" s="46"/>
      <c r="I393" s="46"/>
      <c r="J393" s="46" t="s">
        <v>297</v>
      </c>
      <c r="K393" s="46" t="str">
        <f>IFERROR(VLOOKUP($J393,Catálogos!$M$4:$N$17,2,FALSE()),"")</f>
        <v>Mantención Preventiva Realizada</v>
      </c>
      <c r="L393" s="46"/>
      <c r="M393" s="46"/>
      <c r="N393" s="46"/>
      <c r="O393" s="46"/>
      <c r="P393" s="46"/>
      <c r="Q393" s="46"/>
    </row>
    <row r="394" spans="1:17" hidden="1" x14ac:dyDescent="0.25">
      <c r="A394" s="47" t="s">
        <v>521</v>
      </c>
      <c r="B394" s="46" t="str">
        <f>IFERROR(VLOOKUP($A394,Equipos!$C$2:$M$967,2,FALSE()),"")</f>
        <v xml:space="preserve">Ventilador Mecánico </v>
      </c>
      <c r="C394" s="46" t="str">
        <f>IFERROR(VLOOKUP($A394,Equipos!$C$2:$M$967,9,FALSE()),"")</f>
        <v>VG70(E)XZZU9473</v>
      </c>
      <c r="D394" s="46" t="str">
        <f>IFERROR(VLOOKUP($A394,Equipos!$C$2:$M$967,3,FALSE()),"")</f>
        <v>UPC 3er Piso</v>
      </c>
      <c r="E394" s="46" t="str">
        <f>IFERROR(VLOOKUP($A394,Equipos!$C$2:$M$967,7,FALSE()),"")</f>
        <v>Aeonmed</v>
      </c>
      <c r="F394" s="46" t="str">
        <f>IFERROR(VLOOKUP($A394,Equipos!$C$2:$M$967,8,FALSE()),"")</f>
        <v>VG70</v>
      </c>
      <c r="G394" s="46" t="s">
        <v>331</v>
      </c>
      <c r="H394" s="46"/>
      <c r="I394" s="46"/>
      <c r="J394" s="46" t="s">
        <v>297</v>
      </c>
      <c r="K394" s="46" t="str">
        <f>IFERROR(VLOOKUP($J394,Catálogos!$M$4:$N$17,2,FALSE()),"")</f>
        <v>Mantención Preventiva Realizada</v>
      </c>
      <c r="L394" s="46"/>
      <c r="M394" s="46"/>
      <c r="N394" s="46"/>
      <c r="O394" s="46"/>
      <c r="P394" s="46"/>
      <c r="Q394" s="46"/>
    </row>
    <row r="395" spans="1:17" hidden="1" x14ac:dyDescent="0.25">
      <c r="A395" s="47" t="s">
        <v>522</v>
      </c>
      <c r="B395" s="46" t="str">
        <f>IFERROR(VLOOKUP($A395,Equipos!$C$2:$M$967,2,FALSE()),"")</f>
        <v xml:space="preserve">Ventilador Mecánico </v>
      </c>
      <c r="C395" s="46" t="str">
        <f>IFERROR(VLOOKUP($A395,Equipos!$C$2:$M$967,9,FALSE()),"")</f>
        <v>VG70(E)XZZU8032</v>
      </c>
      <c r="D395" s="46" t="str">
        <f>IFERROR(VLOOKUP($A395,Equipos!$C$2:$M$967,3,FALSE()),"")</f>
        <v>UPC 3er Piso</v>
      </c>
      <c r="E395" s="46" t="str">
        <f>IFERROR(VLOOKUP($A395,Equipos!$C$2:$M$967,7,FALSE()),"")</f>
        <v>Aeonmed</v>
      </c>
      <c r="F395" s="46" t="str">
        <f>IFERROR(VLOOKUP($A395,Equipos!$C$2:$M$967,8,FALSE()),"")</f>
        <v>VG70</v>
      </c>
      <c r="G395" s="46" t="s">
        <v>331</v>
      </c>
      <c r="H395" s="46"/>
      <c r="I395" s="46"/>
      <c r="J395" s="46" t="s">
        <v>297</v>
      </c>
      <c r="K395" s="46" t="str">
        <f>IFERROR(VLOOKUP($J395,Catálogos!$M$4:$N$17,2,FALSE()),"")</f>
        <v>Mantención Preventiva Realizada</v>
      </c>
      <c r="L395" s="46"/>
      <c r="M395" s="46"/>
      <c r="N395" s="46"/>
      <c r="O395" s="46"/>
      <c r="P395" s="46"/>
      <c r="Q395" s="46"/>
    </row>
    <row r="396" spans="1:17" hidden="1" x14ac:dyDescent="0.25">
      <c r="A396" s="47" t="s">
        <v>523</v>
      </c>
      <c r="B396" s="46" t="str">
        <f>IFERROR(VLOOKUP($A396,Equipos!$C$2:$M$967,2,FALSE()),"")</f>
        <v xml:space="preserve">Ventilador Mecánico </v>
      </c>
      <c r="C396" s="46" t="str">
        <f>IFERROR(VLOOKUP($A396,Equipos!$C$2:$M$967,9,FALSE()),"")</f>
        <v>MV2000TA2F0736</v>
      </c>
      <c r="D396" s="46" t="str">
        <f>IFERROR(VLOOKUP($A396,Equipos!$C$2:$M$967,3,FALSE()),"")</f>
        <v>UPC Adulto</v>
      </c>
      <c r="E396" s="46" t="str">
        <f>IFERROR(VLOOKUP($A396,Equipos!$C$2:$M$967,7,FALSE()),"")</f>
        <v>MEK ICS</v>
      </c>
      <c r="F396" s="46" t="str">
        <f>IFERROR(VLOOKUP($A396,Equipos!$C$2:$M$967,8,FALSE()),"")</f>
        <v>MV2000 EVO5</v>
      </c>
      <c r="G396" s="46" t="s">
        <v>331</v>
      </c>
      <c r="H396" s="46"/>
      <c r="I396" s="46"/>
      <c r="J396" s="46" t="s">
        <v>297</v>
      </c>
      <c r="K396" s="46" t="str">
        <f>IFERROR(VLOOKUP($J396,Catálogos!$M$4:$N$17,2,FALSE()),"")</f>
        <v>Mantención Preventiva Realizada</v>
      </c>
      <c r="L396" s="46"/>
      <c r="M396" s="46"/>
      <c r="N396" s="46"/>
      <c r="O396" s="46"/>
      <c r="P396" s="46"/>
      <c r="Q396" s="46"/>
    </row>
    <row r="397" spans="1:17" hidden="1" x14ac:dyDescent="0.25">
      <c r="A397" s="47" t="s">
        <v>524</v>
      </c>
      <c r="B397" s="46" t="str">
        <f>IFERROR(VLOOKUP($A397,Equipos!$C$2:$M$967,2,FALSE()),"")</f>
        <v xml:space="preserve">Ventilador Mecánico </v>
      </c>
      <c r="C397" s="46" t="str">
        <f>IFERROR(VLOOKUP($A397,Equipos!$C$2:$M$967,9,FALSE()),"")</f>
        <v>MV2000TA2F0740</v>
      </c>
      <c r="D397" s="46" t="str">
        <f>IFERROR(VLOOKUP($A397,Equipos!$C$2:$M$967,3,FALSE()),"")</f>
        <v>UPC 3er Piso</v>
      </c>
      <c r="E397" s="46" t="str">
        <f>IFERROR(VLOOKUP($A397,Equipos!$C$2:$M$967,7,FALSE()),"")</f>
        <v>MEK ICS</v>
      </c>
      <c r="F397" s="46" t="str">
        <f>IFERROR(VLOOKUP($A397,Equipos!$C$2:$M$967,8,FALSE()),"")</f>
        <v>MV2000 EVO5</v>
      </c>
      <c r="G397" s="46" t="s">
        <v>331</v>
      </c>
      <c r="H397" s="46"/>
      <c r="I397" s="46"/>
      <c r="J397" s="46" t="s">
        <v>297</v>
      </c>
      <c r="K397" s="46" t="str">
        <f>IFERROR(VLOOKUP($J397,Catálogos!$M$4:$N$17,2,FALSE()),"")</f>
        <v>Mantención Preventiva Realizada</v>
      </c>
      <c r="L397" s="46"/>
      <c r="M397" s="46"/>
      <c r="N397" s="46"/>
      <c r="O397" s="46"/>
      <c r="P397" s="46"/>
      <c r="Q397" s="46"/>
    </row>
    <row r="398" spans="1:17" hidden="1" x14ac:dyDescent="0.25">
      <c r="A398" s="47" t="s">
        <v>525</v>
      </c>
      <c r="B398" s="46" t="str">
        <f>IFERROR(VLOOKUP($A398,Equipos!$C$2:$M$967,2,FALSE()),"")</f>
        <v xml:space="preserve">Ventilador Mecánico </v>
      </c>
      <c r="C398" s="46" t="str">
        <f>IFERROR(VLOOKUP($A398,Equipos!$C$2:$M$967,9,FALSE()),"")</f>
        <v>MV2000TA2F0735</v>
      </c>
      <c r="D398" s="46" t="str">
        <f>IFERROR(VLOOKUP($A398,Equipos!$C$2:$M$967,3,FALSE()),"")</f>
        <v>UPC 3er Piso</v>
      </c>
      <c r="E398" s="46" t="str">
        <f>IFERROR(VLOOKUP($A398,Equipos!$C$2:$M$967,7,FALSE()),"")</f>
        <v>MEK ICS</v>
      </c>
      <c r="F398" s="46" t="str">
        <f>IFERROR(VLOOKUP($A398,Equipos!$C$2:$M$967,8,FALSE()),"")</f>
        <v>MV2000 EVO5</v>
      </c>
      <c r="G398" s="46" t="s">
        <v>331</v>
      </c>
      <c r="H398" s="46"/>
      <c r="I398" s="46"/>
      <c r="J398" s="46" t="s">
        <v>297</v>
      </c>
      <c r="K398" s="46" t="str">
        <f>IFERROR(VLOOKUP($J398,Catálogos!$M$4:$N$17,2,FALSE()),"")</f>
        <v>Mantención Preventiva Realizada</v>
      </c>
      <c r="L398" s="46"/>
      <c r="M398" s="46"/>
      <c r="N398" s="46"/>
      <c r="O398" s="46"/>
      <c r="P398" s="46"/>
      <c r="Q398" s="46"/>
    </row>
    <row r="399" spans="1:17" hidden="1" x14ac:dyDescent="0.25">
      <c r="A399" s="47" t="s">
        <v>526</v>
      </c>
      <c r="B399" s="46" t="str">
        <f>IFERROR(VLOOKUP($A399,Equipos!$C$2:$M$967,2,FALSE()),"")</f>
        <v xml:space="preserve">Ventilador Mecánico </v>
      </c>
      <c r="C399" s="46" t="str">
        <f>IFERROR(VLOOKUP($A399,Equipos!$C$2:$M$967,9,FALSE()),"")</f>
        <v>MV2000TA1F0353</v>
      </c>
      <c r="D399" s="46" t="str">
        <f>IFERROR(VLOOKUP($A399,Equipos!$C$2:$M$967,3,FALSE()),"")</f>
        <v>UPC Adulto</v>
      </c>
      <c r="E399" s="46" t="str">
        <f>IFERROR(VLOOKUP($A399,Equipos!$C$2:$M$967,7,FALSE()),"")</f>
        <v>MEK ICS</v>
      </c>
      <c r="F399" s="46" t="str">
        <f>IFERROR(VLOOKUP($A399,Equipos!$C$2:$M$967,8,FALSE()),"")</f>
        <v>MV2000 EVO5</v>
      </c>
      <c r="G399" s="46" t="s">
        <v>331</v>
      </c>
      <c r="H399" s="46"/>
      <c r="I399" s="46"/>
      <c r="J399" s="46" t="s">
        <v>297</v>
      </c>
      <c r="K399" s="46" t="str">
        <f>IFERROR(VLOOKUP($J399,Catálogos!$M$4:$N$17,2,FALSE()),"")</f>
        <v>Mantención Preventiva Realizada</v>
      </c>
      <c r="L399" s="46"/>
      <c r="M399" s="46"/>
      <c r="N399" s="46"/>
      <c r="O399" s="46"/>
      <c r="P399" s="46"/>
      <c r="Q399" s="46"/>
    </row>
    <row r="400" spans="1:17" hidden="1" x14ac:dyDescent="0.25">
      <c r="A400" s="47" t="s">
        <v>527</v>
      </c>
      <c r="B400" s="46" t="str">
        <f>IFERROR(VLOOKUP($A400,Equipos!$C$2:$M$967,2,FALSE()),"")</f>
        <v xml:space="preserve">Ventilador Mecánico </v>
      </c>
      <c r="C400" s="46" t="str">
        <f>IFERROR(VLOOKUP($A400,Equipos!$C$2:$M$967,9,FALSE()),"")</f>
        <v>MV2000TA2F0745</v>
      </c>
      <c r="D400" s="46" t="str">
        <f>IFERROR(VLOOKUP($A400,Equipos!$C$2:$M$967,3,FALSE()),"")</f>
        <v>UPC 3er Piso</v>
      </c>
      <c r="E400" s="46" t="str">
        <f>IFERROR(VLOOKUP($A400,Equipos!$C$2:$M$967,7,FALSE()),"")</f>
        <v>MEK ICS</v>
      </c>
      <c r="F400" s="46" t="str">
        <f>IFERROR(VLOOKUP($A400,Equipos!$C$2:$M$967,8,FALSE()),"")</f>
        <v>MV2000 EVO5</v>
      </c>
      <c r="G400" s="46" t="s">
        <v>331</v>
      </c>
      <c r="H400" s="46"/>
      <c r="I400" s="46"/>
      <c r="J400" s="46" t="s">
        <v>297</v>
      </c>
      <c r="K400" s="46" t="str">
        <f>IFERROR(VLOOKUP($J400,Catálogos!$M$4:$N$17,2,FALSE()),"")</f>
        <v>Mantención Preventiva Realizada</v>
      </c>
      <c r="L400" s="46"/>
      <c r="M400" s="46"/>
      <c r="N400" s="46"/>
      <c r="O400" s="46"/>
      <c r="P400" s="46"/>
      <c r="Q400" s="46"/>
    </row>
    <row r="401" spans="1:17" hidden="1" x14ac:dyDescent="0.25">
      <c r="A401" s="47" t="s">
        <v>528</v>
      </c>
      <c r="B401" s="46" t="str">
        <f>IFERROR(VLOOKUP($A401,Equipos!$C$2:$M$967,2,FALSE()),"")</f>
        <v xml:space="preserve">Ventilador Mecánico </v>
      </c>
      <c r="C401" s="46" t="str">
        <f>IFERROR(VLOOKUP($A401,Equipos!$C$2:$M$967,9,FALSE()),"")</f>
        <v>8253</v>
      </c>
      <c r="D401" s="46" t="str">
        <f>IFERROR(VLOOKUP($A401,Equipos!$C$2:$M$967,3,FALSE()),"")</f>
        <v>SAMU (Prestado al Hospital de Villarrica)</v>
      </c>
      <c r="E401" s="46" t="str">
        <f>IFERROR(VLOOKUP($A401,Equipos!$C$2:$M$967,7,FALSE()),"")</f>
        <v>Weinmann</v>
      </c>
      <c r="F401" s="46" t="str">
        <f>IFERROR(VLOOKUP($A401,Equipos!$C$2:$M$967,8,FALSE()),"")</f>
        <v>Medumat Transport</v>
      </c>
      <c r="G401" s="46" t="s">
        <v>335</v>
      </c>
      <c r="H401" s="46"/>
      <c r="I401" s="46"/>
      <c r="J401" s="46" t="s">
        <v>476</v>
      </c>
      <c r="K401" s="46" t="str">
        <f>IFERROR(VLOOKUP($J401,Catálogos!$M$4:$N$17,2,FALSE()),"")</f>
        <v>No Realizada</v>
      </c>
      <c r="L401" s="46"/>
      <c r="M401" s="46"/>
      <c r="N401" s="46"/>
      <c r="O401" s="46"/>
      <c r="P401" s="46"/>
      <c r="Q401" s="46"/>
    </row>
    <row r="402" spans="1:17" hidden="1" x14ac:dyDescent="0.25">
      <c r="A402" s="47" t="s">
        <v>529</v>
      </c>
      <c r="B402" s="46" t="str">
        <f>IFERROR(VLOOKUP($A402,Equipos!$C$2:$M$967,2,FALSE()),"")</f>
        <v xml:space="preserve">Ventilador Mecánico </v>
      </c>
      <c r="C402" s="46" t="str">
        <f>IFERROR(VLOOKUP($A402,Equipos!$C$2:$M$967,9,FALSE()),"")</f>
        <v>35B2002482</v>
      </c>
      <c r="D402" s="46" t="str">
        <f>IFERROR(VLOOKUP($A402,Equipos!$C$2:$M$967,3,FALSE()),"")</f>
        <v>UPC Cardiovascular</v>
      </c>
      <c r="E402" s="46" t="str">
        <f>IFERROR(VLOOKUP($A402,Equipos!$C$2:$M$967,7,FALSE()),"")</f>
        <v>Puritan Bennett</v>
      </c>
      <c r="F402" s="46" t="str">
        <f>IFERROR(VLOOKUP($A402,Equipos!$C$2:$M$967,8,FALSE()),"")</f>
        <v>980</v>
      </c>
      <c r="G402" s="46" t="s">
        <v>316</v>
      </c>
      <c r="H402" s="46"/>
      <c r="I402" s="46"/>
      <c r="J402" s="46" t="s">
        <v>277</v>
      </c>
      <c r="K402" s="46" t="str">
        <f>IFERROR(VLOOKUP($J402,Catálogos!$M$4:$N$17,2,FALSE()),"")</f>
        <v>Reprogramada · Equipo no operativo, a la espera de repuestos o accesorios</v>
      </c>
      <c r="L402" s="46"/>
      <c r="M402" s="46"/>
      <c r="N402" s="46"/>
      <c r="O402" s="46"/>
      <c r="P402" s="46"/>
      <c r="Q402" s="46"/>
    </row>
    <row r="403" spans="1:17" hidden="1" x14ac:dyDescent="0.25">
      <c r="A403" s="47" t="s">
        <v>529</v>
      </c>
      <c r="B403" s="46" t="str">
        <f>IFERROR(VLOOKUP($A403,Equipos!$C$2:$M$967,2,FALSE()),"")</f>
        <v xml:space="preserve">Ventilador Mecánico </v>
      </c>
      <c r="C403" s="46" t="str">
        <f>IFERROR(VLOOKUP($A403,Equipos!$C$2:$M$967,9,FALSE()),"")</f>
        <v>35B2002482</v>
      </c>
      <c r="D403" s="46" t="str">
        <f>IFERROR(VLOOKUP($A403,Equipos!$C$2:$M$967,3,FALSE()),"")</f>
        <v>UPC Cardiovascular</v>
      </c>
      <c r="E403" s="46" t="str">
        <f>IFERROR(VLOOKUP($A403,Equipos!$C$2:$M$967,7,FALSE()),"")</f>
        <v>Puritan Bennett</v>
      </c>
      <c r="F403" s="46" t="str">
        <f>IFERROR(VLOOKUP($A403,Equipos!$C$2:$M$967,8,FALSE()),"")</f>
        <v>980</v>
      </c>
      <c r="G403" s="46" t="s">
        <v>331</v>
      </c>
      <c r="H403" s="46"/>
      <c r="I403" s="46"/>
      <c r="J403" s="46" t="s">
        <v>297</v>
      </c>
      <c r="K403" s="46" t="str">
        <f>IFERROR(VLOOKUP($J403,Catálogos!$M$4:$N$17,2,FALSE()),"")</f>
        <v>Mantención Preventiva Realizada</v>
      </c>
      <c r="L403" s="46"/>
      <c r="M403" s="46"/>
      <c r="N403" s="46"/>
      <c r="O403" s="46"/>
      <c r="P403" s="46"/>
      <c r="Q403" s="46"/>
    </row>
    <row r="404" spans="1:17" hidden="1" x14ac:dyDescent="0.25">
      <c r="A404" s="47" t="s">
        <v>71</v>
      </c>
      <c r="B404" s="46" t="str">
        <f>IFERROR(VLOOKUP($A404,Equipos!$C$2:$M$967,2,FALSE()),"")</f>
        <v xml:space="preserve">Ventilador Mecánico </v>
      </c>
      <c r="C404" s="46" t="str">
        <f>IFERROR(VLOOKUP($A404,Equipos!$C$2:$M$967,9,FALSE()),"")</f>
        <v>ASJL-0081</v>
      </c>
      <c r="D404" s="46" t="str">
        <f>IFERROR(VLOOKUP($A404,Equipos!$C$2:$M$967,3,FALSE()),"")</f>
        <v>UPC 3er Piso</v>
      </c>
      <c r="E404" s="46" t="str">
        <f>IFERROR(VLOOKUP($A404,Equipos!$C$2:$M$967,7,FALSE()),"")</f>
        <v>Drager</v>
      </c>
      <c r="F404" s="46" t="str">
        <f>IFERROR(VLOOKUP($A404,Equipos!$C$2:$M$967,8,FALSE()),"")</f>
        <v>Oxylog 3000</v>
      </c>
      <c r="G404" s="46" t="s">
        <v>298</v>
      </c>
      <c r="H404" s="46" t="s">
        <v>460</v>
      </c>
      <c r="I404" s="46"/>
      <c r="J404" s="46" t="s">
        <v>297</v>
      </c>
      <c r="K404" s="46" t="str">
        <f>IFERROR(VLOOKUP($J404,Catálogos!$M$4:$N$17,2,FALSE()),"")</f>
        <v>Mantención Preventiva Realizada</v>
      </c>
      <c r="L404" s="48">
        <v>46160</v>
      </c>
      <c r="M404" s="46" t="s">
        <v>461</v>
      </c>
      <c r="N404" s="46" t="s">
        <v>113</v>
      </c>
      <c r="O404" s="46"/>
      <c r="P404" s="46"/>
      <c r="Q404" s="46"/>
    </row>
    <row r="405" spans="1:17" hidden="1" x14ac:dyDescent="0.25">
      <c r="A405" s="47" t="s">
        <v>530</v>
      </c>
      <c r="B405" s="46" t="str">
        <f>IFERROR(VLOOKUP($A405,Equipos!$C$2:$M$967,2,FALSE()),"")</f>
        <v xml:space="preserve">Ventilador Mecánico </v>
      </c>
      <c r="C405" s="46" t="str">
        <f>IFERROR(VLOOKUP($A405,Equipos!$C$2:$M$967,9,FALSE()),"")</f>
        <v>VG70(E)XZZU7932</v>
      </c>
      <c r="D405" s="46" t="str">
        <f>IFERROR(VLOOKUP($A405,Equipos!$C$2:$M$967,3,FALSE()),"")</f>
        <v>Urgencia Adulto</v>
      </c>
      <c r="E405" s="46" t="str">
        <f>IFERROR(VLOOKUP($A405,Equipos!$C$2:$M$967,7,FALSE()),"")</f>
        <v>Aeonmed</v>
      </c>
      <c r="F405" s="46" t="str">
        <f>IFERROR(VLOOKUP($A405,Equipos!$C$2:$M$967,8,FALSE()),"")</f>
        <v>VG70</v>
      </c>
      <c r="G405" s="46" t="s">
        <v>331</v>
      </c>
      <c r="H405" s="46"/>
      <c r="I405" s="46"/>
      <c r="J405" s="46" t="s">
        <v>297</v>
      </c>
      <c r="K405" s="46" t="str">
        <f>IFERROR(VLOOKUP($J405,Catálogos!$M$4:$N$17,2,FALSE()),"")</f>
        <v>Mantención Preventiva Realizada</v>
      </c>
      <c r="L405" s="46"/>
      <c r="M405" s="46"/>
      <c r="N405" s="46"/>
      <c r="O405" s="46"/>
      <c r="P405" s="46"/>
      <c r="Q405" s="46"/>
    </row>
    <row r="406" spans="1:17" hidden="1" x14ac:dyDescent="0.25">
      <c r="A406" s="47" t="s">
        <v>531</v>
      </c>
      <c r="B406" s="46" t="str">
        <f>IFERROR(VLOOKUP($A406,Equipos!$C$2:$M$967,2,FALSE()),"")</f>
        <v xml:space="preserve">Ventilador Mecánico </v>
      </c>
      <c r="C406" s="46" t="str">
        <f>IFERROR(VLOOKUP($A406,Equipos!$C$2:$M$967,9,FALSE()),"")</f>
        <v>VG70(E)XZZU7934</v>
      </c>
      <c r="D406" s="46" t="str">
        <f>IFERROR(VLOOKUP($A406,Equipos!$C$2:$M$967,3,FALSE()),"")</f>
        <v>Urgencia Adulto</v>
      </c>
      <c r="E406" s="46" t="str">
        <f>IFERROR(VLOOKUP($A406,Equipos!$C$2:$M$967,7,FALSE()),"")</f>
        <v>Aeonmed</v>
      </c>
      <c r="F406" s="46" t="str">
        <f>IFERROR(VLOOKUP($A406,Equipos!$C$2:$M$967,8,FALSE()),"")</f>
        <v>VG70</v>
      </c>
      <c r="G406" s="46" t="s">
        <v>331</v>
      </c>
      <c r="H406" s="46"/>
      <c r="I406" s="46"/>
      <c r="J406" s="46" t="s">
        <v>297</v>
      </c>
      <c r="K406" s="46" t="str">
        <f>IFERROR(VLOOKUP($J406,Catálogos!$M$4:$N$17,2,FALSE()),"")</f>
        <v>Mantención Preventiva Realizada</v>
      </c>
      <c r="L406" s="46"/>
      <c r="M406" s="46"/>
      <c r="N406" s="46"/>
      <c r="O406" s="46"/>
      <c r="P406" s="46"/>
      <c r="Q406" s="46"/>
    </row>
    <row r="407" spans="1:17" hidden="1" x14ac:dyDescent="0.25">
      <c r="A407" s="47" t="s">
        <v>532</v>
      </c>
      <c r="B407" s="46" t="str">
        <f>IFERROR(VLOOKUP($A407,Equipos!$C$2:$M$967,2,FALSE()),"")</f>
        <v xml:space="preserve">Ventilador Mecánico </v>
      </c>
      <c r="C407" s="46" t="str">
        <f>IFERROR(VLOOKUP($A407,Equipos!$C$2:$M$967,9,FALSE()),"")</f>
        <v>35B2004521</v>
      </c>
      <c r="D407" s="46" t="str">
        <f>IFERROR(VLOOKUP($A407,Equipos!$C$2:$M$967,3,FALSE()),"")</f>
        <v>UPC Adulto</v>
      </c>
      <c r="E407" s="46" t="str">
        <f>IFERROR(VLOOKUP($A407,Equipos!$C$2:$M$967,7,FALSE()),"")</f>
        <v>Puritan Bennett</v>
      </c>
      <c r="F407" s="46" t="str">
        <f>IFERROR(VLOOKUP($A407,Equipos!$C$2:$M$967,8,FALSE()),"")</f>
        <v>980/Sin Comp.</v>
      </c>
      <c r="G407" s="46" t="s">
        <v>316</v>
      </c>
      <c r="H407" s="46"/>
      <c r="I407" s="46"/>
      <c r="J407" s="46" t="s">
        <v>277</v>
      </c>
      <c r="K407" s="46" t="str">
        <f>IFERROR(VLOOKUP($J407,Catálogos!$M$4:$N$17,2,FALSE()),"")</f>
        <v>Reprogramada · Equipo no operativo, a la espera de repuestos o accesorios</v>
      </c>
      <c r="L407" s="46"/>
      <c r="M407" s="46"/>
      <c r="N407" s="46"/>
      <c r="O407" s="46"/>
      <c r="P407" s="46"/>
      <c r="Q407" s="46"/>
    </row>
    <row r="408" spans="1:17" hidden="1" x14ac:dyDescent="0.25">
      <c r="A408" s="47" t="s">
        <v>532</v>
      </c>
      <c r="B408" s="46" t="str">
        <f>IFERROR(VLOOKUP($A408,Equipos!$C$2:$M$967,2,FALSE()),"")</f>
        <v xml:space="preserve">Ventilador Mecánico </v>
      </c>
      <c r="C408" s="46" t="str">
        <f>IFERROR(VLOOKUP($A408,Equipos!$C$2:$M$967,9,FALSE()),"")</f>
        <v>35B2004521</v>
      </c>
      <c r="D408" s="46" t="str">
        <f>IFERROR(VLOOKUP($A408,Equipos!$C$2:$M$967,3,FALSE()),"")</f>
        <v>UPC Adulto</v>
      </c>
      <c r="E408" s="46" t="str">
        <f>IFERROR(VLOOKUP($A408,Equipos!$C$2:$M$967,7,FALSE()),"")</f>
        <v>Puritan Bennett</v>
      </c>
      <c r="F408" s="46" t="str">
        <f>IFERROR(VLOOKUP($A408,Equipos!$C$2:$M$967,8,FALSE()),"")</f>
        <v>980/Sin Comp.</v>
      </c>
      <c r="G408" s="46" t="s">
        <v>331</v>
      </c>
      <c r="H408" s="46"/>
      <c r="I408" s="46"/>
      <c r="J408" s="46" t="s">
        <v>297</v>
      </c>
      <c r="K408" s="46" t="str">
        <f>IFERROR(VLOOKUP($J408,Catálogos!$M$4:$N$17,2,FALSE()),"")</f>
        <v>Mantención Preventiva Realizada</v>
      </c>
      <c r="L408" s="46"/>
      <c r="M408" s="46"/>
      <c r="N408" s="46"/>
      <c r="O408" s="46"/>
      <c r="P408" s="46"/>
      <c r="Q408" s="46"/>
    </row>
    <row r="409" spans="1:17" hidden="1" x14ac:dyDescent="0.25">
      <c r="A409" s="47" t="s">
        <v>533</v>
      </c>
      <c r="B409" s="46" t="str">
        <f>IFERROR(VLOOKUP($A409,Equipos!$C$2:$M$967,2,FALSE()),"")</f>
        <v xml:space="preserve">Ventilador Mecánico </v>
      </c>
      <c r="C409" s="46" t="str">
        <f>IFERROR(VLOOKUP($A409,Equipos!$C$2:$M$967,9,FALSE()),"")</f>
        <v>3512202265</v>
      </c>
      <c r="D409" s="46" t="str">
        <f>IFERROR(VLOOKUP($A409,Equipos!$C$2:$M$967,3,FALSE()),"")</f>
        <v>Urgencia Adulto (Prestado a UPC Cardiovascular)</v>
      </c>
      <c r="E409" s="46" t="str">
        <f>IFERROR(VLOOKUP($A409,Equipos!$C$2:$M$967,7,FALSE()),"")</f>
        <v>Puritan Bennett</v>
      </c>
      <c r="F409" s="46" t="str">
        <f>IFERROR(VLOOKUP($A409,Equipos!$C$2:$M$967,8,FALSE()),"")</f>
        <v>840</v>
      </c>
      <c r="G409" s="46" t="s">
        <v>316</v>
      </c>
      <c r="H409" s="46"/>
      <c r="I409" s="46"/>
      <c r="J409" s="46" t="s">
        <v>423</v>
      </c>
      <c r="K409" s="46" t="str">
        <f>IFERROR(VLOOKUP($J409,Catálogos!$M$4:$N$17,2,FALSE()),"")</f>
        <v>Reprogramada · No disponibilidad de horas hombre del servicio técnico externo</v>
      </c>
      <c r="L409" s="46"/>
      <c r="M409" s="46"/>
      <c r="N409" s="46"/>
      <c r="O409" s="46"/>
      <c r="P409" s="46"/>
      <c r="Q409" s="46"/>
    </row>
    <row r="410" spans="1:17" hidden="1" x14ac:dyDescent="0.25">
      <c r="A410" s="47" t="s">
        <v>533</v>
      </c>
      <c r="B410" s="46" t="str">
        <f>IFERROR(VLOOKUP($A410,Equipos!$C$2:$M$967,2,FALSE()),"")</f>
        <v xml:space="preserve">Ventilador Mecánico </v>
      </c>
      <c r="C410" s="46" t="str">
        <f>IFERROR(VLOOKUP($A410,Equipos!$C$2:$M$967,9,FALSE()),"")</f>
        <v>3512202265</v>
      </c>
      <c r="D410" s="46" t="str">
        <f>IFERROR(VLOOKUP($A410,Equipos!$C$2:$M$967,3,FALSE()),"")</f>
        <v>Urgencia Adulto (Prestado a UPC Cardiovascular)</v>
      </c>
      <c r="E410" s="46" t="str">
        <f>IFERROR(VLOOKUP($A410,Equipos!$C$2:$M$967,7,FALSE()),"")</f>
        <v>Puritan Bennett</v>
      </c>
      <c r="F410" s="46" t="str">
        <f>IFERROR(VLOOKUP($A410,Equipos!$C$2:$M$967,8,FALSE()),"")</f>
        <v>840</v>
      </c>
      <c r="G410" s="46" t="s">
        <v>331</v>
      </c>
      <c r="H410" s="46"/>
      <c r="I410" s="46"/>
      <c r="J410" s="46" t="s">
        <v>297</v>
      </c>
      <c r="K410" s="46" t="str">
        <f>IFERROR(VLOOKUP($J410,Catálogos!$M$4:$N$17,2,FALSE()),"")</f>
        <v>Mantención Preventiva Realizada</v>
      </c>
      <c r="L410" s="46"/>
      <c r="M410" s="46"/>
      <c r="N410" s="46"/>
      <c r="O410" s="46"/>
      <c r="P410" s="46"/>
      <c r="Q410" s="46"/>
    </row>
    <row r="411" spans="1:17" hidden="1" x14ac:dyDescent="0.25">
      <c r="A411" s="47" t="s">
        <v>534</v>
      </c>
      <c r="B411" s="46" t="str">
        <f>IFERROR(VLOOKUP($A411,Equipos!$C$2:$M$967,2,FALSE()),"")</f>
        <v xml:space="preserve">Ventilador Mecánico </v>
      </c>
      <c r="C411" s="46" t="str">
        <f>IFERROR(VLOOKUP($A411,Equipos!$C$2:$M$967,9,FALSE()),"")</f>
        <v>35B2004413</v>
      </c>
      <c r="D411" s="46" t="str">
        <f>IFERROR(VLOOKUP($A411,Equipos!$C$2:$M$967,3,FALSE()),"")</f>
        <v>UPC Cardiovascular</v>
      </c>
      <c r="E411" s="46" t="str">
        <f>IFERROR(VLOOKUP($A411,Equipos!$C$2:$M$967,7,FALSE()),"")</f>
        <v>Puritan Bennett</v>
      </c>
      <c r="F411" s="46" t="str">
        <f>IFERROR(VLOOKUP($A411,Equipos!$C$2:$M$967,8,FALSE()),"")</f>
        <v>980/Sin Comp.</v>
      </c>
      <c r="G411" s="46" t="s">
        <v>316</v>
      </c>
      <c r="H411" s="46"/>
      <c r="I411" s="46"/>
      <c r="J411" s="46" t="s">
        <v>277</v>
      </c>
      <c r="K411" s="46" t="str">
        <f>IFERROR(VLOOKUP($J411,Catálogos!$M$4:$N$17,2,FALSE()),"")</f>
        <v>Reprogramada · Equipo no operativo, a la espera de repuestos o accesorios</v>
      </c>
      <c r="L411" s="46"/>
      <c r="M411" s="46"/>
      <c r="N411" s="46"/>
      <c r="O411" s="46"/>
      <c r="P411" s="46"/>
      <c r="Q411" s="46"/>
    </row>
    <row r="412" spans="1:17" hidden="1" x14ac:dyDescent="0.25">
      <c r="A412" s="47" t="s">
        <v>534</v>
      </c>
      <c r="B412" s="46" t="str">
        <f>IFERROR(VLOOKUP($A412,Equipos!$C$2:$M$967,2,FALSE()),"")</f>
        <v xml:space="preserve">Ventilador Mecánico </v>
      </c>
      <c r="C412" s="46" t="str">
        <f>IFERROR(VLOOKUP($A412,Equipos!$C$2:$M$967,9,FALSE()),"")</f>
        <v>35B2004413</v>
      </c>
      <c r="D412" s="46" t="str">
        <f>IFERROR(VLOOKUP($A412,Equipos!$C$2:$M$967,3,FALSE()),"")</f>
        <v>UPC Cardiovascular</v>
      </c>
      <c r="E412" s="46" t="str">
        <f>IFERROR(VLOOKUP($A412,Equipos!$C$2:$M$967,7,FALSE()),"")</f>
        <v>Puritan Bennett</v>
      </c>
      <c r="F412" s="46" t="str">
        <f>IFERROR(VLOOKUP($A412,Equipos!$C$2:$M$967,8,FALSE()),"")</f>
        <v>980/Sin Comp.</v>
      </c>
      <c r="G412" s="46" t="s">
        <v>331</v>
      </c>
      <c r="H412" s="46"/>
      <c r="I412" s="46"/>
      <c r="J412" s="46" t="s">
        <v>297</v>
      </c>
      <c r="K412" s="46" t="str">
        <f>IFERROR(VLOOKUP($J412,Catálogos!$M$4:$N$17,2,FALSE()),"")</f>
        <v>Mantención Preventiva Realizada</v>
      </c>
      <c r="L412" s="46"/>
      <c r="M412" s="46"/>
      <c r="N412" s="46"/>
      <c r="O412" s="46"/>
      <c r="P412" s="46"/>
      <c r="Q412" s="46"/>
    </row>
    <row r="413" spans="1:17" hidden="1" x14ac:dyDescent="0.25">
      <c r="A413" s="47" t="s">
        <v>535</v>
      </c>
      <c r="B413" s="46" t="str">
        <f>IFERROR(VLOOKUP($A413,Equipos!$C$2:$M$967,2,FALSE()),"")</f>
        <v xml:space="preserve">Ventilador Mecánico </v>
      </c>
      <c r="C413" s="46" t="str">
        <f>IFERROR(VLOOKUP($A413,Equipos!$C$2:$M$967,9,FALSE()),"")</f>
        <v>35B2004449</v>
      </c>
      <c r="D413" s="46" t="str">
        <f>IFERROR(VLOOKUP($A413,Equipos!$C$2:$M$967,3,FALSE()),"")</f>
        <v>UPC Cardiovascular</v>
      </c>
      <c r="E413" s="46" t="str">
        <f>IFERROR(VLOOKUP($A413,Equipos!$C$2:$M$967,7,FALSE()),"")</f>
        <v>Puritan Bennett</v>
      </c>
      <c r="F413" s="46" t="str">
        <f>IFERROR(VLOOKUP($A413,Equipos!$C$2:$M$967,8,FALSE()),"")</f>
        <v>980/Sin Comp.</v>
      </c>
      <c r="G413" s="46" t="s">
        <v>316</v>
      </c>
      <c r="H413" s="46"/>
      <c r="I413" s="46"/>
      <c r="J413" s="46" t="s">
        <v>423</v>
      </c>
      <c r="K413" s="46" t="str">
        <f>IFERROR(VLOOKUP($J413,Catálogos!$M$4:$N$17,2,FALSE()),"")</f>
        <v>Reprogramada · No disponibilidad de horas hombre del servicio técnico externo</v>
      </c>
      <c r="L413" s="46"/>
      <c r="M413" s="46"/>
      <c r="N413" s="46"/>
      <c r="O413" s="46"/>
      <c r="P413" s="46"/>
      <c r="Q413" s="46"/>
    </row>
    <row r="414" spans="1:17" hidden="1" x14ac:dyDescent="0.25">
      <c r="A414" s="47" t="s">
        <v>535</v>
      </c>
      <c r="B414" s="46" t="str">
        <f>IFERROR(VLOOKUP($A414,Equipos!$C$2:$M$967,2,FALSE()),"")</f>
        <v xml:space="preserve">Ventilador Mecánico </v>
      </c>
      <c r="C414" s="46" t="str">
        <f>IFERROR(VLOOKUP($A414,Equipos!$C$2:$M$967,9,FALSE()),"")</f>
        <v>35B2004449</v>
      </c>
      <c r="D414" s="46" t="str">
        <f>IFERROR(VLOOKUP($A414,Equipos!$C$2:$M$967,3,FALSE()),"")</f>
        <v>UPC Cardiovascular</v>
      </c>
      <c r="E414" s="46" t="str">
        <f>IFERROR(VLOOKUP($A414,Equipos!$C$2:$M$967,7,FALSE()),"")</f>
        <v>Puritan Bennett</v>
      </c>
      <c r="F414" s="46" t="str">
        <f>IFERROR(VLOOKUP($A414,Equipos!$C$2:$M$967,8,FALSE()),"")</f>
        <v>980/Sin Comp.</v>
      </c>
      <c r="G414" s="46" t="s">
        <v>331</v>
      </c>
      <c r="H414" s="46"/>
      <c r="I414" s="46"/>
      <c r="J414" s="46" t="s">
        <v>297</v>
      </c>
      <c r="K414" s="46" t="str">
        <f>IFERROR(VLOOKUP($J414,Catálogos!$M$4:$N$17,2,FALSE()),"")</f>
        <v>Mantención Preventiva Realizada</v>
      </c>
      <c r="L414" s="46"/>
      <c r="M414" s="46"/>
      <c r="N414" s="46"/>
      <c r="O414" s="46"/>
      <c r="P414" s="46"/>
      <c r="Q414" s="46"/>
    </row>
    <row r="415" spans="1:17" hidden="1" x14ac:dyDescent="0.25">
      <c r="A415" s="47" t="s">
        <v>536</v>
      </c>
      <c r="B415" s="46" t="str">
        <f>IFERROR(VLOOKUP($A415,Equipos!$C$2:$M$967,2,FALSE()),"")</f>
        <v xml:space="preserve">Ventilador Mecánico </v>
      </c>
      <c r="C415" s="46" t="str">
        <f>IFERROR(VLOOKUP($A415,Equipos!$C$2:$M$967,9,FALSE()),"")</f>
        <v>35B2004447</v>
      </c>
      <c r="D415" s="46" t="str">
        <f>IFERROR(VLOOKUP($A415,Equipos!$C$2:$M$967,3,FALSE()),"")</f>
        <v>UPC Adulto</v>
      </c>
      <c r="E415" s="46" t="str">
        <f>IFERROR(VLOOKUP($A415,Equipos!$C$2:$M$967,7,FALSE()),"")</f>
        <v>Puritan Bennett</v>
      </c>
      <c r="F415" s="46" t="str">
        <f>IFERROR(VLOOKUP($A415,Equipos!$C$2:$M$967,8,FALSE()),"")</f>
        <v>980/Sin Comp.</v>
      </c>
      <c r="G415" s="46" t="s">
        <v>316</v>
      </c>
      <c r="H415" s="46"/>
      <c r="I415" s="46"/>
      <c r="J415" s="46" t="s">
        <v>423</v>
      </c>
      <c r="K415" s="46" t="str">
        <f>IFERROR(VLOOKUP($J415,Catálogos!$M$4:$N$17,2,FALSE()),"")</f>
        <v>Reprogramada · No disponibilidad de horas hombre del servicio técnico externo</v>
      </c>
      <c r="L415" s="46"/>
      <c r="M415" s="46"/>
      <c r="N415" s="46"/>
      <c r="O415" s="46"/>
      <c r="P415" s="46"/>
      <c r="Q415" s="46"/>
    </row>
    <row r="416" spans="1:17" hidden="1" x14ac:dyDescent="0.25">
      <c r="A416" s="47" t="s">
        <v>536</v>
      </c>
      <c r="B416" s="46" t="str">
        <f>IFERROR(VLOOKUP($A416,Equipos!$C$2:$M$967,2,FALSE()),"")</f>
        <v xml:space="preserve">Ventilador Mecánico </v>
      </c>
      <c r="C416" s="46" t="str">
        <f>IFERROR(VLOOKUP($A416,Equipos!$C$2:$M$967,9,FALSE()),"")</f>
        <v>35B2004447</v>
      </c>
      <c r="D416" s="46" t="str">
        <f>IFERROR(VLOOKUP($A416,Equipos!$C$2:$M$967,3,FALSE()),"")</f>
        <v>UPC Adulto</v>
      </c>
      <c r="E416" s="46" t="str">
        <f>IFERROR(VLOOKUP($A416,Equipos!$C$2:$M$967,7,FALSE()),"")</f>
        <v>Puritan Bennett</v>
      </c>
      <c r="F416" s="46" t="str">
        <f>IFERROR(VLOOKUP($A416,Equipos!$C$2:$M$967,8,FALSE()),"")</f>
        <v>980/Sin Comp.</v>
      </c>
      <c r="G416" s="46" t="s">
        <v>331</v>
      </c>
      <c r="H416" s="46"/>
      <c r="I416" s="46"/>
      <c r="J416" s="46" t="s">
        <v>297</v>
      </c>
      <c r="K416" s="46" t="str">
        <f>IFERROR(VLOOKUP($J416,Catálogos!$M$4:$N$17,2,FALSE()),"")</f>
        <v>Mantención Preventiva Realizada</v>
      </c>
      <c r="L416" s="46"/>
      <c r="M416" s="46"/>
      <c r="N416" s="46"/>
      <c r="O416" s="46"/>
      <c r="P416" s="46"/>
      <c r="Q416" s="46"/>
    </row>
    <row r="417" spans="1:17" hidden="1" x14ac:dyDescent="0.25">
      <c r="A417" s="47" t="s">
        <v>537</v>
      </c>
      <c r="B417" s="46" t="str">
        <f>IFERROR(VLOOKUP($A417,Equipos!$C$2:$M$967,2,FALSE()),"")</f>
        <v xml:space="preserve">Ventilador Mecánico </v>
      </c>
      <c r="C417" s="46" t="str">
        <f>IFERROR(VLOOKUP($A417,Equipos!$C$2:$M$967,9,FALSE()),"")</f>
        <v>3512202261</v>
      </c>
      <c r="D417" s="46" t="str">
        <f>IFERROR(VLOOKUP($A417,Equipos!$C$2:$M$967,3,FALSE()),"")</f>
        <v>UPC Adulto</v>
      </c>
      <c r="E417" s="46" t="str">
        <f>IFERROR(VLOOKUP($A417,Equipos!$C$2:$M$967,7,FALSE()),"")</f>
        <v>Puritan Bennett</v>
      </c>
      <c r="F417" s="46" t="str">
        <f>IFERROR(VLOOKUP($A417,Equipos!$C$2:$M$967,8,FALSE()),"")</f>
        <v>840</v>
      </c>
      <c r="G417" s="46" t="s">
        <v>316</v>
      </c>
      <c r="H417" s="46"/>
      <c r="I417" s="46"/>
      <c r="J417" s="46" t="s">
        <v>423</v>
      </c>
      <c r="K417" s="46" t="str">
        <f>IFERROR(VLOOKUP($J417,Catálogos!$M$4:$N$17,2,FALSE()),"")</f>
        <v>Reprogramada · No disponibilidad de horas hombre del servicio técnico externo</v>
      </c>
      <c r="L417" s="46"/>
      <c r="M417" s="46"/>
      <c r="N417" s="46"/>
      <c r="O417" s="46"/>
      <c r="P417" s="46"/>
      <c r="Q417" s="46"/>
    </row>
    <row r="418" spans="1:17" hidden="1" x14ac:dyDescent="0.25">
      <c r="A418" s="47" t="s">
        <v>537</v>
      </c>
      <c r="B418" s="46" t="str">
        <f>IFERROR(VLOOKUP($A418,Equipos!$C$2:$M$967,2,FALSE()),"")</f>
        <v xml:space="preserve">Ventilador Mecánico </v>
      </c>
      <c r="C418" s="46" t="str">
        <f>IFERROR(VLOOKUP($A418,Equipos!$C$2:$M$967,9,FALSE()),"")</f>
        <v>3512202261</v>
      </c>
      <c r="D418" s="46" t="str">
        <f>IFERROR(VLOOKUP($A418,Equipos!$C$2:$M$967,3,FALSE()),"")</f>
        <v>UPC Adulto</v>
      </c>
      <c r="E418" s="46" t="str">
        <f>IFERROR(VLOOKUP($A418,Equipos!$C$2:$M$967,7,FALSE()),"")</f>
        <v>Puritan Bennett</v>
      </c>
      <c r="F418" s="46" t="str">
        <f>IFERROR(VLOOKUP($A418,Equipos!$C$2:$M$967,8,FALSE()),"")</f>
        <v>840</v>
      </c>
      <c r="G418" s="46" t="s">
        <v>331</v>
      </c>
      <c r="H418" s="46"/>
      <c r="I418" s="46"/>
      <c r="J418" s="46" t="s">
        <v>297</v>
      </c>
      <c r="K418" s="46" t="str">
        <f>IFERROR(VLOOKUP($J418,Catálogos!$M$4:$N$17,2,FALSE()),"")</f>
        <v>Mantención Preventiva Realizada</v>
      </c>
      <c r="L418" s="46"/>
      <c r="M418" s="46"/>
      <c r="N418" s="46"/>
      <c r="O418" s="46"/>
      <c r="P418" s="46"/>
      <c r="Q418" s="46"/>
    </row>
    <row r="419" spans="1:17" hidden="1" x14ac:dyDescent="0.25">
      <c r="A419" s="47" t="s">
        <v>538</v>
      </c>
      <c r="B419" s="46" t="str">
        <f>IFERROR(VLOOKUP($A419,Equipos!$C$2:$M$967,2,FALSE()),"")</f>
        <v xml:space="preserve">Ventilador Mecánico </v>
      </c>
      <c r="C419" s="46" t="str">
        <f>IFERROR(VLOOKUP($A419,Equipos!$C$2:$M$967,9,FALSE()),"")</f>
        <v>3512202219</v>
      </c>
      <c r="D419" s="46" t="str">
        <f>IFERROR(VLOOKUP($A419,Equipos!$C$2:$M$967,3,FALSE()),"")</f>
        <v>UPC Adulto</v>
      </c>
      <c r="E419" s="46" t="str">
        <f>IFERROR(VLOOKUP($A419,Equipos!$C$2:$M$967,7,FALSE()),"")</f>
        <v>Puritan Bennett</v>
      </c>
      <c r="F419" s="46" t="str">
        <f>IFERROR(VLOOKUP($A419,Equipos!$C$2:$M$967,8,FALSE()),"")</f>
        <v>840</v>
      </c>
      <c r="G419" s="46" t="s">
        <v>316</v>
      </c>
      <c r="H419" s="46"/>
      <c r="I419" s="46"/>
      <c r="J419" s="46" t="s">
        <v>423</v>
      </c>
      <c r="K419" s="46" t="str">
        <f>IFERROR(VLOOKUP($J419,Catálogos!$M$4:$N$17,2,FALSE()),"")</f>
        <v>Reprogramada · No disponibilidad de horas hombre del servicio técnico externo</v>
      </c>
      <c r="L419" s="46"/>
      <c r="M419" s="46"/>
      <c r="N419" s="46"/>
      <c r="O419" s="46"/>
      <c r="P419" s="46"/>
      <c r="Q419" s="46"/>
    </row>
    <row r="420" spans="1:17" hidden="1" x14ac:dyDescent="0.25">
      <c r="A420" s="47" t="s">
        <v>538</v>
      </c>
      <c r="B420" s="46" t="str">
        <f>IFERROR(VLOOKUP($A420,Equipos!$C$2:$M$967,2,FALSE()),"")</f>
        <v xml:space="preserve">Ventilador Mecánico </v>
      </c>
      <c r="C420" s="46" t="str">
        <f>IFERROR(VLOOKUP($A420,Equipos!$C$2:$M$967,9,FALSE()),"")</f>
        <v>3512202219</v>
      </c>
      <c r="D420" s="46" t="str">
        <f>IFERROR(VLOOKUP($A420,Equipos!$C$2:$M$967,3,FALSE()),"")</f>
        <v>UPC Adulto</v>
      </c>
      <c r="E420" s="46" t="str">
        <f>IFERROR(VLOOKUP($A420,Equipos!$C$2:$M$967,7,FALSE()),"")</f>
        <v>Puritan Bennett</v>
      </c>
      <c r="F420" s="46" t="str">
        <f>IFERROR(VLOOKUP($A420,Equipos!$C$2:$M$967,8,FALSE()),"")</f>
        <v>840</v>
      </c>
      <c r="G420" s="46" t="s">
        <v>331</v>
      </c>
      <c r="H420" s="46"/>
      <c r="I420" s="46"/>
      <c r="J420" s="46" t="s">
        <v>297</v>
      </c>
      <c r="K420" s="46" t="str">
        <f>IFERROR(VLOOKUP($J420,Catálogos!$M$4:$N$17,2,FALSE()),"")</f>
        <v>Mantención Preventiva Realizada</v>
      </c>
      <c r="L420" s="46"/>
      <c r="M420" s="46"/>
      <c r="N420" s="46"/>
      <c r="O420" s="46"/>
      <c r="P420" s="46"/>
      <c r="Q420" s="46"/>
    </row>
    <row r="421" spans="1:17" hidden="1" x14ac:dyDescent="0.25">
      <c r="A421" s="47" t="s">
        <v>209</v>
      </c>
      <c r="B421" s="46" t="str">
        <f>IFERROR(VLOOKUP($A421,Equipos!$C$2:$M$967,2,FALSE()),"")</f>
        <v xml:space="preserve">Ventilador Mecánico </v>
      </c>
      <c r="C421" s="46" t="str">
        <f>IFERROR(VLOOKUP($A421,Equipos!$C$2:$M$967,9,FALSE()),"")</f>
        <v>ASNH-0098</v>
      </c>
      <c r="D421" s="46" t="str">
        <f>IFERROR(VLOOKUP($A421,Equipos!$C$2:$M$967,3,FALSE()),"")</f>
        <v>UPC Adulto</v>
      </c>
      <c r="E421" s="46" t="str">
        <f>IFERROR(VLOOKUP($A421,Equipos!$C$2:$M$967,7,FALSE()),"")</f>
        <v>Drager</v>
      </c>
      <c r="F421" s="46" t="str">
        <f>IFERROR(VLOOKUP($A421,Equipos!$C$2:$M$967,8,FALSE()),"")</f>
        <v xml:space="preserve">Oxylog 3000 </v>
      </c>
      <c r="G421" s="46" t="s">
        <v>331</v>
      </c>
      <c r="H421" s="46" t="s">
        <v>468</v>
      </c>
      <c r="I421" s="46"/>
      <c r="J421" s="46" t="s">
        <v>423</v>
      </c>
      <c r="K421" s="46" t="str">
        <f>IFERROR(VLOOKUP($J421,Catálogos!$M$4:$N$17,2,FALSE()),"")</f>
        <v>Reprogramada · No disponibilidad de horas hombre del servicio técnico externo</v>
      </c>
      <c r="L421" s="48">
        <v>46142</v>
      </c>
      <c r="M421" s="46" t="s">
        <v>461</v>
      </c>
      <c r="N421" s="46" t="s">
        <v>113</v>
      </c>
      <c r="O421" s="46"/>
      <c r="P421" s="46"/>
      <c r="Q421" s="46"/>
    </row>
    <row r="422" spans="1:17" hidden="1" x14ac:dyDescent="0.25">
      <c r="A422" s="47" t="s">
        <v>209</v>
      </c>
      <c r="B422" s="46" t="str">
        <f>IFERROR(VLOOKUP($A422,Equipos!$C$2:$M$967,2,FALSE()),"")</f>
        <v xml:space="preserve">Ventilador Mecánico </v>
      </c>
      <c r="C422" s="46" t="str">
        <f>IFERROR(VLOOKUP($A422,Equipos!$C$2:$M$967,9,FALSE()),"")</f>
        <v>ASNH-0098</v>
      </c>
      <c r="D422" s="46" t="str">
        <f>IFERROR(VLOOKUP($A422,Equipos!$C$2:$M$967,3,FALSE()),"")</f>
        <v>UPC Adulto</v>
      </c>
      <c r="E422" s="46" t="str">
        <f>IFERROR(VLOOKUP($A422,Equipos!$C$2:$M$967,7,FALSE()),"")</f>
        <v>Drager</v>
      </c>
      <c r="F422" s="46" t="str">
        <f>IFERROR(VLOOKUP($A422,Equipos!$C$2:$M$967,8,FALSE()),"")</f>
        <v xml:space="preserve">Oxylog 3000 </v>
      </c>
      <c r="G422" s="46" t="s">
        <v>298</v>
      </c>
      <c r="H422" s="46" t="s">
        <v>460</v>
      </c>
      <c r="I422" s="46"/>
      <c r="J422" s="46" t="s">
        <v>297</v>
      </c>
      <c r="K422" s="46" t="str">
        <f>IFERROR(VLOOKUP($J422,Catálogos!$M$4:$N$17,2,FALSE()),"")</f>
        <v>Mantención Preventiva Realizada</v>
      </c>
      <c r="L422" s="48">
        <v>46160</v>
      </c>
      <c r="M422" s="46" t="s">
        <v>461</v>
      </c>
      <c r="N422" s="46" t="s">
        <v>113</v>
      </c>
      <c r="O422" s="46"/>
      <c r="P422" s="46"/>
      <c r="Q422" s="46"/>
    </row>
    <row r="423" spans="1:17" hidden="1" x14ac:dyDescent="0.25">
      <c r="A423" s="47" t="s">
        <v>539</v>
      </c>
      <c r="B423" s="46" t="str">
        <f>IFERROR(VLOOKUP($A423,Equipos!$C$2:$M$967,2,FALSE()),"")</f>
        <v xml:space="preserve">Ventilador Mecánico </v>
      </c>
      <c r="C423" s="46" t="str">
        <f>IFERROR(VLOOKUP($A423,Equipos!$C$2:$M$967,9,FALSE()),"")</f>
        <v>ASNH-0099</v>
      </c>
      <c r="D423" s="46" t="str">
        <f>IFERROR(VLOOKUP($A423,Equipos!$C$2:$M$967,3,FALSE()),"")</f>
        <v>Medicina</v>
      </c>
      <c r="E423" s="46" t="str">
        <f>IFERROR(VLOOKUP($A423,Equipos!$C$2:$M$967,7,FALSE()),"")</f>
        <v>Drager</v>
      </c>
      <c r="F423" s="46" t="str">
        <f>IFERROR(VLOOKUP($A423,Equipos!$C$2:$M$967,8,FALSE()),"")</f>
        <v xml:space="preserve">Oxylog 3000 </v>
      </c>
      <c r="G423" s="46" t="s">
        <v>298</v>
      </c>
      <c r="H423" s="46"/>
      <c r="I423" s="46"/>
      <c r="J423" s="46" t="s">
        <v>297</v>
      </c>
      <c r="K423" s="46" t="str">
        <f>IFERROR(VLOOKUP($J423,Catálogos!$M$4:$N$17,2,FALSE()),"")</f>
        <v>Mantención Preventiva Realizada</v>
      </c>
      <c r="L423" s="46"/>
      <c r="M423" s="46"/>
      <c r="N423" s="46"/>
      <c r="O423" s="46"/>
      <c r="P423" s="46"/>
      <c r="Q423" s="46"/>
    </row>
    <row r="424" spans="1:17" hidden="1" x14ac:dyDescent="0.25">
      <c r="A424" s="47" t="s">
        <v>540</v>
      </c>
      <c r="B424" s="46" t="str">
        <f>IFERROR(VLOOKUP($A424,Equipos!$C$2:$M$967,2,FALSE()),"")</f>
        <v xml:space="preserve">Ventilador Mecánico </v>
      </c>
      <c r="C424" s="46" t="str">
        <f>IFERROR(VLOOKUP($A424,Equipos!$C$2:$M$967,9,FALSE()),"")</f>
        <v>ASNM-0001</v>
      </c>
      <c r="D424" s="46" t="str">
        <f>IFERROR(VLOOKUP($A424,Equipos!$C$2:$M$967,3,FALSE()),"")</f>
        <v>UPC 3er Piso</v>
      </c>
      <c r="E424" s="46" t="str">
        <f>IFERROR(VLOOKUP($A424,Equipos!$C$2:$M$967,7,FALSE()),"")</f>
        <v>Drager</v>
      </c>
      <c r="F424" s="46" t="str">
        <f>IFERROR(VLOOKUP($A424,Equipos!$C$2:$M$967,8,FALSE()),"")</f>
        <v>Evita V800</v>
      </c>
      <c r="G424" s="46" t="s">
        <v>298</v>
      </c>
      <c r="H424" s="46"/>
      <c r="I424" s="46"/>
      <c r="J424" s="46" t="s">
        <v>297</v>
      </c>
      <c r="K424" s="46" t="str">
        <f>IFERROR(VLOOKUP($J424,Catálogos!$M$4:$N$17,2,FALSE()),"")</f>
        <v>Mantención Preventiva Realizada</v>
      </c>
      <c r="L424" s="46"/>
      <c r="M424" s="46"/>
      <c r="N424" s="46"/>
      <c r="O424" s="46"/>
      <c r="P424" s="46"/>
      <c r="Q424" s="46"/>
    </row>
    <row r="425" spans="1:17" hidden="1" x14ac:dyDescent="0.25">
      <c r="A425" s="47" t="s">
        <v>217</v>
      </c>
      <c r="B425" s="46" t="str">
        <f>IFERROR(VLOOKUP($A425,Equipos!$C$2:$M$967,2,FALSE()),"")</f>
        <v xml:space="preserve">Ventilador Mecánico </v>
      </c>
      <c r="C425" s="46" t="str">
        <f>IFERROR(VLOOKUP($A425,Equipos!$C$2:$M$967,9,FALSE()),"")</f>
        <v>ASNK-0048</v>
      </c>
      <c r="D425" s="46" t="str">
        <f>IFERROR(VLOOKUP($A425,Equipos!$C$2:$M$967,3,FALSE()),"")</f>
        <v>UPC 3er Piso</v>
      </c>
      <c r="E425" s="46" t="str">
        <f>IFERROR(VLOOKUP($A425,Equipos!$C$2:$M$967,7,FALSE()),"")</f>
        <v>Drager</v>
      </c>
      <c r="F425" s="46" t="str">
        <f>IFERROR(VLOOKUP($A425,Equipos!$C$2:$M$967,8,FALSE()),"")</f>
        <v>Evita V800</v>
      </c>
      <c r="G425" s="46" t="s">
        <v>298</v>
      </c>
      <c r="H425" s="46" t="s">
        <v>468</v>
      </c>
      <c r="I425" s="46"/>
      <c r="J425" s="46" t="s">
        <v>297</v>
      </c>
      <c r="K425" s="46" t="str">
        <f>IFERROR(VLOOKUP($J425,Catálogos!$M$4:$N$17,2,FALSE()),"")</f>
        <v>Mantención Preventiva Realizada</v>
      </c>
      <c r="L425" s="48">
        <v>46148</v>
      </c>
      <c r="M425" s="46" t="s">
        <v>461</v>
      </c>
      <c r="N425" s="46" t="s">
        <v>113</v>
      </c>
      <c r="O425" s="46"/>
      <c r="P425" s="46"/>
      <c r="Q425" s="46"/>
    </row>
    <row r="426" spans="1:17" hidden="1" x14ac:dyDescent="0.25">
      <c r="A426" s="47" t="s">
        <v>211</v>
      </c>
      <c r="B426" s="46" t="str">
        <f>IFERROR(VLOOKUP($A426,Equipos!$C$2:$M$967,2,FALSE()),"")</f>
        <v xml:space="preserve">Ventilador Mecánico </v>
      </c>
      <c r="C426" s="46" t="str">
        <f>IFERROR(VLOOKUP($A426,Equipos!$C$2:$M$967,9,FALSE()),"")</f>
        <v>ASNK-0043</v>
      </c>
      <c r="D426" s="46" t="str">
        <f>IFERROR(VLOOKUP($A426,Equipos!$C$2:$M$967,3,FALSE()),"")</f>
        <v>UPC 3er Piso</v>
      </c>
      <c r="E426" s="46" t="str">
        <f>IFERROR(VLOOKUP($A426,Equipos!$C$2:$M$967,7,FALSE()),"")</f>
        <v>Drager</v>
      </c>
      <c r="F426" s="46" t="str">
        <f>IFERROR(VLOOKUP($A426,Equipos!$C$2:$M$967,8,FALSE()),"")</f>
        <v>Evita V800</v>
      </c>
      <c r="G426" s="46" t="s">
        <v>298</v>
      </c>
      <c r="H426" s="46" t="s">
        <v>468</v>
      </c>
      <c r="I426" s="46"/>
      <c r="J426" s="46" t="s">
        <v>297</v>
      </c>
      <c r="K426" s="46" t="str">
        <f>IFERROR(VLOOKUP($J426,Catálogos!$M$4:$N$17,2,FALSE()),"")</f>
        <v>Mantención Preventiva Realizada</v>
      </c>
      <c r="L426" s="48">
        <v>46149</v>
      </c>
      <c r="M426" s="46" t="s">
        <v>461</v>
      </c>
      <c r="N426" s="46" t="s">
        <v>113</v>
      </c>
      <c r="O426" s="46"/>
      <c r="P426" s="46"/>
      <c r="Q426" s="46"/>
    </row>
    <row r="427" spans="1:17" hidden="1" x14ac:dyDescent="0.25">
      <c r="A427" s="47" t="s">
        <v>541</v>
      </c>
      <c r="B427" s="46" t="str">
        <f>IFERROR(VLOOKUP($A427,Equipos!$C$2:$M$967,2,FALSE()),"")</f>
        <v xml:space="preserve">Ventilador Mecánico </v>
      </c>
      <c r="C427" s="46" t="str">
        <f>IFERROR(VLOOKUP($A427,Equipos!$C$2:$M$967,9,FALSE()),"")</f>
        <v>ASNK-0046</v>
      </c>
      <c r="D427" s="46" t="str">
        <f>IFERROR(VLOOKUP($A427,Equipos!$C$2:$M$967,3,FALSE()),"")</f>
        <v>UPC 3er Piso</v>
      </c>
      <c r="E427" s="46" t="str">
        <f>IFERROR(VLOOKUP($A427,Equipos!$C$2:$M$967,7,FALSE()),"")</f>
        <v>Drager</v>
      </c>
      <c r="F427" s="46" t="str">
        <f>IFERROR(VLOOKUP($A427,Equipos!$C$2:$M$967,8,FALSE()),"")</f>
        <v>Evita V800</v>
      </c>
      <c r="G427" s="46" t="s">
        <v>298</v>
      </c>
      <c r="H427" s="46"/>
      <c r="I427" s="46"/>
      <c r="J427" s="46" t="s">
        <v>297</v>
      </c>
      <c r="K427" s="46" t="str">
        <f>IFERROR(VLOOKUP($J427,Catálogos!$M$4:$N$17,2,FALSE()),"")</f>
        <v>Mantención Preventiva Realizada</v>
      </c>
      <c r="L427" s="46"/>
      <c r="M427" s="46"/>
      <c r="N427" s="46"/>
      <c r="O427" s="46"/>
      <c r="P427" s="46"/>
      <c r="Q427" s="46"/>
    </row>
    <row r="428" spans="1:17" hidden="1" x14ac:dyDescent="0.25">
      <c r="A428" s="47" t="s">
        <v>542</v>
      </c>
      <c r="B428" s="46" t="str">
        <f>IFERROR(VLOOKUP($A428,Equipos!$C$2:$M$967,2,FALSE()),"")</f>
        <v xml:space="preserve">Ventilador Mecánico </v>
      </c>
      <c r="C428" s="46" t="str">
        <f>IFERROR(VLOOKUP($A428,Equipos!$C$2:$M$967,9,FALSE()),"")</f>
        <v>ASNM-0005</v>
      </c>
      <c r="D428" s="46" t="str">
        <f>IFERROR(VLOOKUP($A428,Equipos!$C$2:$M$967,3,FALSE()),"")</f>
        <v>UPC Adulto</v>
      </c>
      <c r="E428" s="46" t="str">
        <f>IFERROR(VLOOKUP($A428,Equipos!$C$2:$M$967,7,FALSE()),"")</f>
        <v>Drager</v>
      </c>
      <c r="F428" s="46" t="str">
        <f>IFERROR(VLOOKUP($A428,Equipos!$C$2:$M$967,8,FALSE()),"")</f>
        <v>Evita V800</v>
      </c>
      <c r="G428" s="46" t="s">
        <v>331</v>
      </c>
      <c r="H428" s="46" t="s">
        <v>468</v>
      </c>
      <c r="I428" s="46" t="s">
        <v>499</v>
      </c>
      <c r="J428" s="46" t="s">
        <v>423</v>
      </c>
      <c r="K428" s="46" t="str">
        <f>IFERROR(VLOOKUP($J428,Catálogos!$M$4:$N$17,2,FALSE()),"")</f>
        <v>Reprogramada · No disponibilidad de horas hombre del servicio técnico externo</v>
      </c>
      <c r="L428" s="48">
        <v>46142</v>
      </c>
      <c r="M428" s="46" t="s">
        <v>461</v>
      </c>
      <c r="N428" s="46" t="s">
        <v>113</v>
      </c>
      <c r="O428" s="46"/>
      <c r="P428" s="46"/>
      <c r="Q428" s="46"/>
    </row>
    <row r="429" spans="1:17" hidden="1" x14ac:dyDescent="0.25">
      <c r="A429" s="47" t="s">
        <v>542</v>
      </c>
      <c r="B429" s="46" t="str">
        <f>IFERROR(VLOOKUP($A429,Equipos!$C$2:$M$967,2,FALSE()),"")</f>
        <v xml:space="preserve">Ventilador Mecánico </v>
      </c>
      <c r="C429" s="46" t="str">
        <f>IFERROR(VLOOKUP($A429,Equipos!$C$2:$M$967,9,FALSE()),"")</f>
        <v>ASNM-0005</v>
      </c>
      <c r="D429" s="46" t="str">
        <f>IFERROR(VLOOKUP($A429,Equipos!$C$2:$M$967,3,FALSE()),"")</f>
        <v>UPC Adulto</v>
      </c>
      <c r="E429" s="46" t="str">
        <f>IFERROR(VLOOKUP($A429,Equipos!$C$2:$M$967,7,FALSE()),"")</f>
        <v>Drager</v>
      </c>
      <c r="F429" s="46" t="str">
        <f>IFERROR(VLOOKUP($A429,Equipos!$C$2:$M$967,8,FALSE()),"")</f>
        <v>Evita V800</v>
      </c>
      <c r="G429" s="46" t="s">
        <v>298</v>
      </c>
      <c r="H429" s="46" t="s">
        <v>468</v>
      </c>
      <c r="I429" s="46" t="s">
        <v>499</v>
      </c>
      <c r="J429" s="46" t="s">
        <v>297</v>
      </c>
      <c r="K429" s="46" t="str">
        <f>IFERROR(VLOOKUP($J429,Catálogos!$M$4:$N$17,2,FALSE()),"")</f>
        <v>Mantención Preventiva Realizada</v>
      </c>
      <c r="L429" s="48">
        <v>46147</v>
      </c>
      <c r="M429" s="46" t="s">
        <v>461</v>
      </c>
      <c r="N429" s="46" t="s">
        <v>113</v>
      </c>
      <c r="O429" s="46"/>
      <c r="P429" s="46"/>
      <c r="Q429" s="46"/>
    </row>
    <row r="430" spans="1:17" hidden="1" x14ac:dyDescent="0.25">
      <c r="A430" s="47" t="s">
        <v>543</v>
      </c>
      <c r="B430" s="46" t="str">
        <f>IFERROR(VLOOKUP($A430,Equipos!$C$2:$M$967,2,FALSE()),"")</f>
        <v xml:space="preserve">Ventilador Mecánico </v>
      </c>
      <c r="C430" s="46" t="str">
        <f>IFERROR(VLOOKUP($A430,Equipos!$C$2:$M$967,9,FALSE()),"")</f>
        <v>ASNM-0008</v>
      </c>
      <c r="D430" s="46" t="str">
        <f>IFERROR(VLOOKUP($A430,Equipos!$C$2:$M$967,3,FALSE()),"")</f>
        <v>UPC Adulto</v>
      </c>
      <c r="E430" s="46" t="str">
        <f>IFERROR(VLOOKUP($A430,Equipos!$C$2:$M$967,7,FALSE()),"")</f>
        <v>Drager</v>
      </c>
      <c r="F430" s="46" t="str">
        <f>IFERROR(VLOOKUP($A430,Equipos!$C$2:$M$967,8,FALSE()),"")</f>
        <v>Evita V800</v>
      </c>
      <c r="G430" s="46" t="s">
        <v>331</v>
      </c>
      <c r="H430" s="46" t="s">
        <v>468</v>
      </c>
      <c r="I430" s="46"/>
      <c r="J430" s="46" t="s">
        <v>423</v>
      </c>
      <c r="K430" s="46" t="str">
        <f>IFERROR(VLOOKUP($J430,Catálogos!$M$4:$N$17,2,FALSE()),"")</f>
        <v>Reprogramada · No disponibilidad de horas hombre del servicio técnico externo</v>
      </c>
      <c r="L430" s="48">
        <v>46142</v>
      </c>
      <c r="M430" s="46" t="s">
        <v>461</v>
      </c>
      <c r="N430" s="46" t="s">
        <v>113</v>
      </c>
      <c r="O430" s="46"/>
      <c r="P430" s="46"/>
      <c r="Q430" s="46"/>
    </row>
    <row r="431" spans="1:17" hidden="1" x14ac:dyDescent="0.25">
      <c r="A431" s="47" t="s">
        <v>214</v>
      </c>
      <c r="B431" s="46" t="str">
        <f>IFERROR(VLOOKUP($A431,Equipos!$C$2:$M$967,2,FALSE()),"")</f>
        <v xml:space="preserve">Ventilador Mecánico </v>
      </c>
      <c r="C431" s="46" t="str">
        <f>IFERROR(VLOOKUP($A431,Equipos!$C$2:$M$967,9,FALSE()),"")</f>
        <v>ASNK-0045</v>
      </c>
      <c r="D431" s="46" t="str">
        <f>IFERROR(VLOOKUP($A431,Equipos!$C$2:$M$967,3,FALSE()),"")</f>
        <v>UPC Adulto</v>
      </c>
      <c r="E431" s="46" t="str">
        <f>IFERROR(VLOOKUP($A431,Equipos!$C$2:$M$967,7,FALSE()),"")</f>
        <v>Drager</v>
      </c>
      <c r="F431" s="46" t="str">
        <f>IFERROR(VLOOKUP($A431,Equipos!$C$2:$M$967,8,FALSE()),"")</f>
        <v>Evita V800</v>
      </c>
      <c r="G431" s="46" t="s">
        <v>331</v>
      </c>
      <c r="H431" s="46" t="s">
        <v>468</v>
      </c>
      <c r="I431" s="46"/>
      <c r="J431" s="46" t="s">
        <v>423</v>
      </c>
      <c r="K431" s="46" t="str">
        <f>IFERROR(VLOOKUP($J431,Catálogos!$M$4:$N$17,2,FALSE()),"")</f>
        <v>Reprogramada · No disponibilidad de horas hombre del servicio técnico externo</v>
      </c>
      <c r="L431" s="48">
        <v>46142</v>
      </c>
      <c r="M431" s="46" t="s">
        <v>461</v>
      </c>
      <c r="N431" s="46" t="s">
        <v>113</v>
      </c>
      <c r="O431" s="46"/>
      <c r="P431" s="46"/>
      <c r="Q431" s="46"/>
    </row>
    <row r="432" spans="1:17" hidden="1" x14ac:dyDescent="0.25">
      <c r="A432" s="47" t="s">
        <v>214</v>
      </c>
      <c r="B432" s="46" t="str">
        <f>IFERROR(VLOOKUP($A432,Equipos!$C$2:$M$967,2,FALSE()),"")</f>
        <v xml:space="preserve">Ventilador Mecánico </v>
      </c>
      <c r="C432" s="46" t="str">
        <f>IFERROR(VLOOKUP($A432,Equipos!$C$2:$M$967,9,FALSE()),"")</f>
        <v>ASNK-0045</v>
      </c>
      <c r="D432" s="46" t="str">
        <f>IFERROR(VLOOKUP($A432,Equipos!$C$2:$M$967,3,FALSE()),"")</f>
        <v>UPC Adulto</v>
      </c>
      <c r="E432" s="46" t="str">
        <f>IFERROR(VLOOKUP($A432,Equipos!$C$2:$M$967,7,FALSE()),"")</f>
        <v>Drager</v>
      </c>
      <c r="F432" s="46" t="str">
        <f>IFERROR(VLOOKUP($A432,Equipos!$C$2:$M$967,8,FALSE()),"")</f>
        <v>Evita V800</v>
      </c>
      <c r="G432" s="46" t="s">
        <v>298</v>
      </c>
      <c r="H432" s="46" t="s">
        <v>468</v>
      </c>
      <c r="I432" s="46"/>
      <c r="J432" s="46" t="s">
        <v>297</v>
      </c>
      <c r="K432" s="46" t="str">
        <f>IFERROR(VLOOKUP($J432,Catálogos!$M$4:$N$17,2,FALSE()),"")</f>
        <v>Mantención Preventiva Realizada</v>
      </c>
      <c r="L432" s="48">
        <v>46148</v>
      </c>
      <c r="M432" s="46" t="s">
        <v>461</v>
      </c>
      <c r="N432" s="46" t="s">
        <v>113</v>
      </c>
      <c r="O432" s="46"/>
      <c r="P432" s="46"/>
      <c r="Q432" s="46"/>
    </row>
    <row r="433" spans="1:17" hidden="1" x14ac:dyDescent="0.25">
      <c r="A433" s="47" t="s">
        <v>544</v>
      </c>
      <c r="B433" s="46" t="str">
        <f>IFERROR(VLOOKUP($A433,Equipos!$C$2:$M$967,2,FALSE()),"")</f>
        <v xml:space="preserve">Ventilador Mecánico </v>
      </c>
      <c r="C433" s="46" t="str">
        <f>IFERROR(VLOOKUP($A433,Equipos!$C$2:$M$967,9,FALSE()),"")</f>
        <v>ASNM-0003</v>
      </c>
      <c r="D433" s="46" t="str">
        <f>IFERROR(VLOOKUP($A433,Equipos!$C$2:$M$967,3,FALSE()),"")</f>
        <v>UPC Adulto</v>
      </c>
      <c r="E433" s="46" t="str">
        <f>IFERROR(VLOOKUP($A433,Equipos!$C$2:$M$967,7,FALSE()),"")</f>
        <v>Drager</v>
      </c>
      <c r="F433" s="46" t="str">
        <f>IFERROR(VLOOKUP($A433,Equipos!$C$2:$M$967,8,FALSE()),"")</f>
        <v>Evita V800</v>
      </c>
      <c r="G433" s="46" t="s">
        <v>331</v>
      </c>
      <c r="H433" s="46" t="s">
        <v>468</v>
      </c>
      <c r="I433" s="46"/>
      <c r="J433" s="46" t="s">
        <v>423</v>
      </c>
      <c r="K433" s="46" t="str">
        <f>IFERROR(VLOOKUP($J433,Catálogos!$M$4:$N$17,2,FALSE()),"")</f>
        <v>Reprogramada · No disponibilidad de horas hombre del servicio técnico externo</v>
      </c>
      <c r="L433" s="48">
        <v>46142</v>
      </c>
      <c r="M433" s="46" t="s">
        <v>461</v>
      </c>
      <c r="N433" s="46" t="s">
        <v>113</v>
      </c>
      <c r="O433" s="46"/>
      <c r="P433" s="46"/>
      <c r="Q433" s="46"/>
    </row>
    <row r="434" spans="1:17" hidden="1" x14ac:dyDescent="0.25">
      <c r="A434" s="47" t="s">
        <v>544</v>
      </c>
      <c r="B434" s="46" t="str">
        <f>IFERROR(VLOOKUP($A434,Equipos!$C$2:$M$967,2,FALSE()),"")</f>
        <v xml:space="preserve">Ventilador Mecánico </v>
      </c>
      <c r="C434" s="46" t="str">
        <f>IFERROR(VLOOKUP($A434,Equipos!$C$2:$M$967,9,FALSE()),"")</f>
        <v>ASNM-0003</v>
      </c>
      <c r="D434" s="46" t="str">
        <f>IFERROR(VLOOKUP($A434,Equipos!$C$2:$M$967,3,FALSE()),"")</f>
        <v>UPC Adulto</v>
      </c>
      <c r="E434" s="46" t="str">
        <f>IFERROR(VLOOKUP($A434,Equipos!$C$2:$M$967,7,FALSE()),"")</f>
        <v>Drager</v>
      </c>
      <c r="F434" s="46" t="str">
        <f>IFERROR(VLOOKUP($A434,Equipos!$C$2:$M$967,8,FALSE()),"")</f>
        <v>Evita V800</v>
      </c>
      <c r="G434" s="46" t="s">
        <v>298</v>
      </c>
      <c r="H434" s="46" t="s">
        <v>468</v>
      </c>
      <c r="I434" s="46"/>
      <c r="J434" s="46" t="s">
        <v>297</v>
      </c>
      <c r="K434" s="46" t="str">
        <f>IFERROR(VLOOKUP($J434,Catálogos!$M$4:$N$17,2,FALSE()),"")</f>
        <v>Mantención Preventiva Realizada</v>
      </c>
      <c r="L434" s="48">
        <v>46150</v>
      </c>
      <c r="M434" s="46" t="s">
        <v>461</v>
      </c>
      <c r="N434" s="46" t="s">
        <v>113</v>
      </c>
      <c r="O434" s="46"/>
      <c r="P434" s="46"/>
      <c r="Q434" s="46"/>
    </row>
    <row r="435" spans="1:17" hidden="1" x14ac:dyDescent="0.25">
      <c r="A435" s="47" t="s">
        <v>545</v>
      </c>
      <c r="B435" s="46" t="str">
        <f>IFERROR(VLOOKUP($A435,Equipos!$C$2:$M$967,2,FALSE()),"")</f>
        <v xml:space="preserve">Ventilador Mecánico </v>
      </c>
      <c r="C435" s="46" t="str">
        <f>IFERROR(VLOOKUP($A435,Equipos!$C$2:$M$967,9,FALSE()),"")</f>
        <v>ASNM-0006</v>
      </c>
      <c r="D435" s="46" t="str">
        <f>IFERROR(VLOOKUP($A435,Equipos!$C$2:$M$967,3,FALSE()),"")</f>
        <v>UPC Adulto</v>
      </c>
      <c r="E435" s="46" t="str">
        <f>IFERROR(VLOOKUP($A435,Equipos!$C$2:$M$967,7,FALSE()),"")</f>
        <v>Drager</v>
      </c>
      <c r="F435" s="46" t="str">
        <f>IFERROR(VLOOKUP($A435,Equipos!$C$2:$M$967,8,FALSE()),"")</f>
        <v>Evita V800</v>
      </c>
      <c r="G435" s="46" t="s">
        <v>335</v>
      </c>
      <c r="H435" s="46"/>
      <c r="I435" s="46"/>
      <c r="J435" s="46" t="s">
        <v>476</v>
      </c>
      <c r="K435" s="46" t="str">
        <f>IFERROR(VLOOKUP($J435,Catálogos!$M$4:$N$17,2,FALSE()),"")</f>
        <v>No Realizada</v>
      </c>
      <c r="L435" s="46"/>
      <c r="M435" s="46"/>
      <c r="N435" s="46"/>
      <c r="O435" s="46"/>
      <c r="P435" s="46"/>
      <c r="Q435" s="46"/>
    </row>
    <row r="436" spans="1:17" hidden="1" x14ac:dyDescent="0.25">
      <c r="A436" s="47" t="s">
        <v>219</v>
      </c>
      <c r="B436" s="46" t="str">
        <f>IFERROR(VLOOKUP($A436,Equipos!$C$2:$M$967,2,FALSE()),"")</f>
        <v xml:space="preserve">Ventilador Mecánico </v>
      </c>
      <c r="C436" s="46" t="str">
        <f>IFERROR(VLOOKUP($A436,Equipos!$C$2:$M$967,9,FALSE()),"")</f>
        <v>ASNM-0002</v>
      </c>
      <c r="D436" s="46" t="str">
        <f>IFERROR(VLOOKUP($A436,Equipos!$C$2:$M$967,3,FALSE()),"")</f>
        <v>UPC Adulto</v>
      </c>
      <c r="E436" s="46" t="str">
        <f>IFERROR(VLOOKUP($A436,Equipos!$C$2:$M$967,7,FALSE()),"")</f>
        <v>Drager</v>
      </c>
      <c r="F436" s="46" t="str">
        <f>IFERROR(VLOOKUP($A436,Equipos!$C$2:$M$967,8,FALSE()),"")</f>
        <v>Evita V800</v>
      </c>
      <c r="G436" s="46" t="s">
        <v>331</v>
      </c>
      <c r="H436" s="46" t="s">
        <v>468</v>
      </c>
      <c r="I436" s="46"/>
      <c r="J436" s="46" t="s">
        <v>423</v>
      </c>
      <c r="K436" s="46" t="str">
        <f>IFERROR(VLOOKUP($J436,Catálogos!$M$4:$N$17,2,FALSE()),"")</f>
        <v>Reprogramada · No disponibilidad de horas hombre del servicio técnico externo</v>
      </c>
      <c r="L436" s="48">
        <v>46142</v>
      </c>
      <c r="M436" s="46" t="s">
        <v>461</v>
      </c>
      <c r="N436" s="46" t="s">
        <v>113</v>
      </c>
      <c r="O436" s="46"/>
      <c r="P436" s="46"/>
      <c r="Q436" s="46"/>
    </row>
    <row r="437" spans="1:17" hidden="1" x14ac:dyDescent="0.25">
      <c r="A437" s="47" t="s">
        <v>219</v>
      </c>
      <c r="B437" s="46" t="str">
        <f>IFERROR(VLOOKUP($A437,Equipos!$C$2:$M$967,2,FALSE()),"")</f>
        <v xml:space="preserve">Ventilador Mecánico </v>
      </c>
      <c r="C437" s="46" t="str">
        <f>IFERROR(VLOOKUP($A437,Equipos!$C$2:$M$967,9,FALSE()),"")</f>
        <v>ASNM-0002</v>
      </c>
      <c r="D437" s="46" t="str">
        <f>IFERROR(VLOOKUP($A437,Equipos!$C$2:$M$967,3,FALSE()),"")</f>
        <v>UPC Adulto</v>
      </c>
      <c r="E437" s="46" t="str">
        <f>IFERROR(VLOOKUP($A437,Equipos!$C$2:$M$967,7,FALSE()),"")</f>
        <v>Drager</v>
      </c>
      <c r="F437" s="46" t="str">
        <f>IFERROR(VLOOKUP($A437,Equipos!$C$2:$M$967,8,FALSE()),"")</f>
        <v>Evita V800</v>
      </c>
      <c r="G437" s="46" t="s">
        <v>298</v>
      </c>
      <c r="H437" s="46" t="s">
        <v>468</v>
      </c>
      <c r="I437" s="46"/>
      <c r="J437" s="46" t="s">
        <v>297</v>
      </c>
      <c r="K437" s="46" t="str">
        <f>IFERROR(VLOOKUP($J437,Catálogos!$M$4:$N$17,2,FALSE()),"")</f>
        <v>Mantención Preventiva Realizada</v>
      </c>
      <c r="L437" s="48">
        <v>46156</v>
      </c>
      <c r="M437" s="46" t="s">
        <v>461</v>
      </c>
      <c r="N437" s="46" t="s">
        <v>113</v>
      </c>
      <c r="O437" s="46"/>
      <c r="P437" s="46"/>
      <c r="Q437" s="46"/>
    </row>
    <row r="438" spans="1:17" hidden="1" x14ac:dyDescent="0.25">
      <c r="A438" s="47" t="s">
        <v>546</v>
      </c>
      <c r="B438" s="46" t="str">
        <f>IFERROR(VLOOKUP($A438,Equipos!$C$2:$M$967,2,FALSE()),"")</f>
        <v xml:space="preserve">Ventilador Mecánico </v>
      </c>
      <c r="C438" s="46" t="str">
        <f>IFERROR(VLOOKUP($A438,Equipos!$C$2:$M$967,9,FALSE()),"")</f>
        <v>MTV1KUA1B0082</v>
      </c>
      <c r="D438" s="46" t="str">
        <f>IFERROR(VLOOKUP($A438,Equipos!$C$2:$M$967,3,FALSE()),"")</f>
        <v>UPC 3er Piso</v>
      </c>
      <c r="E438" s="46" t="str">
        <f>IFERROR(VLOOKUP($A438,Equipos!$C$2:$M$967,7,FALSE()),"")</f>
        <v>MEK ICS</v>
      </c>
      <c r="F438" s="46" t="str">
        <f>IFERROR(VLOOKUP($A438,Equipos!$C$2:$M$967,8,FALSE()),"")</f>
        <v>MTV1000</v>
      </c>
      <c r="G438" s="46" t="s">
        <v>331</v>
      </c>
      <c r="H438" s="46"/>
      <c r="I438" s="46"/>
      <c r="J438" s="46" t="s">
        <v>297</v>
      </c>
      <c r="K438" s="46" t="str">
        <f>IFERROR(VLOOKUP($J438,Catálogos!$M$4:$N$17,2,FALSE()),"")</f>
        <v>Mantención Preventiva Realizada</v>
      </c>
      <c r="L438" s="46"/>
      <c r="M438" s="46"/>
      <c r="N438" s="46"/>
      <c r="O438" s="46"/>
      <c r="P438" s="46"/>
      <c r="Q438" s="46"/>
    </row>
    <row r="439" spans="1:17" hidden="1" x14ac:dyDescent="0.25">
      <c r="A439" s="47" t="s">
        <v>547</v>
      </c>
      <c r="B439" s="46" t="str">
        <f>IFERROR(VLOOKUP($A439,Equipos!$C$2:$M$967,2,FALSE()),"")</f>
        <v xml:space="preserve">Ventilador Mecánico </v>
      </c>
      <c r="C439" s="46" t="str">
        <f>IFERROR(VLOOKUP($A439,Equipos!$C$2:$M$967,9,FALSE()),"")</f>
        <v>MTV1KUA1B0031</v>
      </c>
      <c r="D439" s="46" t="str">
        <f>IFERROR(VLOOKUP($A439,Equipos!$C$2:$M$967,3,FALSE()),"")</f>
        <v>UPC 3er Piso</v>
      </c>
      <c r="E439" s="46" t="str">
        <f>IFERROR(VLOOKUP($A439,Equipos!$C$2:$M$967,7,FALSE()),"")</f>
        <v>MEK ICS</v>
      </c>
      <c r="F439" s="46" t="str">
        <f>IFERROR(VLOOKUP($A439,Equipos!$C$2:$M$967,8,FALSE()),"")</f>
        <v>MTV1000</v>
      </c>
      <c r="G439" s="46" t="s">
        <v>335</v>
      </c>
      <c r="H439" s="46"/>
      <c r="I439" s="46"/>
      <c r="J439" s="46" t="s">
        <v>416</v>
      </c>
      <c r="K439" s="46" t="str">
        <f>IFERROR(VLOOKUP($J439,Catálogos!$M$4:$N$17,2,FALSE()),"")</f>
        <v>Mantención de Año Anterior Realizada</v>
      </c>
      <c r="L439" s="46"/>
      <c r="M439" s="46"/>
      <c r="N439" s="46"/>
      <c r="O439" s="46"/>
      <c r="P439" s="46"/>
      <c r="Q439" s="46"/>
    </row>
    <row r="440" spans="1:17" hidden="1" x14ac:dyDescent="0.25">
      <c r="A440" s="47" t="s">
        <v>547</v>
      </c>
      <c r="B440" s="46" t="str">
        <f>IFERROR(VLOOKUP($A440,Equipos!$C$2:$M$967,2,FALSE()),"")</f>
        <v xml:space="preserve">Ventilador Mecánico </v>
      </c>
      <c r="C440" s="46" t="str">
        <f>IFERROR(VLOOKUP($A440,Equipos!$C$2:$M$967,9,FALSE()),"")</f>
        <v>MTV1KUA1B0031</v>
      </c>
      <c r="D440" s="46" t="str">
        <f>IFERROR(VLOOKUP($A440,Equipos!$C$2:$M$967,3,FALSE()),"")</f>
        <v>UPC 3er Piso</v>
      </c>
      <c r="E440" s="46" t="str">
        <f>IFERROR(VLOOKUP($A440,Equipos!$C$2:$M$967,7,FALSE()),"")</f>
        <v>MEK ICS</v>
      </c>
      <c r="F440" s="46" t="str">
        <f>IFERROR(VLOOKUP($A440,Equipos!$C$2:$M$967,8,FALSE()),"")</f>
        <v>MTV1000</v>
      </c>
      <c r="G440" s="46" t="s">
        <v>331</v>
      </c>
      <c r="H440" s="46"/>
      <c r="I440" s="46"/>
      <c r="J440" s="46" t="s">
        <v>297</v>
      </c>
      <c r="K440" s="46" t="str">
        <f>IFERROR(VLOOKUP($J440,Catálogos!$M$4:$N$17,2,FALSE()),"")</f>
        <v>Mantención Preventiva Realizada</v>
      </c>
      <c r="L440" s="46"/>
      <c r="M440" s="46"/>
      <c r="N440" s="46"/>
      <c r="O440" s="46"/>
      <c r="P440" s="46"/>
      <c r="Q440" s="46"/>
    </row>
    <row r="441" spans="1:17" hidden="1" x14ac:dyDescent="0.25">
      <c r="A441" s="47" t="s">
        <v>548</v>
      </c>
      <c r="B441" s="46" t="str">
        <f>IFERROR(VLOOKUP($A441,Equipos!$C$2:$M$967,2,FALSE()),"")</f>
        <v xml:space="preserve">Ventilador Mecánico </v>
      </c>
      <c r="C441" s="46" t="str">
        <f>IFERROR(VLOOKUP($A441,Equipos!$C$2:$M$967,9,FALSE()),"")</f>
        <v>MTV1KUA1B0051</v>
      </c>
      <c r="D441" s="46" t="str">
        <f>IFERROR(VLOOKUP($A441,Equipos!$C$2:$M$967,3,FALSE()),"")</f>
        <v>UPC 3er Piso</v>
      </c>
      <c r="E441" s="46" t="str">
        <f>IFERROR(VLOOKUP($A441,Equipos!$C$2:$M$967,7,FALSE()),"")</f>
        <v>MEK ICS</v>
      </c>
      <c r="F441" s="46" t="str">
        <f>IFERROR(VLOOKUP($A441,Equipos!$C$2:$M$967,8,FALSE()),"")</f>
        <v>MTV1000</v>
      </c>
      <c r="G441" s="46" t="s">
        <v>331</v>
      </c>
      <c r="H441" s="46"/>
      <c r="I441" s="46"/>
      <c r="J441" s="46" t="s">
        <v>297</v>
      </c>
      <c r="K441" s="46" t="str">
        <f>IFERROR(VLOOKUP($J441,Catálogos!$M$4:$N$17,2,FALSE()),"")</f>
        <v>Mantención Preventiva Realizada</v>
      </c>
      <c r="L441" s="46"/>
      <c r="M441" s="46"/>
      <c r="N441" s="46"/>
      <c r="O441" s="46"/>
      <c r="P441" s="46"/>
      <c r="Q441" s="46"/>
    </row>
    <row r="442" spans="1:17" hidden="1" x14ac:dyDescent="0.25">
      <c r="A442" s="47" t="s">
        <v>549</v>
      </c>
      <c r="B442" s="46" t="str">
        <f>IFERROR(VLOOKUP($A442,Equipos!$C$2:$M$967,2,FALSE()),"")</f>
        <v xml:space="preserve">Ventilador Mecánico </v>
      </c>
      <c r="C442" s="46" t="str">
        <f>IFERROR(VLOOKUP($A442,Equipos!$C$2:$M$967,9,FALSE()),"")</f>
        <v>35B2101527</v>
      </c>
      <c r="D442" s="46" t="str">
        <f>IFERROR(VLOOKUP($A442,Equipos!$C$2:$M$967,3,FALSE()),"")</f>
        <v>UPC Cardiovascular (Prestado a Urgencia Adulto)</v>
      </c>
      <c r="E442" s="46" t="str">
        <f>IFERROR(VLOOKUP($A442,Equipos!$C$2:$M$967,7,FALSE()),"")</f>
        <v>Puritan Bennett</v>
      </c>
      <c r="F442" s="46" t="str">
        <f>IFERROR(VLOOKUP($A442,Equipos!$C$2:$M$967,8,FALSE()),"")</f>
        <v>980/cc</v>
      </c>
      <c r="G442" s="46" t="s">
        <v>316</v>
      </c>
      <c r="H442" s="46"/>
      <c r="I442" s="46"/>
      <c r="J442" s="46" t="s">
        <v>423</v>
      </c>
      <c r="K442" s="46" t="str">
        <f>IFERROR(VLOOKUP($J442,Catálogos!$M$4:$N$17,2,FALSE()),"")</f>
        <v>Reprogramada · No disponibilidad de horas hombre del servicio técnico externo</v>
      </c>
      <c r="L442" s="46"/>
      <c r="M442" s="46"/>
      <c r="N442" s="46"/>
      <c r="O442" s="46"/>
      <c r="P442" s="46"/>
      <c r="Q442" s="46"/>
    </row>
    <row r="443" spans="1:17" hidden="1" x14ac:dyDescent="0.25">
      <c r="A443" s="47" t="s">
        <v>549</v>
      </c>
      <c r="B443" s="46" t="str">
        <f>IFERROR(VLOOKUP($A443,Equipos!$C$2:$M$967,2,FALSE()),"")</f>
        <v xml:space="preserve">Ventilador Mecánico </v>
      </c>
      <c r="C443" s="46" t="str">
        <f>IFERROR(VLOOKUP($A443,Equipos!$C$2:$M$967,9,FALSE()),"")</f>
        <v>35B2101527</v>
      </c>
      <c r="D443" s="46" t="str">
        <f>IFERROR(VLOOKUP($A443,Equipos!$C$2:$M$967,3,FALSE()),"")</f>
        <v>UPC Cardiovascular (Prestado a Urgencia Adulto)</v>
      </c>
      <c r="E443" s="46" t="str">
        <f>IFERROR(VLOOKUP($A443,Equipos!$C$2:$M$967,7,FALSE()),"")</f>
        <v>Puritan Bennett</v>
      </c>
      <c r="F443" s="46" t="str">
        <f>IFERROR(VLOOKUP($A443,Equipos!$C$2:$M$967,8,FALSE()),"")</f>
        <v>980/cc</v>
      </c>
      <c r="G443" s="46" t="s">
        <v>331</v>
      </c>
      <c r="H443" s="46"/>
      <c r="I443" s="46"/>
      <c r="J443" s="46" t="s">
        <v>297</v>
      </c>
      <c r="K443" s="46" t="str">
        <f>IFERROR(VLOOKUP($J443,Catálogos!$M$4:$N$17,2,FALSE()),"")</f>
        <v>Mantención Preventiva Realizada</v>
      </c>
      <c r="L443" s="46"/>
      <c r="M443" s="46"/>
      <c r="N443" s="46"/>
      <c r="O443" s="46"/>
      <c r="P443" s="46"/>
      <c r="Q443" s="46"/>
    </row>
    <row r="444" spans="1:17" hidden="1" x14ac:dyDescent="0.25">
      <c r="A444" s="47" t="s">
        <v>550</v>
      </c>
      <c r="B444" s="46" t="str">
        <f>IFERROR(VLOOKUP($A444,Equipos!$C$2:$M$967,2,FALSE()),"")</f>
        <v xml:space="preserve">Ventilador Mecánico </v>
      </c>
      <c r="C444" s="46" t="str">
        <f>IFERROR(VLOOKUP($A444,Equipos!$C$2:$M$967,9,FALSE()),"")</f>
        <v>35B2101475</v>
      </c>
      <c r="D444" s="46" t="str">
        <f>IFERROR(VLOOKUP($A444,Equipos!$C$2:$M$967,3,FALSE()),"")</f>
        <v>UPC Cardiovascular</v>
      </c>
      <c r="E444" s="46" t="str">
        <f>IFERROR(VLOOKUP($A444,Equipos!$C$2:$M$967,7,FALSE()),"")</f>
        <v>Puritan Bennett</v>
      </c>
      <c r="F444" s="46" t="str">
        <f>IFERROR(VLOOKUP($A444,Equipos!$C$2:$M$967,8,FALSE()),"")</f>
        <v>980/cc</v>
      </c>
      <c r="G444" s="46" t="s">
        <v>316</v>
      </c>
      <c r="H444" s="46"/>
      <c r="I444" s="46"/>
      <c r="J444" s="46" t="s">
        <v>277</v>
      </c>
      <c r="K444" s="46" t="str">
        <f>IFERROR(VLOOKUP($J444,Catálogos!$M$4:$N$17,2,FALSE()),"")</f>
        <v>Reprogramada · Equipo no operativo, a la espera de repuestos o accesorios</v>
      </c>
      <c r="L444" s="46"/>
      <c r="M444" s="46"/>
      <c r="N444" s="46"/>
      <c r="O444" s="46"/>
      <c r="P444" s="46"/>
      <c r="Q444" s="46"/>
    </row>
    <row r="445" spans="1:17" hidden="1" x14ac:dyDescent="0.25">
      <c r="A445" s="47" t="s">
        <v>551</v>
      </c>
      <c r="B445" s="46" t="str">
        <f>IFERROR(VLOOKUP($A445,Equipos!$C$2:$M$967,2,FALSE()),"")</f>
        <v xml:space="preserve">Ventilador Mecánico </v>
      </c>
      <c r="C445" s="46" t="str">
        <f>IFERROR(VLOOKUP($A445,Equipos!$C$2:$M$967,9,FALSE()),"")</f>
        <v>35B2101446</v>
      </c>
      <c r="D445" s="46" t="str">
        <f>IFERROR(VLOOKUP($A445,Equipos!$C$2:$M$967,3,FALSE()),"")</f>
        <v>UPC Cardiovascular</v>
      </c>
      <c r="E445" s="46" t="str">
        <f>IFERROR(VLOOKUP($A445,Equipos!$C$2:$M$967,7,FALSE()),"")</f>
        <v>Puritan Bennett</v>
      </c>
      <c r="F445" s="46" t="str">
        <f>IFERROR(VLOOKUP($A445,Equipos!$C$2:$M$967,8,FALSE()),"")</f>
        <v>980</v>
      </c>
      <c r="G445" s="46" t="s">
        <v>316</v>
      </c>
      <c r="H445" s="46"/>
      <c r="I445" s="46"/>
      <c r="J445" s="46" t="s">
        <v>423</v>
      </c>
      <c r="K445" s="46" t="str">
        <f>IFERROR(VLOOKUP($J445,Catálogos!$M$4:$N$17,2,FALSE()),"")</f>
        <v>Reprogramada · No disponibilidad de horas hombre del servicio técnico externo</v>
      </c>
      <c r="L445" s="46"/>
      <c r="M445" s="46"/>
      <c r="N445" s="46"/>
      <c r="O445" s="46"/>
      <c r="P445" s="46"/>
      <c r="Q445" s="46"/>
    </row>
    <row r="446" spans="1:17" hidden="1" x14ac:dyDescent="0.25">
      <c r="A446" s="47" t="s">
        <v>551</v>
      </c>
      <c r="B446" s="46" t="str">
        <f>IFERROR(VLOOKUP($A446,Equipos!$C$2:$M$967,2,FALSE()),"")</f>
        <v xml:space="preserve">Ventilador Mecánico </v>
      </c>
      <c r="C446" s="46" t="str">
        <f>IFERROR(VLOOKUP($A446,Equipos!$C$2:$M$967,9,FALSE()),"")</f>
        <v>35B2101446</v>
      </c>
      <c r="D446" s="46" t="str">
        <f>IFERROR(VLOOKUP($A446,Equipos!$C$2:$M$967,3,FALSE()),"")</f>
        <v>UPC Cardiovascular</v>
      </c>
      <c r="E446" s="46" t="str">
        <f>IFERROR(VLOOKUP($A446,Equipos!$C$2:$M$967,7,FALSE()),"")</f>
        <v>Puritan Bennett</v>
      </c>
      <c r="F446" s="46" t="str">
        <f>IFERROR(VLOOKUP($A446,Equipos!$C$2:$M$967,8,FALSE()),"")</f>
        <v>980</v>
      </c>
      <c r="G446" s="46" t="s">
        <v>331</v>
      </c>
      <c r="H446" s="46"/>
      <c r="I446" s="46"/>
      <c r="J446" s="46" t="s">
        <v>297</v>
      </c>
      <c r="K446" s="46" t="str">
        <f>IFERROR(VLOOKUP($J446,Catálogos!$M$4:$N$17,2,FALSE()),"")</f>
        <v>Mantención Preventiva Realizada</v>
      </c>
      <c r="L446" s="46"/>
      <c r="M446" s="46"/>
      <c r="N446" s="46"/>
      <c r="O446" s="46"/>
      <c r="P446" s="46"/>
      <c r="Q446" s="46"/>
    </row>
    <row r="447" spans="1:17" hidden="1" x14ac:dyDescent="0.25">
      <c r="A447" s="47" t="s">
        <v>552</v>
      </c>
      <c r="B447" s="46" t="str">
        <f>IFERROR(VLOOKUP($A447,Equipos!$C$2:$M$967,2,FALSE()),"")</f>
        <v xml:space="preserve">Ventilador Mecánico </v>
      </c>
      <c r="C447" s="46" t="str">
        <f>IFERROR(VLOOKUP($A447,Equipos!$C$2:$M$967,9,FALSE()),"")</f>
        <v>3512202272</v>
      </c>
      <c r="D447" s="46" t="str">
        <f>IFERROR(VLOOKUP($A447,Equipos!$C$2:$M$967,3,FALSE()),"")</f>
        <v>UPC 3er Piso</v>
      </c>
      <c r="E447" s="46" t="str">
        <f>IFERROR(VLOOKUP($A447,Equipos!$C$2:$M$967,7,FALSE()),"")</f>
        <v>Puritan Bennett</v>
      </c>
      <c r="F447" s="46" t="str">
        <f>IFERROR(VLOOKUP($A447,Equipos!$C$2:$M$967,8,FALSE()),"")</f>
        <v>840</v>
      </c>
      <c r="G447" s="46" t="s">
        <v>316</v>
      </c>
      <c r="H447" s="46"/>
      <c r="I447" s="46"/>
      <c r="J447" s="46" t="s">
        <v>423</v>
      </c>
      <c r="K447" s="46" t="str">
        <f>IFERROR(VLOOKUP($J447,Catálogos!$M$4:$N$17,2,FALSE()),"")</f>
        <v>Reprogramada · No disponibilidad de horas hombre del servicio técnico externo</v>
      </c>
      <c r="L447" s="46"/>
      <c r="M447" s="46"/>
      <c r="N447" s="46"/>
      <c r="O447" s="46"/>
      <c r="P447" s="46"/>
      <c r="Q447" s="46"/>
    </row>
    <row r="448" spans="1:17" hidden="1" x14ac:dyDescent="0.25">
      <c r="A448" s="47" t="s">
        <v>552</v>
      </c>
      <c r="B448" s="46" t="str">
        <f>IFERROR(VLOOKUP($A448,Equipos!$C$2:$M$967,2,FALSE()),"")</f>
        <v xml:space="preserve">Ventilador Mecánico </v>
      </c>
      <c r="C448" s="46" t="str">
        <f>IFERROR(VLOOKUP($A448,Equipos!$C$2:$M$967,9,FALSE()),"")</f>
        <v>3512202272</v>
      </c>
      <c r="D448" s="46" t="str">
        <f>IFERROR(VLOOKUP($A448,Equipos!$C$2:$M$967,3,FALSE()),"")</f>
        <v>UPC 3er Piso</v>
      </c>
      <c r="E448" s="46" t="str">
        <f>IFERROR(VLOOKUP($A448,Equipos!$C$2:$M$967,7,FALSE()),"")</f>
        <v>Puritan Bennett</v>
      </c>
      <c r="F448" s="46" t="str">
        <f>IFERROR(VLOOKUP($A448,Equipos!$C$2:$M$967,8,FALSE()),"")</f>
        <v>840</v>
      </c>
      <c r="G448" s="46" t="s">
        <v>331</v>
      </c>
      <c r="H448" s="46"/>
      <c r="I448" s="46"/>
      <c r="J448" s="46" t="s">
        <v>297</v>
      </c>
      <c r="K448" s="46" t="str">
        <f>IFERROR(VLOOKUP($J448,Catálogos!$M$4:$N$17,2,FALSE()),"")</f>
        <v>Mantención Preventiva Realizada</v>
      </c>
      <c r="L448" s="46"/>
      <c r="M448" s="46"/>
      <c r="N448" s="46"/>
      <c r="O448" s="46"/>
      <c r="P448" s="46"/>
      <c r="Q448" s="46"/>
    </row>
    <row r="449" spans="1:17" hidden="1" x14ac:dyDescent="0.25">
      <c r="A449" s="47" t="s">
        <v>553</v>
      </c>
      <c r="B449" s="46" t="str">
        <f>IFERROR(VLOOKUP($A449,Equipos!$C$2:$M$967,2,FALSE()),"")</f>
        <v xml:space="preserve">Ventilador Mecánico </v>
      </c>
      <c r="C449" s="46" t="str">
        <f>IFERROR(VLOOKUP($A449,Equipos!$C$2:$M$967,9,FALSE()),"")</f>
        <v>3512202231</v>
      </c>
      <c r="D449" s="46" t="str">
        <f>IFERROR(VLOOKUP($A449,Equipos!$C$2:$M$967,3,FALSE()),"")</f>
        <v>UPC 3er Piso</v>
      </c>
      <c r="E449" s="46" t="str">
        <f>IFERROR(VLOOKUP($A449,Equipos!$C$2:$M$967,7,FALSE()),"")</f>
        <v>Puritan Bennett</v>
      </c>
      <c r="F449" s="46" t="str">
        <f>IFERROR(VLOOKUP($A449,Equipos!$C$2:$M$967,8,FALSE()),"")</f>
        <v>840</v>
      </c>
      <c r="G449" s="46" t="s">
        <v>316</v>
      </c>
      <c r="H449" s="46"/>
      <c r="I449" s="46"/>
      <c r="J449" s="46" t="s">
        <v>423</v>
      </c>
      <c r="K449" s="46" t="str">
        <f>IFERROR(VLOOKUP($J449,Catálogos!$M$4:$N$17,2,FALSE()),"")</f>
        <v>Reprogramada · No disponibilidad de horas hombre del servicio técnico externo</v>
      </c>
      <c r="L449" s="46"/>
      <c r="M449" s="46"/>
      <c r="N449" s="46"/>
      <c r="O449" s="46"/>
      <c r="P449" s="46"/>
      <c r="Q449" s="46"/>
    </row>
    <row r="450" spans="1:17" hidden="1" x14ac:dyDescent="0.25">
      <c r="A450" s="47" t="s">
        <v>553</v>
      </c>
      <c r="B450" s="46" t="str">
        <f>IFERROR(VLOOKUP($A450,Equipos!$C$2:$M$967,2,FALSE()),"")</f>
        <v xml:space="preserve">Ventilador Mecánico </v>
      </c>
      <c r="C450" s="46" t="str">
        <f>IFERROR(VLOOKUP($A450,Equipos!$C$2:$M$967,9,FALSE()),"")</f>
        <v>3512202231</v>
      </c>
      <c r="D450" s="46" t="str">
        <f>IFERROR(VLOOKUP($A450,Equipos!$C$2:$M$967,3,FALSE()),"")</f>
        <v>UPC 3er Piso</v>
      </c>
      <c r="E450" s="46" t="str">
        <f>IFERROR(VLOOKUP($A450,Equipos!$C$2:$M$967,7,FALSE()),"")</f>
        <v>Puritan Bennett</v>
      </c>
      <c r="F450" s="46" t="str">
        <f>IFERROR(VLOOKUP($A450,Equipos!$C$2:$M$967,8,FALSE()),"")</f>
        <v>840</v>
      </c>
      <c r="G450" s="46" t="s">
        <v>331</v>
      </c>
      <c r="H450" s="46"/>
      <c r="I450" s="46"/>
      <c r="J450" s="46" t="s">
        <v>297</v>
      </c>
      <c r="K450" s="46" t="str">
        <f>IFERROR(VLOOKUP($J450,Catálogos!$M$4:$N$17,2,FALSE()),"")</f>
        <v>Mantención Preventiva Realizada</v>
      </c>
      <c r="L450" s="46"/>
      <c r="M450" s="46"/>
      <c r="N450" s="46"/>
      <c r="O450" s="46"/>
      <c r="P450" s="46"/>
      <c r="Q450" s="46"/>
    </row>
    <row r="451" spans="1:17" hidden="1" x14ac:dyDescent="0.25">
      <c r="A451" s="47" t="s">
        <v>554</v>
      </c>
      <c r="B451" s="46" t="str">
        <f>IFERROR(VLOOKUP($A451,Equipos!$C$2:$M$967,2,FALSE()),"")</f>
        <v xml:space="preserve">Ventilador Mecánico </v>
      </c>
      <c r="C451" s="46" t="str">
        <f>IFERROR(VLOOKUP($A451,Equipos!$C$2:$M$967,9,FALSE()),"")</f>
        <v>VG70(E)XZZT15424</v>
      </c>
      <c r="D451" s="46" t="str">
        <f>IFERROR(VLOOKUP($A451,Equipos!$C$2:$M$967,3,FALSE()),"")</f>
        <v>UPC 3er Piso</v>
      </c>
      <c r="E451" s="46" t="str">
        <f>IFERROR(VLOOKUP($A451,Equipos!$C$2:$M$967,7,FALSE()),"")</f>
        <v>Aeonmed</v>
      </c>
      <c r="F451" s="46" t="str">
        <f>IFERROR(VLOOKUP($A451,Equipos!$C$2:$M$967,8,FALSE()),"")</f>
        <v>VG70</v>
      </c>
      <c r="G451" s="46" t="s">
        <v>331</v>
      </c>
      <c r="H451" s="46"/>
      <c r="I451" s="46"/>
      <c r="J451" s="46" t="s">
        <v>297</v>
      </c>
      <c r="K451" s="46" t="str">
        <f>IFERROR(VLOOKUP($J451,Catálogos!$M$4:$N$17,2,FALSE()),"")</f>
        <v>Mantención Preventiva Realizada</v>
      </c>
      <c r="L451" s="46"/>
      <c r="M451" s="46"/>
      <c r="N451" s="46"/>
      <c r="O451" s="46"/>
      <c r="P451" s="46"/>
      <c r="Q451" s="46"/>
    </row>
    <row r="452" spans="1:17" hidden="1" x14ac:dyDescent="0.25">
      <c r="A452" s="47" t="s">
        <v>555</v>
      </c>
      <c r="B452" s="46" t="str">
        <f>IFERROR(VLOOKUP($A452,Equipos!$C$2:$M$967,2,FALSE()),"")</f>
        <v xml:space="preserve">Ventilador Mecánico </v>
      </c>
      <c r="C452" s="46" t="str">
        <f>IFERROR(VLOOKUP($A452,Equipos!$C$2:$M$967,9,FALSE()),"")</f>
        <v>H29942683ADD6</v>
      </c>
      <c r="D452" s="46" t="str">
        <f>IFERROR(VLOOKUP($A452,Equipos!$C$2:$M$967,3,FALSE()),"")</f>
        <v>UPC Pediátrica</v>
      </c>
      <c r="E452" s="46" t="str">
        <f>IFERROR(VLOOKUP($A452,Equipos!$C$2:$M$967,7,FALSE()),"")</f>
        <v>Philips</v>
      </c>
      <c r="F452" s="46" t="str">
        <f>IFERROR(VLOOKUP($A452,Equipos!$C$2:$M$967,8,FALSE()),"")</f>
        <v>Trilogy EV300</v>
      </c>
      <c r="G452" s="46" t="s">
        <v>316</v>
      </c>
      <c r="H452" s="46"/>
      <c r="I452" s="46"/>
      <c r="J452" s="46" t="s">
        <v>297</v>
      </c>
      <c r="K452" s="46" t="str">
        <f>IFERROR(VLOOKUP($J452,Catálogos!$M$4:$N$17,2,FALSE()),"")</f>
        <v>Mantención Preventiva Realizada</v>
      </c>
      <c r="L452" s="46"/>
      <c r="M452" s="46"/>
      <c r="N452" s="46"/>
      <c r="O452" s="46"/>
      <c r="P452" s="46"/>
      <c r="Q452" s="46"/>
    </row>
    <row r="453" spans="1:17" hidden="1" x14ac:dyDescent="0.25">
      <c r="A453" s="47" t="s">
        <v>556</v>
      </c>
      <c r="B453" s="46" t="str">
        <f>IFERROR(VLOOKUP($A453,Equipos!$C$2:$M$967,2,FALSE()),"")</f>
        <v xml:space="preserve">Ventilador Mecánico </v>
      </c>
      <c r="C453" s="46" t="str">
        <f>IFERROR(VLOOKUP($A453,Equipos!$C$2:$M$967,9,FALSE()),"")</f>
        <v>TV018020609</v>
      </c>
      <c r="D453" s="46" t="str">
        <f>IFERROR(VLOOKUP($A453,Equipos!$C$2:$M$967,3,FALSE()),"")</f>
        <v>UPC Pediátrica</v>
      </c>
      <c r="E453" s="46" t="str">
        <f>IFERROR(VLOOKUP($A453,Equipos!$C$2:$M$967,7,FALSE()),"")</f>
        <v>Philips</v>
      </c>
      <c r="F453" s="46" t="str">
        <f>IFERROR(VLOOKUP($A453,Equipos!$C$2:$M$967,8,FALSE()),"")</f>
        <v>Trilogy 202</v>
      </c>
      <c r="G453" s="46" t="s">
        <v>316</v>
      </c>
      <c r="H453" s="46"/>
      <c r="I453" s="46"/>
      <c r="J453" s="46" t="s">
        <v>297</v>
      </c>
      <c r="K453" s="46" t="str">
        <f>IFERROR(VLOOKUP($J453,Catálogos!$M$4:$N$17,2,FALSE()),"")</f>
        <v>Mantención Preventiva Realizada</v>
      </c>
      <c r="L453" s="46"/>
      <c r="M453" s="46"/>
      <c r="N453" s="46"/>
      <c r="O453" s="46"/>
      <c r="P453" s="46"/>
      <c r="Q453" s="46"/>
    </row>
    <row r="454" spans="1:17" hidden="1" x14ac:dyDescent="0.25">
      <c r="A454" s="47" t="s">
        <v>557</v>
      </c>
      <c r="B454" s="46" t="str">
        <f>IFERROR(VLOOKUP($A454,Equipos!$C$2:$M$967,2,FALSE()),"")</f>
        <v xml:space="preserve">Ventilador Mecánico </v>
      </c>
      <c r="C454" s="46" t="str">
        <f>IFERROR(VLOOKUP($A454,Equipos!$C$2:$M$967,9,FALSE()),"")</f>
        <v>TV01802060A</v>
      </c>
      <c r="D454" s="46" t="str">
        <f>IFERROR(VLOOKUP($A454,Equipos!$C$2:$M$967,3,FALSE()),"")</f>
        <v>UPC Pediátrica</v>
      </c>
      <c r="E454" s="46" t="str">
        <f>IFERROR(VLOOKUP($A454,Equipos!$C$2:$M$967,7,FALSE()),"")</f>
        <v>Philips</v>
      </c>
      <c r="F454" s="46" t="str">
        <f>IFERROR(VLOOKUP($A454,Equipos!$C$2:$M$967,8,FALSE()),"")</f>
        <v>Trilogy 202</v>
      </c>
      <c r="G454" s="46" t="s">
        <v>316</v>
      </c>
      <c r="H454" s="46"/>
      <c r="I454" s="46"/>
      <c r="J454" s="46" t="s">
        <v>297</v>
      </c>
      <c r="K454" s="46" t="str">
        <f>IFERROR(VLOOKUP($J454,Catálogos!$M$4:$N$17,2,FALSE()),"")</f>
        <v>Mantención Preventiva Realizada</v>
      </c>
      <c r="L454" s="46"/>
      <c r="M454" s="46"/>
      <c r="N454" s="46"/>
      <c r="O454" s="46"/>
      <c r="P454" s="46"/>
      <c r="Q454" s="46"/>
    </row>
    <row r="455" spans="1:17" hidden="1" x14ac:dyDescent="0.25">
      <c r="A455" s="47" t="s">
        <v>558</v>
      </c>
      <c r="B455" s="46" t="str">
        <f>IFERROR(VLOOKUP($A455,Equipos!$C$2:$M$967,2,FALSE()),"")</f>
        <v xml:space="preserve">Ventilador Mecánico </v>
      </c>
      <c r="C455" s="46" t="str">
        <f>IFERROR(VLOOKUP($A455,Equipos!$C$2:$M$967,9,FALSE()),"")</f>
        <v>TV018020612</v>
      </c>
      <c r="D455" s="46" t="str">
        <f>IFERROR(VLOOKUP($A455,Equipos!$C$2:$M$967,3,FALSE()),"")</f>
        <v>UPC Pediátrica</v>
      </c>
      <c r="E455" s="46" t="str">
        <f>IFERROR(VLOOKUP($A455,Equipos!$C$2:$M$967,7,FALSE()),"")</f>
        <v>Philips</v>
      </c>
      <c r="F455" s="46" t="str">
        <f>IFERROR(VLOOKUP($A455,Equipos!$C$2:$M$967,8,FALSE()),"")</f>
        <v>Trilogy 202</v>
      </c>
      <c r="G455" s="46" t="s">
        <v>316</v>
      </c>
      <c r="H455" s="46"/>
      <c r="I455" s="46"/>
      <c r="J455" s="46" t="s">
        <v>278</v>
      </c>
      <c r="K455" s="46" t="str">
        <f>IFERROR(VLOOKUP($J455,Catálogos!$M$4:$N$17,2,FALSE()),"")</f>
        <v>Reprogramada · Equipo en servicio técnico</v>
      </c>
      <c r="L455" s="46"/>
      <c r="M455" s="46"/>
      <c r="N455" s="46"/>
      <c r="O455" s="46"/>
      <c r="P455" s="46"/>
      <c r="Q455" s="46"/>
    </row>
    <row r="456" spans="1:17" hidden="1" x14ac:dyDescent="0.25">
      <c r="A456" s="47" t="s">
        <v>559</v>
      </c>
      <c r="B456" s="46" t="str">
        <f>IFERROR(VLOOKUP($A456,Equipos!$C$2:$M$967,2,FALSE()),"")</f>
        <v xml:space="preserve">Ventilador Mecánico </v>
      </c>
      <c r="C456" s="46" t="str">
        <f>IFERROR(VLOOKUP($A456,Equipos!$C$2:$M$967,9,FALSE()),"")</f>
        <v>TV018021903</v>
      </c>
      <c r="D456" s="46" t="str">
        <f>IFERROR(VLOOKUP($A456,Equipos!$C$2:$M$967,3,FALSE()),"")</f>
        <v>UPC Pediátrica</v>
      </c>
      <c r="E456" s="46" t="str">
        <f>IFERROR(VLOOKUP($A456,Equipos!$C$2:$M$967,7,FALSE()),"")</f>
        <v>Philips</v>
      </c>
      <c r="F456" s="46" t="str">
        <f>IFERROR(VLOOKUP($A456,Equipos!$C$2:$M$967,8,FALSE()),"")</f>
        <v>Trilogy 202</v>
      </c>
      <c r="G456" s="46" t="s">
        <v>316</v>
      </c>
      <c r="H456" s="46"/>
      <c r="I456" s="46"/>
      <c r="J456" s="46" t="s">
        <v>297</v>
      </c>
      <c r="K456" s="46" t="str">
        <f>IFERROR(VLOOKUP($J456,Catálogos!$M$4:$N$17,2,FALSE()),"")</f>
        <v>Mantención Preventiva Realizada</v>
      </c>
      <c r="L456" s="46"/>
      <c r="M456" s="46"/>
      <c r="N456" s="46"/>
      <c r="O456" s="46"/>
      <c r="P456" s="46"/>
      <c r="Q456" s="46"/>
    </row>
    <row r="457" spans="1:17" hidden="1" x14ac:dyDescent="0.25">
      <c r="A457" s="47" t="s">
        <v>560</v>
      </c>
      <c r="B457" s="46" t="str">
        <f>IFERROR(VLOOKUP($A457,Equipos!$C$2:$M$967,2,FALSE()),"")</f>
        <v xml:space="preserve">Ventilador Mecánico </v>
      </c>
      <c r="C457" s="46" t="str">
        <f>IFERROR(VLOOKUP($A457,Equipos!$C$2:$M$967,9,FALSE()),"")</f>
        <v>TV018021907</v>
      </c>
      <c r="D457" s="46" t="str">
        <f>IFERROR(VLOOKUP($A457,Equipos!$C$2:$M$967,3,FALSE()),"")</f>
        <v>UPC Pediátrica</v>
      </c>
      <c r="E457" s="46" t="str">
        <f>IFERROR(VLOOKUP($A457,Equipos!$C$2:$M$967,7,FALSE()),"")</f>
        <v>Philips</v>
      </c>
      <c r="F457" s="46" t="str">
        <f>IFERROR(VLOOKUP($A457,Equipos!$C$2:$M$967,8,FALSE()),"")</f>
        <v>Trilogy 202</v>
      </c>
      <c r="G457" s="46" t="s">
        <v>316</v>
      </c>
      <c r="H457" s="46"/>
      <c r="I457" s="46"/>
      <c r="J457" s="46" t="s">
        <v>297</v>
      </c>
      <c r="K457" s="46" t="str">
        <f>IFERROR(VLOOKUP($J457,Catálogos!$M$4:$N$17,2,FALSE()),"")</f>
        <v>Mantención Preventiva Realizada</v>
      </c>
      <c r="L457" s="46"/>
      <c r="M457" s="46"/>
      <c r="N457" s="46"/>
      <c r="O457" s="46"/>
      <c r="P457" s="46"/>
      <c r="Q457" s="46"/>
    </row>
    <row r="458" spans="1:17" hidden="1" x14ac:dyDescent="0.25">
      <c r="A458" s="47" t="s">
        <v>561</v>
      </c>
      <c r="B458" s="46" t="str">
        <f>IFERROR(VLOOKUP($A458,Equipos!$C$2:$M$967,2,FALSE()),"")</f>
        <v xml:space="preserve">Ventilador Mecánico </v>
      </c>
      <c r="C458" s="46" t="str">
        <f>IFERROR(VLOOKUP($A458,Equipos!$C$2:$M$967,9,FALSE()),"")</f>
        <v>TV018021909</v>
      </c>
      <c r="D458" s="46" t="str">
        <f>IFERROR(VLOOKUP($A458,Equipos!$C$2:$M$967,3,FALSE()),"")</f>
        <v>UPC Pediátrica</v>
      </c>
      <c r="E458" s="46" t="str">
        <f>IFERROR(VLOOKUP($A458,Equipos!$C$2:$M$967,7,FALSE()),"")</f>
        <v>Philips</v>
      </c>
      <c r="F458" s="46" t="str">
        <f>IFERROR(VLOOKUP($A458,Equipos!$C$2:$M$967,8,FALSE()),"")</f>
        <v>Trilogy 202</v>
      </c>
      <c r="G458" s="46" t="s">
        <v>316</v>
      </c>
      <c r="H458" s="46"/>
      <c r="I458" s="46"/>
      <c r="J458" s="46" t="s">
        <v>297</v>
      </c>
      <c r="K458" s="46" t="str">
        <f>IFERROR(VLOOKUP($J458,Catálogos!$M$4:$N$17,2,FALSE()),"")</f>
        <v>Mantención Preventiva Realizada</v>
      </c>
      <c r="L458" s="46"/>
      <c r="M458" s="46"/>
      <c r="N458" s="46"/>
      <c r="O458" s="46"/>
      <c r="P458" s="46"/>
      <c r="Q458" s="46"/>
    </row>
    <row r="459" spans="1:17" hidden="1" x14ac:dyDescent="0.25">
      <c r="A459" s="47" t="s">
        <v>562</v>
      </c>
      <c r="B459" s="46" t="str">
        <f>IFERROR(VLOOKUP($A459,Equipos!$C$2:$M$967,2,FALSE()),"")</f>
        <v xml:space="preserve">Ventilador Mecánico </v>
      </c>
      <c r="C459" s="46" t="str">
        <f>IFERROR(VLOOKUP($A459,Equipos!$C$2:$M$967,9,FALSE()),"")</f>
        <v>TV01802190A</v>
      </c>
      <c r="D459" s="46" t="str">
        <f>IFERROR(VLOOKUP($A459,Equipos!$C$2:$M$967,3,FALSE()),"")</f>
        <v>UPC Pediátrica</v>
      </c>
      <c r="E459" s="46" t="str">
        <f>IFERROR(VLOOKUP($A459,Equipos!$C$2:$M$967,7,FALSE()),"")</f>
        <v>Philips</v>
      </c>
      <c r="F459" s="46" t="str">
        <f>IFERROR(VLOOKUP($A459,Equipos!$C$2:$M$967,8,FALSE()),"")</f>
        <v>Trilogy 202</v>
      </c>
      <c r="G459" s="46" t="s">
        <v>316</v>
      </c>
      <c r="H459" s="46"/>
      <c r="I459" s="46"/>
      <c r="J459" s="46" t="s">
        <v>423</v>
      </c>
      <c r="K459" s="46" t="str">
        <f>IFERROR(VLOOKUP($J459,Catálogos!$M$4:$N$17,2,FALSE()),"")</f>
        <v>Reprogramada · No disponibilidad de horas hombre del servicio técnico externo</v>
      </c>
      <c r="L459" s="46"/>
      <c r="M459" s="46"/>
      <c r="N459" s="46"/>
      <c r="O459" s="46"/>
      <c r="P459" s="46"/>
      <c r="Q459" s="46"/>
    </row>
    <row r="460" spans="1:17" hidden="1" x14ac:dyDescent="0.25">
      <c r="A460" s="47" t="s">
        <v>562</v>
      </c>
      <c r="B460" s="46" t="str">
        <f>IFERROR(VLOOKUP($A460,Equipos!$C$2:$M$967,2,FALSE()),"")</f>
        <v xml:space="preserve">Ventilador Mecánico </v>
      </c>
      <c r="C460" s="46" t="str">
        <f>IFERROR(VLOOKUP($A460,Equipos!$C$2:$M$967,9,FALSE()),"")</f>
        <v>TV01802190A</v>
      </c>
      <c r="D460" s="46" t="str">
        <f>IFERROR(VLOOKUP($A460,Equipos!$C$2:$M$967,3,FALSE()),"")</f>
        <v>UPC Pediátrica</v>
      </c>
      <c r="E460" s="46" t="str">
        <f>IFERROR(VLOOKUP($A460,Equipos!$C$2:$M$967,7,FALSE()),"")</f>
        <v>Philips</v>
      </c>
      <c r="F460" s="46" t="str">
        <f>IFERROR(VLOOKUP($A460,Equipos!$C$2:$M$967,8,FALSE()),"")</f>
        <v>Trilogy 202</v>
      </c>
      <c r="G460" s="46" t="s">
        <v>331</v>
      </c>
      <c r="H460" s="46"/>
      <c r="I460" s="46"/>
      <c r="J460" s="46" t="s">
        <v>297</v>
      </c>
      <c r="K460" s="46" t="str">
        <f>IFERROR(VLOOKUP($J460,Catálogos!$M$4:$N$17,2,FALSE()),"")</f>
        <v>Mantención Preventiva Realizada</v>
      </c>
      <c r="L460" s="46"/>
      <c r="M460" s="46"/>
      <c r="N460" s="46"/>
      <c r="O460" s="46"/>
      <c r="P460" s="46"/>
      <c r="Q460" s="46"/>
    </row>
    <row r="461" spans="1:17" hidden="1" x14ac:dyDescent="0.25">
      <c r="A461" s="47" t="s">
        <v>155</v>
      </c>
      <c r="B461" s="46" t="str">
        <f>IFERROR(VLOOKUP($A461,Equipos!$C$2:$M$967,2,FALSE()),"")</f>
        <v xml:space="preserve">Ventilador Mecánico </v>
      </c>
      <c r="C461" s="46" t="str">
        <f>IFERROR(VLOOKUP($A461,Equipos!$C$2:$M$967,9,FALSE()),"")</f>
        <v>TV01802190B</v>
      </c>
      <c r="D461" s="46" t="str">
        <f>IFERROR(VLOOKUP($A461,Equipos!$C$2:$M$967,3,FALSE()),"")</f>
        <v>UPC Pediátrica</v>
      </c>
      <c r="E461" s="46" t="str">
        <f>IFERROR(VLOOKUP($A461,Equipos!$C$2:$M$967,7,FALSE()),"")</f>
        <v>Philips</v>
      </c>
      <c r="F461" s="46" t="str">
        <f>IFERROR(VLOOKUP($A461,Equipos!$C$2:$M$967,8,FALSE()),"")</f>
        <v>Trilogy 202</v>
      </c>
      <c r="G461" s="46" t="s">
        <v>316</v>
      </c>
      <c r="H461" s="46"/>
      <c r="I461" s="46"/>
      <c r="J461" s="46" t="s">
        <v>278</v>
      </c>
      <c r="K461" s="46" t="str">
        <f>IFERROR(VLOOKUP($J461,Catálogos!$M$4:$N$17,2,FALSE()),"")</f>
        <v>Reprogramada · Equipo en servicio técnico</v>
      </c>
      <c r="L461" s="46"/>
      <c r="M461" s="46"/>
      <c r="N461" s="46"/>
      <c r="O461" s="46"/>
      <c r="P461" s="46"/>
      <c r="Q461" s="46"/>
    </row>
    <row r="462" spans="1:17" hidden="1" x14ac:dyDescent="0.25">
      <c r="A462" s="47" t="s">
        <v>563</v>
      </c>
      <c r="B462" s="46" t="str">
        <f>IFERROR(VLOOKUP($A462,Equipos!$C$2:$M$967,2,FALSE()),"")</f>
        <v xml:space="preserve">Ventilador Mecánico </v>
      </c>
      <c r="C462" s="46" t="str">
        <f>IFERROR(VLOOKUP($A462,Equipos!$C$2:$M$967,9,FALSE()),"")</f>
        <v>TV01802190C</v>
      </c>
      <c r="D462" s="46" t="str">
        <f>IFERROR(VLOOKUP($A462,Equipos!$C$2:$M$967,3,FALSE()),"")</f>
        <v>UPC Pediátrica</v>
      </c>
      <c r="E462" s="46" t="str">
        <f>IFERROR(VLOOKUP($A462,Equipos!$C$2:$M$967,7,FALSE()),"")</f>
        <v>Philips</v>
      </c>
      <c r="F462" s="46" t="str">
        <f>IFERROR(VLOOKUP($A462,Equipos!$C$2:$M$967,8,FALSE()),"")</f>
        <v>Trilogy 202</v>
      </c>
      <c r="G462" s="46" t="s">
        <v>316</v>
      </c>
      <c r="H462" s="46"/>
      <c r="I462" s="46"/>
      <c r="J462" s="46" t="s">
        <v>423</v>
      </c>
      <c r="K462" s="46" t="str">
        <f>IFERROR(VLOOKUP($J462,Catálogos!$M$4:$N$17,2,FALSE()),"")</f>
        <v>Reprogramada · No disponibilidad de horas hombre del servicio técnico externo</v>
      </c>
      <c r="L462" s="46"/>
      <c r="M462" s="46"/>
      <c r="N462" s="46"/>
      <c r="O462" s="46"/>
      <c r="P462" s="46"/>
      <c r="Q462" s="46"/>
    </row>
    <row r="463" spans="1:17" hidden="1" x14ac:dyDescent="0.25">
      <c r="A463" s="47" t="s">
        <v>563</v>
      </c>
      <c r="B463" s="46" t="str">
        <f>IFERROR(VLOOKUP($A463,Equipos!$C$2:$M$967,2,FALSE()),"")</f>
        <v xml:space="preserve">Ventilador Mecánico </v>
      </c>
      <c r="C463" s="46" t="str">
        <f>IFERROR(VLOOKUP($A463,Equipos!$C$2:$M$967,9,FALSE()),"")</f>
        <v>TV01802190C</v>
      </c>
      <c r="D463" s="46" t="str">
        <f>IFERROR(VLOOKUP($A463,Equipos!$C$2:$M$967,3,FALSE()),"")</f>
        <v>UPC Pediátrica</v>
      </c>
      <c r="E463" s="46" t="str">
        <f>IFERROR(VLOOKUP($A463,Equipos!$C$2:$M$967,7,FALSE()),"")</f>
        <v>Philips</v>
      </c>
      <c r="F463" s="46" t="str">
        <f>IFERROR(VLOOKUP($A463,Equipos!$C$2:$M$967,8,FALSE()),"")</f>
        <v>Trilogy 202</v>
      </c>
      <c r="G463" s="46" t="s">
        <v>331</v>
      </c>
      <c r="H463" s="46"/>
      <c r="I463" s="46"/>
      <c r="J463" s="46" t="s">
        <v>297</v>
      </c>
      <c r="K463" s="46" t="str">
        <f>IFERROR(VLOOKUP($J463,Catálogos!$M$4:$N$17,2,FALSE()),"")</f>
        <v>Mantención Preventiva Realizada</v>
      </c>
      <c r="L463" s="46"/>
      <c r="M463" s="46"/>
      <c r="N463" s="46"/>
      <c r="O463" s="46"/>
      <c r="P463" s="46"/>
      <c r="Q463" s="46"/>
    </row>
    <row r="464" spans="1:17" hidden="1" x14ac:dyDescent="0.25">
      <c r="A464" s="47" t="s">
        <v>564</v>
      </c>
      <c r="B464" s="46" t="str">
        <f>IFERROR(VLOOKUP($A464,Equipos!$C$2:$M$967,2,FALSE()),"")</f>
        <v xml:space="preserve">Ventilador Mecánico </v>
      </c>
      <c r="C464" s="46" t="str">
        <f>IFERROR(VLOOKUP($A464,Equipos!$C$2:$M$967,9,FALSE()),"")</f>
        <v>H27247766FFE4</v>
      </c>
      <c r="D464" s="46" t="str">
        <f>IFERROR(VLOOKUP($A464,Equipos!$C$2:$M$967,3,FALSE()),"")</f>
        <v>Hospitalización Domiciliaria</v>
      </c>
      <c r="E464" s="46" t="str">
        <f>IFERROR(VLOOKUP($A464,Equipos!$C$2:$M$967,7,FALSE()),"")</f>
        <v>Philips</v>
      </c>
      <c r="F464" s="46" t="str">
        <f>IFERROR(VLOOKUP($A464,Equipos!$C$2:$M$967,8,FALSE()),"")</f>
        <v>Trilogy EVO</v>
      </c>
      <c r="G464" s="46" t="s">
        <v>316</v>
      </c>
      <c r="H464" s="46"/>
      <c r="I464" s="46"/>
      <c r="J464" s="46" t="s">
        <v>423</v>
      </c>
      <c r="K464" s="46" t="str">
        <f>IFERROR(VLOOKUP($J464,Catálogos!$M$4:$N$17,2,FALSE()),"")</f>
        <v>Reprogramada · No disponibilidad de horas hombre del servicio técnico externo</v>
      </c>
      <c r="L464" s="46"/>
      <c r="M464" s="46"/>
      <c r="N464" s="46"/>
      <c r="O464" s="46"/>
      <c r="P464" s="46"/>
      <c r="Q464" s="46"/>
    </row>
    <row r="465" spans="1:17" hidden="1" x14ac:dyDescent="0.25">
      <c r="A465" s="47" t="s">
        <v>564</v>
      </c>
      <c r="B465" s="46" t="str">
        <f>IFERROR(VLOOKUP($A465,Equipos!$C$2:$M$967,2,FALSE()),"")</f>
        <v xml:space="preserve">Ventilador Mecánico </v>
      </c>
      <c r="C465" s="46" t="str">
        <f>IFERROR(VLOOKUP($A465,Equipos!$C$2:$M$967,9,FALSE()),"")</f>
        <v>H27247766FFE4</v>
      </c>
      <c r="D465" s="46" t="str">
        <f>IFERROR(VLOOKUP($A465,Equipos!$C$2:$M$967,3,FALSE()),"")</f>
        <v>Hospitalización Domiciliaria</v>
      </c>
      <c r="E465" s="46" t="str">
        <f>IFERROR(VLOOKUP($A465,Equipos!$C$2:$M$967,7,FALSE()),"")</f>
        <v>Philips</v>
      </c>
      <c r="F465" s="46" t="str">
        <f>IFERROR(VLOOKUP($A465,Equipos!$C$2:$M$967,8,FALSE()),"")</f>
        <v>Trilogy EVO</v>
      </c>
      <c r="G465" s="46" t="s">
        <v>331</v>
      </c>
      <c r="H465" s="46"/>
      <c r="I465" s="46"/>
      <c r="J465" s="46" t="s">
        <v>297</v>
      </c>
      <c r="K465" s="46" t="str">
        <f>IFERROR(VLOOKUP($J465,Catálogos!$M$4:$N$17,2,FALSE()),"")</f>
        <v>Mantención Preventiva Realizada</v>
      </c>
      <c r="L465" s="46"/>
      <c r="M465" s="46"/>
      <c r="N465" s="46"/>
      <c r="O465" s="46"/>
      <c r="P465" s="46"/>
      <c r="Q465" s="46"/>
    </row>
    <row r="466" spans="1:17" hidden="1" x14ac:dyDescent="0.25">
      <c r="A466" s="47" t="s">
        <v>565</v>
      </c>
      <c r="B466" s="46" t="str">
        <f>IFERROR(VLOOKUP($A466,Equipos!$C$2:$M$967,2,FALSE()),"")</f>
        <v xml:space="preserve">Ventilador Mecánico </v>
      </c>
      <c r="C466" s="46" t="str">
        <f>IFERROR(VLOOKUP($A466,Equipos!$C$2:$M$967,9,FALSE()),"")</f>
        <v>YH830-V24C35011</v>
      </c>
      <c r="D466" s="46" t="str">
        <f>IFERROR(VLOOKUP($A466,Equipos!$C$2:$M$967,3,FALSE()),"")</f>
        <v>UPC Pediátrica</v>
      </c>
      <c r="E466" s="46" t="str">
        <f>IFERROR(VLOOKUP($A466,Equipos!$C$2:$M$967,7,FALSE()),"")</f>
        <v>Yuwell</v>
      </c>
      <c r="F466" s="46" t="str">
        <f>IFERROR(VLOOKUP($A466,Equipos!$C$2:$M$967,8,FALSE()),"")</f>
        <v>YH-830</v>
      </c>
      <c r="G466" s="46" t="s">
        <v>316</v>
      </c>
      <c r="H466" s="46"/>
      <c r="I466" s="46"/>
      <c r="J466" s="46" t="s">
        <v>297</v>
      </c>
      <c r="K466" s="46" t="str">
        <f>IFERROR(VLOOKUP($J466,Catálogos!$M$4:$N$17,2,FALSE()),"")</f>
        <v>Mantención Preventiva Realizada</v>
      </c>
      <c r="L466" s="46"/>
      <c r="M466" s="46"/>
      <c r="N466" s="46"/>
      <c r="O466" s="46"/>
      <c r="P466" s="46"/>
      <c r="Q466" s="46"/>
    </row>
    <row r="467" spans="1:17" hidden="1" x14ac:dyDescent="0.25">
      <c r="A467" s="47" t="s">
        <v>566</v>
      </c>
      <c r="B467" s="46" t="str">
        <f>IFERROR(VLOOKUP($A467,Equipos!$C$2:$M$967,2,FALSE()),"")</f>
        <v xml:space="preserve">Ventilador Mecánico </v>
      </c>
      <c r="C467" s="46" t="str">
        <f>IFERROR(VLOOKUP($A467,Equipos!$C$2:$M$967,9,FALSE()),"")</f>
        <v>YH830A-V24C35013</v>
      </c>
      <c r="D467" s="46" t="str">
        <f>IFERROR(VLOOKUP($A467,Equipos!$C$2:$M$967,3,FALSE()),"")</f>
        <v>UPC Pediátrica</v>
      </c>
      <c r="E467" s="46" t="str">
        <f>IFERROR(VLOOKUP($A467,Equipos!$C$2:$M$967,7,FALSE()),"")</f>
        <v>Yuwell</v>
      </c>
      <c r="F467" s="46" t="str">
        <f>IFERROR(VLOOKUP($A467,Equipos!$C$2:$M$967,8,FALSE()),"")</f>
        <v>YH-830</v>
      </c>
      <c r="G467" s="46" t="s">
        <v>316</v>
      </c>
      <c r="H467" s="46"/>
      <c r="I467" s="46"/>
      <c r="J467" s="46" t="s">
        <v>297</v>
      </c>
      <c r="K467" s="46" t="str">
        <f>IFERROR(VLOOKUP($J467,Catálogos!$M$4:$N$17,2,FALSE()),"")</f>
        <v>Mantención Preventiva Realizada</v>
      </c>
      <c r="L467" s="46"/>
      <c r="M467" s="46"/>
      <c r="N467" s="46"/>
      <c r="O467" s="46"/>
      <c r="P467" s="46"/>
      <c r="Q467" s="46"/>
    </row>
    <row r="468" spans="1:17" hidden="1" x14ac:dyDescent="0.25">
      <c r="A468" s="47" t="s">
        <v>567</v>
      </c>
      <c r="B468" s="46" t="str">
        <f>IFERROR(VLOOKUP($A468,Equipos!$C$2:$M$967,2,FALSE()),"")</f>
        <v xml:space="preserve">Ventilador Mecánico </v>
      </c>
      <c r="C468" s="46" t="str">
        <f>IFERROR(VLOOKUP($A468,Equipos!$C$2:$M$967,9,FALSE()),"")</f>
        <v>YH830A-V25132020</v>
      </c>
      <c r="D468" s="46" t="str">
        <f>IFERROR(VLOOKUP($A468,Equipos!$C$2:$M$967,3,FALSE()),"")</f>
        <v>UPC Pediátrica</v>
      </c>
      <c r="E468" s="46" t="str">
        <f>IFERROR(VLOOKUP($A468,Equipos!$C$2:$M$967,7,FALSE()),"")</f>
        <v>Yuwell</v>
      </c>
      <c r="F468" s="46" t="str">
        <f>IFERROR(VLOOKUP($A468,Equipos!$C$2:$M$967,8,FALSE()),"")</f>
        <v>YH-830</v>
      </c>
      <c r="G468" s="46" t="s">
        <v>316</v>
      </c>
      <c r="H468" s="46"/>
      <c r="I468" s="46"/>
      <c r="J468" s="46" t="s">
        <v>297</v>
      </c>
      <c r="K468" s="46" t="str">
        <f>IFERROR(VLOOKUP($J468,Catálogos!$M$4:$N$17,2,FALSE()),"")</f>
        <v>Mantención Preventiva Realizada</v>
      </c>
      <c r="L468" s="46"/>
      <c r="M468" s="46"/>
      <c r="N468" s="46"/>
      <c r="O468" s="46"/>
      <c r="P468" s="46"/>
      <c r="Q468" s="46"/>
    </row>
    <row r="469" spans="1:17" hidden="1" x14ac:dyDescent="0.25">
      <c r="A469" s="47" t="s">
        <v>568</v>
      </c>
      <c r="B469" s="46" t="str">
        <f>IFERROR(VLOOKUP($A469,Equipos!$C$2:$M$967,2,FALSE()),"")</f>
        <v xml:space="preserve">Ventilador Mecánico </v>
      </c>
      <c r="C469" s="46" t="str">
        <f>IFERROR(VLOOKUP($A469,Equipos!$C$2:$M$967,9,FALSE()),"")</f>
        <v>YH830A-V24C35008</v>
      </c>
      <c r="D469" s="46" t="str">
        <f>IFERROR(VLOOKUP($A469,Equipos!$C$2:$M$967,3,FALSE()),"")</f>
        <v>UPC Pediátrica</v>
      </c>
      <c r="E469" s="46" t="str">
        <f>IFERROR(VLOOKUP($A469,Equipos!$C$2:$M$967,7,FALSE()),"")</f>
        <v>Yuwell</v>
      </c>
      <c r="F469" s="46" t="str">
        <f>IFERROR(VLOOKUP($A469,Equipos!$C$2:$M$967,8,FALSE()),"")</f>
        <v>YH-830</v>
      </c>
      <c r="G469" s="46" t="s">
        <v>316</v>
      </c>
      <c r="H469" s="46"/>
      <c r="I469" s="46"/>
      <c r="J469" s="46" t="s">
        <v>297</v>
      </c>
      <c r="K469" s="46" t="str">
        <f>IFERROR(VLOOKUP($J469,Catálogos!$M$4:$N$17,2,FALSE()),"")</f>
        <v>Mantención Preventiva Realizada</v>
      </c>
      <c r="L469" s="46"/>
      <c r="M469" s="46"/>
      <c r="N469" s="46"/>
      <c r="O469" s="46"/>
      <c r="P469" s="46"/>
      <c r="Q469" s="46"/>
    </row>
    <row r="470" spans="1:17" hidden="1" x14ac:dyDescent="0.25">
      <c r="A470" s="47" t="s">
        <v>121</v>
      </c>
      <c r="B470" s="46" t="str">
        <f>IFERROR(VLOOKUP($A470,Equipos!$C$2:$M$967,2,FALSE()),"")</f>
        <v>Monitor Multiparámetros</v>
      </c>
      <c r="C470" s="46" t="str">
        <f>IFERROR(VLOOKUP($A470,Equipos!$C$2:$M$967,9,FALSE()),"")</f>
        <v>5494254562</v>
      </c>
      <c r="D470" s="46" t="str">
        <f>IFERROR(VLOOKUP($A470,Equipos!$C$2:$M$967,3,FALSE()),"")</f>
        <v>UPC Adulto</v>
      </c>
      <c r="E470" s="46" t="str">
        <f>IFERROR(VLOOKUP($A470,Equipos!$C$2:$M$967,7,FALSE()),"")</f>
        <v xml:space="preserve">Drager </v>
      </c>
      <c r="F470" s="46" t="str">
        <f>IFERROR(VLOOKUP($A470,Equipos!$C$2:$M$967,8,FALSE()),"")</f>
        <v xml:space="preserve">Infinity Kappa </v>
      </c>
      <c r="G470" s="46" t="s">
        <v>331</v>
      </c>
      <c r="H470" s="46" t="s">
        <v>460</v>
      </c>
      <c r="I470" s="46"/>
      <c r="J470" s="46" t="s">
        <v>323</v>
      </c>
      <c r="K470" s="46" t="str">
        <f>IFERROR(VLOOKUP($J470,Catálogos!$M$4:$N$17,2,FALSE()),"")</f>
        <v>Reprogramada · No disponibilidad de horas hombre del funcionario SEC por alta carga laboral</v>
      </c>
      <c r="L470" s="48">
        <v>46142</v>
      </c>
      <c r="M470" s="46" t="s">
        <v>461</v>
      </c>
      <c r="N470" s="46" t="s">
        <v>122</v>
      </c>
      <c r="O470" s="46"/>
      <c r="P470" s="46"/>
      <c r="Q470" s="46"/>
    </row>
    <row r="471" spans="1:17" hidden="1" x14ac:dyDescent="0.25">
      <c r="A471" s="47" t="s">
        <v>121</v>
      </c>
      <c r="B471" s="46" t="str">
        <f>IFERROR(VLOOKUP($A471,Equipos!$C$2:$M$967,2,FALSE()),"")</f>
        <v>Monitor Multiparámetros</v>
      </c>
      <c r="C471" s="46" t="str">
        <f>IFERROR(VLOOKUP($A471,Equipos!$C$2:$M$967,9,FALSE()),"")</f>
        <v>5494254562</v>
      </c>
      <c r="D471" s="46" t="str">
        <f>IFERROR(VLOOKUP($A471,Equipos!$C$2:$M$967,3,FALSE()),"")</f>
        <v>UPC Adulto</v>
      </c>
      <c r="E471" s="46" t="str">
        <f>IFERROR(VLOOKUP($A471,Equipos!$C$2:$M$967,7,FALSE()),"")</f>
        <v xml:space="preserve">Drager </v>
      </c>
      <c r="F471" s="46" t="str">
        <f>IFERROR(VLOOKUP($A471,Equipos!$C$2:$M$967,8,FALSE()),"")</f>
        <v xml:space="preserve">Infinity Kappa </v>
      </c>
      <c r="G471" s="46" t="s">
        <v>298</v>
      </c>
      <c r="H471" s="46" t="s">
        <v>460</v>
      </c>
      <c r="I471" s="46"/>
      <c r="J471" s="46" t="s">
        <v>297</v>
      </c>
      <c r="K471" s="46" t="str">
        <f>IFERROR(VLOOKUP($J471,Catálogos!$M$4:$N$17,2,FALSE()),"")</f>
        <v>Mantención Preventiva Realizada</v>
      </c>
      <c r="L471" s="48">
        <v>46170</v>
      </c>
      <c r="M471" s="46" t="s">
        <v>461</v>
      </c>
      <c r="N471" s="46" t="s">
        <v>122</v>
      </c>
      <c r="O471" s="46"/>
      <c r="P471" s="46"/>
      <c r="Q471" s="46"/>
    </row>
    <row r="472" spans="1:17" hidden="1" x14ac:dyDescent="0.25">
      <c r="A472" s="47" t="s">
        <v>131</v>
      </c>
      <c r="B472" s="46" t="str">
        <f>IFERROR(VLOOKUP($A472,Equipos!$C$2:$M$967,2,FALSE()),"")</f>
        <v>Monitor Multiparámetros</v>
      </c>
      <c r="C472" s="46" t="str">
        <f>IFERROR(VLOOKUP($A472,Equipos!$C$2:$M$967,9,FALSE()),"")</f>
        <v>5494252457</v>
      </c>
      <c r="D472" s="46" t="str">
        <f>IFERROR(VLOOKUP($A472,Equipos!$C$2:$M$967,3,FALSE()),"")</f>
        <v>UPC Adulto</v>
      </c>
      <c r="E472" s="46" t="str">
        <f>IFERROR(VLOOKUP($A472,Equipos!$C$2:$M$967,7,FALSE()),"")</f>
        <v xml:space="preserve">Drager </v>
      </c>
      <c r="F472" s="46" t="str">
        <f>IFERROR(VLOOKUP($A472,Equipos!$C$2:$M$967,8,FALSE()),"")</f>
        <v xml:space="preserve">Infinity Kappa </v>
      </c>
      <c r="G472" s="46" t="s">
        <v>331</v>
      </c>
      <c r="H472" s="46" t="s">
        <v>460</v>
      </c>
      <c r="I472" s="46"/>
      <c r="J472" s="46" t="s">
        <v>323</v>
      </c>
      <c r="K472" s="46" t="str">
        <f>IFERROR(VLOOKUP($J472,Catálogos!$M$4:$N$17,2,FALSE()),"")</f>
        <v>Reprogramada · No disponibilidad de horas hombre del funcionario SEC por alta carga laboral</v>
      </c>
      <c r="L472" s="48">
        <v>46142</v>
      </c>
      <c r="M472" s="46" t="s">
        <v>461</v>
      </c>
      <c r="N472" s="46" t="s">
        <v>122</v>
      </c>
      <c r="O472" s="46"/>
      <c r="P472" s="46"/>
      <c r="Q472" s="46"/>
    </row>
    <row r="473" spans="1:17" hidden="1" x14ac:dyDescent="0.25">
      <c r="A473" s="47" t="s">
        <v>131</v>
      </c>
      <c r="B473" s="46" t="str">
        <f>IFERROR(VLOOKUP($A473,Equipos!$C$2:$M$967,2,FALSE()),"")</f>
        <v>Monitor Multiparámetros</v>
      </c>
      <c r="C473" s="46" t="str">
        <f>IFERROR(VLOOKUP($A473,Equipos!$C$2:$M$967,9,FALSE()),"")</f>
        <v>5494252457</v>
      </c>
      <c r="D473" s="46" t="str">
        <f>IFERROR(VLOOKUP($A473,Equipos!$C$2:$M$967,3,FALSE()),"")</f>
        <v>UPC Adulto</v>
      </c>
      <c r="E473" s="46" t="str">
        <f>IFERROR(VLOOKUP($A473,Equipos!$C$2:$M$967,7,FALSE()),"")</f>
        <v xml:space="preserve">Drager </v>
      </c>
      <c r="F473" s="46" t="str">
        <f>IFERROR(VLOOKUP($A473,Equipos!$C$2:$M$967,8,FALSE()),"")</f>
        <v xml:space="preserve">Infinity Kappa </v>
      </c>
      <c r="G473" s="46" t="s">
        <v>298</v>
      </c>
      <c r="H473" s="46"/>
      <c r="I473" s="46"/>
      <c r="J473" s="46" t="s">
        <v>297</v>
      </c>
      <c r="K473" s="46" t="str">
        <f>IFERROR(VLOOKUP($J473,Catálogos!$M$4:$N$17,2,FALSE()),"")</f>
        <v>Mantención Preventiva Realizada</v>
      </c>
      <c r="L473" s="46"/>
      <c r="M473" s="46"/>
      <c r="N473" s="46"/>
      <c r="O473" s="46"/>
      <c r="P473" s="46"/>
      <c r="Q473" s="46"/>
    </row>
    <row r="474" spans="1:17" hidden="1" x14ac:dyDescent="0.25">
      <c r="A474" s="47" t="s">
        <v>569</v>
      </c>
      <c r="B474" s="46" t="str">
        <f>IFERROR(VLOOKUP($A474,Equipos!$C$2:$M$967,2,FALSE()),"")</f>
        <v>Monitor Multiparámetros</v>
      </c>
      <c r="C474" s="46" t="str">
        <f>IFERROR(VLOOKUP($A474,Equipos!$C$2:$M$967,9,FALSE()),"")</f>
        <v>5494254161</v>
      </c>
      <c r="D474" s="46" t="str">
        <f>IFERROR(VLOOKUP($A474,Equipos!$C$2:$M$967,3,FALSE()),"")</f>
        <v>UPC Adulto</v>
      </c>
      <c r="E474" s="46" t="str">
        <f>IFERROR(VLOOKUP($A474,Equipos!$C$2:$M$967,7,FALSE()),"")</f>
        <v xml:space="preserve">Drager </v>
      </c>
      <c r="F474" s="46" t="str">
        <f>IFERROR(VLOOKUP($A474,Equipos!$C$2:$M$967,8,FALSE()),"")</f>
        <v xml:space="preserve">Infinity Kappa </v>
      </c>
      <c r="G474" s="46" t="s">
        <v>331</v>
      </c>
      <c r="H474" s="46"/>
      <c r="I474" s="46"/>
      <c r="J474" s="46" t="s">
        <v>278</v>
      </c>
      <c r="K474" s="46" t="str">
        <f>IFERROR(VLOOKUP($J474,Catálogos!$M$4:$N$17,2,FALSE()),"")</f>
        <v>Reprogramada · Equipo en servicio técnico</v>
      </c>
      <c r="L474" s="46"/>
      <c r="M474" s="46"/>
      <c r="N474" s="46"/>
      <c r="O474" s="46"/>
      <c r="P474" s="46"/>
      <c r="Q474" s="46"/>
    </row>
    <row r="475" spans="1:17" hidden="1" x14ac:dyDescent="0.25">
      <c r="A475" s="47" t="s">
        <v>570</v>
      </c>
      <c r="B475" s="46" t="str">
        <f>IFERROR(VLOOKUP($A475,Equipos!$C$2:$M$967,2,FALSE()),"")</f>
        <v>Monitor Multiparámetros</v>
      </c>
      <c r="C475" s="46" t="str">
        <f>IFERROR(VLOOKUP($A475,Equipos!$C$2:$M$967,9,FALSE()),"")</f>
        <v>5494254259</v>
      </c>
      <c r="D475" s="46" t="str">
        <f>IFERROR(VLOOKUP($A475,Equipos!$C$2:$M$967,3,FALSE()),"")</f>
        <v>UPC Adulto</v>
      </c>
      <c r="E475" s="46" t="str">
        <f>IFERROR(VLOOKUP($A475,Equipos!$C$2:$M$967,7,FALSE()),"")</f>
        <v xml:space="preserve">Drager </v>
      </c>
      <c r="F475" s="46" t="str">
        <f>IFERROR(VLOOKUP($A475,Equipos!$C$2:$M$967,8,FALSE()),"")</f>
        <v xml:space="preserve">Infinity Kappa </v>
      </c>
      <c r="G475" s="46" t="s">
        <v>298</v>
      </c>
      <c r="H475" s="46"/>
      <c r="I475" s="46"/>
      <c r="J475" s="46" t="s">
        <v>297</v>
      </c>
      <c r="K475" s="46" t="str">
        <f>IFERROR(VLOOKUP($J475,Catálogos!$M$4:$N$17,2,FALSE()),"")</f>
        <v>Mantención Preventiva Realizada</v>
      </c>
      <c r="L475" s="46"/>
      <c r="M475" s="46"/>
      <c r="N475" s="46"/>
      <c r="O475" s="46"/>
      <c r="P475" s="46"/>
      <c r="Q475" s="46"/>
    </row>
    <row r="476" spans="1:17" hidden="1" x14ac:dyDescent="0.25">
      <c r="A476" s="47" t="s">
        <v>571</v>
      </c>
      <c r="B476" s="46" t="str">
        <f>IFERROR(VLOOKUP($A476,Equipos!$C$2:$M$967,2,FALSE()),"")</f>
        <v>Monitor Multiparámetros</v>
      </c>
      <c r="C476" s="46" t="str">
        <f>IFERROR(VLOOKUP($A476,Equipos!$C$2:$M$967,9,FALSE()),"")</f>
        <v>5494264756</v>
      </c>
      <c r="D476" s="46" t="str">
        <f>IFERROR(VLOOKUP($A476,Equipos!$C$2:$M$967,3,FALSE()),"")</f>
        <v>UPC Adulto</v>
      </c>
      <c r="E476" s="46" t="str">
        <f>IFERROR(VLOOKUP($A476,Equipos!$C$2:$M$967,7,FALSE()),"")</f>
        <v xml:space="preserve">Drager </v>
      </c>
      <c r="F476" s="46" t="str">
        <f>IFERROR(VLOOKUP($A476,Equipos!$C$2:$M$967,8,FALSE()),"")</f>
        <v xml:space="preserve">Infinity Kappa </v>
      </c>
      <c r="G476" s="46" t="s">
        <v>298</v>
      </c>
      <c r="H476" s="46"/>
      <c r="I476" s="46"/>
      <c r="J476" s="46" t="s">
        <v>297</v>
      </c>
      <c r="K476" s="46" t="str">
        <f>IFERROR(VLOOKUP($J476,Catálogos!$M$4:$N$17,2,FALSE()),"")</f>
        <v>Mantención Preventiva Realizada</v>
      </c>
      <c r="L476" s="46"/>
      <c r="M476" s="46"/>
      <c r="N476" s="46"/>
      <c r="O476" s="46"/>
      <c r="P476" s="46"/>
      <c r="Q476" s="46"/>
    </row>
    <row r="477" spans="1:17" hidden="1" x14ac:dyDescent="0.25">
      <c r="A477" s="47" t="s">
        <v>572</v>
      </c>
      <c r="B477" s="46" t="str">
        <f>IFERROR(VLOOKUP($A477,Equipos!$C$2:$M$967,2,FALSE()),"")</f>
        <v>Monitor Multiparámetros</v>
      </c>
      <c r="C477" s="46" t="str">
        <f>IFERROR(VLOOKUP($A477,Equipos!$C$2:$M$967,9,FALSE()),"")</f>
        <v>5494268852</v>
      </c>
      <c r="D477" s="46" t="str">
        <f>IFERROR(VLOOKUP($A477,Equipos!$C$2:$M$967,3,FALSE()),"")</f>
        <v>UPC Adulto</v>
      </c>
      <c r="E477" s="46" t="str">
        <f>IFERROR(VLOOKUP($A477,Equipos!$C$2:$M$967,7,FALSE()),"")</f>
        <v xml:space="preserve">Drager </v>
      </c>
      <c r="F477" s="46" t="str">
        <f>IFERROR(VLOOKUP($A477,Equipos!$C$2:$M$967,8,FALSE()),"")</f>
        <v xml:space="preserve">Infinity Kappa </v>
      </c>
      <c r="G477" s="46" t="s">
        <v>298</v>
      </c>
      <c r="H477" s="46"/>
      <c r="I477" s="46"/>
      <c r="J477" s="46" t="s">
        <v>297</v>
      </c>
      <c r="K477" s="46" t="str">
        <f>IFERROR(VLOOKUP($J477,Catálogos!$M$4:$N$17,2,FALSE()),"")</f>
        <v>Mantención Preventiva Realizada</v>
      </c>
      <c r="L477" s="46"/>
      <c r="M477" s="46"/>
      <c r="N477" s="46"/>
      <c r="O477" s="46"/>
      <c r="P477" s="46"/>
      <c r="Q477" s="46"/>
    </row>
    <row r="478" spans="1:17" hidden="1" x14ac:dyDescent="0.25">
      <c r="A478" s="47" t="s">
        <v>573</v>
      </c>
      <c r="B478" s="46" t="str">
        <f>IFERROR(VLOOKUP($A478,Equipos!$C$2:$M$967,2,FALSE()),"")</f>
        <v>Monitor Multiparámetros</v>
      </c>
      <c r="C478" s="46" t="str">
        <f>IFERROR(VLOOKUP($A478,Equipos!$C$2:$M$967,9,FALSE()),"")</f>
        <v>5494252564</v>
      </c>
      <c r="D478" s="46" t="str">
        <f>IFERROR(VLOOKUP($A478,Equipos!$C$2:$M$967,3,FALSE()),"")</f>
        <v>UPC Adulto</v>
      </c>
      <c r="E478" s="46" t="str">
        <f>IFERROR(VLOOKUP($A478,Equipos!$C$2:$M$967,7,FALSE()),"")</f>
        <v xml:space="preserve">Drager </v>
      </c>
      <c r="F478" s="46" t="str">
        <f>IFERROR(VLOOKUP($A478,Equipos!$C$2:$M$967,8,FALSE()),"")</f>
        <v xml:space="preserve">Infinity Kappa </v>
      </c>
      <c r="G478" s="46" t="s">
        <v>298</v>
      </c>
      <c r="H478" s="46"/>
      <c r="I478" s="46"/>
      <c r="J478" s="46" t="s">
        <v>297</v>
      </c>
      <c r="K478" s="46" t="str">
        <f>IFERROR(VLOOKUP($J478,Catálogos!$M$4:$N$17,2,FALSE()),"")</f>
        <v>Mantención Preventiva Realizada</v>
      </c>
      <c r="L478" s="46"/>
      <c r="M478" s="46"/>
      <c r="N478" s="46"/>
      <c r="O478" s="46"/>
      <c r="P478" s="46"/>
      <c r="Q478" s="46"/>
    </row>
    <row r="479" spans="1:17" hidden="1" x14ac:dyDescent="0.25">
      <c r="A479" s="47" t="s">
        <v>574</v>
      </c>
      <c r="B479" s="46" t="str">
        <f>IFERROR(VLOOKUP($A479,Equipos!$C$2:$M$967,2,FALSE()),"")</f>
        <v>Monitor Multiparámetros</v>
      </c>
      <c r="C479" s="46" t="str">
        <f>IFERROR(VLOOKUP($A479,Equipos!$C$2:$M$967,9,FALSE()),"")</f>
        <v>5494265657</v>
      </c>
      <c r="D479" s="46" t="str">
        <f>IFERROR(VLOOKUP($A479,Equipos!$C$2:$M$967,3,FALSE()),"")</f>
        <v>UPC Adulto</v>
      </c>
      <c r="E479" s="46" t="str">
        <f>IFERROR(VLOOKUP($A479,Equipos!$C$2:$M$967,7,FALSE()),"")</f>
        <v xml:space="preserve">Drager </v>
      </c>
      <c r="F479" s="46" t="str">
        <f>IFERROR(VLOOKUP($A479,Equipos!$C$2:$M$967,8,FALSE()),"")</f>
        <v xml:space="preserve">Infinity Kappa </v>
      </c>
      <c r="G479" s="46" t="s">
        <v>298</v>
      </c>
      <c r="H479" s="46"/>
      <c r="I479" s="46"/>
      <c r="J479" s="46" t="s">
        <v>297</v>
      </c>
      <c r="K479" s="46" t="str">
        <f>IFERROR(VLOOKUP($J479,Catálogos!$M$4:$N$17,2,FALSE()),"")</f>
        <v>Mantención Preventiva Realizada</v>
      </c>
      <c r="L479" s="46"/>
      <c r="M479" s="46"/>
      <c r="N479" s="46"/>
      <c r="O479" s="46"/>
      <c r="P479" s="46"/>
      <c r="Q479" s="46"/>
    </row>
    <row r="480" spans="1:17" hidden="1" x14ac:dyDescent="0.25">
      <c r="A480" s="47" t="s">
        <v>575</v>
      </c>
      <c r="B480" s="46" t="str">
        <f>IFERROR(VLOOKUP($A480,Equipos!$C$2:$M$967,2,FALSE()),"")</f>
        <v>Monitor Multiparámetros</v>
      </c>
      <c r="C480" s="46" t="str">
        <f>IFERROR(VLOOKUP($A480,Equipos!$C$2:$M$967,9,FALSE()),"")</f>
        <v>5494255757</v>
      </c>
      <c r="D480" s="46" t="str">
        <f>IFERROR(VLOOKUP($A480,Equipos!$C$2:$M$967,3,FALSE()),"")</f>
        <v>UPC Adulto</v>
      </c>
      <c r="E480" s="46" t="str">
        <f>IFERROR(VLOOKUP($A480,Equipos!$C$2:$M$967,7,FALSE()),"")</f>
        <v xml:space="preserve">Drager </v>
      </c>
      <c r="F480" s="46" t="str">
        <f>IFERROR(VLOOKUP($A480,Equipos!$C$2:$M$967,8,FALSE()),"")</f>
        <v xml:space="preserve">Infinity Kappa </v>
      </c>
      <c r="G480" s="46" t="s">
        <v>298</v>
      </c>
      <c r="H480" s="46"/>
      <c r="I480" s="46"/>
      <c r="J480" s="46" t="s">
        <v>297</v>
      </c>
      <c r="K480" s="46" t="str">
        <f>IFERROR(VLOOKUP($J480,Catálogos!$M$4:$N$17,2,FALSE()),"")</f>
        <v>Mantención Preventiva Realizada</v>
      </c>
      <c r="L480" s="46"/>
      <c r="M480" s="46"/>
      <c r="N480" s="46"/>
      <c r="O480" s="46"/>
      <c r="P480" s="46"/>
      <c r="Q480" s="46"/>
    </row>
    <row r="481" spans="1:17" hidden="1" x14ac:dyDescent="0.25">
      <c r="A481" s="47" t="s">
        <v>576</v>
      </c>
      <c r="B481" s="46" t="str">
        <f>IFERROR(VLOOKUP($A481,Equipos!$C$2:$M$967,2,FALSE()),"")</f>
        <v>Monitor Multiparámetros</v>
      </c>
      <c r="C481" s="46" t="str">
        <f>IFERROR(VLOOKUP($A481,Equipos!$C$2:$M$967,9,FALSE()),"")</f>
        <v>5494255659</v>
      </c>
      <c r="D481" s="46" t="str">
        <f>IFERROR(VLOOKUP($A481,Equipos!$C$2:$M$967,3,FALSE()),"")</f>
        <v>UPC Adulto</v>
      </c>
      <c r="E481" s="46" t="str">
        <f>IFERROR(VLOOKUP($A481,Equipos!$C$2:$M$967,7,FALSE()),"")</f>
        <v xml:space="preserve">Drager </v>
      </c>
      <c r="F481" s="46" t="str">
        <f>IFERROR(VLOOKUP($A481,Equipos!$C$2:$M$967,8,FALSE()),"")</f>
        <v xml:space="preserve">Infinity Kappa </v>
      </c>
      <c r="G481" s="46" t="s">
        <v>298</v>
      </c>
      <c r="H481" s="46"/>
      <c r="I481" s="46"/>
      <c r="J481" s="46" t="s">
        <v>297</v>
      </c>
      <c r="K481" s="46" t="str">
        <f>IFERROR(VLOOKUP($J481,Catálogos!$M$4:$N$17,2,FALSE()),"")</f>
        <v>Mantención Preventiva Realizada</v>
      </c>
      <c r="L481" s="46"/>
      <c r="M481" s="46"/>
      <c r="N481" s="46"/>
      <c r="O481" s="46"/>
      <c r="P481" s="46"/>
      <c r="Q481" s="46"/>
    </row>
    <row r="482" spans="1:17" hidden="1" x14ac:dyDescent="0.25">
      <c r="A482" s="47" t="s">
        <v>577</v>
      </c>
      <c r="B482" s="46" t="str">
        <f>IFERROR(VLOOKUP($A482,Equipos!$C$2:$M$967,2,FALSE()),"")</f>
        <v>Monitor Multiparámetros</v>
      </c>
      <c r="C482" s="46" t="str">
        <f>IFERROR(VLOOKUP($A482,Equipos!$C$2:$M$967,9,FALSE()),"")</f>
        <v>5494275254</v>
      </c>
      <c r="D482" s="46" t="str">
        <f>IFERROR(VLOOKUP($A482,Equipos!$C$2:$M$967,3,FALSE()),"")</f>
        <v>UPC Adulto</v>
      </c>
      <c r="E482" s="46" t="str">
        <f>IFERROR(VLOOKUP($A482,Equipos!$C$2:$M$967,7,FALSE()),"")</f>
        <v xml:space="preserve">Drager </v>
      </c>
      <c r="F482" s="46" t="str">
        <f>IFERROR(VLOOKUP($A482,Equipos!$C$2:$M$967,8,FALSE()),"")</f>
        <v xml:space="preserve">Infinity Kappa </v>
      </c>
      <c r="G482" s="46" t="s">
        <v>298</v>
      </c>
      <c r="H482" s="46"/>
      <c r="I482" s="46"/>
      <c r="J482" s="46" t="s">
        <v>297</v>
      </c>
      <c r="K482" s="46" t="str">
        <f>IFERROR(VLOOKUP($J482,Catálogos!$M$4:$N$17,2,FALSE()),"")</f>
        <v>Mantención Preventiva Realizada</v>
      </c>
      <c r="L482" s="46"/>
      <c r="M482" s="46"/>
      <c r="N482" s="46"/>
      <c r="O482" s="46"/>
      <c r="P482" s="46"/>
      <c r="Q482" s="46"/>
    </row>
    <row r="483" spans="1:17" hidden="1" x14ac:dyDescent="0.25">
      <c r="A483" s="47" t="s">
        <v>578</v>
      </c>
      <c r="B483" s="46" t="str">
        <f>IFERROR(VLOOKUP($A483,Equipos!$C$2:$M$967,2,FALSE()),"")</f>
        <v>Monitor Multiparámetros</v>
      </c>
      <c r="C483" s="46" t="str">
        <f>IFERROR(VLOOKUP($A483,Equipos!$C$2:$M$967,9,FALSE()),"")</f>
        <v>5494264854</v>
      </c>
      <c r="D483" s="46" t="str">
        <f>IFERROR(VLOOKUP($A483,Equipos!$C$2:$M$967,3,FALSE()),"")</f>
        <v>UPC Adulto</v>
      </c>
      <c r="E483" s="46" t="str">
        <f>IFERROR(VLOOKUP($A483,Equipos!$C$2:$M$967,7,FALSE()),"")</f>
        <v xml:space="preserve">Drager </v>
      </c>
      <c r="F483" s="46" t="str">
        <f>IFERROR(VLOOKUP($A483,Equipos!$C$2:$M$967,8,FALSE()),"")</f>
        <v xml:space="preserve">Infinity Kappa </v>
      </c>
      <c r="G483" s="46" t="s">
        <v>331</v>
      </c>
      <c r="H483" s="46"/>
      <c r="I483" s="46"/>
      <c r="J483" s="46" t="s">
        <v>297</v>
      </c>
      <c r="K483" s="46" t="str">
        <f>IFERROR(VLOOKUP($J483,Catálogos!$M$4:$N$17,2,FALSE()),"")</f>
        <v>Mantención Preventiva Realizada</v>
      </c>
      <c r="L483" s="46"/>
      <c r="M483" s="46"/>
      <c r="N483" s="46"/>
      <c r="O483" s="46"/>
      <c r="P483" s="46"/>
      <c r="Q483" s="46"/>
    </row>
    <row r="484" spans="1:17" hidden="1" x14ac:dyDescent="0.25">
      <c r="A484" s="47" t="s">
        <v>579</v>
      </c>
      <c r="B484" s="46" t="str">
        <f>IFERROR(VLOOKUP($A484,Equipos!$C$2:$M$967,2,FALSE()),"")</f>
        <v>Monitor Multiparámetros</v>
      </c>
      <c r="C484" s="46" t="str">
        <f>IFERROR(VLOOKUP($A484,Equipos!$C$2:$M$967,9,FALSE()),"")</f>
        <v>6000543675</v>
      </c>
      <c r="D484" s="46" t="str">
        <f>IFERROR(VLOOKUP($A484,Equipos!$C$2:$M$967,3,FALSE()),"")</f>
        <v>Urgencia Adulto (Prestado a Pediatría)</v>
      </c>
      <c r="E484" s="46" t="str">
        <f>IFERROR(VLOOKUP($A484,Equipos!$C$2:$M$967,7,FALSE()),"")</f>
        <v xml:space="preserve">Drager </v>
      </c>
      <c r="F484" s="46" t="str">
        <f>IFERROR(VLOOKUP($A484,Equipos!$C$2:$M$967,8,FALSE()),"")</f>
        <v xml:space="preserve">Infinity Vista XL </v>
      </c>
      <c r="G484" s="46" t="s">
        <v>296</v>
      </c>
      <c r="H484" s="46"/>
      <c r="I484" s="46"/>
      <c r="J484" s="46" t="s">
        <v>323</v>
      </c>
      <c r="K484" s="46" t="str">
        <f>IFERROR(VLOOKUP($J484,Catálogos!$M$4:$N$17,2,FALSE()),"")</f>
        <v>Reprogramada · No disponibilidad de horas hombre del funcionario SEC por alta carga laboral</v>
      </c>
      <c r="L484" s="46"/>
      <c r="M484" s="46"/>
      <c r="N484" s="46"/>
      <c r="O484" s="46"/>
      <c r="P484" s="46"/>
      <c r="Q484" s="46"/>
    </row>
    <row r="485" spans="1:17" hidden="1" x14ac:dyDescent="0.25">
      <c r="A485" s="47" t="s">
        <v>579</v>
      </c>
      <c r="B485" s="46" t="str">
        <f>IFERROR(VLOOKUP($A485,Equipos!$C$2:$M$967,2,FALSE()),"")</f>
        <v>Monitor Multiparámetros</v>
      </c>
      <c r="C485" s="46" t="str">
        <f>IFERROR(VLOOKUP($A485,Equipos!$C$2:$M$967,9,FALSE()),"")</f>
        <v>6000543675</v>
      </c>
      <c r="D485" s="46" t="str">
        <f>IFERROR(VLOOKUP($A485,Equipos!$C$2:$M$967,3,FALSE()),"")</f>
        <v>Urgencia Adulto (Prestado a Pediatría)</v>
      </c>
      <c r="E485" s="46" t="str">
        <f>IFERROR(VLOOKUP($A485,Equipos!$C$2:$M$967,7,FALSE()),"")</f>
        <v xml:space="preserve">Drager </v>
      </c>
      <c r="F485" s="46" t="str">
        <f>IFERROR(VLOOKUP($A485,Equipos!$C$2:$M$967,8,FALSE()),"")</f>
        <v xml:space="preserve">Infinity Vista XL </v>
      </c>
      <c r="G485" s="46" t="s">
        <v>316</v>
      </c>
      <c r="H485" s="46"/>
      <c r="I485" s="46"/>
      <c r="J485" s="46" t="s">
        <v>297</v>
      </c>
      <c r="K485" s="46" t="str">
        <f>IFERROR(VLOOKUP($J485,Catálogos!$M$4:$N$17,2,FALSE()),"")</f>
        <v>Mantención Preventiva Realizada</v>
      </c>
      <c r="L485" s="46"/>
      <c r="M485" s="46"/>
      <c r="N485" s="46"/>
      <c r="O485" s="46"/>
      <c r="P485" s="46"/>
      <c r="Q485" s="46"/>
    </row>
    <row r="486" spans="1:17" hidden="1" x14ac:dyDescent="0.25">
      <c r="A486" s="47" t="s">
        <v>580</v>
      </c>
      <c r="B486" s="46" t="str">
        <f>IFERROR(VLOOKUP($A486,Equipos!$C$2:$M$967,2,FALSE()),"")</f>
        <v>Monitor Multiparámetros</v>
      </c>
      <c r="C486" s="46" t="str">
        <f>IFERROR(VLOOKUP($A486,Equipos!$C$2:$M$967,9,FALSE()),"")</f>
        <v>5514410774</v>
      </c>
      <c r="D486" s="46" t="str">
        <f>IFERROR(VLOOKUP($A486,Equipos!$C$2:$M$967,3,FALSE()),"")</f>
        <v>UPC Cardiovascular (Prestado a medicina cardiovascular)</v>
      </c>
      <c r="E486" s="46" t="str">
        <f>IFERROR(VLOOKUP($A486,Equipos!$C$2:$M$967,7,FALSE()),"")</f>
        <v xml:space="preserve">Drager </v>
      </c>
      <c r="F486" s="46" t="str">
        <f>IFERROR(VLOOKUP($A486,Equipos!$C$2:$M$967,8,FALSE()),"")</f>
        <v xml:space="preserve">Infinity Vista </v>
      </c>
      <c r="G486" s="46" t="s">
        <v>296</v>
      </c>
      <c r="H486" s="46"/>
      <c r="I486" s="46"/>
      <c r="J486" s="46" t="s">
        <v>323</v>
      </c>
      <c r="K486" s="46" t="str">
        <f>IFERROR(VLOOKUP($J486,Catálogos!$M$4:$N$17,2,FALSE()),"")</f>
        <v>Reprogramada · No disponibilidad de horas hombre del funcionario SEC por alta carga laboral</v>
      </c>
      <c r="L486" s="46"/>
      <c r="M486" s="46"/>
      <c r="N486" s="46"/>
      <c r="O486" s="46"/>
      <c r="P486" s="46"/>
      <c r="Q486" s="46"/>
    </row>
    <row r="487" spans="1:17" hidden="1" x14ac:dyDescent="0.25">
      <c r="A487" s="47" t="s">
        <v>580</v>
      </c>
      <c r="B487" s="46" t="str">
        <f>IFERROR(VLOOKUP($A487,Equipos!$C$2:$M$967,2,FALSE()),"")</f>
        <v>Monitor Multiparámetros</v>
      </c>
      <c r="C487" s="46" t="str">
        <f>IFERROR(VLOOKUP($A487,Equipos!$C$2:$M$967,9,FALSE()),"")</f>
        <v>5514410774</v>
      </c>
      <c r="D487" s="46" t="str">
        <f>IFERROR(VLOOKUP($A487,Equipos!$C$2:$M$967,3,FALSE()),"")</f>
        <v>UPC Cardiovascular (Prestado a medicina cardiovascular)</v>
      </c>
      <c r="E487" s="46" t="str">
        <f>IFERROR(VLOOKUP($A487,Equipos!$C$2:$M$967,7,FALSE()),"")</f>
        <v xml:space="preserve">Drager </v>
      </c>
      <c r="F487" s="46" t="str">
        <f>IFERROR(VLOOKUP($A487,Equipos!$C$2:$M$967,8,FALSE()),"")</f>
        <v xml:space="preserve">Infinity Vista </v>
      </c>
      <c r="G487" s="46" t="s">
        <v>316</v>
      </c>
      <c r="H487" s="46"/>
      <c r="I487" s="46"/>
      <c r="J487" s="46" t="s">
        <v>297</v>
      </c>
      <c r="K487" s="46" t="str">
        <f>IFERROR(VLOOKUP($J487,Catálogos!$M$4:$N$17,2,FALSE()),"")</f>
        <v>Mantención Preventiva Realizada</v>
      </c>
      <c r="L487" s="46"/>
      <c r="M487" s="46"/>
      <c r="N487" s="46"/>
      <c r="O487" s="46"/>
      <c r="P487" s="46"/>
      <c r="Q487" s="46"/>
    </row>
    <row r="488" spans="1:17" hidden="1" x14ac:dyDescent="0.25">
      <c r="A488" s="47" t="s">
        <v>581</v>
      </c>
      <c r="B488" s="46" t="str">
        <f>IFERROR(VLOOKUP($A488,Equipos!$C$2:$M$967,2,FALSE()),"")</f>
        <v>Monitor Multiparámetros</v>
      </c>
      <c r="C488" s="46" t="str">
        <f>IFERROR(VLOOKUP($A488,Equipos!$C$2:$M$967,9,FALSE()),"")</f>
        <v>5494273060</v>
      </c>
      <c r="D488" s="46" t="str">
        <f>IFERROR(VLOOKUP($A488,Equipos!$C$2:$M$967,3,FALSE()),"")</f>
        <v>UPC Cardiovascular</v>
      </c>
      <c r="E488" s="46" t="str">
        <f>IFERROR(VLOOKUP($A488,Equipos!$C$2:$M$967,7,FALSE()),"")</f>
        <v xml:space="preserve">Drager </v>
      </c>
      <c r="F488" s="46" t="str">
        <f>IFERROR(VLOOKUP($A488,Equipos!$C$2:$M$967,8,FALSE()),"")</f>
        <v>Infinity Kappa</v>
      </c>
      <c r="G488" s="46" t="s">
        <v>335</v>
      </c>
      <c r="H488" s="46"/>
      <c r="I488" s="46"/>
      <c r="J488" s="46" t="s">
        <v>315</v>
      </c>
      <c r="K488" s="46" t="str">
        <f>IFERROR(VLOOKUP($J488,Catálogos!$M$4:$N$17,2,FALSE()),"")</f>
        <v>Reprogramada · Ausencia justificada del funcionario SEC superior a 15 días</v>
      </c>
      <c r="L488" s="46"/>
      <c r="M488" s="46"/>
      <c r="N488" s="46"/>
      <c r="O488" s="46"/>
      <c r="P488" s="46"/>
      <c r="Q488" s="46"/>
    </row>
    <row r="489" spans="1:17" hidden="1" x14ac:dyDescent="0.25">
      <c r="A489" s="47" t="s">
        <v>581</v>
      </c>
      <c r="B489" s="46" t="str">
        <f>IFERROR(VLOOKUP($A489,Equipos!$C$2:$M$967,2,FALSE()),"")</f>
        <v>Monitor Multiparámetros</v>
      </c>
      <c r="C489" s="46" t="str">
        <f>IFERROR(VLOOKUP($A489,Equipos!$C$2:$M$967,9,FALSE()),"")</f>
        <v>5494273060</v>
      </c>
      <c r="D489" s="46" t="str">
        <f>IFERROR(VLOOKUP($A489,Equipos!$C$2:$M$967,3,FALSE()),"")</f>
        <v>UPC Cardiovascular</v>
      </c>
      <c r="E489" s="46" t="str">
        <f>IFERROR(VLOOKUP($A489,Equipos!$C$2:$M$967,7,FALSE()),"")</f>
        <v xml:space="preserve">Drager </v>
      </c>
      <c r="F489" s="46" t="str">
        <f>IFERROR(VLOOKUP($A489,Equipos!$C$2:$M$967,8,FALSE()),"")</f>
        <v>Infinity Kappa</v>
      </c>
      <c r="G489" s="46" t="s">
        <v>296</v>
      </c>
      <c r="H489" s="46"/>
      <c r="I489" s="46"/>
      <c r="J489" s="46" t="s">
        <v>297</v>
      </c>
      <c r="K489" s="46" t="str">
        <f>IFERROR(VLOOKUP($J489,Catálogos!$M$4:$N$17,2,FALSE()),"")</f>
        <v>Mantención Preventiva Realizada</v>
      </c>
      <c r="L489" s="46"/>
      <c r="M489" s="46"/>
      <c r="N489" s="46"/>
      <c r="O489" s="46"/>
      <c r="P489" s="46"/>
      <c r="Q489" s="46"/>
    </row>
    <row r="490" spans="1:17" hidden="1" x14ac:dyDescent="0.25">
      <c r="A490" s="47" t="s">
        <v>582</v>
      </c>
      <c r="B490" s="46" t="str">
        <f>IFERROR(VLOOKUP($A490,Equipos!$C$2:$M$967,2,FALSE()),"")</f>
        <v>Monitor Multiparámetros</v>
      </c>
      <c r="C490" s="46" t="str">
        <f>IFERROR(VLOOKUP($A490,Equipos!$C$2:$M$967,9,FALSE()),"")</f>
        <v>5494308255</v>
      </c>
      <c r="D490" s="46" t="str">
        <f>IFERROR(VLOOKUP($A490,Equipos!$C$2:$M$967,3,FALSE()),"")</f>
        <v>UPC Cardiovascular</v>
      </c>
      <c r="E490" s="46" t="str">
        <f>IFERROR(VLOOKUP($A490,Equipos!$C$2:$M$967,7,FALSE()),"")</f>
        <v xml:space="preserve">Drager </v>
      </c>
      <c r="F490" s="46" t="str">
        <f>IFERROR(VLOOKUP($A490,Equipos!$C$2:$M$967,8,FALSE()),"")</f>
        <v>Infinity Kappa</v>
      </c>
      <c r="G490" s="46" t="s">
        <v>335</v>
      </c>
      <c r="H490" s="46"/>
      <c r="I490" s="46"/>
      <c r="J490" s="46" t="s">
        <v>315</v>
      </c>
      <c r="K490" s="46" t="str">
        <f>IFERROR(VLOOKUP($J490,Catálogos!$M$4:$N$17,2,FALSE()),"")</f>
        <v>Reprogramada · Ausencia justificada del funcionario SEC superior a 15 días</v>
      </c>
      <c r="L490" s="46"/>
      <c r="M490" s="46"/>
      <c r="N490" s="46"/>
      <c r="O490" s="46"/>
      <c r="P490" s="46"/>
      <c r="Q490" s="46"/>
    </row>
    <row r="491" spans="1:17" hidden="1" x14ac:dyDescent="0.25">
      <c r="A491" s="47" t="s">
        <v>582</v>
      </c>
      <c r="B491" s="46" t="str">
        <f>IFERROR(VLOOKUP($A491,Equipos!$C$2:$M$967,2,FALSE()),"")</f>
        <v>Monitor Multiparámetros</v>
      </c>
      <c r="C491" s="46" t="str">
        <f>IFERROR(VLOOKUP($A491,Equipos!$C$2:$M$967,9,FALSE()),"")</f>
        <v>5494308255</v>
      </c>
      <c r="D491" s="46" t="str">
        <f>IFERROR(VLOOKUP($A491,Equipos!$C$2:$M$967,3,FALSE()),"")</f>
        <v>UPC Cardiovascular</v>
      </c>
      <c r="E491" s="46" t="str">
        <f>IFERROR(VLOOKUP($A491,Equipos!$C$2:$M$967,7,FALSE()),"")</f>
        <v xml:space="preserve">Drager </v>
      </c>
      <c r="F491" s="46" t="str">
        <f>IFERROR(VLOOKUP($A491,Equipos!$C$2:$M$967,8,FALSE()),"")</f>
        <v>Infinity Kappa</v>
      </c>
      <c r="G491" s="46" t="s">
        <v>296</v>
      </c>
      <c r="H491" s="46"/>
      <c r="I491" s="46"/>
      <c r="J491" s="46" t="s">
        <v>297</v>
      </c>
      <c r="K491" s="46" t="str">
        <f>IFERROR(VLOOKUP($J491,Catálogos!$M$4:$N$17,2,FALSE()),"")</f>
        <v>Mantención Preventiva Realizada</v>
      </c>
      <c r="L491" s="46"/>
      <c r="M491" s="46"/>
      <c r="N491" s="46"/>
      <c r="O491" s="46"/>
      <c r="P491" s="46"/>
      <c r="Q491" s="46"/>
    </row>
    <row r="492" spans="1:17" hidden="1" x14ac:dyDescent="0.25">
      <c r="A492" s="47" t="s">
        <v>583</v>
      </c>
      <c r="B492" s="46" t="str">
        <f>IFERROR(VLOOKUP($A492,Equipos!$C$2:$M$967,2,FALSE()),"")</f>
        <v>Monitor Multiparámetros</v>
      </c>
      <c r="C492" s="46" t="str">
        <f>IFERROR(VLOOKUP($A492,Equipos!$C$2:$M$967,9,FALSE()),"")</f>
        <v>5494307158</v>
      </c>
      <c r="D492" s="46" t="str">
        <f>IFERROR(VLOOKUP($A492,Equipos!$C$2:$M$967,3,FALSE()),"")</f>
        <v>UPC Cardiovascular</v>
      </c>
      <c r="E492" s="46" t="str">
        <f>IFERROR(VLOOKUP($A492,Equipos!$C$2:$M$967,7,FALSE()),"")</f>
        <v xml:space="preserve">Drager </v>
      </c>
      <c r="F492" s="46" t="str">
        <f>IFERROR(VLOOKUP($A492,Equipos!$C$2:$M$967,8,FALSE()),"")</f>
        <v>Infinity Kappa</v>
      </c>
      <c r="G492" s="46" t="s">
        <v>335</v>
      </c>
      <c r="H492" s="46"/>
      <c r="I492" s="46"/>
      <c r="J492" s="46" t="s">
        <v>315</v>
      </c>
      <c r="K492" s="46" t="str">
        <f>IFERROR(VLOOKUP($J492,Catálogos!$M$4:$N$17,2,FALSE()),"")</f>
        <v>Reprogramada · Ausencia justificada del funcionario SEC superior a 15 días</v>
      </c>
      <c r="L492" s="46"/>
      <c r="M492" s="46"/>
      <c r="N492" s="46"/>
      <c r="O492" s="46"/>
      <c r="P492" s="46"/>
      <c r="Q492" s="46"/>
    </row>
    <row r="493" spans="1:17" hidden="1" x14ac:dyDescent="0.25">
      <c r="A493" s="47" t="s">
        <v>583</v>
      </c>
      <c r="B493" s="46" t="str">
        <f>IFERROR(VLOOKUP($A493,Equipos!$C$2:$M$967,2,FALSE()),"")</f>
        <v>Monitor Multiparámetros</v>
      </c>
      <c r="C493" s="46" t="str">
        <f>IFERROR(VLOOKUP($A493,Equipos!$C$2:$M$967,9,FALSE()),"")</f>
        <v>5494307158</v>
      </c>
      <c r="D493" s="46" t="str">
        <f>IFERROR(VLOOKUP($A493,Equipos!$C$2:$M$967,3,FALSE()),"")</f>
        <v>UPC Cardiovascular</v>
      </c>
      <c r="E493" s="46" t="str">
        <f>IFERROR(VLOOKUP($A493,Equipos!$C$2:$M$967,7,FALSE()),"")</f>
        <v xml:space="preserve">Drager </v>
      </c>
      <c r="F493" s="46" t="str">
        <f>IFERROR(VLOOKUP($A493,Equipos!$C$2:$M$967,8,FALSE()),"")</f>
        <v>Infinity Kappa</v>
      </c>
      <c r="G493" s="46" t="s">
        <v>296</v>
      </c>
      <c r="H493" s="46"/>
      <c r="I493" s="46"/>
      <c r="J493" s="46" t="s">
        <v>297</v>
      </c>
      <c r="K493" s="46" t="str">
        <f>IFERROR(VLOOKUP($J493,Catálogos!$M$4:$N$17,2,FALSE()),"")</f>
        <v>Mantención Preventiva Realizada</v>
      </c>
      <c r="L493" s="46"/>
      <c r="M493" s="46"/>
      <c r="N493" s="46"/>
      <c r="O493" s="46"/>
      <c r="P493" s="46"/>
      <c r="Q493" s="46"/>
    </row>
    <row r="494" spans="1:17" hidden="1" x14ac:dyDescent="0.25">
      <c r="A494" s="47" t="s">
        <v>584</v>
      </c>
      <c r="B494" s="46" t="str">
        <f>IFERROR(VLOOKUP($A494,Equipos!$C$2:$M$967,2,FALSE()),"")</f>
        <v>Monitor Multiparámetros</v>
      </c>
      <c r="C494" s="46" t="str">
        <f>IFERROR(VLOOKUP($A494,Equipos!$C$2:$M$967,9,FALSE()),"")</f>
        <v>5494307853</v>
      </c>
      <c r="D494" s="46" t="str">
        <f>IFERROR(VLOOKUP($A494,Equipos!$C$2:$M$967,3,FALSE()),"")</f>
        <v>UPC Cardiovascular</v>
      </c>
      <c r="E494" s="46" t="str">
        <f>IFERROR(VLOOKUP($A494,Equipos!$C$2:$M$967,7,FALSE()),"")</f>
        <v xml:space="preserve">Drager </v>
      </c>
      <c r="F494" s="46" t="str">
        <f>IFERROR(VLOOKUP($A494,Equipos!$C$2:$M$967,8,FALSE()),"")</f>
        <v>Infinity Kappa</v>
      </c>
      <c r="G494" s="46" t="s">
        <v>335</v>
      </c>
      <c r="H494" s="46"/>
      <c r="I494" s="46"/>
      <c r="J494" s="46" t="s">
        <v>315</v>
      </c>
      <c r="K494" s="46" t="str">
        <f>IFERROR(VLOOKUP($J494,Catálogos!$M$4:$N$17,2,FALSE()),"")</f>
        <v>Reprogramada · Ausencia justificada del funcionario SEC superior a 15 días</v>
      </c>
      <c r="L494" s="46"/>
      <c r="M494" s="46"/>
      <c r="N494" s="46"/>
      <c r="O494" s="46"/>
      <c r="P494" s="46"/>
      <c r="Q494" s="46"/>
    </row>
    <row r="495" spans="1:17" hidden="1" x14ac:dyDescent="0.25">
      <c r="A495" s="47" t="s">
        <v>584</v>
      </c>
      <c r="B495" s="46" t="str">
        <f>IFERROR(VLOOKUP($A495,Equipos!$C$2:$M$967,2,FALSE()),"")</f>
        <v>Monitor Multiparámetros</v>
      </c>
      <c r="C495" s="46" t="str">
        <f>IFERROR(VLOOKUP($A495,Equipos!$C$2:$M$967,9,FALSE()),"")</f>
        <v>5494307853</v>
      </c>
      <c r="D495" s="46" t="str">
        <f>IFERROR(VLOOKUP($A495,Equipos!$C$2:$M$967,3,FALSE()),"")</f>
        <v>UPC Cardiovascular</v>
      </c>
      <c r="E495" s="46" t="str">
        <f>IFERROR(VLOOKUP($A495,Equipos!$C$2:$M$967,7,FALSE()),"")</f>
        <v xml:space="preserve">Drager </v>
      </c>
      <c r="F495" s="46" t="str">
        <f>IFERROR(VLOOKUP($A495,Equipos!$C$2:$M$967,8,FALSE()),"")</f>
        <v>Infinity Kappa</v>
      </c>
      <c r="G495" s="46" t="s">
        <v>296</v>
      </c>
      <c r="H495" s="46"/>
      <c r="I495" s="46"/>
      <c r="J495" s="46" t="s">
        <v>297</v>
      </c>
      <c r="K495" s="46" t="str">
        <f>IFERROR(VLOOKUP($J495,Catálogos!$M$4:$N$17,2,FALSE()),"")</f>
        <v>Mantención Preventiva Realizada</v>
      </c>
      <c r="L495" s="46"/>
      <c r="M495" s="46"/>
      <c r="N495" s="46"/>
      <c r="O495" s="46"/>
      <c r="P495" s="46"/>
      <c r="Q495" s="46"/>
    </row>
    <row r="496" spans="1:17" hidden="1" x14ac:dyDescent="0.25">
      <c r="A496" s="47" t="s">
        <v>585</v>
      </c>
      <c r="B496" s="46" t="str">
        <f>IFERROR(VLOOKUP($A496,Equipos!$C$2:$M$967,2,FALSE()),"")</f>
        <v>Monitor Multiparámetros</v>
      </c>
      <c r="C496" s="46" t="str">
        <f>IFERROR(VLOOKUP($A496,Equipos!$C$2:$M$967,9,FALSE()),"")</f>
        <v>5494278447</v>
      </c>
      <c r="D496" s="46" t="str">
        <f>IFERROR(VLOOKUP($A496,Equipos!$C$2:$M$967,3,FALSE()),"")</f>
        <v>UPC Cardiovascular</v>
      </c>
      <c r="E496" s="46" t="str">
        <f>IFERROR(VLOOKUP($A496,Equipos!$C$2:$M$967,7,FALSE()),"")</f>
        <v xml:space="preserve">Drager </v>
      </c>
      <c r="F496" s="46" t="str">
        <f>IFERROR(VLOOKUP($A496,Equipos!$C$2:$M$967,8,FALSE()),"")</f>
        <v>Infinity Kappa</v>
      </c>
      <c r="G496" s="46" t="s">
        <v>335</v>
      </c>
      <c r="H496" s="46"/>
      <c r="I496" s="46"/>
      <c r="J496" s="46" t="s">
        <v>315</v>
      </c>
      <c r="K496" s="46" t="str">
        <f>IFERROR(VLOOKUP($J496,Catálogos!$M$4:$N$17,2,FALSE()),"")</f>
        <v>Reprogramada · Ausencia justificada del funcionario SEC superior a 15 días</v>
      </c>
      <c r="L496" s="46"/>
      <c r="M496" s="46"/>
      <c r="N496" s="46"/>
      <c r="O496" s="46"/>
      <c r="P496" s="46"/>
      <c r="Q496" s="46"/>
    </row>
    <row r="497" spans="1:17" hidden="1" x14ac:dyDescent="0.25">
      <c r="A497" s="47" t="s">
        <v>585</v>
      </c>
      <c r="B497" s="46" t="str">
        <f>IFERROR(VLOOKUP($A497,Equipos!$C$2:$M$967,2,FALSE()),"")</f>
        <v>Monitor Multiparámetros</v>
      </c>
      <c r="C497" s="46" t="str">
        <f>IFERROR(VLOOKUP($A497,Equipos!$C$2:$M$967,9,FALSE()),"")</f>
        <v>5494278447</v>
      </c>
      <c r="D497" s="46" t="str">
        <f>IFERROR(VLOOKUP($A497,Equipos!$C$2:$M$967,3,FALSE()),"")</f>
        <v>UPC Cardiovascular</v>
      </c>
      <c r="E497" s="46" t="str">
        <f>IFERROR(VLOOKUP($A497,Equipos!$C$2:$M$967,7,FALSE()),"")</f>
        <v xml:space="preserve">Drager </v>
      </c>
      <c r="F497" s="46" t="str">
        <f>IFERROR(VLOOKUP($A497,Equipos!$C$2:$M$967,8,FALSE()),"")</f>
        <v>Infinity Kappa</v>
      </c>
      <c r="G497" s="46" t="s">
        <v>296</v>
      </c>
      <c r="H497" s="46"/>
      <c r="I497" s="46"/>
      <c r="J497" s="46" t="s">
        <v>297</v>
      </c>
      <c r="K497" s="46" t="str">
        <f>IFERROR(VLOOKUP($J497,Catálogos!$M$4:$N$17,2,FALSE()),"")</f>
        <v>Mantención Preventiva Realizada</v>
      </c>
      <c r="L497" s="46"/>
      <c r="M497" s="46"/>
      <c r="N497" s="46"/>
      <c r="O497" s="46"/>
      <c r="P497" s="46"/>
      <c r="Q497" s="46"/>
    </row>
    <row r="498" spans="1:17" hidden="1" x14ac:dyDescent="0.25">
      <c r="A498" s="47" t="s">
        <v>586</v>
      </c>
      <c r="B498" s="46" t="str">
        <f>IFERROR(VLOOKUP($A498,Equipos!$C$2:$M$967,2,FALSE()),"")</f>
        <v>Monitor Multiparámetros</v>
      </c>
      <c r="C498" s="46" t="str">
        <f>IFERROR(VLOOKUP($A498,Equipos!$C$2:$M$967,9,FALSE()),"")</f>
        <v>5494294652</v>
      </c>
      <c r="D498" s="46" t="str">
        <f>IFERROR(VLOOKUP($A498,Equipos!$C$2:$M$967,3,FALSE()),"")</f>
        <v>UPC Cardiovascular</v>
      </c>
      <c r="E498" s="46" t="str">
        <f>IFERROR(VLOOKUP($A498,Equipos!$C$2:$M$967,7,FALSE()),"")</f>
        <v xml:space="preserve">Drager </v>
      </c>
      <c r="F498" s="46" t="str">
        <f>IFERROR(VLOOKUP($A498,Equipos!$C$2:$M$967,8,FALSE()),"")</f>
        <v>infinity kappa</v>
      </c>
      <c r="G498" s="46" t="s">
        <v>335</v>
      </c>
      <c r="H498" s="46"/>
      <c r="I498" s="46"/>
      <c r="J498" s="46" t="s">
        <v>315</v>
      </c>
      <c r="K498" s="46" t="str">
        <f>IFERROR(VLOOKUP($J498,Catálogos!$M$4:$N$17,2,FALSE()),"")</f>
        <v>Reprogramada · Ausencia justificada del funcionario SEC superior a 15 días</v>
      </c>
      <c r="L498" s="46"/>
      <c r="M498" s="46"/>
      <c r="N498" s="46"/>
      <c r="O498" s="46"/>
      <c r="P498" s="46"/>
      <c r="Q498" s="46"/>
    </row>
    <row r="499" spans="1:17" hidden="1" x14ac:dyDescent="0.25">
      <c r="A499" s="47" t="s">
        <v>586</v>
      </c>
      <c r="B499" s="46" t="str">
        <f>IFERROR(VLOOKUP($A499,Equipos!$C$2:$M$967,2,FALSE()),"")</f>
        <v>Monitor Multiparámetros</v>
      </c>
      <c r="C499" s="46" t="str">
        <f>IFERROR(VLOOKUP($A499,Equipos!$C$2:$M$967,9,FALSE()),"")</f>
        <v>5494294652</v>
      </c>
      <c r="D499" s="46" t="str">
        <f>IFERROR(VLOOKUP($A499,Equipos!$C$2:$M$967,3,FALSE()),"")</f>
        <v>UPC Cardiovascular</v>
      </c>
      <c r="E499" s="46" t="str">
        <f>IFERROR(VLOOKUP($A499,Equipos!$C$2:$M$967,7,FALSE()),"")</f>
        <v xml:space="preserve">Drager </v>
      </c>
      <c r="F499" s="46" t="str">
        <f>IFERROR(VLOOKUP($A499,Equipos!$C$2:$M$967,8,FALSE()),"")</f>
        <v>infinity kappa</v>
      </c>
      <c r="G499" s="46" t="s">
        <v>296</v>
      </c>
      <c r="H499" s="46"/>
      <c r="I499" s="46"/>
      <c r="J499" s="46" t="s">
        <v>297</v>
      </c>
      <c r="K499" s="46" t="str">
        <f>IFERROR(VLOOKUP($J499,Catálogos!$M$4:$N$17,2,FALSE()),"")</f>
        <v>Mantención Preventiva Realizada</v>
      </c>
      <c r="L499" s="46"/>
      <c r="M499" s="46"/>
      <c r="N499" s="46"/>
      <c r="O499" s="46"/>
      <c r="P499" s="46"/>
      <c r="Q499" s="46"/>
    </row>
    <row r="500" spans="1:17" hidden="1" x14ac:dyDescent="0.25">
      <c r="A500" s="47" t="s">
        <v>587</v>
      </c>
      <c r="B500" s="46" t="str">
        <f>IFERROR(VLOOKUP($A500,Equipos!$C$2:$M$967,2,FALSE()),"")</f>
        <v>Monitor Multiparámetros</v>
      </c>
      <c r="C500" s="46" t="str">
        <f>IFERROR(VLOOKUP($A500,Equipos!$C$2:$M$967,9,FALSE()),"")</f>
        <v>5494306061</v>
      </c>
      <c r="D500" s="46" t="str">
        <f>IFERROR(VLOOKUP($A500,Equipos!$C$2:$M$967,3,FALSE()),"")</f>
        <v>UPC Cardiovascular</v>
      </c>
      <c r="E500" s="46" t="str">
        <f>IFERROR(VLOOKUP($A500,Equipos!$C$2:$M$967,7,FALSE()),"")</f>
        <v xml:space="preserve">Drager </v>
      </c>
      <c r="F500" s="46" t="str">
        <f>IFERROR(VLOOKUP($A500,Equipos!$C$2:$M$967,8,FALSE()),"")</f>
        <v>Infinity Kappa</v>
      </c>
      <c r="G500" s="46" t="s">
        <v>335</v>
      </c>
      <c r="H500" s="46"/>
      <c r="I500" s="46"/>
      <c r="J500" s="46" t="s">
        <v>315</v>
      </c>
      <c r="K500" s="46" t="str">
        <f>IFERROR(VLOOKUP($J500,Catálogos!$M$4:$N$17,2,FALSE()),"")</f>
        <v>Reprogramada · Ausencia justificada del funcionario SEC superior a 15 días</v>
      </c>
      <c r="L500" s="46"/>
      <c r="M500" s="46"/>
      <c r="N500" s="46"/>
      <c r="O500" s="46"/>
      <c r="P500" s="46"/>
      <c r="Q500" s="46"/>
    </row>
    <row r="501" spans="1:17" hidden="1" x14ac:dyDescent="0.25">
      <c r="A501" s="47" t="s">
        <v>587</v>
      </c>
      <c r="B501" s="46" t="str">
        <f>IFERROR(VLOOKUP($A501,Equipos!$C$2:$M$967,2,FALSE()),"")</f>
        <v>Monitor Multiparámetros</v>
      </c>
      <c r="C501" s="46" t="str">
        <f>IFERROR(VLOOKUP($A501,Equipos!$C$2:$M$967,9,FALSE()),"")</f>
        <v>5494306061</v>
      </c>
      <c r="D501" s="46" t="str">
        <f>IFERROR(VLOOKUP($A501,Equipos!$C$2:$M$967,3,FALSE()),"")</f>
        <v>UPC Cardiovascular</v>
      </c>
      <c r="E501" s="46" t="str">
        <f>IFERROR(VLOOKUP($A501,Equipos!$C$2:$M$967,7,FALSE()),"")</f>
        <v xml:space="preserve">Drager </v>
      </c>
      <c r="F501" s="46" t="str">
        <f>IFERROR(VLOOKUP($A501,Equipos!$C$2:$M$967,8,FALSE()),"")</f>
        <v>Infinity Kappa</v>
      </c>
      <c r="G501" s="46" t="s">
        <v>296</v>
      </c>
      <c r="H501" s="46"/>
      <c r="I501" s="46"/>
      <c r="J501" s="46" t="s">
        <v>297</v>
      </c>
      <c r="K501" s="46" t="str">
        <f>IFERROR(VLOOKUP($J501,Catálogos!$M$4:$N$17,2,FALSE()),"")</f>
        <v>Mantención Preventiva Realizada</v>
      </c>
      <c r="L501" s="46"/>
      <c r="M501" s="46"/>
      <c r="N501" s="46"/>
      <c r="O501" s="46"/>
      <c r="P501" s="46"/>
      <c r="Q501" s="46"/>
    </row>
    <row r="502" spans="1:17" hidden="1" x14ac:dyDescent="0.25">
      <c r="A502" s="47" t="s">
        <v>588</v>
      </c>
      <c r="B502" s="46" t="str">
        <f>IFERROR(VLOOKUP($A502,Equipos!$C$2:$M$967,2,FALSE()),"")</f>
        <v>Monitor Multiparámetros</v>
      </c>
      <c r="C502" s="46" t="str">
        <f>IFERROR(VLOOKUP($A502,Equipos!$C$2:$M$967,9,FALSE()),"")</f>
        <v>5494308353</v>
      </c>
      <c r="D502" s="46" t="str">
        <f>IFERROR(VLOOKUP($A502,Equipos!$C$2:$M$967,3,FALSE()),"")</f>
        <v>UPC Cardiovascular</v>
      </c>
      <c r="E502" s="46" t="str">
        <f>IFERROR(VLOOKUP($A502,Equipos!$C$2:$M$967,7,FALSE()),"")</f>
        <v xml:space="preserve">Drager </v>
      </c>
      <c r="F502" s="46" t="str">
        <f>IFERROR(VLOOKUP($A502,Equipos!$C$2:$M$967,8,FALSE()),"")</f>
        <v>Infinity Kappa</v>
      </c>
      <c r="G502" s="46" t="s">
        <v>335</v>
      </c>
      <c r="H502" s="46"/>
      <c r="I502" s="46"/>
      <c r="J502" s="46" t="s">
        <v>315</v>
      </c>
      <c r="K502" s="46" t="str">
        <f>IFERROR(VLOOKUP($J502,Catálogos!$M$4:$N$17,2,FALSE()),"")</f>
        <v>Reprogramada · Ausencia justificada del funcionario SEC superior a 15 días</v>
      </c>
      <c r="L502" s="46"/>
      <c r="M502" s="46"/>
      <c r="N502" s="46"/>
      <c r="O502" s="46"/>
      <c r="P502" s="46"/>
      <c r="Q502" s="46"/>
    </row>
    <row r="503" spans="1:17" hidden="1" x14ac:dyDescent="0.25">
      <c r="A503" s="47" t="s">
        <v>588</v>
      </c>
      <c r="B503" s="46" t="str">
        <f>IFERROR(VLOOKUP($A503,Equipos!$C$2:$M$967,2,FALSE()),"")</f>
        <v>Monitor Multiparámetros</v>
      </c>
      <c r="C503" s="46" t="str">
        <f>IFERROR(VLOOKUP($A503,Equipos!$C$2:$M$967,9,FALSE()),"")</f>
        <v>5494308353</v>
      </c>
      <c r="D503" s="46" t="str">
        <f>IFERROR(VLOOKUP($A503,Equipos!$C$2:$M$967,3,FALSE()),"")</f>
        <v>UPC Cardiovascular</v>
      </c>
      <c r="E503" s="46" t="str">
        <f>IFERROR(VLOOKUP($A503,Equipos!$C$2:$M$967,7,FALSE()),"")</f>
        <v xml:space="preserve">Drager </v>
      </c>
      <c r="F503" s="46" t="str">
        <f>IFERROR(VLOOKUP($A503,Equipos!$C$2:$M$967,8,FALSE()),"")</f>
        <v>Infinity Kappa</v>
      </c>
      <c r="G503" s="46" t="s">
        <v>296</v>
      </c>
      <c r="H503" s="46"/>
      <c r="I503" s="46"/>
      <c r="J503" s="46" t="s">
        <v>297</v>
      </c>
      <c r="K503" s="46" t="str">
        <f>IFERROR(VLOOKUP($J503,Catálogos!$M$4:$N$17,2,FALSE()),"")</f>
        <v>Mantención Preventiva Realizada</v>
      </c>
      <c r="L503" s="46"/>
      <c r="M503" s="46"/>
      <c r="N503" s="46"/>
      <c r="O503" s="46"/>
      <c r="P503" s="46"/>
      <c r="Q503" s="46"/>
    </row>
    <row r="504" spans="1:17" hidden="1" x14ac:dyDescent="0.25">
      <c r="A504" s="47" t="s">
        <v>589</v>
      </c>
      <c r="B504" s="46" t="str">
        <f>IFERROR(VLOOKUP($A504,Equipos!$C$2:$M$967,2,FALSE()),"")</f>
        <v>Monitor Multiparámetros</v>
      </c>
      <c r="C504" s="46" t="str">
        <f>IFERROR(VLOOKUP($A504,Equipos!$C$2:$M$967,9,FALSE()),"")</f>
        <v>5494305953</v>
      </c>
      <c r="D504" s="46" t="str">
        <f>IFERROR(VLOOKUP($A504,Equipos!$C$2:$M$967,3,FALSE()),"")</f>
        <v>UPC Cardiovascular</v>
      </c>
      <c r="E504" s="46" t="str">
        <f>IFERROR(VLOOKUP($A504,Equipos!$C$2:$M$967,7,FALSE()),"")</f>
        <v xml:space="preserve">Drager </v>
      </c>
      <c r="F504" s="46" t="str">
        <f>IFERROR(VLOOKUP($A504,Equipos!$C$2:$M$967,8,FALSE()),"")</f>
        <v>Infinity Kappa</v>
      </c>
      <c r="G504" s="46" t="s">
        <v>335</v>
      </c>
      <c r="H504" s="46"/>
      <c r="I504" s="46"/>
      <c r="J504" s="46" t="s">
        <v>315</v>
      </c>
      <c r="K504" s="46" t="str">
        <f>IFERROR(VLOOKUP($J504,Catálogos!$M$4:$N$17,2,FALSE()),"")</f>
        <v>Reprogramada · Ausencia justificada del funcionario SEC superior a 15 días</v>
      </c>
      <c r="L504" s="46"/>
      <c r="M504" s="46"/>
      <c r="N504" s="46"/>
      <c r="O504" s="46"/>
      <c r="P504" s="46"/>
      <c r="Q504" s="46"/>
    </row>
    <row r="505" spans="1:17" hidden="1" x14ac:dyDescent="0.25">
      <c r="A505" s="47" t="s">
        <v>589</v>
      </c>
      <c r="B505" s="46" t="str">
        <f>IFERROR(VLOOKUP($A505,Equipos!$C$2:$M$967,2,FALSE()),"")</f>
        <v>Monitor Multiparámetros</v>
      </c>
      <c r="C505" s="46" t="str">
        <f>IFERROR(VLOOKUP($A505,Equipos!$C$2:$M$967,9,FALSE()),"")</f>
        <v>5494305953</v>
      </c>
      <c r="D505" s="46" t="str">
        <f>IFERROR(VLOOKUP($A505,Equipos!$C$2:$M$967,3,FALSE()),"")</f>
        <v>UPC Cardiovascular</v>
      </c>
      <c r="E505" s="46" t="str">
        <f>IFERROR(VLOOKUP($A505,Equipos!$C$2:$M$967,7,FALSE()),"")</f>
        <v xml:space="preserve">Drager </v>
      </c>
      <c r="F505" s="46" t="str">
        <f>IFERROR(VLOOKUP($A505,Equipos!$C$2:$M$967,8,FALSE()),"")</f>
        <v>Infinity Kappa</v>
      </c>
      <c r="G505" s="46" t="s">
        <v>296</v>
      </c>
      <c r="H505" s="46"/>
      <c r="I505" s="46"/>
      <c r="J505" s="46" t="s">
        <v>297</v>
      </c>
      <c r="K505" s="46" t="str">
        <f>IFERROR(VLOOKUP($J505,Catálogos!$M$4:$N$17,2,FALSE()),"")</f>
        <v>Mantención Preventiva Realizada</v>
      </c>
      <c r="L505" s="46"/>
      <c r="M505" s="46"/>
      <c r="N505" s="46"/>
      <c r="O505" s="46"/>
      <c r="P505" s="46"/>
      <c r="Q505" s="46"/>
    </row>
    <row r="506" spans="1:17" hidden="1" x14ac:dyDescent="0.25">
      <c r="A506" s="47" t="s">
        <v>590</v>
      </c>
      <c r="B506" s="46" t="str">
        <f>IFERROR(VLOOKUP($A506,Equipos!$C$2:$M$967,2,FALSE()),"")</f>
        <v>Monitor Multiparámetros</v>
      </c>
      <c r="C506" s="46" t="str">
        <f>IFERROR(VLOOKUP($A506,Equipos!$C$2:$M$967,9,FALSE()),"")</f>
        <v>5494307951</v>
      </c>
      <c r="D506" s="46" t="str">
        <f>IFERROR(VLOOKUP($A506,Equipos!$C$2:$M$967,3,FALSE()),"")</f>
        <v>UPC Cardiovascular</v>
      </c>
      <c r="E506" s="46" t="str">
        <f>IFERROR(VLOOKUP($A506,Equipos!$C$2:$M$967,7,FALSE()),"")</f>
        <v xml:space="preserve">Drager </v>
      </c>
      <c r="F506" s="46" t="str">
        <f>IFERROR(VLOOKUP($A506,Equipos!$C$2:$M$967,8,FALSE()),"")</f>
        <v>Infinity Kappa</v>
      </c>
      <c r="G506" s="46" t="s">
        <v>335</v>
      </c>
      <c r="H506" s="46"/>
      <c r="I506" s="46"/>
      <c r="J506" s="46" t="s">
        <v>315</v>
      </c>
      <c r="K506" s="46" t="str">
        <f>IFERROR(VLOOKUP($J506,Catálogos!$M$4:$N$17,2,FALSE()),"")</f>
        <v>Reprogramada · Ausencia justificada del funcionario SEC superior a 15 días</v>
      </c>
      <c r="L506" s="46"/>
      <c r="M506" s="46"/>
      <c r="N506" s="46"/>
      <c r="O506" s="46"/>
      <c r="P506" s="46"/>
      <c r="Q506" s="46"/>
    </row>
    <row r="507" spans="1:17" hidden="1" x14ac:dyDescent="0.25">
      <c r="A507" s="47" t="s">
        <v>590</v>
      </c>
      <c r="B507" s="46" t="str">
        <f>IFERROR(VLOOKUP($A507,Equipos!$C$2:$M$967,2,FALSE()),"")</f>
        <v>Monitor Multiparámetros</v>
      </c>
      <c r="C507" s="46" t="str">
        <f>IFERROR(VLOOKUP($A507,Equipos!$C$2:$M$967,9,FALSE()),"")</f>
        <v>5494307951</v>
      </c>
      <c r="D507" s="46" t="str">
        <f>IFERROR(VLOOKUP($A507,Equipos!$C$2:$M$967,3,FALSE()),"")</f>
        <v>UPC Cardiovascular</v>
      </c>
      <c r="E507" s="46" t="str">
        <f>IFERROR(VLOOKUP($A507,Equipos!$C$2:$M$967,7,FALSE()),"")</f>
        <v xml:space="preserve">Drager </v>
      </c>
      <c r="F507" s="46" t="str">
        <f>IFERROR(VLOOKUP($A507,Equipos!$C$2:$M$967,8,FALSE()),"")</f>
        <v>Infinity Kappa</v>
      </c>
      <c r="G507" s="46" t="s">
        <v>296</v>
      </c>
      <c r="H507" s="46"/>
      <c r="I507" s="46"/>
      <c r="J507" s="46" t="s">
        <v>297</v>
      </c>
      <c r="K507" s="46" t="str">
        <f>IFERROR(VLOOKUP($J507,Catálogos!$M$4:$N$17,2,FALSE()),"")</f>
        <v>Mantención Preventiva Realizada</v>
      </c>
      <c r="L507" s="46"/>
      <c r="M507" s="46"/>
      <c r="N507" s="46"/>
      <c r="O507" s="46"/>
      <c r="P507" s="46"/>
      <c r="Q507" s="46"/>
    </row>
    <row r="508" spans="1:17" hidden="1" x14ac:dyDescent="0.25">
      <c r="A508" s="47" t="s">
        <v>591</v>
      </c>
      <c r="B508" s="46" t="str">
        <f>IFERROR(VLOOKUP($A508,Equipos!$C$2:$M$967,2,FALSE()),"")</f>
        <v>Monitor Multiparámetros</v>
      </c>
      <c r="C508" s="46" t="str">
        <f>IFERROR(VLOOKUP($A508,Equipos!$C$2:$M$967,9,FALSE()),"")</f>
        <v>5494306854</v>
      </c>
      <c r="D508" s="46" t="str">
        <f>IFERROR(VLOOKUP($A508,Equipos!$C$2:$M$967,3,FALSE()),"")</f>
        <v>UPC Cardiovascular</v>
      </c>
      <c r="E508" s="46" t="str">
        <f>IFERROR(VLOOKUP($A508,Equipos!$C$2:$M$967,7,FALSE()),"")</f>
        <v xml:space="preserve">Drager </v>
      </c>
      <c r="F508" s="46" t="str">
        <f>IFERROR(VLOOKUP($A508,Equipos!$C$2:$M$967,8,FALSE()),"")</f>
        <v>Infinity Kappa</v>
      </c>
      <c r="G508" s="46" t="s">
        <v>335</v>
      </c>
      <c r="H508" s="46"/>
      <c r="I508" s="46"/>
      <c r="J508" s="46" t="s">
        <v>315</v>
      </c>
      <c r="K508" s="46" t="str">
        <f>IFERROR(VLOOKUP($J508,Catálogos!$M$4:$N$17,2,FALSE()),"")</f>
        <v>Reprogramada · Ausencia justificada del funcionario SEC superior a 15 días</v>
      </c>
      <c r="L508" s="46"/>
      <c r="M508" s="46"/>
      <c r="N508" s="46"/>
      <c r="O508" s="46"/>
      <c r="P508" s="46"/>
      <c r="Q508" s="46"/>
    </row>
    <row r="509" spans="1:17" hidden="1" x14ac:dyDescent="0.25">
      <c r="A509" s="47" t="s">
        <v>591</v>
      </c>
      <c r="B509" s="46" t="str">
        <f>IFERROR(VLOOKUP($A509,Equipos!$C$2:$M$967,2,FALSE()),"")</f>
        <v>Monitor Multiparámetros</v>
      </c>
      <c r="C509" s="46" t="str">
        <f>IFERROR(VLOOKUP($A509,Equipos!$C$2:$M$967,9,FALSE()),"")</f>
        <v>5494306854</v>
      </c>
      <c r="D509" s="46" t="str">
        <f>IFERROR(VLOOKUP($A509,Equipos!$C$2:$M$967,3,FALSE()),"")</f>
        <v>UPC Cardiovascular</v>
      </c>
      <c r="E509" s="46" t="str">
        <f>IFERROR(VLOOKUP($A509,Equipos!$C$2:$M$967,7,FALSE()),"")</f>
        <v xml:space="preserve">Drager </v>
      </c>
      <c r="F509" s="46" t="str">
        <f>IFERROR(VLOOKUP($A509,Equipos!$C$2:$M$967,8,FALSE()),"")</f>
        <v>Infinity Kappa</v>
      </c>
      <c r="G509" s="46" t="s">
        <v>296</v>
      </c>
      <c r="H509" s="46"/>
      <c r="I509" s="46"/>
      <c r="J509" s="46" t="s">
        <v>297</v>
      </c>
      <c r="K509" s="46" t="str">
        <f>IFERROR(VLOOKUP($J509,Catálogos!$M$4:$N$17,2,FALSE()),"")</f>
        <v>Mantención Preventiva Realizada</v>
      </c>
      <c r="L509" s="46"/>
      <c r="M509" s="46"/>
      <c r="N509" s="46"/>
      <c r="O509" s="46"/>
      <c r="P509" s="46"/>
      <c r="Q509" s="46"/>
    </row>
    <row r="510" spans="1:17" hidden="1" x14ac:dyDescent="0.25">
      <c r="A510" s="47" t="s">
        <v>592</v>
      </c>
      <c r="B510" s="46" t="str">
        <f>IFERROR(VLOOKUP($A510,Equipos!$C$2:$M$967,2,FALSE()),"")</f>
        <v>Monitor Multiparámetros</v>
      </c>
      <c r="C510" s="46" t="str">
        <f>IFERROR(VLOOKUP($A510,Equipos!$C$2:$M$967,9,FALSE()),"")</f>
        <v>5494269849</v>
      </c>
      <c r="D510" s="46" t="str">
        <f>IFERROR(VLOOKUP($A510,Equipos!$C$2:$M$967,3,FALSE()),"")</f>
        <v>UPC Cardiovascular</v>
      </c>
      <c r="E510" s="46" t="str">
        <f>IFERROR(VLOOKUP($A510,Equipos!$C$2:$M$967,7,FALSE()),"")</f>
        <v xml:space="preserve">Drager </v>
      </c>
      <c r="F510" s="46" t="str">
        <f>IFERROR(VLOOKUP($A510,Equipos!$C$2:$M$967,8,FALSE()),"")</f>
        <v>Infinity Kappa</v>
      </c>
      <c r="G510" s="46" t="s">
        <v>335</v>
      </c>
      <c r="H510" s="46"/>
      <c r="I510" s="46"/>
      <c r="J510" s="46" t="s">
        <v>315</v>
      </c>
      <c r="K510" s="46" t="str">
        <f>IFERROR(VLOOKUP($J510,Catálogos!$M$4:$N$17,2,FALSE()),"")</f>
        <v>Reprogramada · Ausencia justificada del funcionario SEC superior a 15 días</v>
      </c>
      <c r="L510" s="46"/>
      <c r="M510" s="46"/>
      <c r="N510" s="46"/>
      <c r="O510" s="46"/>
      <c r="P510" s="46"/>
      <c r="Q510" s="46"/>
    </row>
    <row r="511" spans="1:17" hidden="1" x14ac:dyDescent="0.25">
      <c r="A511" s="47" t="s">
        <v>593</v>
      </c>
      <c r="B511" s="46" t="str">
        <f>IFERROR(VLOOKUP($A511,Equipos!$C$2:$M$967,2,FALSE()),"")</f>
        <v>Monitor Multiparámetros</v>
      </c>
      <c r="C511" s="46" t="str">
        <f>IFERROR(VLOOKUP($A511,Equipos!$C$2:$M$967,9,FALSE()),"")</f>
        <v>5494279847</v>
      </c>
      <c r="D511" s="46" t="str">
        <f>IFERROR(VLOOKUP($A511,Equipos!$C$2:$M$967,3,FALSE()),"")</f>
        <v>UPC Cardiovascular</v>
      </c>
      <c r="E511" s="46" t="str">
        <f>IFERROR(VLOOKUP($A511,Equipos!$C$2:$M$967,7,FALSE()),"")</f>
        <v xml:space="preserve">Drager </v>
      </c>
      <c r="F511" s="46" t="str">
        <f>IFERROR(VLOOKUP($A511,Equipos!$C$2:$M$967,8,FALSE()),"")</f>
        <v>Infinity Kappa</v>
      </c>
      <c r="G511" s="46" t="s">
        <v>335</v>
      </c>
      <c r="H511" s="46"/>
      <c r="I511" s="46"/>
      <c r="J511" s="46" t="s">
        <v>315</v>
      </c>
      <c r="K511" s="46" t="str">
        <f>IFERROR(VLOOKUP($J511,Catálogos!$M$4:$N$17,2,FALSE()),"")</f>
        <v>Reprogramada · Ausencia justificada del funcionario SEC superior a 15 días</v>
      </c>
      <c r="L511" s="46"/>
      <c r="M511" s="46"/>
      <c r="N511" s="46"/>
      <c r="O511" s="46"/>
      <c r="P511" s="46"/>
      <c r="Q511" s="46"/>
    </row>
    <row r="512" spans="1:17" hidden="1" x14ac:dyDescent="0.25">
      <c r="A512" s="47" t="s">
        <v>593</v>
      </c>
      <c r="B512" s="46" t="str">
        <f>IFERROR(VLOOKUP($A512,Equipos!$C$2:$M$967,2,FALSE()),"")</f>
        <v>Monitor Multiparámetros</v>
      </c>
      <c r="C512" s="46" t="str">
        <f>IFERROR(VLOOKUP($A512,Equipos!$C$2:$M$967,9,FALSE()),"")</f>
        <v>5494279847</v>
      </c>
      <c r="D512" s="46" t="str">
        <f>IFERROR(VLOOKUP($A512,Equipos!$C$2:$M$967,3,FALSE()),"")</f>
        <v>UPC Cardiovascular</v>
      </c>
      <c r="E512" s="46" t="str">
        <f>IFERROR(VLOOKUP($A512,Equipos!$C$2:$M$967,7,FALSE()),"")</f>
        <v xml:space="preserve">Drager </v>
      </c>
      <c r="F512" s="46" t="str">
        <f>IFERROR(VLOOKUP($A512,Equipos!$C$2:$M$967,8,FALSE()),"")</f>
        <v>Infinity Kappa</v>
      </c>
      <c r="G512" s="46" t="s">
        <v>296</v>
      </c>
      <c r="H512" s="46"/>
      <c r="I512" s="46"/>
      <c r="J512" s="46" t="s">
        <v>297</v>
      </c>
      <c r="K512" s="46" t="str">
        <f>IFERROR(VLOOKUP($J512,Catálogos!$M$4:$N$17,2,FALSE()),"")</f>
        <v>Mantención Preventiva Realizada</v>
      </c>
      <c r="L512" s="46"/>
      <c r="M512" s="46"/>
      <c r="N512" s="46"/>
      <c r="O512" s="46"/>
      <c r="P512" s="46"/>
      <c r="Q512" s="46"/>
    </row>
    <row r="513" spans="1:17" hidden="1" x14ac:dyDescent="0.25">
      <c r="A513" s="47" t="s">
        <v>594</v>
      </c>
      <c r="B513" s="46" t="str">
        <f>IFERROR(VLOOKUP($A513,Equipos!$C$2:$M$967,2,FALSE()),"")</f>
        <v>Monitor Multiparámetros</v>
      </c>
      <c r="C513" s="46" t="str">
        <f>IFERROR(VLOOKUP($A513,Equipos!$C$2:$M$967,9,FALSE()),"")</f>
        <v>5494305855</v>
      </c>
      <c r="D513" s="46" t="str">
        <f>IFERROR(VLOOKUP($A513,Equipos!$C$2:$M$967,3,FALSE()),"")</f>
        <v>UPC Cardiovascular</v>
      </c>
      <c r="E513" s="46" t="str">
        <f>IFERROR(VLOOKUP($A513,Equipos!$C$2:$M$967,7,FALSE()),"")</f>
        <v xml:space="preserve">Drager </v>
      </c>
      <c r="F513" s="46" t="str">
        <f>IFERROR(VLOOKUP($A513,Equipos!$C$2:$M$967,8,FALSE()),"")</f>
        <v>Infinity Kappa</v>
      </c>
      <c r="G513" s="46" t="s">
        <v>335</v>
      </c>
      <c r="H513" s="46"/>
      <c r="I513" s="46"/>
      <c r="J513" s="46" t="s">
        <v>315</v>
      </c>
      <c r="K513" s="46" t="str">
        <f>IFERROR(VLOOKUP($J513,Catálogos!$M$4:$N$17,2,FALSE()),"")</f>
        <v>Reprogramada · Ausencia justificada del funcionario SEC superior a 15 días</v>
      </c>
      <c r="L513" s="46"/>
      <c r="M513" s="46"/>
      <c r="N513" s="46"/>
      <c r="O513" s="46"/>
      <c r="P513" s="46"/>
      <c r="Q513" s="46"/>
    </row>
    <row r="514" spans="1:17" hidden="1" x14ac:dyDescent="0.25">
      <c r="A514" s="47" t="s">
        <v>594</v>
      </c>
      <c r="B514" s="46" t="str">
        <f>IFERROR(VLOOKUP($A514,Equipos!$C$2:$M$967,2,FALSE()),"")</f>
        <v>Monitor Multiparámetros</v>
      </c>
      <c r="C514" s="46" t="str">
        <f>IFERROR(VLOOKUP($A514,Equipos!$C$2:$M$967,9,FALSE()),"")</f>
        <v>5494305855</v>
      </c>
      <c r="D514" s="46" t="str">
        <f>IFERROR(VLOOKUP($A514,Equipos!$C$2:$M$967,3,FALSE()),"")</f>
        <v>UPC Cardiovascular</v>
      </c>
      <c r="E514" s="46" t="str">
        <f>IFERROR(VLOOKUP($A514,Equipos!$C$2:$M$967,7,FALSE()),"")</f>
        <v xml:space="preserve">Drager </v>
      </c>
      <c r="F514" s="46" t="str">
        <f>IFERROR(VLOOKUP($A514,Equipos!$C$2:$M$967,8,FALSE()),"")</f>
        <v>Infinity Kappa</v>
      </c>
      <c r="G514" s="46" t="s">
        <v>296</v>
      </c>
      <c r="H514" s="46"/>
      <c r="I514" s="46"/>
      <c r="J514" s="46" t="s">
        <v>297</v>
      </c>
      <c r="K514" s="46" t="str">
        <f>IFERROR(VLOOKUP($J514,Catálogos!$M$4:$N$17,2,FALSE()),"")</f>
        <v>Mantención Preventiva Realizada</v>
      </c>
      <c r="L514" s="46"/>
      <c r="M514" s="46"/>
      <c r="N514" s="46"/>
      <c r="O514" s="46"/>
      <c r="P514" s="46"/>
      <c r="Q514" s="46"/>
    </row>
    <row r="515" spans="1:17" hidden="1" x14ac:dyDescent="0.25">
      <c r="A515" s="47" t="s">
        <v>595</v>
      </c>
      <c r="B515" s="46" t="str">
        <f>IFERROR(VLOOKUP($A515,Equipos!$C$2:$M$967,2,FALSE()),"")</f>
        <v>Monitor Multiparámetros</v>
      </c>
      <c r="C515" s="46" t="str">
        <f>IFERROR(VLOOKUP($A515,Equipos!$C$2:$M$967,9,FALSE()),"")</f>
        <v>CN12099174</v>
      </c>
      <c r="D515" s="46" t="str">
        <f>IFERROR(VLOOKUP($A515,Equipos!$C$2:$M$967,3,FALSE()),"")</f>
        <v>Medicina Física y Rehabilitación</v>
      </c>
      <c r="E515" s="46" t="str">
        <f>IFERROR(VLOOKUP($A515,Equipos!$C$2:$M$967,7,FALSE()),"")</f>
        <v>Philips</v>
      </c>
      <c r="F515" s="46" t="str">
        <f>IFERROR(VLOOKUP($A515,Equipos!$C$2:$M$967,8,FALSE()),"")</f>
        <v>CM100</v>
      </c>
      <c r="G515" s="46" t="s">
        <v>298</v>
      </c>
      <c r="H515" s="46" t="s">
        <v>460</v>
      </c>
      <c r="I515" s="46"/>
      <c r="J515" s="46" t="s">
        <v>297</v>
      </c>
      <c r="K515" s="46" t="str">
        <f>IFERROR(VLOOKUP($J515,Catálogos!$M$4:$N$17,2,FALSE()),"")</f>
        <v>Mantención Preventiva Realizada</v>
      </c>
      <c r="L515" s="48">
        <v>46171</v>
      </c>
      <c r="M515" s="46" t="s">
        <v>461</v>
      </c>
      <c r="N515" s="46" t="s">
        <v>122</v>
      </c>
      <c r="O515" s="46"/>
      <c r="P515" s="46"/>
      <c r="Q515" s="46"/>
    </row>
    <row r="516" spans="1:17" hidden="1" x14ac:dyDescent="0.25">
      <c r="A516" s="47" t="s">
        <v>596</v>
      </c>
      <c r="B516" s="46" t="str">
        <f>IFERROR(VLOOKUP($A516,Equipos!$C$2:$M$967,2,FALSE()),"")</f>
        <v>Monitor Multiparámetros</v>
      </c>
      <c r="C516" s="46" t="str">
        <f>IFERROR(VLOOKUP($A516,Equipos!$C$2:$M$967,9,FALSE()),"")</f>
        <v>1393-109323</v>
      </c>
      <c r="D516" s="46" t="str">
        <f>IFERROR(VLOOKUP($A516,Equipos!$C$2:$M$967,3,FALSE()),"")</f>
        <v>UPC Pediátrica</v>
      </c>
      <c r="E516" s="46" t="str">
        <f>IFERROR(VLOOKUP($A516,Equipos!$C$2:$M$967,7,FALSE()),"")</f>
        <v>SPACELABS HEALTHCARE</v>
      </c>
      <c r="F516" s="46" t="str">
        <f>IFERROR(VLOOKUP($A516,Equipos!$C$2:$M$967,8,FALSE()),"")</f>
        <v>XPREZZON</v>
      </c>
      <c r="G516" s="46" t="s">
        <v>335</v>
      </c>
      <c r="H516" s="46"/>
      <c r="I516" s="46"/>
      <c r="J516" s="46" t="s">
        <v>315</v>
      </c>
      <c r="K516" s="46" t="str">
        <f>IFERROR(VLOOKUP($J516,Catálogos!$M$4:$N$17,2,FALSE()),"")</f>
        <v>Reprogramada · Ausencia justificada del funcionario SEC superior a 15 días</v>
      </c>
      <c r="L516" s="46"/>
      <c r="M516" s="46"/>
      <c r="N516" s="46"/>
      <c r="O516" s="46"/>
      <c r="P516" s="46"/>
      <c r="Q516" s="46"/>
    </row>
    <row r="517" spans="1:17" hidden="1" x14ac:dyDescent="0.25">
      <c r="A517" s="47" t="s">
        <v>596</v>
      </c>
      <c r="B517" s="46" t="str">
        <f>IFERROR(VLOOKUP($A517,Equipos!$C$2:$M$967,2,FALSE()),"")</f>
        <v>Monitor Multiparámetros</v>
      </c>
      <c r="C517" s="46" t="str">
        <f>IFERROR(VLOOKUP($A517,Equipos!$C$2:$M$967,9,FALSE()),"")</f>
        <v>1393-109323</v>
      </c>
      <c r="D517" s="46" t="str">
        <f>IFERROR(VLOOKUP($A517,Equipos!$C$2:$M$967,3,FALSE()),"")</f>
        <v>UPC Pediátrica</v>
      </c>
      <c r="E517" s="46" t="str">
        <f>IFERROR(VLOOKUP($A517,Equipos!$C$2:$M$967,7,FALSE()),"")</f>
        <v>SPACELABS HEALTHCARE</v>
      </c>
      <c r="F517" s="46" t="str">
        <f>IFERROR(VLOOKUP($A517,Equipos!$C$2:$M$967,8,FALSE()),"")</f>
        <v>XPREZZON</v>
      </c>
      <c r="G517" s="46" t="s">
        <v>296</v>
      </c>
      <c r="H517" s="46"/>
      <c r="I517" s="46"/>
      <c r="J517" s="46" t="s">
        <v>297</v>
      </c>
      <c r="K517" s="46" t="str">
        <f>IFERROR(VLOOKUP($J517,Catálogos!$M$4:$N$17,2,FALSE()),"")</f>
        <v>Mantención Preventiva Realizada</v>
      </c>
      <c r="L517" s="46"/>
      <c r="M517" s="46"/>
      <c r="N517" s="46"/>
      <c r="O517" s="46"/>
      <c r="P517" s="46"/>
      <c r="Q517" s="46"/>
    </row>
    <row r="518" spans="1:17" hidden="1" x14ac:dyDescent="0.25">
      <c r="A518" s="47" t="s">
        <v>597</v>
      </c>
      <c r="B518" s="46" t="str">
        <f>IFERROR(VLOOKUP($A518,Equipos!$C$2:$M$967,2,FALSE()),"")</f>
        <v>Monitor Multiparámetros</v>
      </c>
      <c r="C518" s="46" t="str">
        <f>IFERROR(VLOOKUP($A518,Equipos!$C$2:$M$967,9,FALSE()),"")</f>
        <v>33034.</v>
      </c>
      <c r="D518" s="46" t="str">
        <f>IFERROR(VLOOKUP($A518,Equipos!$C$2:$M$967,3,FALSE()),"")</f>
        <v>Cardiología (2do piso)</v>
      </c>
      <c r="E518" s="46" t="str">
        <f>IFERROR(VLOOKUP($A518,Equipos!$C$2:$M$967,7,FALSE()),"")</f>
        <v xml:space="preserve">Nihon Kohden </v>
      </c>
      <c r="F518" s="46" t="str">
        <f>IFERROR(VLOOKUP($A518,Equipos!$C$2:$M$967,8,FALSE()),"")</f>
        <v>BSM-3562</v>
      </c>
      <c r="G518" s="46" t="s">
        <v>298</v>
      </c>
      <c r="H518" s="46" t="s">
        <v>460</v>
      </c>
      <c r="I518" s="46"/>
      <c r="J518" s="46" t="s">
        <v>297</v>
      </c>
      <c r="K518" s="46" t="str">
        <f>IFERROR(VLOOKUP($J518,Catálogos!$M$4:$N$17,2,FALSE()),"")</f>
        <v>Mantención Preventiva Realizada</v>
      </c>
      <c r="L518" s="48">
        <v>46171</v>
      </c>
      <c r="M518" s="46" t="s">
        <v>461</v>
      </c>
      <c r="N518" s="46" t="s">
        <v>122</v>
      </c>
      <c r="O518" s="46"/>
      <c r="P518" s="46"/>
      <c r="Q518" s="46"/>
    </row>
    <row r="519" spans="1:17" hidden="1" x14ac:dyDescent="0.25">
      <c r="A519" s="47" t="s">
        <v>598</v>
      </c>
      <c r="B519" s="46" t="str">
        <f>IFERROR(VLOOKUP($A519,Equipos!$C$2:$M$967,2,FALSE()),"")</f>
        <v>Monitor Multiparámetros</v>
      </c>
      <c r="C519" s="46" t="str">
        <f>IFERROR(VLOOKUP($A519,Equipos!$C$2:$M$967,9,FALSE()),"")</f>
        <v>96000115</v>
      </c>
      <c r="D519" s="46" t="str">
        <f>IFERROR(VLOOKUP($A519,Equipos!$C$2:$M$967,3,FALSE()),"")</f>
        <v>Pabellón Quirúrgico</v>
      </c>
      <c r="E519" s="46" t="str">
        <f>IFERROR(VLOOKUP($A519,Equipos!$C$2:$M$967,7,FALSE()),"")</f>
        <v>Mindray</v>
      </c>
      <c r="F519" s="46" t="str">
        <f>IFERROR(VLOOKUP($A519,Equipos!$C$2:$M$967,8,FALSE()),"")</f>
        <v>EPM 10</v>
      </c>
      <c r="G519" s="46" t="s">
        <v>331</v>
      </c>
      <c r="H519" s="46"/>
      <c r="I519" s="46"/>
      <c r="J519" s="46" t="s">
        <v>297</v>
      </c>
      <c r="K519" s="46" t="str">
        <f>IFERROR(VLOOKUP($J519,Catálogos!$M$4:$N$17,2,FALSE()),"")</f>
        <v>Mantención Preventiva Realizada</v>
      </c>
      <c r="L519" s="46"/>
      <c r="M519" s="46"/>
      <c r="N519" s="46"/>
      <c r="O519" s="46"/>
      <c r="P519" s="46"/>
      <c r="Q519" s="46"/>
    </row>
    <row r="520" spans="1:17" hidden="1" x14ac:dyDescent="0.25">
      <c r="A520" s="47" t="s">
        <v>599</v>
      </c>
      <c r="B520" s="46" t="str">
        <f>IFERROR(VLOOKUP($A520,Equipos!$C$2:$M$967,2,FALSE()),"")</f>
        <v>Monitor Multiparámetros</v>
      </c>
      <c r="C520" s="46" t="str">
        <f>IFERROR(VLOOKUP($A520,Equipos!$C$2:$M$967,9,FALSE()),"")</f>
        <v>VGSLN0011</v>
      </c>
      <c r="D520" s="46" t="str">
        <f>IFERROR(VLOOKUP($A520,Equipos!$C$2:$M$967,3,FALSE()),"")</f>
        <v>Medicina Materno Fetal</v>
      </c>
      <c r="E520" s="46" t="str">
        <f>IFERROR(VLOOKUP($A520,Equipos!$C$2:$M$967,7,FALSE()),"")</f>
        <v>Drager</v>
      </c>
      <c r="F520" s="46" t="str">
        <f>IFERROR(VLOOKUP($A520,Equipos!$C$2:$M$967,8,FALSE()),"")</f>
        <v>Vista 120</v>
      </c>
      <c r="G520" s="46" t="s">
        <v>298</v>
      </c>
      <c r="H520" s="46"/>
      <c r="I520" s="46"/>
      <c r="J520" s="46" t="s">
        <v>297</v>
      </c>
      <c r="K520" s="46" t="str">
        <f>IFERROR(VLOOKUP($J520,Catálogos!$M$4:$N$17,2,FALSE()),"")</f>
        <v>Mantención Preventiva Realizada</v>
      </c>
      <c r="L520" s="46"/>
      <c r="M520" s="46"/>
      <c r="N520" s="46"/>
      <c r="O520" s="46"/>
      <c r="P520" s="46"/>
      <c r="Q520" s="46"/>
    </row>
    <row r="521" spans="1:17" hidden="1" x14ac:dyDescent="0.25">
      <c r="A521" s="47" t="s">
        <v>600</v>
      </c>
      <c r="B521" s="46" t="str">
        <f>IFERROR(VLOOKUP($A521,Equipos!$C$2:$M$967,2,FALSE()),"")</f>
        <v>Monitor Multiparámetros</v>
      </c>
      <c r="C521" s="46" t="str">
        <f>IFERROR(VLOOKUP($A521,Equipos!$C$2:$M$967,9,FALSE()),"")</f>
        <v>5613543568</v>
      </c>
      <c r="D521" s="46" t="str">
        <f>IFERROR(VLOOKUP($A521,Equipos!$C$2:$M$967,3,FALSE()),"")</f>
        <v>Pabellón Quirúrgico</v>
      </c>
      <c r="E521" s="46" t="str">
        <f>IFERROR(VLOOKUP($A521,Equipos!$C$2:$M$967,7,FALSE()),"")</f>
        <v>Drager</v>
      </c>
      <c r="F521" s="46" t="str">
        <f>IFERROR(VLOOKUP($A521,Equipos!$C$2:$M$967,8,FALSE()),"")</f>
        <v>M540</v>
      </c>
      <c r="G521" s="46" t="s">
        <v>331</v>
      </c>
      <c r="H521" s="46"/>
      <c r="I521" s="46"/>
      <c r="J521" s="46" t="s">
        <v>297</v>
      </c>
      <c r="K521" s="46" t="str">
        <f>IFERROR(VLOOKUP($J521,Catálogos!$M$4:$N$17,2,FALSE()),"")</f>
        <v>Mantención Preventiva Realizada</v>
      </c>
      <c r="L521" s="46"/>
      <c r="M521" s="46"/>
      <c r="N521" s="46"/>
      <c r="O521" s="46"/>
      <c r="P521" s="46"/>
      <c r="Q521" s="46"/>
    </row>
    <row r="522" spans="1:17" hidden="1" x14ac:dyDescent="0.25">
      <c r="A522" s="47" t="s">
        <v>601</v>
      </c>
      <c r="B522" s="46" t="str">
        <f>IFERROR(VLOOKUP($A522,Equipos!$C$2:$M$967,2,FALSE()),"")</f>
        <v>Monitor Multiparámetros</v>
      </c>
      <c r="C522" s="46" t="str">
        <f>IFERROR(VLOOKUP($A522,Equipos!$C$2:$M$967,9,FALSE()),"")</f>
        <v>SNT19480100HA</v>
      </c>
      <c r="D522" s="46" t="str">
        <f>IFERROR(VLOOKUP($A522,Equipos!$C$2:$M$967,3,FALSE()),"")</f>
        <v>UPC 3er Piso</v>
      </c>
      <c r="E522" s="46" t="str">
        <f>IFERROR(VLOOKUP($A522,Equipos!$C$2:$M$967,7,FALSE()),"")</f>
        <v>General Electric</v>
      </c>
      <c r="F522" s="46" t="str">
        <f>IFERROR(VLOOKUP($A522,Equipos!$C$2:$M$967,8,FALSE()),"")</f>
        <v>B450</v>
      </c>
      <c r="G522" s="46" t="s">
        <v>298</v>
      </c>
      <c r="H522" s="46" t="s">
        <v>460</v>
      </c>
      <c r="I522" s="46"/>
      <c r="J522" s="46" t="s">
        <v>297</v>
      </c>
      <c r="K522" s="46" t="str">
        <f>IFERROR(VLOOKUP($J522,Catálogos!$M$4:$N$17,2,FALSE()),"")</f>
        <v>Mantención Preventiva Realizada</v>
      </c>
      <c r="L522" s="48">
        <v>46171</v>
      </c>
      <c r="M522" s="46" t="s">
        <v>461</v>
      </c>
      <c r="N522" s="46" t="s">
        <v>122</v>
      </c>
      <c r="O522" s="46"/>
      <c r="P522" s="46"/>
      <c r="Q522" s="46"/>
    </row>
    <row r="523" spans="1:17" hidden="1" x14ac:dyDescent="0.25">
      <c r="A523" s="47" t="s">
        <v>602</v>
      </c>
      <c r="B523" s="46" t="str">
        <f>IFERROR(VLOOKUP($A523,Equipos!$C$2:$M$967,2,FALSE()),"")</f>
        <v>Monitor Multiparámetros</v>
      </c>
      <c r="C523" s="46" t="str">
        <f>IFERROR(VLOOKUP($A523,Equipos!$C$2:$M$967,9,FALSE()),"")</f>
        <v>SNT19480103HA</v>
      </c>
      <c r="D523" s="46" t="str">
        <f>IFERROR(VLOOKUP($A523,Equipos!$C$2:$M$967,3,FALSE()),"")</f>
        <v>UPC Adulto</v>
      </c>
      <c r="E523" s="46" t="str">
        <f>IFERROR(VLOOKUP($A523,Equipos!$C$2:$M$967,7,FALSE()),"")</f>
        <v>General Electric</v>
      </c>
      <c r="F523" s="46" t="str">
        <f>IFERROR(VLOOKUP($A523,Equipos!$C$2:$M$967,8,FALSE()),"")</f>
        <v>B450</v>
      </c>
      <c r="G523" s="46" t="s">
        <v>298</v>
      </c>
      <c r="H523" s="46" t="s">
        <v>460</v>
      </c>
      <c r="I523" s="46"/>
      <c r="J523" s="46" t="s">
        <v>297</v>
      </c>
      <c r="K523" s="46" t="str">
        <f>IFERROR(VLOOKUP($J523,Catálogos!$M$4:$N$17,2,FALSE()),"")</f>
        <v>Mantención Preventiva Realizada</v>
      </c>
      <c r="L523" s="48">
        <v>46171</v>
      </c>
      <c r="M523" s="46" t="s">
        <v>461</v>
      </c>
      <c r="N523" s="46" t="s">
        <v>122</v>
      </c>
      <c r="O523" s="46"/>
      <c r="P523" s="46"/>
      <c r="Q523" s="46"/>
    </row>
    <row r="524" spans="1:17" hidden="1" x14ac:dyDescent="0.25">
      <c r="A524" s="47" t="s">
        <v>603</v>
      </c>
      <c r="B524" s="46" t="str">
        <f>IFERROR(VLOOKUP($A524,Equipos!$C$2:$M$967,2,FALSE()),"")</f>
        <v>Monitor Multiparámetros</v>
      </c>
      <c r="C524" s="46" t="str">
        <f>IFERROR(VLOOKUP($A524,Equipos!$C$2:$M$967,9,FALSE()),"")</f>
        <v>SP318493998WA</v>
      </c>
      <c r="D524" s="46" t="str">
        <f>IFERROR(VLOOKUP($A524,Equipos!$C$2:$M$967,3,FALSE()),"")</f>
        <v>Imagenología</v>
      </c>
      <c r="E524" s="46" t="str">
        <f>IFERROR(VLOOKUP($A524,Equipos!$C$2:$M$967,7,FALSE()),"")</f>
        <v>General Electric</v>
      </c>
      <c r="F524" s="46" t="str">
        <f>IFERROR(VLOOKUP($A524,Equipos!$C$2:$M$967,8,FALSE()),"")</f>
        <v>B105</v>
      </c>
      <c r="G524" s="46" t="s">
        <v>296</v>
      </c>
      <c r="H524" s="46"/>
      <c r="I524" s="46"/>
      <c r="J524" s="46" t="s">
        <v>323</v>
      </c>
      <c r="K524" s="46" t="str">
        <f>IFERROR(VLOOKUP($J524,Catálogos!$M$4:$N$17,2,FALSE()),"")</f>
        <v>Reprogramada · No disponibilidad de horas hombre del funcionario SEC por alta carga laboral</v>
      </c>
      <c r="L524" s="46"/>
      <c r="M524" s="46"/>
      <c r="N524" s="46"/>
      <c r="O524" s="46"/>
      <c r="P524" s="46"/>
      <c r="Q524" s="46"/>
    </row>
    <row r="525" spans="1:17" hidden="1" x14ac:dyDescent="0.25">
      <c r="A525" s="47" t="s">
        <v>603</v>
      </c>
      <c r="B525" s="46" t="str">
        <f>IFERROR(VLOOKUP($A525,Equipos!$C$2:$M$967,2,FALSE()),"")</f>
        <v>Monitor Multiparámetros</v>
      </c>
      <c r="C525" s="46" t="str">
        <f>IFERROR(VLOOKUP($A525,Equipos!$C$2:$M$967,9,FALSE()),"")</f>
        <v>SP318493998WA</v>
      </c>
      <c r="D525" s="46" t="str">
        <f>IFERROR(VLOOKUP($A525,Equipos!$C$2:$M$967,3,FALSE()),"")</f>
        <v>Imagenología</v>
      </c>
      <c r="E525" s="46" t="str">
        <f>IFERROR(VLOOKUP($A525,Equipos!$C$2:$M$967,7,FALSE()),"")</f>
        <v>General Electric</v>
      </c>
      <c r="F525" s="46" t="str">
        <f>IFERROR(VLOOKUP($A525,Equipos!$C$2:$M$967,8,FALSE()),"")</f>
        <v>B105</v>
      </c>
      <c r="G525" s="46" t="s">
        <v>316</v>
      </c>
      <c r="H525" s="46"/>
      <c r="I525" s="46"/>
      <c r="J525" s="46" t="s">
        <v>297</v>
      </c>
      <c r="K525" s="46" t="str">
        <f>IFERROR(VLOOKUP($J525,Catálogos!$M$4:$N$17,2,FALSE()),"")</f>
        <v>Mantención Preventiva Realizada</v>
      </c>
      <c r="L525" s="46"/>
      <c r="M525" s="46"/>
      <c r="N525" s="46"/>
      <c r="O525" s="46"/>
      <c r="P525" s="46"/>
      <c r="Q525" s="46"/>
    </row>
    <row r="526" spans="1:17" hidden="1" x14ac:dyDescent="0.25">
      <c r="A526" s="47" t="s">
        <v>604</v>
      </c>
      <c r="B526" s="46" t="str">
        <f>IFERROR(VLOOKUP($A526,Equipos!$C$2:$M$967,2,FALSE()),"")</f>
        <v>Monitor Multiparámetros</v>
      </c>
      <c r="C526" s="46" t="str">
        <f>IFERROR(VLOOKUP($A526,Equipos!$C$2:$M$967,9,FALSE()),"")</f>
        <v>SP318493999WA</v>
      </c>
      <c r="D526" s="46" t="str">
        <f>IFERROR(VLOOKUP($A526,Equipos!$C$2:$M$967,3,FALSE()),"")</f>
        <v>Imagenología</v>
      </c>
      <c r="E526" s="46" t="str">
        <f>IFERROR(VLOOKUP($A526,Equipos!$C$2:$M$967,7,FALSE()),"")</f>
        <v>General Electric</v>
      </c>
      <c r="F526" s="46" t="str">
        <f>IFERROR(VLOOKUP($A526,Equipos!$C$2:$M$967,8,FALSE()),"")</f>
        <v>B105</v>
      </c>
      <c r="G526" s="46" t="s">
        <v>296</v>
      </c>
      <c r="H526" s="46"/>
      <c r="I526" s="46"/>
      <c r="J526" s="46" t="s">
        <v>323</v>
      </c>
      <c r="K526" s="46" t="str">
        <f>IFERROR(VLOOKUP($J526,Catálogos!$M$4:$N$17,2,FALSE()),"")</f>
        <v>Reprogramada · No disponibilidad de horas hombre del funcionario SEC por alta carga laboral</v>
      </c>
      <c r="L526" s="46"/>
      <c r="M526" s="46"/>
      <c r="N526" s="46"/>
      <c r="O526" s="46"/>
      <c r="P526" s="46"/>
      <c r="Q526" s="46"/>
    </row>
    <row r="527" spans="1:17" hidden="1" x14ac:dyDescent="0.25">
      <c r="A527" s="47" t="s">
        <v>604</v>
      </c>
      <c r="B527" s="46" t="str">
        <f>IFERROR(VLOOKUP($A527,Equipos!$C$2:$M$967,2,FALSE()),"")</f>
        <v>Monitor Multiparámetros</v>
      </c>
      <c r="C527" s="46" t="str">
        <f>IFERROR(VLOOKUP($A527,Equipos!$C$2:$M$967,9,FALSE()),"")</f>
        <v>SP318493999WA</v>
      </c>
      <c r="D527" s="46" t="str">
        <f>IFERROR(VLOOKUP($A527,Equipos!$C$2:$M$967,3,FALSE()),"")</f>
        <v>Imagenología</v>
      </c>
      <c r="E527" s="46" t="str">
        <f>IFERROR(VLOOKUP($A527,Equipos!$C$2:$M$967,7,FALSE()),"")</f>
        <v>General Electric</v>
      </c>
      <c r="F527" s="46" t="str">
        <f>IFERROR(VLOOKUP($A527,Equipos!$C$2:$M$967,8,FALSE()),"")</f>
        <v>B105</v>
      </c>
      <c r="G527" s="46" t="s">
        <v>316</v>
      </c>
      <c r="H527" s="46"/>
      <c r="I527" s="46"/>
      <c r="J527" s="46" t="s">
        <v>297</v>
      </c>
      <c r="K527" s="46" t="str">
        <f>IFERROR(VLOOKUP($J527,Catálogos!$M$4:$N$17,2,FALSE()),"")</f>
        <v>Mantención Preventiva Realizada</v>
      </c>
      <c r="L527" s="46"/>
      <c r="M527" s="46"/>
      <c r="N527" s="46"/>
      <c r="O527" s="46"/>
      <c r="P527" s="46"/>
      <c r="Q527" s="46"/>
    </row>
    <row r="528" spans="1:17" hidden="1" x14ac:dyDescent="0.25">
      <c r="A528" s="47" t="s">
        <v>605</v>
      </c>
      <c r="B528" s="46" t="str">
        <f>IFERROR(VLOOKUP($A528,Equipos!$C$2:$M$967,2,FALSE()),"")</f>
        <v>Monitor Multiparámetros</v>
      </c>
      <c r="C528" s="46" t="str">
        <f>IFERROR(VLOOKUP($A528,Equipos!$C$2:$M$967,9,FALSE()),"")</f>
        <v>SP318494009WA</v>
      </c>
      <c r="D528" s="46" t="str">
        <f>IFERROR(VLOOKUP($A528,Equipos!$C$2:$M$967,3,FALSE()),"")</f>
        <v>Imagenología</v>
      </c>
      <c r="E528" s="46" t="str">
        <f>IFERROR(VLOOKUP($A528,Equipos!$C$2:$M$967,7,FALSE()),"")</f>
        <v>General Electric</v>
      </c>
      <c r="F528" s="46" t="str">
        <f>IFERROR(VLOOKUP($A528,Equipos!$C$2:$M$967,8,FALSE()),"")</f>
        <v>B105</v>
      </c>
      <c r="G528" s="46" t="s">
        <v>296</v>
      </c>
      <c r="H528" s="46"/>
      <c r="I528" s="46"/>
      <c r="J528" s="46" t="s">
        <v>323</v>
      </c>
      <c r="K528" s="46" t="str">
        <f>IFERROR(VLOOKUP($J528,Catálogos!$M$4:$N$17,2,FALSE()),"")</f>
        <v>Reprogramada · No disponibilidad de horas hombre del funcionario SEC por alta carga laboral</v>
      </c>
      <c r="L528" s="46"/>
      <c r="M528" s="46"/>
      <c r="N528" s="46"/>
      <c r="O528" s="46"/>
      <c r="P528" s="46"/>
      <c r="Q528" s="46"/>
    </row>
    <row r="529" spans="1:17" hidden="1" x14ac:dyDescent="0.25">
      <c r="A529" s="47" t="s">
        <v>605</v>
      </c>
      <c r="B529" s="46" t="str">
        <f>IFERROR(VLOOKUP($A529,Equipos!$C$2:$M$967,2,FALSE()),"")</f>
        <v>Monitor Multiparámetros</v>
      </c>
      <c r="C529" s="46" t="str">
        <f>IFERROR(VLOOKUP($A529,Equipos!$C$2:$M$967,9,FALSE()),"")</f>
        <v>SP318494009WA</v>
      </c>
      <c r="D529" s="46" t="str">
        <f>IFERROR(VLOOKUP($A529,Equipos!$C$2:$M$967,3,FALSE()),"")</f>
        <v>Imagenología</v>
      </c>
      <c r="E529" s="46" t="str">
        <f>IFERROR(VLOOKUP($A529,Equipos!$C$2:$M$967,7,FALSE()),"")</f>
        <v>General Electric</v>
      </c>
      <c r="F529" s="46" t="str">
        <f>IFERROR(VLOOKUP($A529,Equipos!$C$2:$M$967,8,FALSE()),"")</f>
        <v>B105</v>
      </c>
      <c r="G529" s="46" t="s">
        <v>316</v>
      </c>
      <c r="H529" s="46"/>
      <c r="I529" s="46"/>
      <c r="J529" s="46" t="s">
        <v>297</v>
      </c>
      <c r="K529" s="46" t="str">
        <f>IFERROR(VLOOKUP($J529,Catálogos!$M$4:$N$17,2,FALSE()),"")</f>
        <v>Mantención Preventiva Realizada</v>
      </c>
      <c r="L529" s="46"/>
      <c r="M529" s="46"/>
      <c r="N529" s="46"/>
      <c r="O529" s="46"/>
      <c r="P529" s="46"/>
      <c r="Q529" s="46"/>
    </row>
    <row r="530" spans="1:17" hidden="1" x14ac:dyDescent="0.25">
      <c r="A530" s="47" t="s">
        <v>606</v>
      </c>
      <c r="B530" s="46" t="str">
        <f>IFERROR(VLOOKUP($A530,Equipos!$C$2:$M$967,2,FALSE()),"")</f>
        <v>Monitor Multiparámetros</v>
      </c>
      <c r="C530" s="46" t="str">
        <f>IFERROR(VLOOKUP($A530,Equipos!$C$2:$M$967,9,FALSE()),"")</f>
        <v>SP318494018WA</v>
      </c>
      <c r="D530" s="46" t="str">
        <f>IFERROR(VLOOKUP($A530,Equipos!$C$2:$M$967,3,FALSE()),"")</f>
        <v>Imagenología</v>
      </c>
      <c r="E530" s="46" t="str">
        <f>IFERROR(VLOOKUP($A530,Equipos!$C$2:$M$967,7,FALSE()),"")</f>
        <v>General Electric</v>
      </c>
      <c r="F530" s="46" t="str">
        <f>IFERROR(VLOOKUP($A530,Equipos!$C$2:$M$967,8,FALSE()),"")</f>
        <v>B105</v>
      </c>
      <c r="G530" s="46" t="s">
        <v>296</v>
      </c>
      <c r="H530" s="46"/>
      <c r="I530" s="46"/>
      <c r="J530" s="46" t="s">
        <v>323</v>
      </c>
      <c r="K530" s="46" t="str">
        <f>IFERROR(VLOOKUP($J530,Catálogos!$M$4:$N$17,2,FALSE()),"")</f>
        <v>Reprogramada · No disponibilidad de horas hombre del funcionario SEC por alta carga laboral</v>
      </c>
      <c r="L530" s="46"/>
      <c r="M530" s="46"/>
      <c r="N530" s="46"/>
      <c r="O530" s="46"/>
      <c r="P530" s="46"/>
      <c r="Q530" s="46"/>
    </row>
    <row r="531" spans="1:17" hidden="1" x14ac:dyDescent="0.25">
      <c r="A531" s="47" t="s">
        <v>606</v>
      </c>
      <c r="B531" s="46" t="str">
        <f>IFERROR(VLOOKUP($A531,Equipos!$C$2:$M$967,2,FALSE()),"")</f>
        <v>Monitor Multiparámetros</v>
      </c>
      <c r="C531" s="46" t="str">
        <f>IFERROR(VLOOKUP($A531,Equipos!$C$2:$M$967,9,FALSE()),"")</f>
        <v>SP318494018WA</v>
      </c>
      <c r="D531" s="46" t="str">
        <f>IFERROR(VLOOKUP($A531,Equipos!$C$2:$M$967,3,FALSE()),"")</f>
        <v>Imagenología</v>
      </c>
      <c r="E531" s="46" t="str">
        <f>IFERROR(VLOOKUP($A531,Equipos!$C$2:$M$967,7,FALSE()),"")</f>
        <v>General Electric</v>
      </c>
      <c r="F531" s="46" t="str">
        <f>IFERROR(VLOOKUP($A531,Equipos!$C$2:$M$967,8,FALSE()),"")</f>
        <v>B105</v>
      </c>
      <c r="G531" s="46" t="s">
        <v>316</v>
      </c>
      <c r="H531" s="46"/>
      <c r="I531" s="46"/>
      <c r="J531" s="46" t="s">
        <v>297</v>
      </c>
      <c r="K531" s="46" t="str">
        <f>IFERROR(VLOOKUP($J531,Catálogos!$M$4:$N$17,2,FALSE()),"")</f>
        <v>Mantención Preventiva Realizada</v>
      </c>
      <c r="L531" s="46"/>
      <c r="M531" s="46"/>
      <c r="N531" s="46"/>
      <c r="O531" s="46"/>
      <c r="P531" s="46"/>
      <c r="Q531" s="46"/>
    </row>
    <row r="532" spans="1:17" hidden="1" x14ac:dyDescent="0.25">
      <c r="A532" s="47" t="s">
        <v>607</v>
      </c>
      <c r="B532" s="46" t="str">
        <f>IFERROR(VLOOKUP($A532,Equipos!$C$2:$M$967,2,FALSE()),"")</f>
        <v>Monitor Multiparámetros</v>
      </c>
      <c r="C532" s="46" t="str">
        <f>IFERROR(VLOOKUP($A532,Equipos!$C$2:$M$967,9,FALSE()),"")</f>
        <v>0100645</v>
      </c>
      <c r="D532" s="46" t="str">
        <f>IFERROR(VLOOKUP($A532,Equipos!$C$2:$M$967,3,FALSE()),"")</f>
        <v>Urgencia Adulto</v>
      </c>
      <c r="E532" s="46" t="str">
        <f>IFERROR(VLOOKUP($A532,Equipos!$C$2:$M$967,7,FALSE()),"")</f>
        <v xml:space="preserve">Nihon Kohden </v>
      </c>
      <c r="F532" s="46" t="str">
        <f>IFERROR(VLOOKUP($A532,Equipos!$C$2:$M$967,8,FALSE()),"")</f>
        <v>PVM-2701K</v>
      </c>
      <c r="G532" s="46" t="s">
        <v>316</v>
      </c>
      <c r="H532" s="46"/>
      <c r="I532" s="46"/>
      <c r="J532" s="46" t="s">
        <v>297</v>
      </c>
      <c r="K532" s="46" t="str">
        <f>IFERROR(VLOOKUP($J532,Catálogos!$M$4:$N$17,2,FALSE()),"")</f>
        <v>Mantención Preventiva Realizada</v>
      </c>
      <c r="L532" s="46"/>
      <c r="M532" s="46"/>
      <c r="N532" s="46"/>
      <c r="O532" s="46"/>
      <c r="P532" s="46"/>
      <c r="Q532" s="46"/>
    </row>
    <row r="533" spans="1:17" hidden="1" x14ac:dyDescent="0.25">
      <c r="A533" s="47" t="s">
        <v>608</v>
      </c>
      <c r="B533" s="46" t="str">
        <f>IFERROR(VLOOKUP($A533,Equipos!$C$2:$M$967,2,FALSE()),"")</f>
        <v>Monitor Multiparámetros</v>
      </c>
      <c r="C533" s="46" t="str">
        <f>IFERROR(VLOOKUP($A533,Equipos!$C$2:$M$967,9,FALSE()),"")</f>
        <v>0100638.</v>
      </c>
      <c r="D533" s="46" t="str">
        <f>IFERROR(VLOOKUP($A533,Equipos!$C$2:$M$967,3,FALSE()),"")</f>
        <v>Urgencia Infantil</v>
      </c>
      <c r="E533" s="46" t="str">
        <f>IFERROR(VLOOKUP($A533,Equipos!$C$2:$M$967,7,FALSE()),"")</f>
        <v xml:space="preserve">Nihon Kohden </v>
      </c>
      <c r="F533" s="46" t="str">
        <f>IFERROR(VLOOKUP($A533,Equipos!$C$2:$M$967,8,FALSE()),"")</f>
        <v>PVM-2701K</v>
      </c>
      <c r="G533" s="46" t="s">
        <v>316</v>
      </c>
      <c r="H533" s="46"/>
      <c r="I533" s="46"/>
      <c r="J533" s="46" t="s">
        <v>297</v>
      </c>
      <c r="K533" s="46" t="str">
        <f>IFERROR(VLOOKUP($J533,Catálogos!$M$4:$N$17,2,FALSE()),"")</f>
        <v>Mantención Preventiva Realizada</v>
      </c>
      <c r="L533" s="46"/>
      <c r="M533" s="46"/>
      <c r="N533" s="46"/>
      <c r="O533" s="46"/>
      <c r="P533" s="46"/>
      <c r="Q533" s="46"/>
    </row>
    <row r="534" spans="1:17" hidden="1" x14ac:dyDescent="0.25">
      <c r="A534" s="47" t="s">
        <v>609</v>
      </c>
      <c r="B534" s="46" t="str">
        <f>IFERROR(VLOOKUP($A534,Equipos!$C$2:$M$967,2,FALSE()),"")</f>
        <v>Monitor Multiparámetros</v>
      </c>
      <c r="C534" s="46" t="str">
        <f>IFERROR(VLOOKUP($A534,Equipos!$C$2:$M$967,9,FALSE()),"")</f>
        <v>0100643</v>
      </c>
      <c r="D534" s="46" t="str">
        <f>IFERROR(VLOOKUP($A534,Equipos!$C$2:$M$967,3,FALSE()),"")</f>
        <v>Urgencia Adulto</v>
      </c>
      <c r="E534" s="46" t="str">
        <f>IFERROR(VLOOKUP($A534,Equipos!$C$2:$M$967,7,FALSE()),"")</f>
        <v xml:space="preserve">Nihon Kohden </v>
      </c>
      <c r="F534" s="46" t="str">
        <f>IFERROR(VLOOKUP($A534,Equipos!$C$2:$M$967,8,FALSE()),"")</f>
        <v>PVM-2701K</v>
      </c>
      <c r="G534" s="46" t="s">
        <v>316</v>
      </c>
      <c r="H534" s="46"/>
      <c r="I534" s="46"/>
      <c r="J534" s="46" t="s">
        <v>416</v>
      </c>
      <c r="K534" s="46" t="str">
        <f>IFERROR(VLOOKUP($J534,Catálogos!$M$4:$N$17,2,FALSE()),"")</f>
        <v>Mantención de Año Anterior Realizada</v>
      </c>
      <c r="L534" s="46"/>
      <c r="M534" s="46"/>
      <c r="N534" s="46"/>
      <c r="O534" s="46"/>
      <c r="P534" s="46"/>
      <c r="Q534" s="46"/>
    </row>
    <row r="535" spans="1:17" hidden="1" x14ac:dyDescent="0.25">
      <c r="A535" s="47" t="s">
        <v>610</v>
      </c>
      <c r="B535" s="46" t="str">
        <f>IFERROR(VLOOKUP($A535,Equipos!$C$2:$M$967,2,FALSE()),"")</f>
        <v>Monitor Multiparámetros</v>
      </c>
      <c r="C535" s="46" t="str">
        <f>IFERROR(VLOOKUP($A535,Equipos!$C$2:$M$967,9,FALSE()),"")</f>
        <v>0100647.</v>
      </c>
      <c r="D535" s="46" t="str">
        <f>IFERROR(VLOOKUP($A535,Equipos!$C$2:$M$967,3,FALSE()),"")</f>
        <v>Urgencia Infantil</v>
      </c>
      <c r="E535" s="46" t="str">
        <f>IFERROR(VLOOKUP($A535,Equipos!$C$2:$M$967,7,FALSE()),"")</f>
        <v xml:space="preserve">Nihon Kohden </v>
      </c>
      <c r="F535" s="46" t="str">
        <f>IFERROR(VLOOKUP($A535,Equipos!$C$2:$M$967,8,FALSE()),"")</f>
        <v>PVM-2701K</v>
      </c>
      <c r="G535" s="46" t="s">
        <v>316</v>
      </c>
      <c r="H535" s="46"/>
      <c r="I535" s="46"/>
      <c r="J535" s="46" t="s">
        <v>297</v>
      </c>
      <c r="K535" s="46" t="str">
        <f>IFERROR(VLOOKUP($J535,Catálogos!$M$4:$N$17,2,FALSE()),"")</f>
        <v>Mantención Preventiva Realizada</v>
      </c>
      <c r="L535" s="46"/>
      <c r="M535" s="46"/>
      <c r="N535" s="46"/>
      <c r="O535" s="46"/>
      <c r="P535" s="46"/>
      <c r="Q535" s="46"/>
    </row>
    <row r="536" spans="1:17" hidden="1" x14ac:dyDescent="0.25">
      <c r="A536" s="47" t="s">
        <v>611</v>
      </c>
      <c r="B536" s="46" t="str">
        <f>IFERROR(VLOOKUP($A536,Equipos!$C$2:$M$967,2,FALSE()),"")</f>
        <v>Monitor Multiparámetros</v>
      </c>
      <c r="C536" s="46" t="str">
        <f>IFERROR(VLOOKUP($A536,Equipos!$C$2:$M$967,9,FALSE()),"")</f>
        <v>AC5-43007991</v>
      </c>
      <c r="D536" s="46" t="str">
        <f>IFERROR(VLOOKUP($A536,Equipos!$C$2:$M$967,3,FALSE()),"")</f>
        <v>Pediatría</v>
      </c>
      <c r="E536" s="46" t="str">
        <f>IFERROR(VLOOKUP($A536,Equipos!$C$2:$M$967,7,FALSE()),"")</f>
        <v>Mindray</v>
      </c>
      <c r="F536" s="46" t="str">
        <f>IFERROR(VLOOKUP($A536,Equipos!$C$2:$M$967,8,FALSE()),"")</f>
        <v>EPM 15 Compact</v>
      </c>
      <c r="G536" s="46" t="s">
        <v>296</v>
      </c>
      <c r="H536" s="46"/>
      <c r="I536" s="46"/>
      <c r="J536" s="46" t="s">
        <v>323</v>
      </c>
      <c r="K536" s="46" t="str">
        <f>IFERROR(VLOOKUP($J536,Catálogos!$M$4:$N$17,2,FALSE()),"")</f>
        <v>Reprogramada · No disponibilidad de horas hombre del funcionario SEC por alta carga laboral</v>
      </c>
      <c r="L536" s="46"/>
      <c r="M536" s="46"/>
      <c r="N536" s="46"/>
      <c r="O536" s="46"/>
      <c r="P536" s="46"/>
      <c r="Q536" s="46"/>
    </row>
    <row r="537" spans="1:17" hidden="1" x14ac:dyDescent="0.25">
      <c r="A537" s="47" t="s">
        <v>611</v>
      </c>
      <c r="B537" s="46" t="str">
        <f>IFERROR(VLOOKUP($A537,Equipos!$C$2:$M$967,2,FALSE()),"")</f>
        <v>Monitor Multiparámetros</v>
      </c>
      <c r="C537" s="46" t="str">
        <f>IFERROR(VLOOKUP($A537,Equipos!$C$2:$M$967,9,FALSE()),"")</f>
        <v>AC5-43007991</v>
      </c>
      <c r="D537" s="46" t="str">
        <f>IFERROR(VLOOKUP($A537,Equipos!$C$2:$M$967,3,FALSE()),"")</f>
        <v>Pediatría</v>
      </c>
      <c r="E537" s="46" t="str">
        <f>IFERROR(VLOOKUP($A537,Equipos!$C$2:$M$967,7,FALSE()),"")</f>
        <v>Mindray</v>
      </c>
      <c r="F537" s="46" t="str">
        <f>IFERROR(VLOOKUP($A537,Equipos!$C$2:$M$967,8,FALSE()),"")</f>
        <v>EPM 15 Compact</v>
      </c>
      <c r="G537" s="46" t="s">
        <v>316</v>
      </c>
      <c r="H537" s="46"/>
      <c r="I537" s="46"/>
      <c r="J537" s="46" t="s">
        <v>297</v>
      </c>
      <c r="K537" s="46" t="str">
        <f>IFERROR(VLOOKUP($J537,Catálogos!$M$4:$N$17,2,FALSE()),"")</f>
        <v>Mantención Preventiva Realizada</v>
      </c>
      <c r="L537" s="46"/>
      <c r="M537" s="46"/>
      <c r="N537" s="46"/>
      <c r="O537" s="46"/>
      <c r="P537" s="46"/>
      <c r="Q537" s="46"/>
    </row>
    <row r="538" spans="1:17" hidden="1" x14ac:dyDescent="0.25">
      <c r="A538" s="47" t="s">
        <v>612</v>
      </c>
      <c r="B538" s="46" t="str">
        <f>IFERROR(VLOOKUP($A538,Equipos!$C$2:$M$967,2,FALSE()),"")</f>
        <v>Monitor Multiparámetros</v>
      </c>
      <c r="C538" s="46" t="str">
        <f>IFERROR(VLOOKUP($A538,Equipos!$C$2:$M$967,9,FALSE()),"")</f>
        <v>0100653</v>
      </c>
      <c r="D538" s="46" t="str">
        <f>IFERROR(VLOOKUP($A538,Equipos!$C$2:$M$967,3,FALSE()),"")</f>
        <v>Urgencia Adulto</v>
      </c>
      <c r="E538" s="46" t="str">
        <f>IFERROR(VLOOKUP($A538,Equipos!$C$2:$M$967,7,FALSE()),"")</f>
        <v xml:space="preserve">Nihon Kohden </v>
      </c>
      <c r="F538" s="46" t="str">
        <f>IFERROR(VLOOKUP($A538,Equipos!$C$2:$M$967,8,FALSE()),"")</f>
        <v>PVM-2701K</v>
      </c>
      <c r="G538" s="46" t="s">
        <v>316</v>
      </c>
      <c r="H538" s="46"/>
      <c r="I538" s="46"/>
      <c r="J538" s="46" t="s">
        <v>297</v>
      </c>
      <c r="K538" s="46" t="str">
        <f>IFERROR(VLOOKUP($J538,Catálogos!$M$4:$N$17,2,FALSE()),"")</f>
        <v>Mantención Preventiva Realizada</v>
      </c>
      <c r="L538" s="46"/>
      <c r="M538" s="46"/>
      <c r="N538" s="46"/>
      <c r="O538" s="46"/>
      <c r="P538" s="46"/>
      <c r="Q538" s="46"/>
    </row>
    <row r="539" spans="1:17" hidden="1" x14ac:dyDescent="0.25">
      <c r="A539" s="47" t="s">
        <v>613</v>
      </c>
      <c r="B539" s="46" t="str">
        <f>IFERROR(VLOOKUP($A539,Equipos!$C$2:$M$967,2,FALSE()),"")</f>
        <v>Monitor Multiparámetros</v>
      </c>
      <c r="C539" s="46" t="str">
        <f>IFERROR(VLOOKUP($A539,Equipos!$C$2:$M$967,9,FALSE()),"")</f>
        <v>0100659.</v>
      </c>
      <c r="D539" s="46" t="str">
        <f>IFERROR(VLOOKUP($A539,Equipos!$C$2:$M$967,3,FALSE()),"")</f>
        <v>Urgencia Infantil</v>
      </c>
      <c r="E539" s="46" t="str">
        <f>IFERROR(VLOOKUP($A539,Equipos!$C$2:$M$967,7,FALSE()),"")</f>
        <v xml:space="preserve">Nihon Kohden </v>
      </c>
      <c r="F539" s="46" t="str">
        <f>IFERROR(VLOOKUP($A539,Equipos!$C$2:$M$967,8,FALSE()),"")</f>
        <v>PVM-2701K</v>
      </c>
      <c r="G539" s="46" t="s">
        <v>316</v>
      </c>
      <c r="H539" s="46"/>
      <c r="I539" s="46"/>
      <c r="J539" s="46" t="s">
        <v>297</v>
      </c>
      <c r="K539" s="46" t="str">
        <f>IFERROR(VLOOKUP($J539,Catálogos!$M$4:$N$17,2,FALSE()),"")</f>
        <v>Mantención Preventiva Realizada</v>
      </c>
      <c r="L539" s="46"/>
      <c r="M539" s="46"/>
      <c r="N539" s="46"/>
      <c r="O539" s="46"/>
      <c r="P539" s="46"/>
      <c r="Q539" s="46"/>
    </row>
    <row r="540" spans="1:17" hidden="1" x14ac:dyDescent="0.25">
      <c r="A540" s="47" t="s">
        <v>614</v>
      </c>
      <c r="B540" s="46" t="str">
        <f>IFERROR(VLOOKUP($A540,Equipos!$C$2:$M$967,2,FALSE()),"")</f>
        <v>Monitor Multiparámetros</v>
      </c>
      <c r="C540" s="46" t="str">
        <f>IFERROR(VLOOKUP($A540,Equipos!$C$2:$M$967,9,FALSE()),"")</f>
        <v>0100641</v>
      </c>
      <c r="D540" s="46" t="str">
        <f>IFERROR(VLOOKUP($A540,Equipos!$C$2:$M$967,3,FALSE()),"")</f>
        <v>Urgencia Adulto</v>
      </c>
      <c r="E540" s="46" t="str">
        <f>IFERROR(VLOOKUP($A540,Equipos!$C$2:$M$967,7,FALSE()),"")</f>
        <v xml:space="preserve">Nihon Kohden </v>
      </c>
      <c r="F540" s="46" t="str">
        <f>IFERROR(VLOOKUP($A540,Equipos!$C$2:$M$967,8,FALSE()),"")</f>
        <v>PVM-2701K</v>
      </c>
      <c r="G540" s="46" t="s">
        <v>316</v>
      </c>
      <c r="H540" s="46"/>
      <c r="I540" s="46"/>
      <c r="J540" s="46" t="s">
        <v>297</v>
      </c>
      <c r="K540" s="46" t="str">
        <f>IFERROR(VLOOKUP($J540,Catálogos!$M$4:$N$17,2,FALSE()),"")</f>
        <v>Mantención Preventiva Realizada</v>
      </c>
      <c r="L540" s="46"/>
      <c r="M540" s="46"/>
      <c r="N540" s="46"/>
      <c r="O540" s="46"/>
      <c r="P540" s="46"/>
      <c r="Q540" s="46"/>
    </row>
    <row r="541" spans="1:17" hidden="1" x14ac:dyDescent="0.25">
      <c r="A541" s="47" t="s">
        <v>615</v>
      </c>
      <c r="B541" s="46" t="str">
        <f>IFERROR(VLOOKUP($A541,Equipos!$C$2:$M$967,2,FALSE()),"")</f>
        <v>Monitor Multiparámetros</v>
      </c>
      <c r="C541" s="46" t="str">
        <f>IFERROR(VLOOKUP($A541,Equipos!$C$2:$M$967,9,FALSE()),"")</f>
        <v>0100658</v>
      </c>
      <c r="D541" s="46" t="str">
        <f>IFERROR(VLOOKUP($A541,Equipos!$C$2:$M$967,3,FALSE()),"")</f>
        <v>Urgencia Adulto</v>
      </c>
      <c r="E541" s="46" t="str">
        <f>IFERROR(VLOOKUP($A541,Equipos!$C$2:$M$967,7,FALSE()),"")</f>
        <v xml:space="preserve">Nihon Kohden </v>
      </c>
      <c r="F541" s="46" t="str">
        <f>IFERROR(VLOOKUP($A541,Equipos!$C$2:$M$967,8,FALSE()),"")</f>
        <v>PVM-2701K</v>
      </c>
      <c r="G541" s="46" t="s">
        <v>335</v>
      </c>
      <c r="H541" s="46"/>
      <c r="I541" s="46"/>
      <c r="J541" s="46" t="s">
        <v>476</v>
      </c>
      <c r="K541" s="46" t="str">
        <f>IFERROR(VLOOKUP($J541,Catálogos!$M$4:$N$17,2,FALSE()),"")</f>
        <v>No Realizada</v>
      </c>
      <c r="L541" s="46"/>
      <c r="M541" s="46"/>
      <c r="N541" s="46"/>
      <c r="O541" s="46"/>
      <c r="P541" s="46"/>
      <c r="Q541" s="46"/>
    </row>
    <row r="542" spans="1:17" hidden="1" x14ac:dyDescent="0.25">
      <c r="A542" s="47" t="s">
        <v>615</v>
      </c>
      <c r="B542" s="46" t="str">
        <f>IFERROR(VLOOKUP($A542,Equipos!$C$2:$M$967,2,FALSE()),"")</f>
        <v>Monitor Multiparámetros</v>
      </c>
      <c r="C542" s="46" t="str">
        <f>IFERROR(VLOOKUP($A542,Equipos!$C$2:$M$967,9,FALSE()),"")</f>
        <v>0100658</v>
      </c>
      <c r="D542" s="46" t="str">
        <f>IFERROR(VLOOKUP($A542,Equipos!$C$2:$M$967,3,FALSE()),"")</f>
        <v>Urgencia Adulto</v>
      </c>
      <c r="E542" s="46" t="str">
        <f>IFERROR(VLOOKUP($A542,Equipos!$C$2:$M$967,7,FALSE()),"")</f>
        <v xml:space="preserve">Nihon Kohden </v>
      </c>
      <c r="F542" s="46" t="str">
        <f>IFERROR(VLOOKUP($A542,Equipos!$C$2:$M$967,8,FALSE()),"")</f>
        <v>PVM-2701K</v>
      </c>
      <c r="G542" s="46" t="s">
        <v>316</v>
      </c>
      <c r="H542" s="46"/>
      <c r="I542" s="46"/>
      <c r="J542" s="46" t="s">
        <v>278</v>
      </c>
      <c r="K542" s="46" t="str">
        <f>IFERROR(VLOOKUP($J542,Catálogos!$M$4:$N$17,2,FALSE()),"")</f>
        <v>Reprogramada · Equipo en servicio técnico</v>
      </c>
      <c r="L542" s="46"/>
      <c r="M542" s="46"/>
      <c r="N542" s="46"/>
      <c r="O542" s="46"/>
      <c r="P542" s="46"/>
      <c r="Q542" s="46"/>
    </row>
    <row r="543" spans="1:17" hidden="1" x14ac:dyDescent="0.25">
      <c r="A543" s="47" t="s">
        <v>616</v>
      </c>
      <c r="B543" s="46" t="str">
        <f>IFERROR(VLOOKUP($A543,Equipos!$C$2:$M$967,2,FALSE()),"")</f>
        <v>Monitor Multiparámetros</v>
      </c>
      <c r="C543" s="46" t="str">
        <f>IFERROR(VLOOKUP($A543,Equipos!$C$2:$M$967,9,FALSE()),"")</f>
        <v>1393-109303</v>
      </c>
      <c r="D543" s="46" t="str">
        <f>IFERROR(VLOOKUP($A543,Equipos!$C$2:$M$967,3,FALSE()),"")</f>
        <v>UPC Pediátrica</v>
      </c>
      <c r="E543" s="46" t="str">
        <f>IFERROR(VLOOKUP($A543,Equipos!$C$2:$M$967,7,FALSE()),"")</f>
        <v>SPACELABS HEALTHCARE</v>
      </c>
      <c r="F543" s="46" t="str">
        <f>IFERROR(VLOOKUP($A543,Equipos!$C$2:$M$967,8,FALSE()),"")</f>
        <v>XPREZZON</v>
      </c>
      <c r="G543" s="46" t="s">
        <v>335</v>
      </c>
      <c r="H543" s="46"/>
      <c r="I543" s="46"/>
      <c r="J543" s="46" t="s">
        <v>315</v>
      </c>
      <c r="K543" s="46" t="str">
        <f>IFERROR(VLOOKUP($J543,Catálogos!$M$4:$N$17,2,FALSE()),"")</f>
        <v>Reprogramada · Ausencia justificada del funcionario SEC superior a 15 días</v>
      </c>
      <c r="L543" s="46"/>
      <c r="M543" s="46"/>
      <c r="N543" s="46"/>
      <c r="O543" s="46"/>
      <c r="P543" s="46"/>
      <c r="Q543" s="46"/>
    </row>
    <row r="544" spans="1:17" hidden="1" x14ac:dyDescent="0.25">
      <c r="A544" s="47" t="s">
        <v>616</v>
      </c>
      <c r="B544" s="46" t="str">
        <f>IFERROR(VLOOKUP($A544,Equipos!$C$2:$M$967,2,FALSE()),"")</f>
        <v>Monitor Multiparámetros</v>
      </c>
      <c r="C544" s="46" t="str">
        <f>IFERROR(VLOOKUP($A544,Equipos!$C$2:$M$967,9,FALSE()),"")</f>
        <v>1393-109303</v>
      </c>
      <c r="D544" s="46" t="str">
        <f>IFERROR(VLOOKUP($A544,Equipos!$C$2:$M$967,3,FALSE()),"")</f>
        <v>UPC Pediátrica</v>
      </c>
      <c r="E544" s="46" t="str">
        <f>IFERROR(VLOOKUP($A544,Equipos!$C$2:$M$967,7,FALSE()),"")</f>
        <v>SPACELABS HEALTHCARE</v>
      </c>
      <c r="F544" s="46" t="str">
        <f>IFERROR(VLOOKUP($A544,Equipos!$C$2:$M$967,8,FALSE()),"")</f>
        <v>XPREZZON</v>
      </c>
      <c r="G544" s="46" t="s">
        <v>296</v>
      </c>
      <c r="H544" s="46"/>
      <c r="I544" s="46"/>
      <c r="J544" s="46" t="s">
        <v>297</v>
      </c>
      <c r="K544" s="46" t="str">
        <f>IFERROR(VLOOKUP($J544,Catálogos!$M$4:$N$17,2,FALSE()),"")</f>
        <v>Mantención Preventiva Realizada</v>
      </c>
      <c r="L544" s="46"/>
      <c r="M544" s="46"/>
      <c r="N544" s="46"/>
      <c r="O544" s="46"/>
      <c r="P544" s="46"/>
      <c r="Q544" s="46"/>
    </row>
    <row r="545" spans="1:17" hidden="1" x14ac:dyDescent="0.25">
      <c r="A545" s="47" t="s">
        <v>617</v>
      </c>
      <c r="B545" s="46" t="str">
        <f>IFERROR(VLOOKUP($A545,Equipos!$C$2:$M$967,2,FALSE()),"")</f>
        <v>Monitor Multiparámetros</v>
      </c>
      <c r="C545" s="46" t="str">
        <f>IFERROR(VLOOKUP($A545,Equipos!$C$2:$M$967,9,FALSE()),"")</f>
        <v>0100650</v>
      </c>
      <c r="D545" s="46" t="str">
        <f>IFERROR(VLOOKUP($A545,Equipos!$C$2:$M$967,3,FALSE()),"")</f>
        <v>Urgencia Adulto</v>
      </c>
      <c r="E545" s="46" t="str">
        <f>IFERROR(VLOOKUP($A545,Equipos!$C$2:$M$967,7,FALSE()),"")</f>
        <v xml:space="preserve">Nihon Kohden </v>
      </c>
      <c r="F545" s="46" t="str">
        <f>IFERROR(VLOOKUP($A545,Equipos!$C$2:$M$967,8,FALSE()),"")</f>
        <v>PVM-2701K</v>
      </c>
      <c r="G545" s="46" t="s">
        <v>316</v>
      </c>
      <c r="H545" s="46"/>
      <c r="I545" s="46"/>
      <c r="J545" s="46" t="s">
        <v>297</v>
      </c>
      <c r="K545" s="46" t="str">
        <f>IFERROR(VLOOKUP($J545,Catálogos!$M$4:$N$17,2,FALSE()),"")</f>
        <v>Mantención Preventiva Realizada</v>
      </c>
      <c r="L545" s="46"/>
      <c r="M545" s="46"/>
      <c r="N545" s="46"/>
      <c r="O545" s="46"/>
      <c r="P545" s="46"/>
      <c r="Q545" s="46"/>
    </row>
    <row r="546" spans="1:17" hidden="1" x14ac:dyDescent="0.25">
      <c r="A546" s="47" t="s">
        <v>618</v>
      </c>
      <c r="B546" s="46" t="str">
        <f>IFERROR(VLOOKUP($A546,Equipos!$C$2:$M$967,2,FALSE()),"")</f>
        <v>Monitor Multiparámetros</v>
      </c>
      <c r="C546" s="46" t="str">
        <f>IFERROR(VLOOKUP($A546,Equipos!$C$2:$M$967,9,FALSE()),"")</f>
        <v>1393-109313</v>
      </c>
      <c r="D546" s="46" t="str">
        <f>IFERROR(VLOOKUP($A546,Equipos!$C$2:$M$967,3,FALSE()),"")</f>
        <v>UPC Pediátrica</v>
      </c>
      <c r="E546" s="46" t="str">
        <f>IFERROR(VLOOKUP($A546,Equipos!$C$2:$M$967,7,FALSE()),"")</f>
        <v>SPACELABS HEALTHCARE</v>
      </c>
      <c r="F546" s="46" t="str">
        <f>IFERROR(VLOOKUP($A546,Equipos!$C$2:$M$967,8,FALSE()),"")</f>
        <v>XPREZZON</v>
      </c>
      <c r="G546" s="46" t="s">
        <v>335</v>
      </c>
      <c r="H546" s="46"/>
      <c r="I546" s="46"/>
      <c r="J546" s="46" t="s">
        <v>315</v>
      </c>
      <c r="K546" s="46" t="str">
        <f>IFERROR(VLOOKUP($J546,Catálogos!$M$4:$N$17,2,FALSE()),"")</f>
        <v>Reprogramada · Ausencia justificada del funcionario SEC superior a 15 días</v>
      </c>
      <c r="L546" s="46"/>
      <c r="M546" s="46"/>
      <c r="N546" s="46"/>
      <c r="O546" s="46"/>
      <c r="P546" s="46"/>
      <c r="Q546" s="46"/>
    </row>
    <row r="547" spans="1:17" hidden="1" x14ac:dyDescent="0.25">
      <c r="A547" s="47" t="s">
        <v>618</v>
      </c>
      <c r="B547" s="46" t="str">
        <f>IFERROR(VLOOKUP($A547,Equipos!$C$2:$M$967,2,FALSE()),"")</f>
        <v>Monitor Multiparámetros</v>
      </c>
      <c r="C547" s="46" t="str">
        <f>IFERROR(VLOOKUP($A547,Equipos!$C$2:$M$967,9,FALSE()),"")</f>
        <v>1393-109313</v>
      </c>
      <c r="D547" s="46" t="str">
        <f>IFERROR(VLOOKUP($A547,Equipos!$C$2:$M$967,3,FALSE()),"")</f>
        <v>UPC Pediátrica</v>
      </c>
      <c r="E547" s="46" t="str">
        <f>IFERROR(VLOOKUP($A547,Equipos!$C$2:$M$967,7,FALSE()),"")</f>
        <v>SPACELABS HEALTHCARE</v>
      </c>
      <c r="F547" s="46" t="str">
        <f>IFERROR(VLOOKUP($A547,Equipos!$C$2:$M$967,8,FALSE()),"")</f>
        <v>XPREZZON</v>
      </c>
      <c r="G547" s="46" t="s">
        <v>296</v>
      </c>
      <c r="H547" s="46"/>
      <c r="I547" s="46"/>
      <c r="J547" s="46" t="s">
        <v>297</v>
      </c>
      <c r="K547" s="46" t="str">
        <f>IFERROR(VLOOKUP($J547,Catálogos!$M$4:$N$17,2,FALSE()),"")</f>
        <v>Mantención Preventiva Realizada</v>
      </c>
      <c r="L547" s="46"/>
      <c r="M547" s="46"/>
      <c r="N547" s="46"/>
      <c r="O547" s="46"/>
      <c r="P547" s="46"/>
      <c r="Q547" s="46"/>
    </row>
    <row r="548" spans="1:17" hidden="1" x14ac:dyDescent="0.25">
      <c r="A548" s="47" t="s">
        <v>619</v>
      </c>
      <c r="B548" s="46" t="str">
        <f>IFERROR(VLOOKUP($A548,Equipos!$C$2:$M$967,2,FALSE()),"")</f>
        <v>Monitor Multiparámetros</v>
      </c>
      <c r="C548" s="46" t="str">
        <f>IFERROR(VLOOKUP($A548,Equipos!$C$2:$M$967,9,FALSE()),"")</f>
        <v>0100652</v>
      </c>
      <c r="D548" s="46" t="str">
        <f>IFERROR(VLOOKUP($A548,Equipos!$C$2:$M$967,3,FALSE()),"")</f>
        <v>Pediatría</v>
      </c>
      <c r="E548" s="46" t="str">
        <f>IFERROR(VLOOKUP($A548,Equipos!$C$2:$M$967,7,FALSE()),"")</f>
        <v xml:space="preserve">Nihon Kohden </v>
      </c>
      <c r="F548" s="46" t="str">
        <f>IFERROR(VLOOKUP($A548,Equipos!$C$2:$M$967,8,FALSE()),"")</f>
        <v>PVM-2701K</v>
      </c>
      <c r="G548" s="46" t="s">
        <v>335</v>
      </c>
      <c r="H548" s="46"/>
      <c r="I548" s="46"/>
      <c r="J548" s="46" t="s">
        <v>323</v>
      </c>
      <c r="K548" s="46" t="str">
        <f>IFERROR(VLOOKUP($J548,Catálogos!$M$4:$N$17,2,FALSE()),"")</f>
        <v>Reprogramada · No disponibilidad de horas hombre del funcionario SEC por alta carga laboral</v>
      </c>
      <c r="L548" s="46"/>
      <c r="M548" s="46"/>
      <c r="N548" s="46"/>
      <c r="O548" s="46"/>
      <c r="P548" s="46"/>
      <c r="Q548" s="46"/>
    </row>
    <row r="549" spans="1:17" hidden="1" x14ac:dyDescent="0.25">
      <c r="A549" s="47" t="s">
        <v>619</v>
      </c>
      <c r="B549" s="46" t="str">
        <f>IFERROR(VLOOKUP($A549,Equipos!$C$2:$M$967,2,FALSE()),"")</f>
        <v>Monitor Multiparámetros</v>
      </c>
      <c r="C549" s="46" t="str">
        <f>IFERROR(VLOOKUP($A549,Equipos!$C$2:$M$967,9,FALSE()),"")</f>
        <v>0100652</v>
      </c>
      <c r="D549" s="46" t="str">
        <f>IFERROR(VLOOKUP($A549,Equipos!$C$2:$M$967,3,FALSE()),"")</f>
        <v>Pediatría</v>
      </c>
      <c r="E549" s="46" t="str">
        <f>IFERROR(VLOOKUP($A549,Equipos!$C$2:$M$967,7,FALSE()),"")</f>
        <v xml:space="preserve">Nihon Kohden </v>
      </c>
      <c r="F549" s="46" t="str">
        <f>IFERROR(VLOOKUP($A549,Equipos!$C$2:$M$967,8,FALSE()),"")</f>
        <v>PVM-2701K</v>
      </c>
      <c r="G549" s="46" t="s">
        <v>296</v>
      </c>
      <c r="H549" s="46"/>
      <c r="I549" s="46"/>
      <c r="J549" s="46" t="s">
        <v>297</v>
      </c>
      <c r="K549" s="46" t="str">
        <f>IFERROR(VLOOKUP($J549,Catálogos!$M$4:$N$17,2,FALSE()),"")</f>
        <v>Mantención Preventiva Realizada</v>
      </c>
      <c r="L549" s="46"/>
      <c r="M549" s="46"/>
      <c r="N549" s="46"/>
      <c r="O549" s="46"/>
      <c r="P549" s="46"/>
      <c r="Q549" s="46"/>
    </row>
    <row r="550" spans="1:17" hidden="1" x14ac:dyDescent="0.25">
      <c r="A550" s="47" t="s">
        <v>620</v>
      </c>
      <c r="B550" s="46" t="str">
        <f>IFERROR(VLOOKUP($A550,Equipos!$C$2:$M$967,2,FALSE()),"")</f>
        <v>Monitor Multiparámetros</v>
      </c>
      <c r="C550" s="46" t="str">
        <f>IFERROR(VLOOKUP($A550,Equipos!$C$2:$M$967,9,FALSE()),"")</f>
        <v>J3300KB00015</v>
      </c>
      <c r="D550" s="46" t="str">
        <f>IFERROR(VLOOKUP($A550,Equipos!$C$2:$M$967,3,FALSE()),"")</f>
        <v>Imagenología</v>
      </c>
      <c r="E550" s="46" t="str">
        <f>IFERROR(VLOOKUP($A550,Equipos!$C$2:$M$967,7,FALSE()),"")</f>
        <v>Creative Medical</v>
      </c>
      <c r="F550" s="46" t="str">
        <f>IFERROR(VLOOKUP($A550,Equipos!$C$2:$M$967,8,FALSE()),"")</f>
        <v>UP-7000</v>
      </c>
      <c r="G550" s="46" t="s">
        <v>296</v>
      </c>
      <c r="H550" s="46"/>
      <c r="I550" s="46"/>
      <c r="J550" s="46" t="s">
        <v>323</v>
      </c>
      <c r="K550" s="46" t="str">
        <f>IFERROR(VLOOKUP($J550,Catálogos!$M$4:$N$17,2,FALSE()),"")</f>
        <v>Reprogramada · No disponibilidad de horas hombre del funcionario SEC por alta carga laboral</v>
      </c>
      <c r="L550" s="46"/>
      <c r="M550" s="46"/>
      <c r="N550" s="46"/>
      <c r="O550" s="46"/>
      <c r="P550" s="46"/>
      <c r="Q550" s="46"/>
    </row>
    <row r="551" spans="1:17" hidden="1" x14ac:dyDescent="0.25">
      <c r="A551" s="47" t="s">
        <v>620</v>
      </c>
      <c r="B551" s="46" t="str">
        <f>IFERROR(VLOOKUP($A551,Equipos!$C$2:$M$967,2,FALSE()),"")</f>
        <v>Monitor Multiparámetros</v>
      </c>
      <c r="C551" s="46" t="str">
        <f>IFERROR(VLOOKUP($A551,Equipos!$C$2:$M$967,9,FALSE()),"")</f>
        <v>J3300KB00015</v>
      </c>
      <c r="D551" s="46" t="str">
        <f>IFERROR(VLOOKUP($A551,Equipos!$C$2:$M$967,3,FALSE()),"")</f>
        <v>Imagenología</v>
      </c>
      <c r="E551" s="46" t="str">
        <f>IFERROR(VLOOKUP($A551,Equipos!$C$2:$M$967,7,FALSE()),"")</f>
        <v>Creative Medical</v>
      </c>
      <c r="F551" s="46" t="str">
        <f>IFERROR(VLOOKUP($A551,Equipos!$C$2:$M$967,8,FALSE()),"")</f>
        <v>UP-7000</v>
      </c>
      <c r="G551" s="46" t="s">
        <v>316</v>
      </c>
      <c r="H551" s="46"/>
      <c r="I551" s="46"/>
      <c r="J551" s="46" t="s">
        <v>297</v>
      </c>
      <c r="K551" s="46" t="str">
        <f>IFERROR(VLOOKUP($J551,Catálogos!$M$4:$N$17,2,FALSE()),"")</f>
        <v>Mantención Preventiva Realizada</v>
      </c>
      <c r="L551" s="46"/>
      <c r="M551" s="46"/>
      <c r="N551" s="46"/>
      <c r="O551" s="46"/>
      <c r="P551" s="46"/>
      <c r="Q551" s="46"/>
    </row>
    <row r="552" spans="1:17" hidden="1" x14ac:dyDescent="0.25">
      <c r="A552" s="47" t="s">
        <v>621</v>
      </c>
      <c r="B552" s="46" t="str">
        <f>IFERROR(VLOOKUP($A552,Equipos!$C$2:$M$967,2,FALSE()),"")</f>
        <v>Monitor Multiparámetros</v>
      </c>
      <c r="C552" s="46" t="str">
        <f>IFERROR(VLOOKUP($A552,Equipos!$C$2:$M$967,9,FALSE()),"")</f>
        <v>5613541766</v>
      </c>
      <c r="D552" s="46" t="str">
        <f>IFERROR(VLOOKUP($A552,Equipos!$C$2:$M$967,3,FALSE()),"")</f>
        <v>Pabellón Quirúrgico</v>
      </c>
      <c r="E552" s="46" t="str">
        <f>IFERROR(VLOOKUP($A552,Equipos!$C$2:$M$967,7,FALSE()),"")</f>
        <v>Drager</v>
      </c>
      <c r="F552" s="46" t="str">
        <f>IFERROR(VLOOKUP($A552,Equipos!$C$2:$M$967,8,FALSE()),"")</f>
        <v>M540</v>
      </c>
      <c r="G552" s="46" t="s">
        <v>331</v>
      </c>
      <c r="H552" s="46"/>
      <c r="I552" s="46"/>
      <c r="J552" s="46" t="s">
        <v>297</v>
      </c>
      <c r="K552" s="46" t="str">
        <f>IFERROR(VLOOKUP($J552,Catálogos!$M$4:$N$17,2,FALSE()),"")</f>
        <v>Mantención Preventiva Realizada</v>
      </c>
      <c r="L552" s="46"/>
      <c r="M552" s="46"/>
      <c r="N552" s="46"/>
      <c r="O552" s="46"/>
      <c r="P552" s="46"/>
      <c r="Q552" s="46"/>
    </row>
    <row r="553" spans="1:17" hidden="1" x14ac:dyDescent="0.25">
      <c r="A553" s="47" t="s">
        <v>622</v>
      </c>
      <c r="B553" s="46" t="str">
        <f>IFERROR(VLOOKUP($A553,Equipos!$C$2:$M$967,2,FALSE()),"")</f>
        <v>Monitor Multiparámetros</v>
      </c>
      <c r="C553" s="46" t="str">
        <f>IFERROR(VLOOKUP($A553,Equipos!$C$2:$M$967,9,FALSE()),"")</f>
        <v>1393-109324</v>
      </c>
      <c r="D553" s="46" t="str">
        <f>IFERROR(VLOOKUP($A553,Equipos!$C$2:$M$967,3,FALSE()),"")</f>
        <v>UPC Pediátrica</v>
      </c>
      <c r="E553" s="46" t="str">
        <f>IFERROR(VLOOKUP($A553,Equipos!$C$2:$M$967,7,FALSE()),"")</f>
        <v>SPACELABS HEALTHCARE</v>
      </c>
      <c r="F553" s="46" t="str">
        <f>IFERROR(VLOOKUP($A553,Equipos!$C$2:$M$967,8,FALSE()),"")</f>
        <v>XPREZZON</v>
      </c>
      <c r="G553" s="46" t="s">
        <v>335</v>
      </c>
      <c r="H553" s="46"/>
      <c r="I553" s="46"/>
      <c r="J553" s="46" t="s">
        <v>315</v>
      </c>
      <c r="K553" s="46" t="str">
        <f>IFERROR(VLOOKUP($J553,Catálogos!$M$4:$N$17,2,FALSE()),"")</f>
        <v>Reprogramada · Ausencia justificada del funcionario SEC superior a 15 días</v>
      </c>
      <c r="L553" s="46"/>
      <c r="M553" s="46"/>
      <c r="N553" s="46"/>
      <c r="O553" s="46"/>
      <c r="P553" s="46"/>
      <c r="Q553" s="46"/>
    </row>
    <row r="554" spans="1:17" hidden="1" x14ac:dyDescent="0.25">
      <c r="A554" s="47" t="s">
        <v>622</v>
      </c>
      <c r="B554" s="46" t="str">
        <f>IFERROR(VLOOKUP($A554,Equipos!$C$2:$M$967,2,FALSE()),"")</f>
        <v>Monitor Multiparámetros</v>
      </c>
      <c r="C554" s="46" t="str">
        <f>IFERROR(VLOOKUP($A554,Equipos!$C$2:$M$967,9,FALSE()),"")</f>
        <v>1393-109324</v>
      </c>
      <c r="D554" s="46" t="str">
        <f>IFERROR(VLOOKUP($A554,Equipos!$C$2:$M$967,3,FALSE()),"")</f>
        <v>UPC Pediátrica</v>
      </c>
      <c r="E554" s="46" t="str">
        <f>IFERROR(VLOOKUP($A554,Equipos!$C$2:$M$967,7,FALSE()),"")</f>
        <v>SPACELABS HEALTHCARE</v>
      </c>
      <c r="F554" s="46" t="str">
        <f>IFERROR(VLOOKUP($A554,Equipos!$C$2:$M$967,8,FALSE()),"")</f>
        <v>XPREZZON</v>
      </c>
      <c r="G554" s="46" t="s">
        <v>296</v>
      </c>
      <c r="H554" s="46"/>
      <c r="I554" s="46"/>
      <c r="J554" s="46" t="s">
        <v>297</v>
      </c>
      <c r="K554" s="46" t="str">
        <f>IFERROR(VLOOKUP($J554,Catálogos!$M$4:$N$17,2,FALSE()),"")</f>
        <v>Mantención Preventiva Realizada</v>
      </c>
      <c r="L554" s="46"/>
      <c r="M554" s="46"/>
      <c r="N554" s="46"/>
      <c r="O554" s="46"/>
      <c r="P554" s="46"/>
      <c r="Q554" s="46"/>
    </row>
    <row r="555" spans="1:17" hidden="1" x14ac:dyDescent="0.25">
      <c r="A555" s="47" t="s">
        <v>623</v>
      </c>
      <c r="B555" s="46" t="str">
        <f>IFERROR(VLOOKUP($A555,Equipos!$C$2:$M$967,2,FALSE()),"")</f>
        <v>Monitor Multiparámetros</v>
      </c>
      <c r="C555" s="46" t="str">
        <f>IFERROR(VLOOKUP($A555,Equipos!$C$2:$M$967,9,FALSE()),"")</f>
        <v>VSSUC0199</v>
      </c>
      <c r="D555" s="46" t="str">
        <f>IFERROR(VLOOKUP($A555,Equipos!$C$2:$M$967,3,FALSE()),"")</f>
        <v>TROI</v>
      </c>
      <c r="E555" s="46" t="str">
        <f>IFERROR(VLOOKUP($A555,Equipos!$C$2:$M$967,7,FALSE()),"")</f>
        <v>Drager</v>
      </c>
      <c r="F555" s="46" t="str">
        <f>IFERROR(VLOOKUP($A555,Equipos!$C$2:$M$967,8,FALSE()),"")</f>
        <v>Vista 300</v>
      </c>
      <c r="G555" s="46" t="s">
        <v>331</v>
      </c>
      <c r="H555" s="46"/>
      <c r="I555" s="46"/>
      <c r="J555" s="46" t="s">
        <v>297</v>
      </c>
      <c r="K555" s="46" t="str">
        <f>IFERROR(VLOOKUP($J555,Catálogos!$M$4:$N$17,2,FALSE()),"")</f>
        <v>Mantención Preventiva Realizada</v>
      </c>
      <c r="L555" s="46"/>
      <c r="M555" s="46"/>
      <c r="N555" s="46"/>
      <c r="O555" s="46"/>
      <c r="P555" s="46"/>
      <c r="Q555" s="46"/>
    </row>
    <row r="556" spans="1:17" hidden="1" x14ac:dyDescent="0.25">
      <c r="A556" s="47" t="s">
        <v>624</v>
      </c>
      <c r="B556" s="46" t="str">
        <f>IFERROR(VLOOKUP($A556,Equipos!$C$2:$M$967,2,FALSE()),"")</f>
        <v>Monitor Multiparámetros</v>
      </c>
      <c r="C556" s="46" t="str">
        <f>IFERROR(VLOOKUP($A556,Equipos!$C$2:$M$967,9,FALSE()),"")</f>
        <v>5514423368</v>
      </c>
      <c r="D556" s="46" t="str">
        <f>IFERROR(VLOOKUP($A556,Equipos!$C$2:$M$967,3,FALSE()),"")</f>
        <v>Imagenología</v>
      </c>
      <c r="E556" s="46" t="str">
        <f>IFERROR(VLOOKUP($A556,Equipos!$C$2:$M$967,7,FALSE()),"")</f>
        <v xml:space="preserve">Drager </v>
      </c>
      <c r="F556" s="46" t="str">
        <f>IFERROR(VLOOKUP($A556,Equipos!$C$2:$M$967,8,FALSE()),"")</f>
        <v>Infinity Vista</v>
      </c>
      <c r="G556" s="46" t="s">
        <v>296</v>
      </c>
      <c r="H556" s="46"/>
      <c r="I556" s="46"/>
      <c r="J556" s="46" t="s">
        <v>323</v>
      </c>
      <c r="K556" s="46" t="str">
        <f>IFERROR(VLOOKUP($J556,Catálogos!$M$4:$N$17,2,FALSE()),"")</f>
        <v>Reprogramada · No disponibilidad de horas hombre del funcionario SEC por alta carga laboral</v>
      </c>
      <c r="L556" s="46"/>
      <c r="M556" s="46"/>
      <c r="N556" s="46"/>
      <c r="O556" s="46"/>
      <c r="P556" s="46"/>
      <c r="Q556" s="46"/>
    </row>
    <row r="557" spans="1:17" hidden="1" x14ac:dyDescent="0.25">
      <c r="A557" s="47" t="s">
        <v>624</v>
      </c>
      <c r="B557" s="46" t="str">
        <f>IFERROR(VLOOKUP($A557,Equipos!$C$2:$M$967,2,FALSE()),"")</f>
        <v>Monitor Multiparámetros</v>
      </c>
      <c r="C557" s="46" t="str">
        <f>IFERROR(VLOOKUP($A557,Equipos!$C$2:$M$967,9,FALSE()),"")</f>
        <v>5514423368</v>
      </c>
      <c r="D557" s="46" t="str">
        <f>IFERROR(VLOOKUP($A557,Equipos!$C$2:$M$967,3,FALSE()),"")</f>
        <v>Imagenología</v>
      </c>
      <c r="E557" s="46" t="str">
        <f>IFERROR(VLOOKUP($A557,Equipos!$C$2:$M$967,7,FALSE()),"")</f>
        <v xml:space="preserve">Drager </v>
      </c>
      <c r="F557" s="46" t="str">
        <f>IFERROR(VLOOKUP($A557,Equipos!$C$2:$M$967,8,FALSE()),"")</f>
        <v>Infinity Vista</v>
      </c>
      <c r="G557" s="46" t="s">
        <v>316</v>
      </c>
      <c r="H557" s="46"/>
      <c r="I557" s="46"/>
      <c r="J557" s="46" t="s">
        <v>297</v>
      </c>
      <c r="K557" s="46" t="str">
        <f>IFERROR(VLOOKUP($J557,Catálogos!$M$4:$N$17,2,FALSE()),"")</f>
        <v>Mantención Preventiva Realizada</v>
      </c>
      <c r="L557" s="46"/>
      <c r="M557" s="46"/>
      <c r="N557" s="46"/>
      <c r="O557" s="46"/>
      <c r="P557" s="46"/>
      <c r="Q557" s="46"/>
    </row>
    <row r="558" spans="1:17" hidden="1" x14ac:dyDescent="0.25">
      <c r="A558" s="47" t="s">
        <v>625</v>
      </c>
      <c r="B558" s="46" t="str">
        <f>IFERROR(VLOOKUP($A558,Equipos!$C$2:$M$967,2,FALSE()),"")</f>
        <v>Monitor Multiparámetros</v>
      </c>
      <c r="C558" s="46" t="str">
        <f>IFERROR(VLOOKUP($A558,Equipos!$C$2:$M$967,9,FALSE()),"")</f>
        <v>01060</v>
      </c>
      <c r="D558" s="46" t="str">
        <f>IFERROR(VLOOKUP($A558,Equipos!$C$2:$M$967,3,FALSE()),"")</f>
        <v>Pediatría</v>
      </c>
      <c r="E558" s="46" t="str">
        <f>IFERROR(VLOOKUP($A558,Equipos!$C$2:$M$967,7,FALSE()),"")</f>
        <v xml:space="preserve">Nihon Kohden </v>
      </c>
      <c r="F558" s="46" t="str">
        <f>IFERROR(VLOOKUP($A558,Equipos!$C$2:$M$967,8,FALSE()),"")</f>
        <v>BSM-6301K</v>
      </c>
      <c r="G558" s="46" t="s">
        <v>335</v>
      </c>
      <c r="H558" s="46"/>
      <c r="I558" s="46"/>
      <c r="J558" s="46" t="s">
        <v>323</v>
      </c>
      <c r="K558" s="46" t="str">
        <f>IFERROR(VLOOKUP($J558,Catálogos!$M$4:$N$17,2,FALSE()),"")</f>
        <v>Reprogramada · No disponibilidad de horas hombre del funcionario SEC por alta carga laboral</v>
      </c>
      <c r="L558" s="46"/>
      <c r="M558" s="46"/>
      <c r="N558" s="46"/>
      <c r="O558" s="46"/>
      <c r="P558" s="46"/>
      <c r="Q558" s="46"/>
    </row>
    <row r="559" spans="1:17" hidden="1" x14ac:dyDescent="0.25">
      <c r="A559" s="47" t="s">
        <v>625</v>
      </c>
      <c r="B559" s="46" t="str">
        <f>IFERROR(VLOOKUP($A559,Equipos!$C$2:$M$967,2,FALSE()),"")</f>
        <v>Monitor Multiparámetros</v>
      </c>
      <c r="C559" s="46" t="str">
        <f>IFERROR(VLOOKUP($A559,Equipos!$C$2:$M$967,9,FALSE()),"")</f>
        <v>01060</v>
      </c>
      <c r="D559" s="46" t="str">
        <f>IFERROR(VLOOKUP($A559,Equipos!$C$2:$M$967,3,FALSE()),"")</f>
        <v>Pediatría</v>
      </c>
      <c r="E559" s="46" t="str">
        <f>IFERROR(VLOOKUP($A559,Equipos!$C$2:$M$967,7,FALSE()),"")</f>
        <v xml:space="preserve">Nihon Kohden </v>
      </c>
      <c r="F559" s="46" t="str">
        <f>IFERROR(VLOOKUP($A559,Equipos!$C$2:$M$967,8,FALSE()),"")</f>
        <v>BSM-6301K</v>
      </c>
      <c r="G559" s="46" t="s">
        <v>296</v>
      </c>
      <c r="H559" s="46"/>
      <c r="I559" s="46"/>
      <c r="J559" s="46" t="s">
        <v>297</v>
      </c>
      <c r="K559" s="46" t="str">
        <f>IFERROR(VLOOKUP($J559,Catálogos!$M$4:$N$17,2,FALSE()),"")</f>
        <v>Mantención Preventiva Realizada</v>
      </c>
      <c r="L559" s="46"/>
      <c r="M559" s="46"/>
      <c r="N559" s="46"/>
      <c r="O559" s="46"/>
      <c r="P559" s="46"/>
      <c r="Q559" s="46"/>
    </row>
    <row r="560" spans="1:17" hidden="1" x14ac:dyDescent="0.25">
      <c r="A560" s="47" t="s">
        <v>626</v>
      </c>
      <c r="B560" s="46" t="str">
        <f>IFERROR(VLOOKUP($A560,Equipos!$C$2:$M$967,2,FALSE()),"")</f>
        <v>Monitor Multiparámetros</v>
      </c>
      <c r="C560" s="46" t="str">
        <f>IFERROR(VLOOKUP($A560,Equipos!$C$2:$M$967,9,FALSE()),"")</f>
        <v>0100648</v>
      </c>
      <c r="D560" s="46" t="str">
        <f>IFERROR(VLOOKUP($A560,Equipos!$C$2:$M$967,3,FALSE()),"")</f>
        <v>Pediatría</v>
      </c>
      <c r="E560" s="46" t="str">
        <f>IFERROR(VLOOKUP($A560,Equipos!$C$2:$M$967,7,FALSE()),"")</f>
        <v xml:space="preserve">Nihon Kohden </v>
      </c>
      <c r="F560" s="46" t="str">
        <f>IFERROR(VLOOKUP($A560,Equipos!$C$2:$M$967,8,FALSE()),"")</f>
        <v>PVM-2701K</v>
      </c>
      <c r="G560" s="46" t="s">
        <v>335</v>
      </c>
      <c r="H560" s="46"/>
      <c r="I560" s="46"/>
      <c r="J560" s="46" t="s">
        <v>323</v>
      </c>
      <c r="K560" s="46" t="str">
        <f>IFERROR(VLOOKUP($J560,Catálogos!$M$4:$N$17,2,FALSE()),"")</f>
        <v>Reprogramada · No disponibilidad de horas hombre del funcionario SEC por alta carga laboral</v>
      </c>
      <c r="L560" s="46"/>
      <c r="M560" s="46"/>
      <c r="N560" s="46"/>
      <c r="O560" s="46"/>
      <c r="P560" s="46"/>
      <c r="Q560" s="46"/>
    </row>
    <row r="561" spans="1:17" hidden="1" x14ac:dyDescent="0.25">
      <c r="A561" s="47" t="s">
        <v>626</v>
      </c>
      <c r="B561" s="46" t="str">
        <f>IFERROR(VLOOKUP($A561,Equipos!$C$2:$M$967,2,FALSE()),"")</f>
        <v>Monitor Multiparámetros</v>
      </c>
      <c r="C561" s="46" t="str">
        <f>IFERROR(VLOOKUP($A561,Equipos!$C$2:$M$967,9,FALSE()),"")</f>
        <v>0100648</v>
      </c>
      <c r="D561" s="46" t="str">
        <f>IFERROR(VLOOKUP($A561,Equipos!$C$2:$M$967,3,FALSE()),"")</f>
        <v>Pediatría</v>
      </c>
      <c r="E561" s="46" t="str">
        <f>IFERROR(VLOOKUP($A561,Equipos!$C$2:$M$967,7,FALSE()),"")</f>
        <v xml:space="preserve">Nihon Kohden </v>
      </c>
      <c r="F561" s="46" t="str">
        <f>IFERROR(VLOOKUP($A561,Equipos!$C$2:$M$967,8,FALSE()),"")</f>
        <v>PVM-2701K</v>
      </c>
      <c r="G561" s="46" t="s">
        <v>296</v>
      </c>
      <c r="H561" s="46"/>
      <c r="I561" s="46"/>
      <c r="J561" s="46" t="s">
        <v>297</v>
      </c>
      <c r="K561" s="46" t="str">
        <f>IFERROR(VLOOKUP($J561,Catálogos!$M$4:$N$17,2,FALSE()),"")</f>
        <v>Mantención Preventiva Realizada</v>
      </c>
      <c r="L561" s="46"/>
      <c r="M561" s="46"/>
      <c r="N561" s="46"/>
      <c r="O561" s="46"/>
      <c r="P561" s="46"/>
      <c r="Q561" s="46"/>
    </row>
    <row r="562" spans="1:17" hidden="1" x14ac:dyDescent="0.25">
      <c r="A562" s="47" t="s">
        <v>627</v>
      </c>
      <c r="B562" s="46" t="str">
        <f>IFERROR(VLOOKUP($A562,Equipos!$C$2:$M$967,2,FALSE()),"")</f>
        <v>Monitor Multiparámetros</v>
      </c>
      <c r="C562" s="46" t="str">
        <f>IFERROR(VLOOKUP($A562,Equipos!$C$2:$M$967,9,FALSE()),"")</f>
        <v>1393-109302</v>
      </c>
      <c r="D562" s="46" t="str">
        <f>IFERROR(VLOOKUP($A562,Equipos!$C$2:$M$967,3,FALSE()),"")</f>
        <v>UPC Pediátrica</v>
      </c>
      <c r="E562" s="46" t="str">
        <f>IFERROR(VLOOKUP($A562,Equipos!$C$2:$M$967,7,FALSE()),"")</f>
        <v>SPACELABS HEALTHCARE</v>
      </c>
      <c r="F562" s="46" t="str">
        <f>IFERROR(VLOOKUP($A562,Equipos!$C$2:$M$967,8,FALSE()),"")</f>
        <v>XPREZZON</v>
      </c>
      <c r="G562" s="46" t="s">
        <v>335</v>
      </c>
      <c r="H562" s="46"/>
      <c r="I562" s="46"/>
      <c r="J562" s="46" t="s">
        <v>315</v>
      </c>
      <c r="K562" s="46" t="str">
        <f>IFERROR(VLOOKUP($J562,Catálogos!$M$4:$N$17,2,FALSE()),"")</f>
        <v>Reprogramada · Ausencia justificada del funcionario SEC superior a 15 días</v>
      </c>
      <c r="L562" s="46"/>
      <c r="M562" s="46"/>
      <c r="N562" s="46"/>
      <c r="O562" s="46"/>
      <c r="P562" s="46"/>
      <c r="Q562" s="46"/>
    </row>
    <row r="563" spans="1:17" hidden="1" x14ac:dyDescent="0.25">
      <c r="A563" s="47" t="s">
        <v>627</v>
      </c>
      <c r="B563" s="46" t="str">
        <f>IFERROR(VLOOKUP($A563,Equipos!$C$2:$M$967,2,FALSE()),"")</f>
        <v>Monitor Multiparámetros</v>
      </c>
      <c r="C563" s="46" t="str">
        <f>IFERROR(VLOOKUP($A563,Equipos!$C$2:$M$967,9,FALSE()),"")</f>
        <v>1393-109302</v>
      </c>
      <c r="D563" s="46" t="str">
        <f>IFERROR(VLOOKUP($A563,Equipos!$C$2:$M$967,3,FALSE()),"")</f>
        <v>UPC Pediátrica</v>
      </c>
      <c r="E563" s="46" t="str">
        <f>IFERROR(VLOOKUP($A563,Equipos!$C$2:$M$967,7,FALSE()),"")</f>
        <v>SPACELABS HEALTHCARE</v>
      </c>
      <c r="F563" s="46" t="str">
        <f>IFERROR(VLOOKUP($A563,Equipos!$C$2:$M$967,8,FALSE()),"")</f>
        <v>XPREZZON</v>
      </c>
      <c r="G563" s="46" t="s">
        <v>296</v>
      </c>
      <c r="H563" s="46"/>
      <c r="I563" s="46"/>
      <c r="J563" s="46" t="s">
        <v>297</v>
      </c>
      <c r="K563" s="46" t="str">
        <f>IFERROR(VLOOKUP($J563,Catálogos!$M$4:$N$17,2,FALSE()),"")</f>
        <v>Mantención Preventiva Realizada</v>
      </c>
      <c r="L563" s="46"/>
      <c r="M563" s="46"/>
      <c r="N563" s="46"/>
      <c r="O563" s="46"/>
      <c r="P563" s="46"/>
      <c r="Q563" s="46"/>
    </row>
    <row r="564" spans="1:17" hidden="1" x14ac:dyDescent="0.25">
      <c r="A564" s="47" t="s">
        <v>628</v>
      </c>
      <c r="B564" s="46" t="str">
        <f>IFERROR(VLOOKUP($A564,Equipos!$C$2:$M$967,2,FALSE()),"")</f>
        <v>Monitor Multiparámetros</v>
      </c>
      <c r="C564" s="46" t="str">
        <f>IFERROR(VLOOKUP($A564,Equipos!$C$2:$M$967,9,FALSE()),"")</f>
        <v>0100655</v>
      </c>
      <c r="D564" s="46" t="str">
        <f>IFERROR(VLOOKUP($A564,Equipos!$C$2:$M$967,3,FALSE()),"")</f>
        <v>Pediatría</v>
      </c>
      <c r="E564" s="46" t="str">
        <f>IFERROR(VLOOKUP($A564,Equipos!$C$2:$M$967,7,FALSE()),"")</f>
        <v xml:space="preserve">Nihon Kohden </v>
      </c>
      <c r="F564" s="46" t="str">
        <f>IFERROR(VLOOKUP($A564,Equipos!$C$2:$M$967,8,FALSE()),"")</f>
        <v>PVM-2701K</v>
      </c>
      <c r="G564" s="46" t="s">
        <v>335</v>
      </c>
      <c r="H564" s="46"/>
      <c r="I564" s="46"/>
      <c r="J564" s="46" t="s">
        <v>323</v>
      </c>
      <c r="K564" s="46" t="str">
        <f>IFERROR(VLOOKUP($J564,Catálogos!$M$4:$N$17,2,FALSE()),"")</f>
        <v>Reprogramada · No disponibilidad de horas hombre del funcionario SEC por alta carga laboral</v>
      </c>
      <c r="L564" s="46"/>
      <c r="M564" s="46"/>
      <c r="N564" s="46"/>
      <c r="O564" s="46"/>
      <c r="P564" s="46"/>
      <c r="Q564" s="46"/>
    </row>
    <row r="565" spans="1:17" hidden="1" x14ac:dyDescent="0.25">
      <c r="A565" s="47" t="s">
        <v>628</v>
      </c>
      <c r="B565" s="46" t="str">
        <f>IFERROR(VLOOKUP($A565,Equipos!$C$2:$M$967,2,FALSE()),"")</f>
        <v>Monitor Multiparámetros</v>
      </c>
      <c r="C565" s="46" t="str">
        <f>IFERROR(VLOOKUP($A565,Equipos!$C$2:$M$967,9,FALSE()),"")</f>
        <v>0100655</v>
      </c>
      <c r="D565" s="46" t="str">
        <f>IFERROR(VLOOKUP($A565,Equipos!$C$2:$M$967,3,FALSE()),"")</f>
        <v>Pediatría</v>
      </c>
      <c r="E565" s="46" t="str">
        <f>IFERROR(VLOOKUP($A565,Equipos!$C$2:$M$967,7,FALSE()),"")</f>
        <v xml:space="preserve">Nihon Kohden </v>
      </c>
      <c r="F565" s="46" t="str">
        <f>IFERROR(VLOOKUP($A565,Equipos!$C$2:$M$967,8,FALSE()),"")</f>
        <v>PVM-2701K</v>
      </c>
      <c r="G565" s="46" t="s">
        <v>296</v>
      </c>
      <c r="H565" s="46"/>
      <c r="I565" s="46"/>
      <c r="J565" s="46" t="s">
        <v>297</v>
      </c>
      <c r="K565" s="46" t="str">
        <f>IFERROR(VLOOKUP($J565,Catálogos!$M$4:$N$17,2,FALSE()),"")</f>
        <v>Mantención Preventiva Realizada</v>
      </c>
      <c r="L565" s="46"/>
      <c r="M565" s="46"/>
      <c r="N565" s="46"/>
      <c r="O565" s="46"/>
      <c r="P565" s="46"/>
      <c r="Q565" s="46"/>
    </row>
    <row r="566" spans="1:17" hidden="1" x14ac:dyDescent="0.25">
      <c r="A566" s="47" t="s">
        <v>629</v>
      </c>
      <c r="B566" s="46" t="str">
        <f>IFERROR(VLOOKUP($A566,Equipos!$C$2:$M$967,2,FALSE()),"")</f>
        <v>Monitor Multiparámetros</v>
      </c>
      <c r="C566" s="46" t="str">
        <f>IFERROR(VLOOKUP($A566,Equipos!$C$2:$M$967,9,FALSE()),"")</f>
        <v>1393-114594</v>
      </c>
      <c r="D566" s="46" t="str">
        <f>IFERROR(VLOOKUP($A566,Equipos!$C$2:$M$967,3,FALSE()),"")</f>
        <v>UPC 3er Piso</v>
      </c>
      <c r="E566" s="46" t="str">
        <f>IFERROR(VLOOKUP($A566,Equipos!$C$2:$M$967,7,FALSE()),"")</f>
        <v>SPACELABS HEALTHCARE</v>
      </c>
      <c r="F566" s="46" t="str">
        <f>IFERROR(VLOOKUP($A566,Equipos!$C$2:$M$967,8,FALSE()),"")</f>
        <v>XPREZZON</v>
      </c>
      <c r="G566" s="46" t="s">
        <v>298</v>
      </c>
      <c r="H566" s="46"/>
      <c r="I566" s="46"/>
      <c r="J566" s="46" t="s">
        <v>297</v>
      </c>
      <c r="K566" s="46" t="str">
        <f>IFERROR(VLOOKUP($J566,Catálogos!$M$4:$N$17,2,FALSE()),"")</f>
        <v>Mantención Preventiva Realizada</v>
      </c>
      <c r="L566" s="46"/>
      <c r="M566" s="46"/>
      <c r="N566" s="46"/>
      <c r="O566" s="46"/>
      <c r="P566" s="46"/>
      <c r="Q566" s="46"/>
    </row>
    <row r="567" spans="1:17" hidden="1" x14ac:dyDescent="0.25">
      <c r="A567" s="47" t="s">
        <v>630</v>
      </c>
      <c r="B567" s="46" t="str">
        <f>IFERROR(VLOOKUP($A567,Equipos!$C$2:$M$967,2,FALSE()),"")</f>
        <v>Monitor Multiparámetros</v>
      </c>
      <c r="C567" s="46" t="str">
        <f>IFERROR(VLOOKUP($A567,Equipos!$C$2:$M$967,9,FALSE()),"")</f>
        <v>29676</v>
      </c>
      <c r="D567" s="46" t="str">
        <f>IFERROR(VLOOKUP($A567,Equipos!$C$2:$M$967,3,FALSE()),"")</f>
        <v>Medicina</v>
      </c>
      <c r="E567" s="46" t="str">
        <f>IFERROR(VLOOKUP($A567,Equipos!$C$2:$M$967,7,FALSE()),"")</f>
        <v xml:space="preserve">Nihon Kohden </v>
      </c>
      <c r="F567" s="46" t="str">
        <f>IFERROR(VLOOKUP($A567,Equipos!$C$2:$M$967,8,FALSE()),"")</f>
        <v>BSM-3562K</v>
      </c>
      <c r="G567" s="46" t="s">
        <v>296</v>
      </c>
      <c r="H567" s="46"/>
      <c r="I567" s="46"/>
      <c r="J567" s="46" t="s">
        <v>297</v>
      </c>
      <c r="K567" s="46" t="str">
        <f>IFERROR(VLOOKUP($J567,Catálogos!$M$4:$N$17,2,FALSE()),"")</f>
        <v>Mantención Preventiva Realizada</v>
      </c>
      <c r="L567" s="46"/>
      <c r="M567" s="46"/>
      <c r="N567" s="46"/>
      <c r="O567" s="46"/>
      <c r="P567" s="46"/>
      <c r="Q567" s="46"/>
    </row>
    <row r="568" spans="1:17" hidden="1" x14ac:dyDescent="0.25">
      <c r="A568" s="47" t="s">
        <v>631</v>
      </c>
      <c r="B568" s="46" t="str">
        <f>IFERROR(VLOOKUP($A568,Equipos!$C$2:$M$967,2,FALSE()),"")</f>
        <v>Monitor Multiparámetros</v>
      </c>
      <c r="C568" s="46" t="str">
        <f>IFERROR(VLOOKUP($A568,Equipos!$C$2:$M$967,9,FALSE()),"")</f>
        <v>29695</v>
      </c>
      <c r="D568" s="46" t="str">
        <f>IFERROR(VLOOKUP($A568,Equipos!$C$2:$M$967,3,FALSE()),"")</f>
        <v>Medicina</v>
      </c>
      <c r="E568" s="46" t="str">
        <f>IFERROR(VLOOKUP($A568,Equipos!$C$2:$M$967,7,FALSE()),"")</f>
        <v xml:space="preserve">Nihon Kohden </v>
      </c>
      <c r="F568" s="46" t="str">
        <f>IFERROR(VLOOKUP($A568,Equipos!$C$2:$M$967,8,FALSE()),"")</f>
        <v>BSM-3562K</v>
      </c>
      <c r="G568" s="46" t="s">
        <v>296</v>
      </c>
      <c r="H568" s="46"/>
      <c r="I568" s="46"/>
      <c r="J568" s="46" t="s">
        <v>297</v>
      </c>
      <c r="K568" s="46" t="str">
        <f>IFERROR(VLOOKUP($J568,Catálogos!$M$4:$N$17,2,FALSE()),"")</f>
        <v>Mantención Preventiva Realizada</v>
      </c>
      <c r="L568" s="46"/>
      <c r="M568" s="46"/>
      <c r="N568" s="46"/>
      <c r="O568" s="46"/>
      <c r="P568" s="46"/>
      <c r="Q568" s="46"/>
    </row>
    <row r="569" spans="1:17" hidden="1" x14ac:dyDescent="0.25">
      <c r="A569" s="47" t="s">
        <v>632</v>
      </c>
      <c r="B569" s="46" t="str">
        <f>IFERROR(VLOOKUP($A569,Equipos!$C$2:$M$967,2,FALSE()),"")</f>
        <v>Monitor Multiparámetros</v>
      </c>
      <c r="C569" s="46" t="str">
        <f>IFERROR(VLOOKUP($A569,Equipos!$C$2:$M$967,9,FALSE()),"")</f>
        <v>1393-109321</v>
      </c>
      <c r="D569" s="46" t="str">
        <f>IFERROR(VLOOKUP($A569,Equipos!$C$2:$M$967,3,FALSE()),"")</f>
        <v>UPC Pediátrica</v>
      </c>
      <c r="E569" s="46" t="str">
        <f>IFERROR(VLOOKUP($A569,Equipos!$C$2:$M$967,7,FALSE()),"")</f>
        <v>SPACELABS HEALTHCARE</v>
      </c>
      <c r="F569" s="46" t="str">
        <f>IFERROR(VLOOKUP($A569,Equipos!$C$2:$M$967,8,FALSE()),"")</f>
        <v>XPREZZON</v>
      </c>
      <c r="G569" s="46" t="s">
        <v>335</v>
      </c>
      <c r="H569" s="46"/>
      <c r="I569" s="46"/>
      <c r="J569" s="46" t="s">
        <v>315</v>
      </c>
      <c r="K569" s="46" t="str">
        <f>IFERROR(VLOOKUP($J569,Catálogos!$M$4:$N$17,2,FALSE()),"")</f>
        <v>Reprogramada · Ausencia justificada del funcionario SEC superior a 15 días</v>
      </c>
      <c r="L569" s="46"/>
      <c r="M569" s="46"/>
      <c r="N569" s="46"/>
      <c r="O569" s="46"/>
      <c r="P569" s="46"/>
      <c r="Q569" s="46"/>
    </row>
    <row r="570" spans="1:17" hidden="1" x14ac:dyDescent="0.25">
      <c r="A570" s="47" t="s">
        <v>632</v>
      </c>
      <c r="B570" s="46" t="str">
        <f>IFERROR(VLOOKUP($A570,Equipos!$C$2:$M$967,2,FALSE()),"")</f>
        <v>Monitor Multiparámetros</v>
      </c>
      <c r="C570" s="46" t="str">
        <f>IFERROR(VLOOKUP($A570,Equipos!$C$2:$M$967,9,FALSE()),"")</f>
        <v>1393-109321</v>
      </c>
      <c r="D570" s="46" t="str">
        <f>IFERROR(VLOOKUP($A570,Equipos!$C$2:$M$967,3,FALSE()),"")</f>
        <v>UPC Pediátrica</v>
      </c>
      <c r="E570" s="46" t="str">
        <f>IFERROR(VLOOKUP($A570,Equipos!$C$2:$M$967,7,FALSE()),"")</f>
        <v>SPACELABS HEALTHCARE</v>
      </c>
      <c r="F570" s="46" t="str">
        <f>IFERROR(VLOOKUP($A570,Equipos!$C$2:$M$967,8,FALSE()),"")</f>
        <v>XPREZZON</v>
      </c>
      <c r="G570" s="46" t="s">
        <v>296</v>
      </c>
      <c r="H570" s="46"/>
      <c r="I570" s="46"/>
      <c r="J570" s="46" t="s">
        <v>297</v>
      </c>
      <c r="K570" s="46" t="str">
        <f>IFERROR(VLOOKUP($J570,Catálogos!$M$4:$N$17,2,FALSE()),"")</f>
        <v>Mantención Preventiva Realizada</v>
      </c>
      <c r="L570" s="46"/>
      <c r="M570" s="46"/>
      <c r="N570" s="46"/>
      <c r="O570" s="46"/>
      <c r="P570" s="46"/>
      <c r="Q570" s="46"/>
    </row>
    <row r="571" spans="1:17" hidden="1" x14ac:dyDescent="0.25">
      <c r="A571" s="47" t="s">
        <v>633</v>
      </c>
      <c r="B571" s="46" t="str">
        <f>IFERROR(VLOOKUP($A571,Equipos!$C$2:$M$967,2,FALSE()),"")</f>
        <v>Monitor Multiparámetros</v>
      </c>
      <c r="C571" s="46" t="str">
        <f>IFERROR(VLOOKUP($A571,Equipos!$C$2:$M$967,9,FALSE()),"")</f>
        <v>0100654</v>
      </c>
      <c r="D571" s="46" t="str">
        <f>IFERROR(VLOOKUP($A571,Equipos!$C$2:$M$967,3,FALSE()),"")</f>
        <v>Pediatría</v>
      </c>
      <c r="E571" s="46" t="str">
        <f>IFERROR(VLOOKUP($A571,Equipos!$C$2:$M$967,7,FALSE()),"")</f>
        <v xml:space="preserve">Nihon Kohden </v>
      </c>
      <c r="F571" s="46" t="str">
        <f>IFERROR(VLOOKUP($A571,Equipos!$C$2:$M$967,8,FALSE()),"")</f>
        <v>PVM-2701K</v>
      </c>
      <c r="G571" s="46" t="s">
        <v>335</v>
      </c>
      <c r="H571" s="46"/>
      <c r="I571" s="46"/>
      <c r="J571" s="46" t="s">
        <v>323</v>
      </c>
      <c r="K571" s="46" t="str">
        <f>IFERROR(VLOOKUP($J571,Catálogos!$M$4:$N$17,2,FALSE()),"")</f>
        <v>Reprogramada · No disponibilidad de horas hombre del funcionario SEC por alta carga laboral</v>
      </c>
      <c r="L571" s="46"/>
      <c r="M571" s="46"/>
      <c r="N571" s="46"/>
      <c r="O571" s="46"/>
      <c r="P571" s="46"/>
      <c r="Q571" s="46"/>
    </row>
    <row r="572" spans="1:17" hidden="1" x14ac:dyDescent="0.25">
      <c r="A572" s="47" t="s">
        <v>633</v>
      </c>
      <c r="B572" s="46" t="str">
        <f>IFERROR(VLOOKUP($A572,Equipos!$C$2:$M$967,2,FALSE()),"")</f>
        <v>Monitor Multiparámetros</v>
      </c>
      <c r="C572" s="46" t="str">
        <f>IFERROR(VLOOKUP($A572,Equipos!$C$2:$M$967,9,FALSE()),"")</f>
        <v>0100654</v>
      </c>
      <c r="D572" s="46" t="str">
        <f>IFERROR(VLOOKUP($A572,Equipos!$C$2:$M$967,3,FALSE()),"")</f>
        <v>Pediatría</v>
      </c>
      <c r="E572" s="46" t="str">
        <f>IFERROR(VLOOKUP($A572,Equipos!$C$2:$M$967,7,FALSE()),"")</f>
        <v xml:space="preserve">Nihon Kohden </v>
      </c>
      <c r="F572" s="46" t="str">
        <f>IFERROR(VLOOKUP($A572,Equipos!$C$2:$M$967,8,FALSE()),"")</f>
        <v>PVM-2701K</v>
      </c>
      <c r="G572" s="46" t="s">
        <v>296</v>
      </c>
      <c r="H572" s="46"/>
      <c r="I572" s="46"/>
      <c r="J572" s="46" t="s">
        <v>297</v>
      </c>
      <c r="K572" s="46" t="str">
        <f>IFERROR(VLOOKUP($J572,Catálogos!$M$4:$N$17,2,FALSE()),"")</f>
        <v>Mantención Preventiva Realizada</v>
      </c>
      <c r="L572" s="46"/>
      <c r="M572" s="46"/>
      <c r="N572" s="46"/>
      <c r="O572" s="46"/>
      <c r="P572" s="46"/>
      <c r="Q572" s="46"/>
    </row>
    <row r="573" spans="1:17" hidden="1" x14ac:dyDescent="0.25">
      <c r="A573" s="47" t="s">
        <v>634</v>
      </c>
      <c r="B573" s="46" t="str">
        <f>IFERROR(VLOOKUP($A573,Equipos!$C$2:$M$967,2,FALSE()),"")</f>
        <v>Monitor Multiparámetros</v>
      </c>
      <c r="C573" s="46" t="str">
        <f>IFERROR(VLOOKUP($A573,Equipos!$C$2:$M$967,9,FALSE()),"")</f>
        <v>00570</v>
      </c>
      <c r="D573" s="46" t="str">
        <f>IFERROR(VLOOKUP($A573,Equipos!$C$2:$M$967,3,FALSE()),"")</f>
        <v>Pediatría</v>
      </c>
      <c r="E573" s="46" t="str">
        <f>IFERROR(VLOOKUP($A573,Equipos!$C$2:$M$967,7,FALSE()),"")</f>
        <v xml:space="preserve">Nihon Kohden </v>
      </c>
      <c r="F573" s="46" t="str">
        <f>IFERROR(VLOOKUP($A573,Equipos!$C$2:$M$967,8,FALSE()),"")</f>
        <v>BSM-1763K</v>
      </c>
      <c r="G573" s="46" t="s">
        <v>335</v>
      </c>
      <c r="H573" s="46"/>
      <c r="I573" s="46"/>
      <c r="J573" s="46" t="s">
        <v>323</v>
      </c>
      <c r="K573" s="46" t="str">
        <f>IFERROR(VLOOKUP($J573,Catálogos!$M$4:$N$17,2,FALSE()),"")</f>
        <v>Reprogramada · No disponibilidad de horas hombre del funcionario SEC por alta carga laboral</v>
      </c>
      <c r="L573" s="46"/>
      <c r="M573" s="46"/>
      <c r="N573" s="46"/>
      <c r="O573" s="46"/>
      <c r="P573" s="46"/>
      <c r="Q573" s="46"/>
    </row>
    <row r="574" spans="1:17" hidden="1" x14ac:dyDescent="0.25">
      <c r="A574" s="47" t="s">
        <v>634</v>
      </c>
      <c r="B574" s="46" t="str">
        <f>IFERROR(VLOOKUP($A574,Equipos!$C$2:$M$967,2,FALSE()),"")</f>
        <v>Monitor Multiparámetros</v>
      </c>
      <c r="C574" s="46" t="str">
        <f>IFERROR(VLOOKUP($A574,Equipos!$C$2:$M$967,9,FALSE()),"")</f>
        <v>00570</v>
      </c>
      <c r="D574" s="46" t="str">
        <f>IFERROR(VLOOKUP($A574,Equipos!$C$2:$M$967,3,FALSE()),"")</f>
        <v>Pediatría</v>
      </c>
      <c r="E574" s="46" t="str">
        <f>IFERROR(VLOOKUP($A574,Equipos!$C$2:$M$967,7,FALSE()),"")</f>
        <v xml:space="preserve">Nihon Kohden </v>
      </c>
      <c r="F574" s="46" t="str">
        <f>IFERROR(VLOOKUP($A574,Equipos!$C$2:$M$967,8,FALSE()),"")</f>
        <v>BSM-1763K</v>
      </c>
      <c r="G574" s="46" t="s">
        <v>296</v>
      </c>
      <c r="H574" s="46"/>
      <c r="I574" s="46"/>
      <c r="J574" s="46" t="s">
        <v>297</v>
      </c>
      <c r="K574" s="46" t="str">
        <f>IFERROR(VLOOKUP($J574,Catálogos!$M$4:$N$17,2,FALSE()),"")</f>
        <v>Mantención Preventiva Realizada</v>
      </c>
      <c r="L574" s="46"/>
      <c r="M574" s="46"/>
      <c r="N574" s="46"/>
      <c r="O574" s="46"/>
      <c r="P574" s="46"/>
      <c r="Q574" s="46"/>
    </row>
    <row r="575" spans="1:17" hidden="1" x14ac:dyDescent="0.25">
      <c r="A575" s="47" t="s">
        <v>635</v>
      </c>
      <c r="B575" s="46" t="str">
        <f>IFERROR(VLOOKUP($A575,Equipos!$C$2:$M$967,2,FALSE()),"")</f>
        <v>Monitor Multiparámetros</v>
      </c>
      <c r="C575" s="46" t="str">
        <f>IFERROR(VLOOKUP($A575,Equipos!$C$2:$M$967,9,FALSE()),"")</f>
        <v>0100651</v>
      </c>
      <c r="D575" s="46" t="str">
        <f>IFERROR(VLOOKUP($A575,Equipos!$C$2:$M$967,3,FALSE()),"")</f>
        <v>Pabellón CMA</v>
      </c>
      <c r="E575" s="46" t="str">
        <f>IFERROR(VLOOKUP($A575,Equipos!$C$2:$M$967,7,FALSE()),"")</f>
        <v xml:space="preserve">Nihon Kohden </v>
      </c>
      <c r="F575" s="46" t="str">
        <f>IFERROR(VLOOKUP($A575,Equipos!$C$2:$M$967,8,FALSE()),"")</f>
        <v>PVM-2701K</v>
      </c>
      <c r="G575" s="46" t="s">
        <v>298</v>
      </c>
      <c r="H575" s="46"/>
      <c r="I575" s="46"/>
      <c r="J575" s="46" t="s">
        <v>297</v>
      </c>
      <c r="K575" s="46" t="str">
        <f>IFERROR(VLOOKUP($J575,Catálogos!$M$4:$N$17,2,FALSE()),"")</f>
        <v>Mantención Preventiva Realizada</v>
      </c>
      <c r="L575" s="46"/>
      <c r="M575" s="46"/>
      <c r="N575" s="46"/>
      <c r="O575" s="46"/>
      <c r="P575" s="46"/>
      <c r="Q575" s="46"/>
    </row>
    <row r="576" spans="1:17" hidden="1" x14ac:dyDescent="0.25">
      <c r="A576" s="47" t="s">
        <v>636</v>
      </c>
      <c r="B576" s="46" t="str">
        <f>IFERROR(VLOOKUP($A576,Equipos!$C$2:$M$967,2,FALSE()),"")</f>
        <v>Monitor Multiparámetros</v>
      </c>
      <c r="C576" s="46" t="str">
        <f>IFERROR(VLOOKUP($A576,Equipos!$C$2:$M$967,9,FALSE()),"")</f>
        <v>D3DJ7839G</v>
      </c>
      <c r="D576" s="46" t="str">
        <f>IFERROR(VLOOKUP($A576,Equipos!$C$2:$M$967,3,FALSE()),"")</f>
        <v>Urgencias Gineco-Obstétricas</v>
      </c>
      <c r="E576" s="46" t="str">
        <f>IFERROR(VLOOKUP($A576,Equipos!$C$2:$M$967,7,FALSE()),"")</f>
        <v>General Electric</v>
      </c>
      <c r="F576" s="46" t="str">
        <f>IFERROR(VLOOKUP($A576,Equipos!$C$2:$M$967,8,FALSE()),"")</f>
        <v>Dash 4000</v>
      </c>
      <c r="G576" s="46" t="s">
        <v>296</v>
      </c>
      <c r="H576" s="46"/>
      <c r="I576" s="46"/>
      <c r="J576" s="46" t="s">
        <v>304</v>
      </c>
      <c r="K576" s="46" t="str">
        <f>IFERROR(VLOOKUP($J576,Catálogos!$M$4:$N$17,2,FALSE()),"")</f>
        <v>Equipo Dado de Baja</v>
      </c>
      <c r="L576" s="46"/>
      <c r="M576" s="46"/>
      <c r="N576" s="46"/>
      <c r="O576" s="46"/>
      <c r="P576" s="46"/>
      <c r="Q576" s="46"/>
    </row>
    <row r="577" spans="1:17" hidden="1" x14ac:dyDescent="0.25">
      <c r="A577" s="47" t="s">
        <v>637</v>
      </c>
      <c r="B577" s="46" t="str">
        <f>IFERROR(VLOOKUP($A577,Equipos!$C$2:$M$967,2,FALSE()),"")</f>
        <v>Monitor Multiparámetros</v>
      </c>
      <c r="C577" s="46" t="str">
        <f>IFERROR(VLOOKUP($A577,Equipos!$C$2:$M$967,9,FALSE()),"")</f>
        <v>29751</v>
      </c>
      <c r="D577" s="46" t="str">
        <f>IFERROR(VLOOKUP($A577,Equipos!$C$2:$M$967,3,FALSE()),"")</f>
        <v>Medicina</v>
      </c>
      <c r="E577" s="46" t="str">
        <f>IFERROR(VLOOKUP($A577,Equipos!$C$2:$M$967,7,FALSE()),"")</f>
        <v xml:space="preserve">Nihon Kohden </v>
      </c>
      <c r="F577" s="46" t="str">
        <f>IFERROR(VLOOKUP($A577,Equipos!$C$2:$M$967,8,FALSE()),"")</f>
        <v>BSM-3562K</v>
      </c>
      <c r="G577" s="46" t="s">
        <v>296</v>
      </c>
      <c r="H577" s="46"/>
      <c r="I577" s="46"/>
      <c r="J577" s="46" t="s">
        <v>297</v>
      </c>
      <c r="K577" s="46" t="str">
        <f>IFERROR(VLOOKUP($J577,Catálogos!$M$4:$N$17,2,FALSE()),"")</f>
        <v>Mantención Preventiva Realizada</v>
      </c>
      <c r="L577" s="46"/>
      <c r="M577" s="46"/>
      <c r="N577" s="46"/>
      <c r="O577" s="46"/>
      <c r="P577" s="46"/>
      <c r="Q577" s="46"/>
    </row>
    <row r="578" spans="1:17" hidden="1" x14ac:dyDescent="0.25">
      <c r="A578" s="47" t="s">
        <v>638</v>
      </c>
      <c r="B578" s="46" t="str">
        <f>IFERROR(VLOOKUP($A578,Equipos!$C$2:$M$967,2,FALSE()),"")</f>
        <v>Monitor Multiparámetros</v>
      </c>
      <c r="C578" s="46" t="str">
        <f>IFERROR(VLOOKUP($A578,Equipos!$C$2:$M$967,9,FALSE()),"")</f>
        <v>VSSUM0041</v>
      </c>
      <c r="D578" s="46" t="str">
        <f>IFERROR(VLOOKUP($A578,Equipos!$C$2:$M$967,3,FALSE()),"")</f>
        <v>TROI</v>
      </c>
      <c r="E578" s="46" t="str">
        <f>IFERROR(VLOOKUP($A578,Equipos!$C$2:$M$967,7,FALSE()),"")</f>
        <v>Drager</v>
      </c>
      <c r="F578" s="46" t="str">
        <f>IFERROR(VLOOKUP($A578,Equipos!$C$2:$M$967,8,FALSE()),"")</f>
        <v>Vista 300</v>
      </c>
      <c r="G578" s="46" t="s">
        <v>331</v>
      </c>
      <c r="H578" s="46"/>
      <c r="I578" s="46"/>
      <c r="J578" s="46" t="s">
        <v>297</v>
      </c>
      <c r="K578" s="46" t="str">
        <f>IFERROR(VLOOKUP($J578,Catálogos!$M$4:$N$17,2,FALSE()),"")</f>
        <v>Mantención Preventiva Realizada</v>
      </c>
      <c r="L578" s="46"/>
      <c r="M578" s="46"/>
      <c r="N578" s="46"/>
      <c r="O578" s="46"/>
      <c r="P578" s="46"/>
      <c r="Q578" s="46"/>
    </row>
    <row r="579" spans="1:17" hidden="1" x14ac:dyDescent="0.25">
      <c r="A579" s="47" t="s">
        <v>639</v>
      </c>
      <c r="B579" s="46" t="str">
        <f>IFERROR(VLOOKUP($A579,Equipos!$C$2:$M$967,2,FALSE()),"")</f>
        <v>Monitor Multiparámetros</v>
      </c>
      <c r="C579" s="46" t="str">
        <f>IFERROR(VLOOKUP($A579,Equipos!$C$2:$M$967,9,FALSE()),"")</f>
        <v>5613541864</v>
      </c>
      <c r="D579" s="46" t="str">
        <f>IFERROR(VLOOKUP($A579,Equipos!$C$2:$M$967,3,FALSE()),"")</f>
        <v>Pabellón Quirúrgico</v>
      </c>
      <c r="E579" s="46" t="str">
        <f>IFERROR(VLOOKUP($A579,Equipos!$C$2:$M$967,7,FALSE()),"")</f>
        <v>Drager</v>
      </c>
      <c r="F579" s="46" t="str">
        <f>IFERROR(VLOOKUP($A579,Equipos!$C$2:$M$967,8,FALSE()),"")</f>
        <v>M540</v>
      </c>
      <c r="G579" s="46" t="s">
        <v>331</v>
      </c>
      <c r="H579" s="46"/>
      <c r="I579" s="46"/>
      <c r="J579" s="46" t="s">
        <v>297</v>
      </c>
      <c r="K579" s="46" t="str">
        <f>IFERROR(VLOOKUP($J579,Catálogos!$M$4:$N$17,2,FALSE()),"")</f>
        <v>Mantención Preventiva Realizada</v>
      </c>
      <c r="L579" s="46"/>
      <c r="M579" s="46"/>
      <c r="N579" s="46"/>
      <c r="O579" s="46"/>
      <c r="P579" s="46"/>
      <c r="Q579" s="46"/>
    </row>
    <row r="580" spans="1:17" hidden="1" x14ac:dyDescent="0.25">
      <c r="A580" s="47" t="s">
        <v>640</v>
      </c>
      <c r="B580" s="46" t="str">
        <f>IFERROR(VLOOKUP($A580,Equipos!$C$2:$M$967,2,FALSE()),"")</f>
        <v>Monitor Multiparámetros</v>
      </c>
      <c r="C580" s="46" t="str">
        <f>IFERROR(VLOOKUP($A580,Equipos!$C$2:$M$967,9,FALSE()),"")</f>
        <v>10919</v>
      </c>
      <c r="D580" s="46" t="str">
        <f>IFERROR(VLOOKUP($A580,Equipos!$C$2:$M$967,3,FALSE()),"")</f>
        <v>SAMU</v>
      </c>
      <c r="E580" s="46" t="str">
        <f>IFERROR(VLOOKUP($A580,Equipos!$C$2:$M$967,7,FALSE()),"")</f>
        <v xml:space="preserve">Nihon Kohden </v>
      </c>
      <c r="F580" s="46" t="str">
        <f>IFERROR(VLOOKUP($A580,Equipos!$C$2:$M$967,8,FALSE()),"")</f>
        <v>BSM-1763</v>
      </c>
      <c r="G580" s="46" t="s">
        <v>331</v>
      </c>
      <c r="H580" s="46"/>
      <c r="I580" s="46"/>
      <c r="J580" s="46" t="s">
        <v>297</v>
      </c>
      <c r="K580" s="46" t="str">
        <f>IFERROR(VLOOKUP($J580,Catálogos!$M$4:$N$17,2,FALSE()),"")</f>
        <v>Mantención Preventiva Realizada</v>
      </c>
      <c r="L580" s="46"/>
      <c r="M580" s="46"/>
      <c r="N580" s="46"/>
      <c r="O580" s="46"/>
      <c r="P580" s="46"/>
      <c r="Q580" s="46"/>
    </row>
    <row r="581" spans="1:17" hidden="1" x14ac:dyDescent="0.25">
      <c r="A581" s="47" t="s">
        <v>641</v>
      </c>
      <c r="B581" s="46" t="str">
        <f>IFERROR(VLOOKUP($A581,Equipos!$C$2:$M$967,2,FALSE()),"")</f>
        <v>Monitor Multiparámetros</v>
      </c>
      <c r="C581" s="46" t="str">
        <f>IFERROR(VLOOKUP($A581,Equipos!$C$2:$M$967,9,FALSE()),"")</f>
        <v>S2SRF0982</v>
      </c>
      <c r="D581" s="46" t="str">
        <f>IFERROR(VLOOKUP($A581,Equipos!$C$2:$M$967,3,FALSE()),"")</f>
        <v>Hemato Oncología Adulto</v>
      </c>
      <c r="E581" s="46" t="str">
        <f>IFERROR(VLOOKUP($A581,Equipos!$C$2:$M$967,7,FALSE()),"")</f>
        <v>Drager</v>
      </c>
      <c r="F581" s="46" t="str">
        <f>IFERROR(VLOOKUP($A581,Equipos!$C$2:$M$967,8,FALSE()),"")</f>
        <v>Vista 120 S</v>
      </c>
      <c r="G581" s="46" t="s">
        <v>316</v>
      </c>
      <c r="H581" s="46"/>
      <c r="I581" s="46"/>
      <c r="J581" s="46" t="s">
        <v>323</v>
      </c>
      <c r="K581" s="46" t="str">
        <f>IFERROR(VLOOKUP($J581,Catálogos!$M$4:$N$17,2,FALSE()),"")</f>
        <v>Reprogramada · No disponibilidad de horas hombre del funcionario SEC por alta carga laboral</v>
      </c>
      <c r="L581" s="46"/>
      <c r="M581" s="46"/>
      <c r="N581" s="46"/>
      <c r="O581" s="46"/>
      <c r="P581" s="46"/>
      <c r="Q581" s="46"/>
    </row>
    <row r="582" spans="1:17" hidden="1" x14ac:dyDescent="0.25">
      <c r="A582" s="47" t="s">
        <v>642</v>
      </c>
      <c r="B582" s="46" t="str">
        <f>IFERROR(VLOOKUP($A582,Equipos!$C$2:$M$967,2,FALSE()),"")</f>
        <v>Monitor Multiparámetros</v>
      </c>
      <c r="C582" s="46" t="str">
        <f>IFERROR(VLOOKUP($A582,Equipos!$C$2:$M$967,9,FALSE()),"")</f>
        <v>S2SRF0969</v>
      </c>
      <c r="D582" s="46" t="str">
        <f>IFERROR(VLOOKUP($A582,Equipos!$C$2:$M$967,3,FALSE()),"")</f>
        <v>Hemato Oncología Adulto</v>
      </c>
      <c r="E582" s="46" t="str">
        <f>IFERROR(VLOOKUP($A582,Equipos!$C$2:$M$967,7,FALSE()),"")</f>
        <v>Drager</v>
      </c>
      <c r="F582" s="46" t="str">
        <f>IFERROR(VLOOKUP($A582,Equipos!$C$2:$M$967,8,FALSE()),"")</f>
        <v>Vista 120 S</v>
      </c>
      <c r="G582" s="46" t="s">
        <v>316</v>
      </c>
      <c r="H582" s="46"/>
      <c r="I582" s="46"/>
      <c r="J582" s="46" t="s">
        <v>323</v>
      </c>
      <c r="K582" s="46" t="str">
        <f>IFERROR(VLOOKUP($J582,Catálogos!$M$4:$N$17,2,FALSE()),"")</f>
        <v>Reprogramada · No disponibilidad de horas hombre del funcionario SEC por alta carga laboral</v>
      </c>
      <c r="L582" s="46"/>
      <c r="M582" s="46"/>
      <c r="N582" s="46"/>
      <c r="O582" s="46"/>
      <c r="P582" s="46"/>
      <c r="Q582" s="46"/>
    </row>
    <row r="583" spans="1:17" hidden="1" x14ac:dyDescent="0.25">
      <c r="A583" s="47" t="s">
        <v>642</v>
      </c>
      <c r="B583" s="46" t="str">
        <f>IFERROR(VLOOKUP($A583,Equipos!$C$2:$M$967,2,FALSE()),"")</f>
        <v>Monitor Multiparámetros</v>
      </c>
      <c r="C583" s="46" t="str">
        <f>IFERROR(VLOOKUP($A583,Equipos!$C$2:$M$967,9,FALSE()),"")</f>
        <v>S2SRF0969</v>
      </c>
      <c r="D583" s="46" t="str">
        <f>IFERROR(VLOOKUP($A583,Equipos!$C$2:$M$967,3,FALSE()),"")</f>
        <v>Hemato Oncología Adulto</v>
      </c>
      <c r="E583" s="46" t="str">
        <f>IFERROR(VLOOKUP($A583,Equipos!$C$2:$M$967,7,FALSE()),"")</f>
        <v>Drager</v>
      </c>
      <c r="F583" s="46" t="str">
        <f>IFERROR(VLOOKUP($A583,Equipos!$C$2:$M$967,8,FALSE()),"")</f>
        <v>Vista 120 S</v>
      </c>
      <c r="G583" s="46" t="s">
        <v>331</v>
      </c>
      <c r="H583" s="46"/>
      <c r="I583" s="46"/>
      <c r="J583" s="46" t="s">
        <v>297</v>
      </c>
      <c r="K583" s="46" t="str">
        <f>IFERROR(VLOOKUP($J583,Catálogos!$M$4:$N$17,2,FALSE()),"")</f>
        <v>Mantención Preventiva Realizada</v>
      </c>
      <c r="L583" s="46"/>
      <c r="M583" s="46"/>
      <c r="N583" s="46"/>
      <c r="O583" s="46"/>
      <c r="P583" s="46"/>
      <c r="Q583" s="46"/>
    </row>
    <row r="584" spans="1:17" hidden="1" x14ac:dyDescent="0.25">
      <c r="A584" s="47" t="s">
        <v>643</v>
      </c>
      <c r="B584" s="46" t="str">
        <f>IFERROR(VLOOKUP($A584,Equipos!$C$2:$M$967,2,FALSE()),"")</f>
        <v>Monitor Multiparámetros</v>
      </c>
      <c r="C584" s="46" t="str">
        <f>IFERROR(VLOOKUP($A584,Equipos!$C$2:$M$967,9,FALSE()),"")</f>
        <v>JH01B910030</v>
      </c>
      <c r="D584" s="46" t="str">
        <f>IFERROR(VLOOKUP($A584,Equipos!$C$2:$M$967,3,FALSE()),"")</f>
        <v>CR ONCOLOGICO AMBULATORIO</v>
      </c>
      <c r="E584" s="46" t="str">
        <f>IFERROR(VLOOKUP($A584,Equipos!$C$2:$M$967,7,FALSE()),"")</f>
        <v>NORTHERN</v>
      </c>
      <c r="F584" s="46" t="str">
        <f>IFERROR(VLOOKUP($A584,Equipos!$C$2:$M$967,8,FALSE()),"")</f>
        <v>Aquarius ECG</v>
      </c>
      <c r="G584" s="46" t="s">
        <v>296</v>
      </c>
      <c r="H584" s="46"/>
      <c r="I584" s="46"/>
      <c r="J584" s="46" t="s">
        <v>323</v>
      </c>
      <c r="K584" s="46" t="str">
        <f>IFERROR(VLOOKUP($J584,Catálogos!$M$4:$N$17,2,FALSE()),"")</f>
        <v>Reprogramada · No disponibilidad de horas hombre del funcionario SEC por alta carga laboral</v>
      </c>
      <c r="L584" s="46"/>
      <c r="M584" s="46"/>
      <c r="N584" s="46"/>
      <c r="O584" s="46"/>
      <c r="P584" s="46"/>
      <c r="Q584" s="46"/>
    </row>
    <row r="585" spans="1:17" hidden="1" x14ac:dyDescent="0.25">
      <c r="A585" s="47" t="s">
        <v>643</v>
      </c>
      <c r="B585" s="46" t="str">
        <f>IFERROR(VLOOKUP($A585,Equipos!$C$2:$M$967,2,FALSE()),"")</f>
        <v>Monitor Multiparámetros</v>
      </c>
      <c r="C585" s="46" t="str">
        <f>IFERROR(VLOOKUP($A585,Equipos!$C$2:$M$967,9,FALSE()),"")</f>
        <v>JH01B910030</v>
      </c>
      <c r="D585" s="46" t="str">
        <f>IFERROR(VLOOKUP($A585,Equipos!$C$2:$M$967,3,FALSE()),"")</f>
        <v>CR ONCOLOGICO AMBULATORIO</v>
      </c>
      <c r="E585" s="46" t="str">
        <f>IFERROR(VLOOKUP($A585,Equipos!$C$2:$M$967,7,FALSE()),"")</f>
        <v>NORTHERN</v>
      </c>
      <c r="F585" s="46" t="str">
        <f>IFERROR(VLOOKUP($A585,Equipos!$C$2:$M$967,8,FALSE()),"")</f>
        <v>Aquarius ECG</v>
      </c>
      <c r="G585" s="46" t="s">
        <v>316</v>
      </c>
      <c r="H585" s="46"/>
      <c r="I585" s="46"/>
      <c r="J585" s="46" t="s">
        <v>297</v>
      </c>
      <c r="K585" s="46" t="str">
        <f>IFERROR(VLOOKUP($J585,Catálogos!$M$4:$N$17,2,FALSE()),"")</f>
        <v>Mantención Preventiva Realizada</v>
      </c>
      <c r="L585" s="46"/>
      <c r="M585" s="46"/>
      <c r="N585" s="46"/>
      <c r="O585" s="46"/>
      <c r="P585" s="46"/>
      <c r="Q585" s="46"/>
    </row>
    <row r="586" spans="1:17" hidden="1" x14ac:dyDescent="0.25">
      <c r="A586" s="47" t="s">
        <v>644</v>
      </c>
      <c r="B586" s="46" t="str">
        <f>IFERROR(VLOOKUP($A586,Equipos!$C$2:$M$967,2,FALSE()),"")</f>
        <v>Monitor Multiparámetros</v>
      </c>
      <c r="C586" s="46" t="str">
        <f>IFERROR(VLOOKUP($A586,Equipos!$C$2:$M$967,9,FALSE()),"")</f>
        <v>S2SRF0978</v>
      </c>
      <c r="D586" s="46" t="str">
        <f>IFERROR(VLOOKUP($A586,Equipos!$C$2:$M$967,3,FALSE()),"")</f>
        <v>Hemato Oncología Adulto</v>
      </c>
      <c r="E586" s="46" t="str">
        <f>IFERROR(VLOOKUP($A586,Equipos!$C$2:$M$967,7,FALSE()),"")</f>
        <v>Drager</v>
      </c>
      <c r="F586" s="46" t="str">
        <f>IFERROR(VLOOKUP($A586,Equipos!$C$2:$M$967,8,FALSE()),"")</f>
        <v>Vista 120 S</v>
      </c>
      <c r="G586" s="46" t="s">
        <v>316</v>
      </c>
      <c r="H586" s="46"/>
      <c r="I586" s="46"/>
      <c r="J586" s="46" t="s">
        <v>323</v>
      </c>
      <c r="K586" s="46" t="str">
        <f>IFERROR(VLOOKUP($J586,Catálogos!$M$4:$N$17,2,FALSE()),"")</f>
        <v>Reprogramada · No disponibilidad de horas hombre del funcionario SEC por alta carga laboral</v>
      </c>
      <c r="L586" s="46"/>
      <c r="M586" s="46"/>
      <c r="N586" s="46"/>
      <c r="O586" s="46"/>
      <c r="P586" s="46"/>
      <c r="Q586" s="46"/>
    </row>
    <row r="587" spans="1:17" hidden="1" x14ac:dyDescent="0.25">
      <c r="A587" s="47" t="s">
        <v>644</v>
      </c>
      <c r="B587" s="46" t="str">
        <f>IFERROR(VLOOKUP($A587,Equipos!$C$2:$M$967,2,FALSE()),"")</f>
        <v>Monitor Multiparámetros</v>
      </c>
      <c r="C587" s="46" t="str">
        <f>IFERROR(VLOOKUP($A587,Equipos!$C$2:$M$967,9,FALSE()),"")</f>
        <v>S2SRF0978</v>
      </c>
      <c r="D587" s="46" t="str">
        <f>IFERROR(VLOOKUP($A587,Equipos!$C$2:$M$967,3,FALSE()),"")</f>
        <v>Hemato Oncología Adulto</v>
      </c>
      <c r="E587" s="46" t="str">
        <f>IFERROR(VLOOKUP($A587,Equipos!$C$2:$M$967,7,FALSE()),"")</f>
        <v>Drager</v>
      </c>
      <c r="F587" s="46" t="str">
        <f>IFERROR(VLOOKUP($A587,Equipos!$C$2:$M$967,8,FALSE()),"")</f>
        <v>Vista 120 S</v>
      </c>
      <c r="G587" s="46" t="s">
        <v>331</v>
      </c>
      <c r="H587" s="46"/>
      <c r="I587" s="46"/>
      <c r="J587" s="46" t="s">
        <v>277</v>
      </c>
      <c r="K587" s="46" t="str">
        <f>IFERROR(VLOOKUP($J587,Catálogos!$M$4:$N$17,2,FALSE()),"")</f>
        <v>Reprogramada · Equipo no operativo, a la espera de repuestos o accesorios</v>
      </c>
      <c r="L587" s="46"/>
      <c r="M587" s="46"/>
      <c r="N587" s="46"/>
      <c r="O587" s="46"/>
      <c r="P587" s="46"/>
      <c r="Q587" s="46"/>
    </row>
    <row r="588" spans="1:17" hidden="1" x14ac:dyDescent="0.25">
      <c r="A588" s="47" t="s">
        <v>645</v>
      </c>
      <c r="B588" s="46" t="str">
        <f>IFERROR(VLOOKUP($A588,Equipos!$C$2:$M$967,2,FALSE()),"")</f>
        <v>Monitor Multiparámetros</v>
      </c>
      <c r="C588" s="46" t="str">
        <f>IFERROR(VLOOKUP($A588,Equipos!$C$2:$M$967,9,FALSE()),"")</f>
        <v>1393-109326</v>
      </c>
      <c r="D588" s="46" t="str">
        <f>IFERROR(VLOOKUP($A588,Equipos!$C$2:$M$967,3,FALSE()),"")</f>
        <v>UPC Pediátrica</v>
      </c>
      <c r="E588" s="46" t="str">
        <f>IFERROR(VLOOKUP($A588,Equipos!$C$2:$M$967,7,FALSE()),"")</f>
        <v>SPACELABS HEALTHCARE</v>
      </c>
      <c r="F588" s="46" t="str">
        <f>IFERROR(VLOOKUP($A588,Equipos!$C$2:$M$967,8,FALSE()),"")</f>
        <v>XPREZZON</v>
      </c>
      <c r="G588" s="46" t="s">
        <v>335</v>
      </c>
      <c r="H588" s="46"/>
      <c r="I588" s="46"/>
      <c r="J588" s="46" t="s">
        <v>315</v>
      </c>
      <c r="K588" s="46" t="str">
        <f>IFERROR(VLOOKUP($J588,Catálogos!$M$4:$N$17,2,FALSE()),"")</f>
        <v>Reprogramada · Ausencia justificada del funcionario SEC superior a 15 días</v>
      </c>
      <c r="L588" s="46"/>
      <c r="M588" s="46"/>
      <c r="N588" s="46"/>
      <c r="O588" s="46"/>
      <c r="P588" s="46"/>
      <c r="Q588" s="46"/>
    </row>
    <row r="589" spans="1:17" hidden="1" x14ac:dyDescent="0.25">
      <c r="A589" s="47" t="s">
        <v>645</v>
      </c>
      <c r="B589" s="46" t="str">
        <f>IFERROR(VLOOKUP($A589,Equipos!$C$2:$M$967,2,FALSE()),"")</f>
        <v>Monitor Multiparámetros</v>
      </c>
      <c r="C589" s="46" t="str">
        <f>IFERROR(VLOOKUP($A589,Equipos!$C$2:$M$967,9,FALSE()),"")</f>
        <v>1393-109326</v>
      </c>
      <c r="D589" s="46" t="str">
        <f>IFERROR(VLOOKUP($A589,Equipos!$C$2:$M$967,3,FALSE()),"")</f>
        <v>UPC Pediátrica</v>
      </c>
      <c r="E589" s="46" t="str">
        <f>IFERROR(VLOOKUP($A589,Equipos!$C$2:$M$967,7,FALSE()),"")</f>
        <v>SPACELABS HEALTHCARE</v>
      </c>
      <c r="F589" s="46" t="str">
        <f>IFERROR(VLOOKUP($A589,Equipos!$C$2:$M$967,8,FALSE()),"")</f>
        <v>XPREZZON</v>
      </c>
      <c r="G589" s="46" t="s">
        <v>296</v>
      </c>
      <c r="H589" s="46"/>
      <c r="I589" s="46"/>
      <c r="J589" s="46" t="s">
        <v>297</v>
      </c>
      <c r="K589" s="46" t="str">
        <f>IFERROR(VLOOKUP($J589,Catálogos!$M$4:$N$17,2,FALSE()),"")</f>
        <v>Mantención Preventiva Realizada</v>
      </c>
      <c r="L589" s="46"/>
      <c r="M589" s="46"/>
      <c r="N589" s="46"/>
      <c r="O589" s="46"/>
      <c r="P589" s="46"/>
      <c r="Q589" s="46"/>
    </row>
    <row r="590" spans="1:17" hidden="1" x14ac:dyDescent="0.25">
      <c r="A590" s="47" t="s">
        <v>646</v>
      </c>
      <c r="B590" s="46" t="str">
        <f>IFERROR(VLOOKUP($A590,Equipos!$C$2:$M$967,2,FALSE()),"")</f>
        <v>Monitor Multiparámetros</v>
      </c>
      <c r="C590" s="46" t="str">
        <f>IFERROR(VLOOKUP($A590,Equipos!$C$2:$M$967,9,FALSE()),"")</f>
        <v>S2SRF0975</v>
      </c>
      <c r="D590" s="46" t="str">
        <f>IFERROR(VLOOKUP($A590,Equipos!$C$2:$M$967,3,FALSE()),"")</f>
        <v>Hemato Oncología Adulto</v>
      </c>
      <c r="E590" s="46" t="str">
        <f>IFERROR(VLOOKUP($A590,Equipos!$C$2:$M$967,7,FALSE()),"")</f>
        <v>Drager</v>
      </c>
      <c r="F590" s="46" t="str">
        <f>IFERROR(VLOOKUP($A590,Equipos!$C$2:$M$967,8,FALSE()),"")</f>
        <v>Vista 120 S</v>
      </c>
      <c r="G590" s="46" t="s">
        <v>316</v>
      </c>
      <c r="H590" s="46"/>
      <c r="I590" s="46"/>
      <c r="J590" s="46" t="s">
        <v>323</v>
      </c>
      <c r="K590" s="46" t="str">
        <f>IFERROR(VLOOKUP($J590,Catálogos!$M$4:$N$17,2,FALSE()),"")</f>
        <v>Reprogramada · No disponibilidad de horas hombre del funcionario SEC por alta carga laboral</v>
      </c>
      <c r="L590" s="46"/>
      <c r="M590" s="46"/>
      <c r="N590" s="46"/>
      <c r="O590" s="46"/>
      <c r="P590" s="46"/>
      <c r="Q590" s="46"/>
    </row>
    <row r="591" spans="1:17" hidden="1" x14ac:dyDescent="0.25">
      <c r="A591" s="47" t="s">
        <v>646</v>
      </c>
      <c r="B591" s="46" t="str">
        <f>IFERROR(VLOOKUP($A591,Equipos!$C$2:$M$967,2,FALSE()),"")</f>
        <v>Monitor Multiparámetros</v>
      </c>
      <c r="C591" s="46" t="str">
        <f>IFERROR(VLOOKUP($A591,Equipos!$C$2:$M$967,9,FALSE()),"")</f>
        <v>S2SRF0975</v>
      </c>
      <c r="D591" s="46" t="str">
        <f>IFERROR(VLOOKUP($A591,Equipos!$C$2:$M$967,3,FALSE()),"")</f>
        <v>Hemato Oncología Adulto</v>
      </c>
      <c r="E591" s="46" t="str">
        <f>IFERROR(VLOOKUP($A591,Equipos!$C$2:$M$967,7,FALSE()),"")</f>
        <v>Drager</v>
      </c>
      <c r="F591" s="46" t="str">
        <f>IFERROR(VLOOKUP($A591,Equipos!$C$2:$M$967,8,FALSE()),"")</f>
        <v>Vista 120 S</v>
      </c>
      <c r="G591" s="46" t="s">
        <v>331</v>
      </c>
      <c r="H591" s="46"/>
      <c r="I591" s="46"/>
      <c r="J591" s="46" t="s">
        <v>277</v>
      </c>
      <c r="K591" s="46" t="str">
        <f>IFERROR(VLOOKUP($J591,Catálogos!$M$4:$N$17,2,FALSE()),"")</f>
        <v>Reprogramada · Equipo no operativo, a la espera de repuestos o accesorios</v>
      </c>
      <c r="L591" s="46"/>
      <c r="M591" s="46"/>
      <c r="N591" s="46"/>
      <c r="O591" s="46"/>
      <c r="P591" s="46"/>
      <c r="Q591" s="46"/>
    </row>
    <row r="592" spans="1:17" hidden="1" x14ac:dyDescent="0.25">
      <c r="A592" s="47" t="s">
        <v>647</v>
      </c>
      <c r="B592" s="46" t="str">
        <f>IFERROR(VLOOKUP($A592,Equipos!$C$2:$M$967,2,FALSE()),"")</f>
        <v>Monitor Multiparámetros</v>
      </c>
      <c r="C592" s="46" t="str">
        <f>IFERROR(VLOOKUP($A592,Equipos!$C$2:$M$967,9,FALSE()),"")</f>
        <v>5494757898</v>
      </c>
      <c r="D592" s="46" t="str">
        <f>IFERROR(VLOOKUP($A592,Equipos!$C$2:$M$967,3,FALSE()),"")</f>
        <v>Pabellón Quirúrgico (Prestado a Imagenología)</v>
      </c>
      <c r="E592" s="46" t="str">
        <f>IFERROR(VLOOKUP($A592,Equipos!$C$2:$M$967,7,FALSE()),"")</f>
        <v xml:space="preserve">Drager </v>
      </c>
      <c r="F592" s="46" t="str">
        <f>IFERROR(VLOOKUP($A592,Equipos!$C$2:$M$967,8,FALSE()),"")</f>
        <v>Infinity Kappa</v>
      </c>
      <c r="G592" s="46" t="s">
        <v>331</v>
      </c>
      <c r="H592" s="46"/>
      <c r="I592" s="46"/>
      <c r="J592" s="46" t="s">
        <v>297</v>
      </c>
      <c r="K592" s="46" t="str">
        <f>IFERROR(VLOOKUP($J592,Catálogos!$M$4:$N$17,2,FALSE()),"")</f>
        <v>Mantención Preventiva Realizada</v>
      </c>
      <c r="L592" s="46"/>
      <c r="M592" s="46"/>
      <c r="N592" s="46"/>
      <c r="O592" s="46"/>
      <c r="P592" s="46"/>
      <c r="Q592" s="46"/>
    </row>
    <row r="593" spans="1:17" hidden="1" x14ac:dyDescent="0.25">
      <c r="A593" s="47" t="s">
        <v>648</v>
      </c>
      <c r="B593" s="46" t="str">
        <f>IFERROR(VLOOKUP($A593,Equipos!$C$2:$M$967,2,FALSE()),"")</f>
        <v>Monitor Multiparámetros</v>
      </c>
      <c r="C593" s="46" t="str">
        <f>IFERROR(VLOOKUP($A593,Equipos!$C$2:$M$967,9,FALSE()),"")</f>
        <v>5494770058</v>
      </c>
      <c r="D593" s="46" t="str">
        <f>IFERROR(VLOOKUP($A593,Equipos!$C$2:$M$967,3,FALSE()),"")</f>
        <v>Pabellones Gineco-Obstétricos</v>
      </c>
      <c r="E593" s="46" t="str">
        <f>IFERROR(VLOOKUP($A593,Equipos!$C$2:$M$967,7,FALSE()),"")</f>
        <v xml:space="preserve">Drager </v>
      </c>
      <c r="F593" s="46" t="str">
        <f>IFERROR(VLOOKUP($A593,Equipos!$C$2:$M$967,8,FALSE()),"")</f>
        <v>Infinity Kappa</v>
      </c>
      <c r="G593" s="46" t="s">
        <v>298</v>
      </c>
      <c r="H593" s="46"/>
      <c r="I593" s="46"/>
      <c r="J593" s="46" t="s">
        <v>297</v>
      </c>
      <c r="K593" s="46" t="str">
        <f>IFERROR(VLOOKUP($J593,Catálogos!$M$4:$N$17,2,FALSE()),"")</f>
        <v>Mantención Preventiva Realizada</v>
      </c>
      <c r="L593" s="46"/>
      <c r="M593" s="46"/>
      <c r="N593" s="46"/>
      <c r="O593" s="46"/>
      <c r="P593" s="46"/>
      <c r="Q593" s="46"/>
    </row>
    <row r="594" spans="1:17" hidden="1" x14ac:dyDescent="0.25">
      <c r="A594" s="47" t="s">
        <v>649</v>
      </c>
      <c r="B594" s="46" t="str">
        <f>IFERROR(VLOOKUP($A594,Equipos!$C$2:$M$967,2,FALSE()),"")</f>
        <v>Monitor Multiparámetros</v>
      </c>
      <c r="C594" s="46" t="str">
        <f>IFERROR(VLOOKUP($A594,Equipos!$C$2:$M$967,9,FALSE()),"")</f>
        <v>5494537845</v>
      </c>
      <c r="D594" s="46" t="str">
        <f>IFERROR(VLOOKUP($A594,Equipos!$C$2:$M$967,3,FALSE()),"")</f>
        <v>Pabellón Quirúrgico</v>
      </c>
      <c r="E594" s="46" t="str">
        <f>IFERROR(VLOOKUP($A594,Equipos!$C$2:$M$967,7,FALSE()),"")</f>
        <v xml:space="preserve">Drager </v>
      </c>
      <c r="F594" s="46" t="str">
        <f>IFERROR(VLOOKUP($A594,Equipos!$C$2:$M$967,8,FALSE()),"")</f>
        <v>Infinity Kappa</v>
      </c>
      <c r="G594" s="46" t="s">
        <v>331</v>
      </c>
      <c r="H594" s="46"/>
      <c r="I594" s="46"/>
      <c r="J594" s="46" t="s">
        <v>297</v>
      </c>
      <c r="K594" s="46" t="str">
        <f>IFERROR(VLOOKUP($J594,Catálogos!$M$4:$N$17,2,FALSE()),"")</f>
        <v>Mantención Preventiva Realizada</v>
      </c>
      <c r="L594" s="46"/>
      <c r="M594" s="46"/>
      <c r="N594" s="46"/>
      <c r="O594" s="46"/>
      <c r="P594" s="46"/>
      <c r="Q594" s="46"/>
    </row>
    <row r="595" spans="1:17" hidden="1" x14ac:dyDescent="0.25">
      <c r="A595" s="47" t="s">
        <v>650</v>
      </c>
      <c r="B595" s="46" t="str">
        <f>IFERROR(VLOOKUP($A595,Equipos!$C$2:$M$967,2,FALSE()),"")</f>
        <v>Monitor Multiparámetros</v>
      </c>
      <c r="C595" s="46" t="str">
        <f>IFERROR(VLOOKUP($A595,Equipos!$C$2:$M$967,9,FALSE()),"")</f>
        <v>29761</v>
      </c>
      <c r="D595" s="46" t="str">
        <f>IFERROR(VLOOKUP($A595,Equipos!$C$2:$M$967,3,FALSE()),"")</f>
        <v>Medicina</v>
      </c>
      <c r="E595" s="46" t="str">
        <f>IFERROR(VLOOKUP($A595,Equipos!$C$2:$M$967,7,FALSE()),"")</f>
        <v xml:space="preserve">Nihon Kohden </v>
      </c>
      <c r="F595" s="46" t="str">
        <f>IFERROR(VLOOKUP($A595,Equipos!$C$2:$M$967,8,FALSE()),"")</f>
        <v>BSM-3562K</v>
      </c>
      <c r="G595" s="46" t="s">
        <v>296</v>
      </c>
      <c r="H595" s="46"/>
      <c r="I595" s="46"/>
      <c r="J595" s="46" t="s">
        <v>297</v>
      </c>
      <c r="K595" s="46" t="str">
        <f>IFERROR(VLOOKUP($J595,Catálogos!$M$4:$N$17,2,FALSE()),"")</f>
        <v>Mantención Preventiva Realizada</v>
      </c>
      <c r="L595" s="46"/>
      <c r="M595" s="46"/>
      <c r="N595" s="46"/>
      <c r="O595" s="46"/>
      <c r="P595" s="46"/>
      <c r="Q595" s="46"/>
    </row>
    <row r="596" spans="1:17" hidden="1" x14ac:dyDescent="0.25">
      <c r="A596" s="47" t="s">
        <v>651</v>
      </c>
      <c r="B596" s="46" t="str">
        <f>IFERROR(VLOOKUP($A596,Equipos!$C$2:$M$967,2,FALSE()),"")</f>
        <v>Monitor Multiparámetros</v>
      </c>
      <c r="C596" s="46" t="str">
        <f>IFERROR(VLOOKUP($A596,Equipos!$C$2:$M$967,9,FALSE()),"")</f>
        <v>5493645944</v>
      </c>
      <c r="D596" s="46" t="str">
        <f>IFERROR(VLOOKUP($A596,Equipos!$C$2:$M$967,3,FALSE()),"")</f>
        <v>Pabellón Quirúrgico</v>
      </c>
      <c r="E596" s="46" t="str">
        <f>IFERROR(VLOOKUP($A596,Equipos!$C$2:$M$967,7,FALSE()),"")</f>
        <v xml:space="preserve">Drager </v>
      </c>
      <c r="F596" s="46" t="str">
        <f>IFERROR(VLOOKUP($A596,Equipos!$C$2:$M$967,8,FALSE()),"")</f>
        <v>Infinity Kappa</v>
      </c>
      <c r="G596" s="46" t="s">
        <v>331</v>
      </c>
      <c r="H596" s="46"/>
      <c r="I596" s="46"/>
      <c r="J596" s="46" t="s">
        <v>297</v>
      </c>
      <c r="K596" s="46" t="str">
        <f>IFERROR(VLOOKUP($J596,Catálogos!$M$4:$N$17,2,FALSE()),"")</f>
        <v>Mantención Preventiva Realizada</v>
      </c>
      <c r="L596" s="46"/>
      <c r="M596" s="46"/>
      <c r="N596" s="46"/>
      <c r="O596" s="46"/>
      <c r="P596" s="46"/>
      <c r="Q596" s="46"/>
    </row>
    <row r="597" spans="1:17" hidden="1" x14ac:dyDescent="0.25">
      <c r="A597" s="47" t="s">
        <v>652</v>
      </c>
      <c r="B597" s="46" t="str">
        <f>IFERROR(VLOOKUP($A597,Equipos!$C$2:$M$967,2,FALSE()),"")</f>
        <v>Monitor Multiparámetros</v>
      </c>
      <c r="C597" s="46" t="str">
        <f>IFERROR(VLOOKUP($A597,Equipos!$C$2:$M$967,9,FALSE()),"")</f>
        <v>5494286652</v>
      </c>
      <c r="D597" s="46" t="str">
        <f>IFERROR(VLOOKUP($A597,Equipos!$C$2:$M$967,3,FALSE()),"")</f>
        <v>Pabellones Gineco-Obstétricos</v>
      </c>
      <c r="E597" s="46" t="str">
        <f>IFERROR(VLOOKUP($A597,Equipos!$C$2:$M$967,7,FALSE()),"")</f>
        <v xml:space="preserve">Drager </v>
      </c>
      <c r="F597" s="46" t="str">
        <f>IFERROR(VLOOKUP($A597,Equipos!$C$2:$M$967,8,FALSE()),"")</f>
        <v>Infinity Kappa</v>
      </c>
      <c r="G597" s="46" t="s">
        <v>298</v>
      </c>
      <c r="H597" s="46"/>
      <c r="I597" s="46"/>
      <c r="J597" s="46" t="s">
        <v>297</v>
      </c>
      <c r="K597" s="46" t="str">
        <f>IFERROR(VLOOKUP($J597,Catálogos!$M$4:$N$17,2,FALSE()),"")</f>
        <v>Mantención Preventiva Realizada</v>
      </c>
      <c r="L597" s="46"/>
      <c r="M597" s="46"/>
      <c r="N597" s="46"/>
      <c r="O597" s="46"/>
      <c r="P597" s="46"/>
      <c r="Q597" s="46"/>
    </row>
    <row r="598" spans="1:17" hidden="1" x14ac:dyDescent="0.25">
      <c r="A598" s="47" t="s">
        <v>653</v>
      </c>
      <c r="B598" s="46" t="str">
        <f>IFERROR(VLOOKUP($A598,Equipos!$C$2:$M$967,2,FALSE()),"")</f>
        <v>Monitor Multiparámetros</v>
      </c>
      <c r="C598" s="46" t="str">
        <f>IFERROR(VLOOKUP($A598,Equipos!$C$2:$M$967,9,FALSE()),"")</f>
        <v>5493642252</v>
      </c>
      <c r="D598" s="46" t="str">
        <f>IFERROR(VLOOKUP($A598,Equipos!$C$2:$M$967,3,FALSE()),"")</f>
        <v>Pabellón Quirúrgico</v>
      </c>
      <c r="E598" s="46" t="str">
        <f>IFERROR(VLOOKUP($A598,Equipos!$C$2:$M$967,7,FALSE()),"")</f>
        <v xml:space="preserve">Drager </v>
      </c>
      <c r="F598" s="46" t="str">
        <f>IFERROR(VLOOKUP($A598,Equipos!$C$2:$M$967,8,FALSE()),"")</f>
        <v>Infinity Kappa</v>
      </c>
      <c r="G598" s="46" t="s">
        <v>331</v>
      </c>
      <c r="H598" s="46"/>
      <c r="I598" s="46"/>
      <c r="J598" s="46" t="s">
        <v>297</v>
      </c>
      <c r="K598" s="46" t="str">
        <f>IFERROR(VLOOKUP($J598,Catálogos!$M$4:$N$17,2,FALSE()),"")</f>
        <v>Mantención Preventiva Realizada</v>
      </c>
      <c r="L598" s="46"/>
      <c r="M598" s="46"/>
      <c r="N598" s="46"/>
      <c r="O598" s="46"/>
      <c r="P598" s="46"/>
      <c r="Q598" s="46"/>
    </row>
    <row r="599" spans="1:17" hidden="1" x14ac:dyDescent="0.25">
      <c r="A599" s="47" t="s">
        <v>654</v>
      </c>
      <c r="B599" s="46" t="str">
        <f>IFERROR(VLOOKUP($A599,Equipos!$C$2:$M$967,2,FALSE()),"")</f>
        <v>Monitor Multiparámetros</v>
      </c>
      <c r="C599" s="46" t="str">
        <f>IFERROR(VLOOKUP($A599,Equipos!$C$2:$M$967,9,FALSE()),"")</f>
        <v>1393-109311</v>
      </c>
      <c r="D599" s="46" t="str">
        <f>IFERROR(VLOOKUP($A599,Equipos!$C$2:$M$967,3,FALSE()),"")</f>
        <v>UPC Pediátrica</v>
      </c>
      <c r="E599" s="46" t="str">
        <f>IFERROR(VLOOKUP($A599,Equipos!$C$2:$M$967,7,FALSE()),"")</f>
        <v>SPACELABS HEALTHCARE</v>
      </c>
      <c r="F599" s="46" t="str">
        <f>IFERROR(VLOOKUP($A599,Equipos!$C$2:$M$967,8,FALSE()),"")</f>
        <v>XPREZZON</v>
      </c>
      <c r="G599" s="46" t="s">
        <v>335</v>
      </c>
      <c r="H599" s="46"/>
      <c r="I599" s="46"/>
      <c r="J599" s="46" t="s">
        <v>315</v>
      </c>
      <c r="K599" s="46" t="str">
        <f>IFERROR(VLOOKUP($J599,Catálogos!$M$4:$N$17,2,FALSE()),"")</f>
        <v>Reprogramada · Ausencia justificada del funcionario SEC superior a 15 días</v>
      </c>
      <c r="L599" s="46"/>
      <c r="M599" s="46"/>
      <c r="N599" s="46"/>
      <c r="O599" s="46"/>
      <c r="P599" s="46"/>
      <c r="Q599" s="46"/>
    </row>
    <row r="600" spans="1:17" hidden="1" x14ac:dyDescent="0.25">
      <c r="A600" s="47" t="s">
        <v>654</v>
      </c>
      <c r="B600" s="46" t="str">
        <f>IFERROR(VLOOKUP($A600,Equipos!$C$2:$M$967,2,FALSE()),"")</f>
        <v>Monitor Multiparámetros</v>
      </c>
      <c r="C600" s="46" t="str">
        <f>IFERROR(VLOOKUP($A600,Equipos!$C$2:$M$967,9,FALSE()),"")</f>
        <v>1393-109311</v>
      </c>
      <c r="D600" s="46" t="str">
        <f>IFERROR(VLOOKUP($A600,Equipos!$C$2:$M$967,3,FALSE()),"")</f>
        <v>UPC Pediátrica</v>
      </c>
      <c r="E600" s="46" t="str">
        <f>IFERROR(VLOOKUP($A600,Equipos!$C$2:$M$967,7,FALSE()),"")</f>
        <v>SPACELABS HEALTHCARE</v>
      </c>
      <c r="F600" s="46" t="str">
        <f>IFERROR(VLOOKUP($A600,Equipos!$C$2:$M$967,8,FALSE()),"")</f>
        <v>XPREZZON</v>
      </c>
      <c r="G600" s="46" t="s">
        <v>296</v>
      </c>
      <c r="H600" s="46"/>
      <c r="I600" s="46"/>
      <c r="J600" s="46" t="s">
        <v>297</v>
      </c>
      <c r="K600" s="46" t="str">
        <f>IFERROR(VLOOKUP($J600,Catálogos!$M$4:$N$17,2,FALSE()),"")</f>
        <v>Mantención Preventiva Realizada</v>
      </c>
      <c r="L600" s="46"/>
      <c r="M600" s="46"/>
      <c r="N600" s="46"/>
      <c r="O600" s="46"/>
      <c r="P600" s="46"/>
      <c r="Q600" s="46"/>
    </row>
    <row r="601" spans="1:17" hidden="1" x14ac:dyDescent="0.25">
      <c r="A601" s="47" t="s">
        <v>655</v>
      </c>
      <c r="B601" s="46" t="str">
        <f>IFERROR(VLOOKUP($A601,Equipos!$C$2:$M$967,2,FALSE()),"")</f>
        <v>Monitor Multiparámetros</v>
      </c>
      <c r="C601" s="46" t="str">
        <f>IFERROR(VLOOKUP($A601,Equipos!$C$2:$M$967,9,FALSE()),"")</f>
        <v>5395660070</v>
      </c>
      <c r="D601" s="46" t="str">
        <f>IFERROR(VLOOKUP($A601,Equipos!$C$2:$M$967,3,FALSE()),"")</f>
        <v>Cardiología</v>
      </c>
      <c r="E601" s="46" t="str">
        <f>IFERROR(VLOOKUP($A601,Equipos!$C$2:$M$967,7,FALSE()),"")</f>
        <v xml:space="preserve">Drager </v>
      </c>
      <c r="F601" s="46" t="str">
        <f>IFERROR(VLOOKUP($A601,Equipos!$C$2:$M$967,8,FALSE()),"")</f>
        <v>Infinity Vista</v>
      </c>
      <c r="G601" s="46" t="s">
        <v>316</v>
      </c>
      <c r="H601" s="46"/>
      <c r="I601" s="46"/>
      <c r="J601" s="46" t="s">
        <v>323</v>
      </c>
      <c r="K601" s="46" t="str">
        <f>IFERROR(VLOOKUP($J601,Catálogos!$M$4:$N$17,2,FALSE()),"")</f>
        <v>Reprogramada · No disponibilidad de horas hombre del funcionario SEC por alta carga laboral</v>
      </c>
      <c r="L601" s="46"/>
      <c r="M601" s="46"/>
      <c r="N601" s="46"/>
      <c r="O601" s="46"/>
      <c r="P601" s="46"/>
      <c r="Q601" s="46"/>
    </row>
    <row r="602" spans="1:17" hidden="1" x14ac:dyDescent="0.25">
      <c r="A602" s="47" t="s">
        <v>655</v>
      </c>
      <c r="B602" s="46" t="str">
        <f>IFERROR(VLOOKUP($A602,Equipos!$C$2:$M$967,2,FALSE()),"")</f>
        <v>Monitor Multiparámetros</v>
      </c>
      <c r="C602" s="46" t="str">
        <f>IFERROR(VLOOKUP($A602,Equipos!$C$2:$M$967,9,FALSE()),"")</f>
        <v>5395660070</v>
      </c>
      <c r="D602" s="46" t="str">
        <f>IFERROR(VLOOKUP($A602,Equipos!$C$2:$M$967,3,FALSE()),"")</f>
        <v>Cardiología</v>
      </c>
      <c r="E602" s="46" t="str">
        <f>IFERROR(VLOOKUP($A602,Equipos!$C$2:$M$967,7,FALSE()),"")</f>
        <v xml:space="preserve">Drager </v>
      </c>
      <c r="F602" s="46" t="str">
        <f>IFERROR(VLOOKUP($A602,Equipos!$C$2:$M$967,8,FALSE()),"")</f>
        <v>Infinity Vista</v>
      </c>
      <c r="G602" s="46" t="s">
        <v>331</v>
      </c>
      <c r="H602" s="46"/>
      <c r="I602" s="46"/>
      <c r="J602" s="46" t="s">
        <v>297</v>
      </c>
      <c r="K602" s="46" t="str">
        <f>IFERROR(VLOOKUP($J602,Catálogos!$M$4:$N$17,2,FALSE()),"")</f>
        <v>Mantención Preventiva Realizada</v>
      </c>
      <c r="L602" s="46"/>
      <c r="M602" s="46"/>
      <c r="N602" s="46"/>
      <c r="O602" s="46"/>
      <c r="P602" s="46"/>
      <c r="Q602" s="46"/>
    </row>
    <row r="603" spans="1:17" hidden="1" x14ac:dyDescent="0.25">
      <c r="A603" s="47" t="s">
        <v>656</v>
      </c>
      <c r="B603" s="46" t="str">
        <f>IFERROR(VLOOKUP($A603,Equipos!$C$2:$M$967,2,FALSE()),"")</f>
        <v>Monitor Multiparámetros</v>
      </c>
      <c r="C603" s="46" t="str">
        <f>IFERROR(VLOOKUP($A603,Equipos!$C$2:$M$967,9,FALSE()),"")</f>
        <v>5494287054</v>
      </c>
      <c r="D603" s="46" t="str">
        <f>IFERROR(VLOOKUP($A603,Equipos!$C$2:$M$967,3,FALSE()),"")</f>
        <v>Imagenología (Prestado a Pabellón Quirúrgico)</v>
      </c>
      <c r="E603" s="46" t="str">
        <f>IFERROR(VLOOKUP($A603,Equipos!$C$2:$M$967,7,FALSE()),"")</f>
        <v xml:space="preserve">Drager </v>
      </c>
      <c r="F603" s="46" t="str">
        <f>IFERROR(VLOOKUP($A603,Equipos!$C$2:$M$967,8,FALSE()),"")</f>
        <v>Infinity Kappa</v>
      </c>
      <c r="G603" s="46" t="s">
        <v>331</v>
      </c>
      <c r="H603" s="46"/>
      <c r="I603" s="46"/>
      <c r="J603" s="46" t="s">
        <v>297</v>
      </c>
      <c r="K603" s="46" t="str">
        <f>IFERROR(VLOOKUP($J603,Catálogos!$M$4:$N$17,2,FALSE()),"")</f>
        <v>Mantención Preventiva Realizada</v>
      </c>
      <c r="L603" s="46"/>
      <c r="M603" s="46"/>
      <c r="N603" s="46"/>
      <c r="O603" s="46"/>
      <c r="P603" s="46"/>
      <c r="Q603" s="46"/>
    </row>
    <row r="604" spans="1:17" hidden="1" x14ac:dyDescent="0.25">
      <c r="A604" s="47" t="s">
        <v>657</v>
      </c>
      <c r="B604" s="46" t="str">
        <f>IFERROR(VLOOKUP($A604,Equipos!$C$2:$M$967,2,FALSE()),"")</f>
        <v>Monitor Multiparámetros</v>
      </c>
      <c r="C604" s="46" t="str">
        <f>IFERROR(VLOOKUP($A604,Equipos!$C$2:$M$967,9,FALSE()),"")</f>
        <v>1393-109319</v>
      </c>
      <c r="D604" s="46" t="str">
        <f>IFERROR(VLOOKUP($A604,Equipos!$C$2:$M$967,3,FALSE()),"")</f>
        <v>UPC Pediátrica</v>
      </c>
      <c r="E604" s="46" t="str">
        <f>IFERROR(VLOOKUP($A604,Equipos!$C$2:$M$967,7,FALSE()),"")</f>
        <v>SPACELABS HEALTHCARE</v>
      </c>
      <c r="F604" s="46" t="str">
        <f>IFERROR(VLOOKUP($A604,Equipos!$C$2:$M$967,8,FALSE()),"")</f>
        <v>XPREZZON</v>
      </c>
      <c r="G604" s="46" t="s">
        <v>335</v>
      </c>
      <c r="H604" s="46"/>
      <c r="I604" s="46"/>
      <c r="J604" s="46" t="s">
        <v>315</v>
      </c>
      <c r="K604" s="46" t="str">
        <f>IFERROR(VLOOKUP($J604,Catálogos!$M$4:$N$17,2,FALSE()),"")</f>
        <v>Reprogramada · Ausencia justificada del funcionario SEC superior a 15 días</v>
      </c>
      <c r="L604" s="46"/>
      <c r="M604" s="46"/>
      <c r="N604" s="46"/>
      <c r="O604" s="46"/>
      <c r="P604" s="46"/>
      <c r="Q604" s="46"/>
    </row>
    <row r="605" spans="1:17" hidden="1" x14ac:dyDescent="0.25">
      <c r="A605" s="47" t="s">
        <v>657</v>
      </c>
      <c r="B605" s="46" t="str">
        <f>IFERROR(VLOOKUP($A605,Equipos!$C$2:$M$967,2,FALSE()),"")</f>
        <v>Monitor Multiparámetros</v>
      </c>
      <c r="C605" s="46" t="str">
        <f>IFERROR(VLOOKUP($A605,Equipos!$C$2:$M$967,9,FALSE()),"")</f>
        <v>1393-109319</v>
      </c>
      <c r="D605" s="46" t="str">
        <f>IFERROR(VLOOKUP($A605,Equipos!$C$2:$M$967,3,FALSE()),"")</f>
        <v>UPC Pediátrica</v>
      </c>
      <c r="E605" s="46" t="str">
        <f>IFERROR(VLOOKUP($A605,Equipos!$C$2:$M$967,7,FALSE()),"")</f>
        <v>SPACELABS HEALTHCARE</v>
      </c>
      <c r="F605" s="46" t="str">
        <f>IFERROR(VLOOKUP($A605,Equipos!$C$2:$M$967,8,FALSE()),"")</f>
        <v>XPREZZON</v>
      </c>
      <c r="G605" s="46" t="s">
        <v>296</v>
      </c>
      <c r="H605" s="46"/>
      <c r="I605" s="46"/>
      <c r="J605" s="46" t="s">
        <v>297</v>
      </c>
      <c r="K605" s="46" t="str">
        <f>IFERROR(VLOOKUP($J605,Catálogos!$M$4:$N$17,2,FALSE()),"")</f>
        <v>Mantención Preventiva Realizada</v>
      </c>
      <c r="L605" s="46"/>
      <c r="M605" s="46"/>
      <c r="N605" s="46"/>
      <c r="O605" s="46"/>
      <c r="P605" s="46"/>
      <c r="Q605" s="46"/>
    </row>
    <row r="606" spans="1:17" hidden="1" x14ac:dyDescent="0.25">
      <c r="A606" s="47" t="s">
        <v>658</v>
      </c>
      <c r="B606" s="46" t="str">
        <f>IFERROR(VLOOKUP($A606,Equipos!$C$2:$M$967,2,FALSE()),"")</f>
        <v>Monitor Multiparámetros</v>
      </c>
      <c r="C606" s="46" t="str">
        <f>IFERROR(VLOOKUP($A606,Equipos!$C$2:$M$967,9,FALSE()),"")</f>
        <v>5493757948</v>
      </c>
      <c r="D606" s="46" t="str">
        <f>IFERROR(VLOOKUP($A606,Equipos!$C$2:$M$967,3,FALSE()),"")</f>
        <v>Pabellón Quirúrgico</v>
      </c>
      <c r="E606" s="46" t="str">
        <f>IFERROR(VLOOKUP($A606,Equipos!$C$2:$M$967,7,FALSE()),"")</f>
        <v xml:space="preserve">Drager </v>
      </c>
      <c r="F606" s="46" t="str">
        <f>IFERROR(VLOOKUP($A606,Equipos!$C$2:$M$967,8,FALSE()),"")</f>
        <v>Infinity Kappa</v>
      </c>
      <c r="G606" s="46" t="s">
        <v>331</v>
      </c>
      <c r="H606" s="46"/>
      <c r="I606" s="46"/>
      <c r="J606" s="46" t="s">
        <v>297</v>
      </c>
      <c r="K606" s="46" t="str">
        <f>IFERROR(VLOOKUP($J606,Catálogos!$M$4:$N$17,2,FALSE()),"")</f>
        <v>Mantención Preventiva Realizada</v>
      </c>
      <c r="L606" s="46"/>
      <c r="M606" s="46"/>
      <c r="N606" s="46"/>
      <c r="O606" s="46"/>
      <c r="P606" s="46"/>
      <c r="Q606" s="46"/>
    </row>
    <row r="607" spans="1:17" hidden="1" x14ac:dyDescent="0.25">
      <c r="A607" s="47" t="s">
        <v>659</v>
      </c>
      <c r="B607" s="46" t="str">
        <f>IFERROR(VLOOKUP($A607,Equipos!$C$2:$M$967,2,FALSE()),"")</f>
        <v>Monitor Multiparámetros</v>
      </c>
      <c r="C607" s="46" t="str">
        <f>IFERROR(VLOOKUP($A607,Equipos!$C$2:$M$967,9,FALSE()),"")</f>
        <v>VSSTB0049</v>
      </c>
      <c r="D607" s="46" t="str">
        <f>IFERROR(VLOOKUP($A607,Equipos!$C$2:$M$967,3,FALSE()),"")</f>
        <v>Ginecología</v>
      </c>
      <c r="E607" s="46" t="str">
        <f>IFERROR(VLOOKUP($A607,Equipos!$C$2:$M$967,7,FALSE()),"")</f>
        <v xml:space="preserve">Drager </v>
      </c>
      <c r="F607" s="46" t="str">
        <f>IFERROR(VLOOKUP($A607,Equipos!$C$2:$M$967,8,FALSE()),"")</f>
        <v>Vista 300</v>
      </c>
      <c r="G607" s="46" t="s">
        <v>298</v>
      </c>
      <c r="H607" s="46"/>
      <c r="I607" s="46"/>
      <c r="J607" s="46" t="s">
        <v>297</v>
      </c>
      <c r="K607" s="46" t="str">
        <f>IFERROR(VLOOKUP($J607,Catálogos!$M$4:$N$17,2,FALSE()),"")</f>
        <v>Mantención Preventiva Realizada</v>
      </c>
      <c r="L607" s="46"/>
      <c r="M607" s="46"/>
      <c r="N607" s="46"/>
      <c r="O607" s="46"/>
      <c r="P607" s="46"/>
      <c r="Q607" s="46"/>
    </row>
    <row r="608" spans="1:17" hidden="1" x14ac:dyDescent="0.25">
      <c r="A608" s="47" t="s">
        <v>660</v>
      </c>
      <c r="B608" s="46" t="str">
        <f>IFERROR(VLOOKUP($A608,Equipos!$C$2:$M$967,2,FALSE()),"")</f>
        <v>Monitor Multiparámetros</v>
      </c>
      <c r="C608" s="46" t="str">
        <f>IFERROR(VLOOKUP($A608,Equipos!$C$2:$M$967,9,FALSE()),"")</f>
        <v>1393-109304</v>
      </c>
      <c r="D608" s="46" t="str">
        <f>IFERROR(VLOOKUP($A608,Equipos!$C$2:$M$967,3,FALSE()),"")</f>
        <v>UPC Pediátrica</v>
      </c>
      <c r="E608" s="46" t="str">
        <f>IFERROR(VLOOKUP($A608,Equipos!$C$2:$M$967,7,FALSE()),"")</f>
        <v>SPACELABS HEALTHCARE</v>
      </c>
      <c r="F608" s="46" t="str">
        <f>IFERROR(VLOOKUP($A608,Equipos!$C$2:$M$967,8,FALSE()),"")</f>
        <v>XPREZZON</v>
      </c>
      <c r="G608" s="46" t="s">
        <v>335</v>
      </c>
      <c r="H608" s="46"/>
      <c r="I608" s="46"/>
      <c r="J608" s="46" t="s">
        <v>315</v>
      </c>
      <c r="K608" s="46" t="str">
        <f>IFERROR(VLOOKUP($J608,Catálogos!$M$4:$N$17,2,FALSE()),"")</f>
        <v>Reprogramada · Ausencia justificada del funcionario SEC superior a 15 días</v>
      </c>
      <c r="L608" s="46"/>
      <c r="M608" s="46"/>
      <c r="N608" s="46"/>
      <c r="O608" s="46"/>
      <c r="P608" s="46"/>
      <c r="Q608" s="46"/>
    </row>
    <row r="609" spans="1:17" hidden="1" x14ac:dyDescent="0.25">
      <c r="A609" s="47" t="s">
        <v>660</v>
      </c>
      <c r="B609" s="46" t="str">
        <f>IFERROR(VLOOKUP($A609,Equipos!$C$2:$M$967,2,FALSE()),"")</f>
        <v>Monitor Multiparámetros</v>
      </c>
      <c r="C609" s="46" t="str">
        <f>IFERROR(VLOOKUP($A609,Equipos!$C$2:$M$967,9,FALSE()),"")</f>
        <v>1393-109304</v>
      </c>
      <c r="D609" s="46" t="str">
        <f>IFERROR(VLOOKUP($A609,Equipos!$C$2:$M$967,3,FALSE()),"")</f>
        <v>UPC Pediátrica</v>
      </c>
      <c r="E609" s="46" t="str">
        <f>IFERROR(VLOOKUP($A609,Equipos!$C$2:$M$967,7,FALSE()),"")</f>
        <v>SPACELABS HEALTHCARE</v>
      </c>
      <c r="F609" s="46" t="str">
        <f>IFERROR(VLOOKUP($A609,Equipos!$C$2:$M$967,8,FALSE()),"")</f>
        <v>XPREZZON</v>
      </c>
      <c r="G609" s="46" t="s">
        <v>296</v>
      </c>
      <c r="H609" s="46"/>
      <c r="I609" s="46"/>
      <c r="J609" s="46" t="s">
        <v>297</v>
      </c>
      <c r="K609" s="46" t="str">
        <f>IFERROR(VLOOKUP($J609,Catálogos!$M$4:$N$17,2,FALSE()),"")</f>
        <v>Mantención Preventiva Realizada</v>
      </c>
      <c r="L609" s="46"/>
      <c r="M609" s="46"/>
      <c r="N609" s="46"/>
      <c r="O609" s="46"/>
      <c r="P609" s="46"/>
      <c r="Q609" s="46"/>
    </row>
    <row r="610" spans="1:17" hidden="1" x14ac:dyDescent="0.25">
      <c r="A610" s="47" t="s">
        <v>661</v>
      </c>
      <c r="B610" s="46" t="str">
        <f>IFERROR(VLOOKUP($A610,Equipos!$C$2:$M$967,2,FALSE()),"")</f>
        <v>Monitor Multiparámetros</v>
      </c>
      <c r="C610" s="46" t="str">
        <f>IFERROR(VLOOKUP($A610,Equipos!$C$2:$M$967,9,FALSE()),"")</f>
        <v>VSSTB0059</v>
      </c>
      <c r="D610" s="46" t="str">
        <f>IFERROR(VLOOKUP($A610,Equipos!$C$2:$M$967,3,FALSE()),"")</f>
        <v>Ginecología</v>
      </c>
      <c r="E610" s="46" t="str">
        <f>IFERROR(VLOOKUP($A610,Equipos!$C$2:$M$967,7,FALSE()),"")</f>
        <v xml:space="preserve">Drager </v>
      </c>
      <c r="F610" s="46" t="str">
        <f>IFERROR(VLOOKUP($A610,Equipos!$C$2:$M$967,8,FALSE()),"")</f>
        <v>Vista 300</v>
      </c>
      <c r="G610" s="46" t="s">
        <v>298</v>
      </c>
      <c r="H610" s="46"/>
      <c r="I610" s="46"/>
      <c r="J610" s="46" t="s">
        <v>297</v>
      </c>
      <c r="K610" s="46" t="str">
        <f>IFERROR(VLOOKUP($J610,Catálogos!$M$4:$N$17,2,FALSE()),"")</f>
        <v>Mantención Preventiva Realizada</v>
      </c>
      <c r="L610" s="46"/>
      <c r="M610" s="46"/>
      <c r="N610" s="46"/>
      <c r="O610" s="46"/>
      <c r="P610" s="46"/>
      <c r="Q610" s="46"/>
    </row>
    <row r="611" spans="1:17" hidden="1" x14ac:dyDescent="0.25">
      <c r="A611" s="47" t="s">
        <v>662</v>
      </c>
      <c r="B611" s="46" t="str">
        <f>IFERROR(VLOOKUP($A611,Equipos!$C$2:$M$967,2,FALSE()),"")</f>
        <v>Monitor Multiparámetros</v>
      </c>
      <c r="C611" s="46" t="str">
        <f>IFERROR(VLOOKUP($A611,Equipos!$C$2:$M$967,9,FALSE()),"")</f>
        <v>1393-109320</v>
      </c>
      <c r="D611" s="46" t="str">
        <f>IFERROR(VLOOKUP($A611,Equipos!$C$2:$M$967,3,FALSE()),"")</f>
        <v>UPC Pediátrica</v>
      </c>
      <c r="E611" s="46" t="str">
        <f>IFERROR(VLOOKUP($A611,Equipos!$C$2:$M$967,7,FALSE()),"")</f>
        <v>SPACELABS HEALTHCARE</v>
      </c>
      <c r="F611" s="46" t="str">
        <f>IFERROR(VLOOKUP($A611,Equipos!$C$2:$M$967,8,FALSE()),"")</f>
        <v>XPREZZON</v>
      </c>
      <c r="G611" s="46" t="s">
        <v>335</v>
      </c>
      <c r="H611" s="46"/>
      <c r="I611" s="46"/>
      <c r="J611" s="46" t="s">
        <v>315</v>
      </c>
      <c r="K611" s="46" t="str">
        <f>IFERROR(VLOOKUP($J611,Catálogos!$M$4:$N$17,2,FALSE()),"")</f>
        <v>Reprogramada · Ausencia justificada del funcionario SEC superior a 15 días</v>
      </c>
      <c r="L611" s="46"/>
      <c r="M611" s="46"/>
      <c r="N611" s="46"/>
      <c r="O611" s="46"/>
      <c r="P611" s="46"/>
      <c r="Q611" s="46"/>
    </row>
    <row r="612" spans="1:17" hidden="1" x14ac:dyDescent="0.25">
      <c r="A612" s="47" t="s">
        <v>662</v>
      </c>
      <c r="B612" s="46" t="str">
        <f>IFERROR(VLOOKUP($A612,Equipos!$C$2:$M$967,2,FALSE()),"")</f>
        <v>Monitor Multiparámetros</v>
      </c>
      <c r="C612" s="46" t="str">
        <f>IFERROR(VLOOKUP($A612,Equipos!$C$2:$M$967,9,FALSE()),"")</f>
        <v>1393-109320</v>
      </c>
      <c r="D612" s="46" t="str">
        <f>IFERROR(VLOOKUP($A612,Equipos!$C$2:$M$967,3,FALSE()),"")</f>
        <v>UPC Pediátrica</v>
      </c>
      <c r="E612" s="46" t="str">
        <f>IFERROR(VLOOKUP($A612,Equipos!$C$2:$M$967,7,FALSE()),"")</f>
        <v>SPACELABS HEALTHCARE</v>
      </c>
      <c r="F612" s="46" t="str">
        <f>IFERROR(VLOOKUP($A612,Equipos!$C$2:$M$967,8,FALSE()),"")</f>
        <v>XPREZZON</v>
      </c>
      <c r="G612" s="46" t="s">
        <v>296</v>
      </c>
      <c r="H612" s="46"/>
      <c r="I612" s="46"/>
      <c r="J612" s="46" t="s">
        <v>297</v>
      </c>
      <c r="K612" s="46" t="str">
        <f>IFERROR(VLOOKUP($J612,Catálogos!$M$4:$N$17,2,FALSE()),"")</f>
        <v>Mantención Preventiva Realizada</v>
      </c>
      <c r="L612" s="46"/>
      <c r="M612" s="46"/>
      <c r="N612" s="46"/>
      <c r="O612" s="46"/>
      <c r="P612" s="46"/>
      <c r="Q612" s="46"/>
    </row>
    <row r="613" spans="1:17" hidden="1" x14ac:dyDescent="0.25">
      <c r="A613" s="47" t="s">
        <v>663</v>
      </c>
      <c r="B613" s="46" t="str">
        <f>IFERROR(VLOOKUP($A613,Equipos!$C$2:$M$967,2,FALSE()),"")</f>
        <v>Monitor Multiparámetros</v>
      </c>
      <c r="C613" s="46" t="str">
        <f>IFERROR(VLOOKUP($A613,Equipos!$C$2:$M$967,9,FALSE()),"")</f>
        <v>VSSUM0044</v>
      </c>
      <c r="D613" s="46" t="str">
        <f>IFERROR(VLOOKUP($A613,Equipos!$C$2:$M$967,3,FALSE()),"")</f>
        <v>TROI</v>
      </c>
      <c r="E613" s="46" t="str">
        <f>IFERROR(VLOOKUP($A613,Equipos!$C$2:$M$967,7,FALSE()),"")</f>
        <v>Drager</v>
      </c>
      <c r="F613" s="46" t="str">
        <f>IFERROR(VLOOKUP($A613,Equipos!$C$2:$M$967,8,FALSE()),"")</f>
        <v>Vista 300</v>
      </c>
      <c r="G613" s="46" t="s">
        <v>331</v>
      </c>
      <c r="H613" s="46"/>
      <c r="I613" s="46"/>
      <c r="J613" s="46" t="s">
        <v>297</v>
      </c>
      <c r="K613" s="46" t="str">
        <f>IFERROR(VLOOKUP($J613,Catálogos!$M$4:$N$17,2,FALSE()),"")</f>
        <v>Mantención Preventiva Realizada</v>
      </c>
      <c r="L613" s="46"/>
      <c r="M613" s="46"/>
      <c r="N613" s="46"/>
      <c r="O613" s="46"/>
      <c r="P613" s="46"/>
      <c r="Q613" s="46"/>
    </row>
    <row r="614" spans="1:17" hidden="1" x14ac:dyDescent="0.25">
      <c r="A614" s="47" t="s">
        <v>664</v>
      </c>
      <c r="B614" s="46" t="str">
        <f>IFERROR(VLOOKUP($A614,Equipos!$C$2:$M$967,2,FALSE()),"")</f>
        <v>Monitor Multiparámetros</v>
      </c>
      <c r="C614" s="46" t="str">
        <f>IFERROR(VLOOKUP($A614,Equipos!$C$2:$M$967,9,FALSE()),"")</f>
        <v>JB01B910013</v>
      </c>
      <c r="D614" s="46" t="str">
        <f>IFERROR(VLOOKUP($A614,Equipos!$C$2:$M$967,3,FALSE()),"")</f>
        <v>CR ONCOLOGICO AMBULATORIO</v>
      </c>
      <c r="E614" s="46" t="str">
        <f>IFERROR(VLOOKUP($A614,Equipos!$C$2:$M$967,7,FALSE()),"")</f>
        <v>NORTHERN</v>
      </c>
      <c r="F614" s="46" t="str">
        <f>IFERROR(VLOOKUP($A614,Equipos!$C$2:$M$967,8,FALSE()),"")</f>
        <v>Aquarius ECG</v>
      </c>
      <c r="G614" s="46" t="s">
        <v>296</v>
      </c>
      <c r="H614" s="46"/>
      <c r="I614" s="46"/>
      <c r="J614" s="46" t="s">
        <v>323</v>
      </c>
      <c r="K614" s="46" t="str">
        <f>IFERROR(VLOOKUP($J614,Catálogos!$M$4:$N$17,2,FALSE()),"")</f>
        <v>Reprogramada · No disponibilidad de horas hombre del funcionario SEC por alta carga laboral</v>
      </c>
      <c r="L614" s="46"/>
      <c r="M614" s="46"/>
      <c r="N614" s="46"/>
      <c r="O614" s="46"/>
      <c r="P614" s="46"/>
      <c r="Q614" s="46"/>
    </row>
    <row r="615" spans="1:17" hidden="1" x14ac:dyDescent="0.25">
      <c r="A615" s="47" t="s">
        <v>664</v>
      </c>
      <c r="B615" s="46" t="str">
        <f>IFERROR(VLOOKUP($A615,Equipos!$C$2:$M$967,2,FALSE()),"")</f>
        <v>Monitor Multiparámetros</v>
      </c>
      <c r="C615" s="46" t="str">
        <f>IFERROR(VLOOKUP($A615,Equipos!$C$2:$M$967,9,FALSE()),"")</f>
        <v>JB01B910013</v>
      </c>
      <c r="D615" s="46" t="str">
        <f>IFERROR(VLOOKUP($A615,Equipos!$C$2:$M$967,3,FALSE()),"")</f>
        <v>CR ONCOLOGICO AMBULATORIO</v>
      </c>
      <c r="E615" s="46" t="str">
        <f>IFERROR(VLOOKUP($A615,Equipos!$C$2:$M$967,7,FALSE()),"")</f>
        <v>NORTHERN</v>
      </c>
      <c r="F615" s="46" t="str">
        <f>IFERROR(VLOOKUP($A615,Equipos!$C$2:$M$967,8,FALSE()),"")</f>
        <v>Aquarius ECG</v>
      </c>
      <c r="G615" s="46" t="s">
        <v>316</v>
      </c>
      <c r="H615" s="46"/>
      <c r="I615" s="46"/>
      <c r="J615" s="46" t="s">
        <v>297</v>
      </c>
      <c r="K615" s="46" t="str">
        <f>IFERROR(VLOOKUP($J615,Catálogos!$M$4:$N$17,2,FALSE()),"")</f>
        <v>Mantención Preventiva Realizada</v>
      </c>
      <c r="L615" s="46"/>
      <c r="M615" s="46"/>
      <c r="N615" s="46"/>
      <c r="O615" s="46"/>
      <c r="P615" s="46"/>
      <c r="Q615" s="46"/>
    </row>
    <row r="616" spans="1:17" hidden="1" x14ac:dyDescent="0.25">
      <c r="A616" s="47" t="s">
        <v>665</v>
      </c>
      <c r="B616" s="46" t="str">
        <f>IFERROR(VLOOKUP($A616,Equipos!$C$2:$M$967,2,FALSE()),"")</f>
        <v>Monitor Multiparámetros</v>
      </c>
      <c r="C616" s="46" t="str">
        <f>IFERROR(VLOOKUP($A616,Equipos!$C$2:$M$967,9,FALSE()),"")</f>
        <v>SQE19510002SA</v>
      </c>
      <c r="D616" s="46" t="str">
        <f>IFERROR(VLOOKUP($A616,Equipos!$C$2:$M$967,3,FALSE()),"")</f>
        <v>Medicina (Prestado a Psiquiatria)</v>
      </c>
      <c r="E616" s="46" t="str">
        <f>IFERROR(VLOOKUP($A616,Equipos!$C$2:$M$967,7,FALSE()),"")</f>
        <v>General Electric</v>
      </c>
      <c r="F616" s="46" t="str">
        <f>IFERROR(VLOOKUP($A616,Equipos!$C$2:$M$967,8,FALSE()),"")</f>
        <v>B105</v>
      </c>
      <c r="G616" s="46" t="s">
        <v>296</v>
      </c>
      <c r="H616" s="46"/>
      <c r="I616" s="46"/>
      <c r="J616" s="46" t="s">
        <v>323</v>
      </c>
      <c r="K616" s="46" t="str">
        <f>IFERROR(VLOOKUP($J616,Catálogos!$M$4:$N$17,2,FALSE()),"")</f>
        <v>Reprogramada · No disponibilidad de horas hombre del funcionario SEC por alta carga laboral</v>
      </c>
      <c r="L616" s="46"/>
      <c r="M616" s="46"/>
      <c r="N616" s="46"/>
      <c r="O616" s="46"/>
      <c r="P616" s="46"/>
      <c r="Q616" s="46"/>
    </row>
    <row r="617" spans="1:17" hidden="1" x14ac:dyDescent="0.25">
      <c r="A617" s="47" t="s">
        <v>665</v>
      </c>
      <c r="B617" s="46" t="str">
        <f>IFERROR(VLOOKUP($A617,Equipos!$C$2:$M$967,2,FALSE()),"")</f>
        <v>Monitor Multiparámetros</v>
      </c>
      <c r="C617" s="46" t="str">
        <f>IFERROR(VLOOKUP($A617,Equipos!$C$2:$M$967,9,FALSE()),"")</f>
        <v>SQE19510002SA</v>
      </c>
      <c r="D617" s="46" t="str">
        <f>IFERROR(VLOOKUP($A617,Equipos!$C$2:$M$967,3,FALSE()),"")</f>
        <v>Medicina (Prestado a Psiquiatria)</v>
      </c>
      <c r="E617" s="46" t="str">
        <f>IFERROR(VLOOKUP($A617,Equipos!$C$2:$M$967,7,FALSE()),"")</f>
        <v>General Electric</v>
      </c>
      <c r="F617" s="46" t="str">
        <f>IFERROR(VLOOKUP($A617,Equipos!$C$2:$M$967,8,FALSE()),"")</f>
        <v>B105</v>
      </c>
      <c r="G617" s="46" t="s">
        <v>316</v>
      </c>
      <c r="H617" s="46"/>
      <c r="I617" s="46"/>
      <c r="J617" s="46" t="s">
        <v>297</v>
      </c>
      <c r="K617" s="46" t="str">
        <f>IFERROR(VLOOKUP($J617,Catálogos!$M$4:$N$17,2,FALSE()),"")</f>
        <v>Mantención Preventiva Realizada</v>
      </c>
      <c r="L617" s="46"/>
      <c r="M617" s="46"/>
      <c r="N617" s="46"/>
      <c r="O617" s="46"/>
      <c r="P617" s="46"/>
      <c r="Q617" s="46"/>
    </row>
    <row r="618" spans="1:17" hidden="1" x14ac:dyDescent="0.25">
      <c r="A618" s="47" t="s">
        <v>666</v>
      </c>
      <c r="B618" s="46" t="str">
        <f>IFERROR(VLOOKUP($A618,Equipos!$C$2:$M$967,2,FALSE()),"")</f>
        <v>Monitor Multiparámetros</v>
      </c>
      <c r="C618" s="46" t="str">
        <f>IFERROR(VLOOKUP($A618,Equipos!$C$2:$M$967,9,FALSE()),"")</f>
        <v>VSSTA0230</v>
      </c>
      <c r="D618" s="46" t="str">
        <f>IFERROR(VLOOKUP($A618,Equipos!$C$2:$M$967,3,FALSE()),"")</f>
        <v>Pabellones Gineco-Obstétricos</v>
      </c>
      <c r="E618" s="46" t="str">
        <f>IFERROR(VLOOKUP($A618,Equipos!$C$2:$M$967,7,FALSE()),"")</f>
        <v xml:space="preserve">Drager </v>
      </c>
      <c r="F618" s="46" t="str">
        <f>IFERROR(VLOOKUP($A618,Equipos!$C$2:$M$967,8,FALSE()),"")</f>
        <v>Vista 300</v>
      </c>
      <c r="G618" s="46" t="s">
        <v>298</v>
      </c>
      <c r="H618" s="46"/>
      <c r="I618" s="46"/>
      <c r="J618" s="46" t="s">
        <v>297</v>
      </c>
      <c r="K618" s="46" t="str">
        <f>IFERROR(VLOOKUP($J618,Catálogos!$M$4:$N$17,2,FALSE()),"")</f>
        <v>Mantención Preventiva Realizada</v>
      </c>
      <c r="L618" s="46"/>
      <c r="M618" s="46"/>
      <c r="N618" s="46"/>
      <c r="O618" s="46"/>
      <c r="P618" s="46"/>
      <c r="Q618" s="46"/>
    </row>
    <row r="619" spans="1:17" hidden="1" x14ac:dyDescent="0.25">
      <c r="A619" s="47" t="s">
        <v>667</v>
      </c>
      <c r="B619" s="46" t="str">
        <f>IFERROR(VLOOKUP($A619,Equipos!$C$2:$M$967,2,FALSE()),"")</f>
        <v>Monitor Multiparámetros</v>
      </c>
      <c r="C619" s="46" t="str">
        <f>IFERROR(VLOOKUP($A619,Equipos!$C$2:$M$967,9,FALSE()),"")</f>
        <v>1393-109322</v>
      </c>
      <c r="D619" s="46" t="str">
        <f>IFERROR(VLOOKUP($A619,Equipos!$C$2:$M$967,3,FALSE()),"")</f>
        <v>UPC Pediátrica</v>
      </c>
      <c r="E619" s="46" t="str">
        <f>IFERROR(VLOOKUP($A619,Equipos!$C$2:$M$967,7,FALSE()),"")</f>
        <v>SPACELABS HEALTHCARE</v>
      </c>
      <c r="F619" s="46" t="str">
        <f>IFERROR(VLOOKUP($A619,Equipos!$C$2:$M$967,8,FALSE()),"")</f>
        <v>XPREZZON</v>
      </c>
      <c r="G619" s="46" t="s">
        <v>335</v>
      </c>
      <c r="H619" s="46"/>
      <c r="I619" s="46"/>
      <c r="J619" s="46" t="s">
        <v>315</v>
      </c>
      <c r="K619" s="46" t="str">
        <f>IFERROR(VLOOKUP($J619,Catálogos!$M$4:$N$17,2,FALSE()),"")</f>
        <v>Reprogramada · Ausencia justificada del funcionario SEC superior a 15 días</v>
      </c>
      <c r="L619" s="46"/>
      <c r="M619" s="46"/>
      <c r="N619" s="46"/>
      <c r="O619" s="46"/>
      <c r="P619" s="46"/>
      <c r="Q619" s="46"/>
    </row>
    <row r="620" spans="1:17" hidden="1" x14ac:dyDescent="0.25">
      <c r="A620" s="47" t="s">
        <v>667</v>
      </c>
      <c r="B620" s="46" t="str">
        <f>IFERROR(VLOOKUP($A620,Equipos!$C$2:$M$967,2,FALSE()),"")</f>
        <v>Monitor Multiparámetros</v>
      </c>
      <c r="C620" s="46" t="str">
        <f>IFERROR(VLOOKUP($A620,Equipos!$C$2:$M$967,9,FALSE()),"")</f>
        <v>1393-109322</v>
      </c>
      <c r="D620" s="46" t="str">
        <f>IFERROR(VLOOKUP($A620,Equipos!$C$2:$M$967,3,FALSE()),"")</f>
        <v>UPC Pediátrica</v>
      </c>
      <c r="E620" s="46" t="str">
        <f>IFERROR(VLOOKUP($A620,Equipos!$C$2:$M$967,7,FALSE()),"")</f>
        <v>SPACELABS HEALTHCARE</v>
      </c>
      <c r="F620" s="46" t="str">
        <f>IFERROR(VLOOKUP($A620,Equipos!$C$2:$M$967,8,FALSE()),"")</f>
        <v>XPREZZON</v>
      </c>
      <c r="G620" s="46" t="s">
        <v>296</v>
      </c>
      <c r="H620" s="46"/>
      <c r="I620" s="46"/>
      <c r="J620" s="46" t="s">
        <v>297</v>
      </c>
      <c r="K620" s="46" t="str">
        <f>IFERROR(VLOOKUP($J620,Catálogos!$M$4:$N$17,2,FALSE()),"")</f>
        <v>Mantención Preventiva Realizada</v>
      </c>
      <c r="L620" s="46"/>
      <c r="M620" s="46"/>
      <c r="N620" s="46"/>
      <c r="O620" s="46"/>
      <c r="P620" s="46"/>
      <c r="Q620" s="46"/>
    </row>
    <row r="621" spans="1:17" hidden="1" x14ac:dyDescent="0.25">
      <c r="A621" s="47" t="s">
        <v>668</v>
      </c>
      <c r="B621" s="46" t="str">
        <f>IFERROR(VLOOKUP($A621,Equipos!$C$2:$M$967,2,FALSE()),"")</f>
        <v>Monitor Multiparámetros</v>
      </c>
      <c r="C621" s="46" t="str">
        <f>IFERROR(VLOOKUP($A621,Equipos!$C$2:$M$967,9,FALSE()),"")</f>
        <v>3300-004914</v>
      </c>
      <c r="D621" s="46" t="str">
        <f>IFERROR(VLOOKUP($A621,Equipos!$C$2:$M$967,3,FALSE()),"")</f>
        <v>Pabellón CMA</v>
      </c>
      <c r="E621" s="46" t="str">
        <f>IFERROR(VLOOKUP($A621,Equipos!$C$2:$M$967,7,FALSE()),"")</f>
        <v>SPACELABS HEALTHCARE</v>
      </c>
      <c r="F621" s="46" t="str">
        <f>IFERROR(VLOOKUP($A621,Equipos!$C$2:$M$967,8,FALSE()),"")</f>
        <v>Elance 2.0</v>
      </c>
      <c r="G621" s="46" t="s">
        <v>298</v>
      </c>
      <c r="H621" s="46"/>
      <c r="I621" s="46"/>
      <c r="J621" s="46" t="s">
        <v>297</v>
      </c>
      <c r="K621" s="46" t="str">
        <f>IFERROR(VLOOKUP($J621,Catálogos!$M$4:$N$17,2,FALSE()),"")</f>
        <v>Mantención Preventiva Realizada</v>
      </c>
      <c r="L621" s="46"/>
      <c r="M621" s="46"/>
      <c r="N621" s="46"/>
      <c r="O621" s="46"/>
      <c r="P621" s="46"/>
      <c r="Q621" s="46"/>
    </row>
    <row r="622" spans="1:17" hidden="1" x14ac:dyDescent="0.25">
      <c r="A622" s="47" t="s">
        <v>669</v>
      </c>
      <c r="B622" s="46" t="str">
        <f>IFERROR(VLOOKUP($A622,Equipos!$C$2:$M$967,2,FALSE()),"")</f>
        <v>Monitor Multiparámetros</v>
      </c>
      <c r="C622" s="46" t="str">
        <f>IFERROR(VLOOKUP($A622,Equipos!$C$2:$M$967,9,FALSE()),"")</f>
        <v>0131641</v>
      </c>
      <c r="D622" s="46" t="str">
        <f>IFERROR(VLOOKUP($A622,Equipos!$C$2:$M$967,3,FALSE()),"")</f>
        <v>Unidad Evaluación Paciente Imputado</v>
      </c>
      <c r="E622" s="46" t="str">
        <f>IFERROR(VLOOKUP($A622,Equipos!$C$2:$M$967,7,FALSE()),"")</f>
        <v xml:space="preserve">Nihon Kohden </v>
      </c>
      <c r="F622" s="46" t="str">
        <f>IFERROR(VLOOKUP($A622,Equipos!$C$2:$M$967,8,FALSE()),"")</f>
        <v>Vismo 2701K</v>
      </c>
      <c r="G622" s="46" t="s">
        <v>298</v>
      </c>
      <c r="H622" s="46"/>
      <c r="I622" s="46"/>
      <c r="J622" s="46" t="s">
        <v>297</v>
      </c>
      <c r="K622" s="46" t="str">
        <f>IFERROR(VLOOKUP($J622,Catálogos!$M$4:$N$17,2,FALSE()),"")</f>
        <v>Mantención Preventiva Realizada</v>
      </c>
      <c r="L622" s="46"/>
      <c r="M622" s="46"/>
      <c r="N622" s="46"/>
      <c r="O622" s="46"/>
      <c r="P622" s="46"/>
      <c r="Q622" s="46"/>
    </row>
    <row r="623" spans="1:17" hidden="1" x14ac:dyDescent="0.25">
      <c r="A623" s="47" t="s">
        <v>670</v>
      </c>
      <c r="B623" s="46" t="str">
        <f>IFERROR(VLOOKUP($A623,Equipos!$C$2:$M$967,2,FALSE()),"")</f>
        <v>Monitor Multiparámetros</v>
      </c>
      <c r="C623" s="46" t="str">
        <f>IFERROR(VLOOKUP($A623,Equipos!$C$2:$M$967,9,FALSE()),"")</f>
        <v>1393-109327</v>
      </c>
      <c r="D623" s="46" t="str">
        <f>IFERROR(VLOOKUP($A623,Equipos!$C$2:$M$967,3,FALSE()),"")</f>
        <v>UPC Pediátrica</v>
      </c>
      <c r="E623" s="46" t="str">
        <f>IFERROR(VLOOKUP($A623,Equipos!$C$2:$M$967,7,FALSE()),"")</f>
        <v>SPACELABS HEALTHCARE</v>
      </c>
      <c r="F623" s="46" t="str">
        <f>IFERROR(VLOOKUP($A623,Equipos!$C$2:$M$967,8,FALSE()),"")</f>
        <v>XPREZZON</v>
      </c>
      <c r="G623" s="46" t="s">
        <v>335</v>
      </c>
      <c r="H623" s="46"/>
      <c r="I623" s="46"/>
      <c r="J623" s="46" t="s">
        <v>315</v>
      </c>
      <c r="K623" s="46" t="str">
        <f>IFERROR(VLOOKUP($J623,Catálogos!$M$4:$N$17,2,FALSE()),"")</f>
        <v>Reprogramada · Ausencia justificada del funcionario SEC superior a 15 días</v>
      </c>
      <c r="L623" s="46"/>
      <c r="M623" s="46"/>
      <c r="N623" s="46"/>
      <c r="O623" s="46"/>
      <c r="P623" s="46"/>
      <c r="Q623" s="46"/>
    </row>
    <row r="624" spans="1:17" hidden="1" x14ac:dyDescent="0.25">
      <c r="A624" s="47" t="s">
        <v>670</v>
      </c>
      <c r="B624" s="46" t="str">
        <f>IFERROR(VLOOKUP($A624,Equipos!$C$2:$M$967,2,FALSE()),"")</f>
        <v>Monitor Multiparámetros</v>
      </c>
      <c r="C624" s="46" t="str">
        <f>IFERROR(VLOOKUP($A624,Equipos!$C$2:$M$967,9,FALSE()),"")</f>
        <v>1393-109327</v>
      </c>
      <c r="D624" s="46" t="str">
        <f>IFERROR(VLOOKUP($A624,Equipos!$C$2:$M$967,3,FALSE()),"")</f>
        <v>UPC Pediátrica</v>
      </c>
      <c r="E624" s="46" t="str">
        <f>IFERROR(VLOOKUP($A624,Equipos!$C$2:$M$967,7,FALSE()),"")</f>
        <v>SPACELABS HEALTHCARE</v>
      </c>
      <c r="F624" s="46" t="str">
        <f>IFERROR(VLOOKUP($A624,Equipos!$C$2:$M$967,8,FALSE()),"")</f>
        <v>XPREZZON</v>
      </c>
      <c r="G624" s="46" t="s">
        <v>296</v>
      </c>
      <c r="H624" s="46"/>
      <c r="I624" s="46"/>
      <c r="J624" s="46" t="s">
        <v>297</v>
      </c>
      <c r="K624" s="46" t="str">
        <f>IFERROR(VLOOKUP($J624,Catálogos!$M$4:$N$17,2,FALSE()),"")</f>
        <v>Mantención Preventiva Realizada</v>
      </c>
      <c r="L624" s="46"/>
      <c r="M624" s="46"/>
      <c r="N624" s="46"/>
      <c r="O624" s="46"/>
      <c r="P624" s="46"/>
      <c r="Q624" s="46"/>
    </row>
    <row r="625" spans="1:17" hidden="1" x14ac:dyDescent="0.25">
      <c r="A625" s="47" t="s">
        <v>671</v>
      </c>
      <c r="B625" s="46" t="str">
        <f>IFERROR(VLOOKUP($A625,Equipos!$C$2:$M$967,2,FALSE()),"")</f>
        <v>Monitor Multiparámetros</v>
      </c>
      <c r="C625" s="46" t="str">
        <f>IFERROR(VLOOKUP($A625,Equipos!$C$2:$M$967,9,FALSE()),"")</f>
        <v>1393-109328</v>
      </c>
      <c r="D625" s="46" t="str">
        <f>IFERROR(VLOOKUP($A625,Equipos!$C$2:$M$967,3,FALSE()),"")</f>
        <v>UPC Pediátrica</v>
      </c>
      <c r="E625" s="46" t="str">
        <f>IFERROR(VLOOKUP($A625,Equipos!$C$2:$M$967,7,FALSE()),"")</f>
        <v>SPACELABS HEALTHCARE</v>
      </c>
      <c r="F625" s="46" t="str">
        <f>IFERROR(VLOOKUP($A625,Equipos!$C$2:$M$967,8,FALSE()),"")</f>
        <v>XPREZZON</v>
      </c>
      <c r="G625" s="46" t="s">
        <v>335</v>
      </c>
      <c r="H625" s="46"/>
      <c r="I625" s="46"/>
      <c r="J625" s="46" t="s">
        <v>315</v>
      </c>
      <c r="K625" s="46" t="str">
        <f>IFERROR(VLOOKUP($J625,Catálogos!$M$4:$N$17,2,FALSE()),"")</f>
        <v>Reprogramada · Ausencia justificada del funcionario SEC superior a 15 días</v>
      </c>
      <c r="L625" s="46"/>
      <c r="M625" s="46"/>
      <c r="N625" s="46"/>
      <c r="O625" s="46"/>
      <c r="P625" s="46"/>
      <c r="Q625" s="46"/>
    </row>
    <row r="626" spans="1:17" hidden="1" x14ac:dyDescent="0.25">
      <c r="A626" s="47" t="s">
        <v>671</v>
      </c>
      <c r="B626" s="46" t="str">
        <f>IFERROR(VLOOKUP($A626,Equipos!$C$2:$M$967,2,FALSE()),"")</f>
        <v>Monitor Multiparámetros</v>
      </c>
      <c r="C626" s="46" t="str">
        <f>IFERROR(VLOOKUP($A626,Equipos!$C$2:$M$967,9,FALSE()),"")</f>
        <v>1393-109328</v>
      </c>
      <c r="D626" s="46" t="str">
        <f>IFERROR(VLOOKUP($A626,Equipos!$C$2:$M$967,3,FALSE()),"")</f>
        <v>UPC Pediátrica</v>
      </c>
      <c r="E626" s="46" t="str">
        <f>IFERROR(VLOOKUP($A626,Equipos!$C$2:$M$967,7,FALSE()),"")</f>
        <v>SPACELABS HEALTHCARE</v>
      </c>
      <c r="F626" s="46" t="str">
        <f>IFERROR(VLOOKUP($A626,Equipos!$C$2:$M$967,8,FALSE()),"")</f>
        <v>XPREZZON</v>
      </c>
      <c r="G626" s="46" t="s">
        <v>296</v>
      </c>
      <c r="H626" s="46"/>
      <c r="I626" s="46"/>
      <c r="J626" s="46" t="s">
        <v>297</v>
      </c>
      <c r="K626" s="46" t="str">
        <f>IFERROR(VLOOKUP($J626,Catálogos!$M$4:$N$17,2,FALSE()),"")</f>
        <v>Mantención Preventiva Realizada</v>
      </c>
      <c r="L626" s="46"/>
      <c r="M626" s="46"/>
      <c r="N626" s="46"/>
      <c r="O626" s="46"/>
      <c r="P626" s="46"/>
      <c r="Q626" s="46"/>
    </row>
    <row r="627" spans="1:17" hidden="1" x14ac:dyDescent="0.25">
      <c r="A627" s="47" t="s">
        <v>672</v>
      </c>
      <c r="B627" s="46" t="str">
        <f>IFERROR(VLOOKUP($A627,Equipos!$C$2:$M$967,2,FALSE()),"")</f>
        <v>Monitor Multiparámetros</v>
      </c>
      <c r="C627" s="46" t="str">
        <f>IFERROR(VLOOKUP($A627,Equipos!$C$2:$M$967,9,FALSE()),"")</f>
        <v>5514429166</v>
      </c>
      <c r="D627" s="46" t="str">
        <f>IFERROR(VLOOKUP($A627,Equipos!$C$2:$M$967,3,FALSE()),"")</f>
        <v>Pediatría</v>
      </c>
      <c r="E627" s="46" t="str">
        <f>IFERROR(VLOOKUP($A627,Equipos!$C$2:$M$967,7,FALSE()),"")</f>
        <v xml:space="preserve">Drager </v>
      </c>
      <c r="F627" s="46" t="str">
        <f>IFERROR(VLOOKUP($A627,Equipos!$C$2:$M$967,8,FALSE()),"")</f>
        <v xml:space="preserve">Infinity Vista </v>
      </c>
      <c r="G627" s="46" t="s">
        <v>335</v>
      </c>
      <c r="H627" s="46"/>
      <c r="I627" s="46"/>
      <c r="J627" s="46" t="s">
        <v>323</v>
      </c>
      <c r="K627" s="46" t="str">
        <f>IFERROR(VLOOKUP($J627,Catálogos!$M$4:$N$17,2,FALSE()),"")</f>
        <v>Reprogramada · No disponibilidad de horas hombre del funcionario SEC por alta carga laboral</v>
      </c>
      <c r="L627" s="46"/>
      <c r="M627" s="46"/>
      <c r="N627" s="46"/>
      <c r="O627" s="46"/>
      <c r="P627" s="46"/>
      <c r="Q627" s="46"/>
    </row>
    <row r="628" spans="1:17" hidden="1" x14ac:dyDescent="0.25">
      <c r="A628" s="47" t="s">
        <v>672</v>
      </c>
      <c r="B628" s="46" t="str">
        <f>IFERROR(VLOOKUP($A628,Equipos!$C$2:$M$967,2,FALSE()),"")</f>
        <v>Monitor Multiparámetros</v>
      </c>
      <c r="C628" s="46" t="str">
        <f>IFERROR(VLOOKUP($A628,Equipos!$C$2:$M$967,9,FALSE()),"")</f>
        <v>5514429166</v>
      </c>
      <c r="D628" s="46" t="str">
        <f>IFERROR(VLOOKUP($A628,Equipos!$C$2:$M$967,3,FALSE()),"")</f>
        <v>Pediatría</v>
      </c>
      <c r="E628" s="46" t="str">
        <f>IFERROR(VLOOKUP($A628,Equipos!$C$2:$M$967,7,FALSE()),"")</f>
        <v xml:space="preserve">Drager </v>
      </c>
      <c r="F628" s="46" t="str">
        <f>IFERROR(VLOOKUP($A628,Equipos!$C$2:$M$967,8,FALSE()),"")</f>
        <v xml:space="preserve">Infinity Vista </v>
      </c>
      <c r="G628" s="46" t="s">
        <v>296</v>
      </c>
      <c r="H628" s="46"/>
      <c r="I628" s="46"/>
      <c r="J628" s="46" t="s">
        <v>297</v>
      </c>
      <c r="K628" s="46" t="str">
        <f>IFERROR(VLOOKUP($J628,Catálogos!$M$4:$N$17,2,FALSE()),"")</f>
        <v>Mantención Preventiva Realizada</v>
      </c>
      <c r="L628" s="46"/>
      <c r="M628" s="46"/>
      <c r="N628" s="46"/>
      <c r="O628" s="46"/>
      <c r="P628" s="46"/>
      <c r="Q628" s="46"/>
    </row>
    <row r="629" spans="1:17" hidden="1" x14ac:dyDescent="0.25">
      <c r="A629" s="47" t="s">
        <v>673</v>
      </c>
      <c r="B629" s="46" t="str">
        <f>IFERROR(VLOOKUP($A629,Equipos!$C$2:$M$967,2,FALSE()),"")</f>
        <v>Monitor Multiparámetros</v>
      </c>
      <c r="C629" s="46" t="str">
        <f>IFERROR(VLOOKUP($A629,Equipos!$C$2:$M$967,9,FALSE()),"")</f>
        <v>KN-25140948</v>
      </c>
      <c r="D629" s="46" t="str">
        <f>IFERROR(VLOOKUP($A629,Equipos!$C$2:$M$967,3,FALSE()),"")</f>
        <v>Quimioterapia Ambulatoria Adulto</v>
      </c>
      <c r="E629" s="46" t="str">
        <f>IFERROR(VLOOKUP($A629,Equipos!$C$2:$M$967,7,FALSE()),"")</f>
        <v>Mindray</v>
      </c>
      <c r="F629" s="46" t="str">
        <f>IFERROR(VLOOKUP($A629,Equipos!$C$2:$M$967,8,FALSE()),"")</f>
        <v>UMEC10</v>
      </c>
      <c r="G629" s="46" t="s">
        <v>316</v>
      </c>
      <c r="H629" s="46"/>
      <c r="I629" s="46"/>
      <c r="J629" s="46" t="s">
        <v>323</v>
      </c>
      <c r="K629" s="46" t="str">
        <f>IFERROR(VLOOKUP($J629,Catálogos!$M$4:$N$17,2,FALSE()),"")</f>
        <v>Reprogramada · No disponibilidad de horas hombre del funcionario SEC por alta carga laboral</v>
      </c>
      <c r="L629" s="46"/>
      <c r="M629" s="46"/>
      <c r="N629" s="46"/>
      <c r="O629" s="46"/>
      <c r="P629" s="46"/>
      <c r="Q629" s="46"/>
    </row>
    <row r="630" spans="1:17" hidden="1" x14ac:dyDescent="0.25">
      <c r="A630" s="47" t="s">
        <v>673</v>
      </c>
      <c r="B630" s="46" t="str">
        <f>IFERROR(VLOOKUP($A630,Equipos!$C$2:$M$967,2,FALSE()),"")</f>
        <v>Monitor Multiparámetros</v>
      </c>
      <c r="C630" s="46" t="str">
        <f>IFERROR(VLOOKUP($A630,Equipos!$C$2:$M$967,9,FALSE()),"")</f>
        <v>KN-25140948</v>
      </c>
      <c r="D630" s="46" t="str">
        <f>IFERROR(VLOOKUP($A630,Equipos!$C$2:$M$967,3,FALSE()),"")</f>
        <v>Quimioterapia Ambulatoria Adulto</v>
      </c>
      <c r="E630" s="46" t="str">
        <f>IFERROR(VLOOKUP($A630,Equipos!$C$2:$M$967,7,FALSE()),"")</f>
        <v>Mindray</v>
      </c>
      <c r="F630" s="46" t="str">
        <f>IFERROR(VLOOKUP($A630,Equipos!$C$2:$M$967,8,FALSE()),"")</f>
        <v>UMEC10</v>
      </c>
      <c r="G630" s="46" t="s">
        <v>331</v>
      </c>
      <c r="H630" s="46"/>
      <c r="I630" s="46"/>
      <c r="J630" s="46" t="s">
        <v>297</v>
      </c>
      <c r="K630" s="46" t="str">
        <f>IFERROR(VLOOKUP($J630,Catálogos!$M$4:$N$17,2,FALSE()),"")</f>
        <v>Mantención Preventiva Realizada</v>
      </c>
      <c r="L630" s="46"/>
      <c r="M630" s="46"/>
      <c r="N630" s="46"/>
      <c r="O630" s="46"/>
      <c r="P630" s="46"/>
      <c r="Q630" s="46"/>
    </row>
    <row r="631" spans="1:17" hidden="1" x14ac:dyDescent="0.25">
      <c r="A631" s="47" t="s">
        <v>674</v>
      </c>
      <c r="B631" s="46" t="str">
        <f>IFERROR(VLOOKUP($A631,Equipos!$C$2:$M$967,2,FALSE()),"")</f>
        <v>Monitor Multiparámetros</v>
      </c>
      <c r="C631" s="46" t="str">
        <f>IFERROR(VLOOKUP($A631,Equipos!$C$2:$M$967,9,FALSE()),"")</f>
        <v>DE82025973</v>
      </c>
      <c r="D631" s="46" t="str">
        <f>IFERROR(VLOOKUP($A631,Equipos!$C$2:$M$967,3,FALSE()),"")</f>
        <v>Neonatología</v>
      </c>
      <c r="E631" s="46" t="str">
        <f>IFERROR(VLOOKUP($A631,Equipos!$C$2:$M$967,7,FALSE()),"")</f>
        <v>Philips</v>
      </c>
      <c r="F631" s="46" t="str">
        <f>IFERROR(VLOOKUP($A631,Equipos!$C$2:$M$967,8,FALSE()),"")</f>
        <v>M8003A</v>
      </c>
      <c r="G631" s="46" t="s">
        <v>335</v>
      </c>
      <c r="H631" s="46"/>
      <c r="I631" s="46"/>
      <c r="J631" s="46" t="s">
        <v>277</v>
      </c>
      <c r="K631" s="46" t="str">
        <f>IFERROR(VLOOKUP($J631,Catálogos!$M$4:$N$17,2,FALSE()),"")</f>
        <v>Reprogramada · Equipo no operativo, a la espera de repuestos o accesorios</v>
      </c>
      <c r="L631" s="46"/>
      <c r="M631" s="46"/>
      <c r="N631" s="46"/>
      <c r="O631" s="46"/>
      <c r="P631" s="46"/>
      <c r="Q631" s="46"/>
    </row>
    <row r="632" spans="1:17" hidden="1" x14ac:dyDescent="0.25">
      <c r="A632" s="47" t="s">
        <v>675</v>
      </c>
      <c r="B632" s="46" t="str">
        <f>IFERROR(VLOOKUP($A632,Equipos!$C$2:$M$967,2,FALSE()),"")</f>
        <v>Monitor Multiparámetros</v>
      </c>
      <c r="C632" s="46" t="str">
        <f>IFERROR(VLOOKUP($A632,Equipos!$C$2:$M$967,9,FALSE()),"")</f>
        <v>DE82025965</v>
      </c>
      <c r="D632" s="46" t="str">
        <f>IFERROR(VLOOKUP($A632,Equipos!$C$2:$M$967,3,FALSE()),"")</f>
        <v>Neonatología</v>
      </c>
      <c r="E632" s="46" t="str">
        <f>IFERROR(VLOOKUP($A632,Equipos!$C$2:$M$967,7,FALSE()),"")</f>
        <v>Philips</v>
      </c>
      <c r="F632" s="46" t="str">
        <f>IFERROR(VLOOKUP($A632,Equipos!$C$2:$M$967,8,FALSE()),"")</f>
        <v>M8003A</v>
      </c>
      <c r="G632" s="46" t="s">
        <v>335</v>
      </c>
      <c r="H632" s="46"/>
      <c r="I632" s="46"/>
      <c r="J632" s="46" t="s">
        <v>323</v>
      </c>
      <c r="K632" s="46" t="str">
        <f>IFERROR(VLOOKUP($J632,Catálogos!$M$4:$N$17,2,FALSE()),"")</f>
        <v>Reprogramada · No disponibilidad de horas hombre del funcionario SEC por alta carga laboral</v>
      </c>
      <c r="L632" s="46"/>
      <c r="M632" s="46"/>
      <c r="N632" s="46"/>
      <c r="O632" s="46"/>
      <c r="P632" s="46"/>
      <c r="Q632" s="46"/>
    </row>
    <row r="633" spans="1:17" hidden="1" x14ac:dyDescent="0.25">
      <c r="A633" s="47" t="s">
        <v>675</v>
      </c>
      <c r="B633" s="46" t="str">
        <f>IFERROR(VLOOKUP($A633,Equipos!$C$2:$M$967,2,FALSE()),"")</f>
        <v>Monitor Multiparámetros</v>
      </c>
      <c r="C633" s="46" t="str">
        <f>IFERROR(VLOOKUP($A633,Equipos!$C$2:$M$967,9,FALSE()),"")</f>
        <v>DE82025965</v>
      </c>
      <c r="D633" s="46" t="str">
        <f>IFERROR(VLOOKUP($A633,Equipos!$C$2:$M$967,3,FALSE()),"")</f>
        <v>Neonatología</v>
      </c>
      <c r="E633" s="46" t="str">
        <f>IFERROR(VLOOKUP($A633,Equipos!$C$2:$M$967,7,FALSE()),"")</f>
        <v>Philips</v>
      </c>
      <c r="F633" s="46" t="str">
        <f>IFERROR(VLOOKUP($A633,Equipos!$C$2:$M$967,8,FALSE()),"")</f>
        <v>M8003A</v>
      </c>
      <c r="G633" s="46" t="s">
        <v>296</v>
      </c>
      <c r="H633" s="46"/>
      <c r="I633" s="46"/>
      <c r="J633" s="46" t="s">
        <v>297</v>
      </c>
      <c r="K633" s="46" t="str">
        <f>IFERROR(VLOOKUP($J633,Catálogos!$M$4:$N$17,2,FALSE()),"")</f>
        <v>Mantención Preventiva Realizada</v>
      </c>
      <c r="L633" s="46"/>
      <c r="M633" s="46"/>
      <c r="N633" s="46"/>
      <c r="O633" s="46"/>
      <c r="P633" s="46"/>
      <c r="Q633" s="46"/>
    </row>
    <row r="634" spans="1:17" hidden="1" x14ac:dyDescent="0.25">
      <c r="A634" s="47" t="s">
        <v>676</v>
      </c>
      <c r="B634" s="46" t="str">
        <f>IFERROR(VLOOKUP($A634,Equipos!$C$2:$M$967,2,FALSE()),"")</f>
        <v>Monitor Multiparámetros</v>
      </c>
      <c r="C634" s="46" t="str">
        <f>IFERROR(VLOOKUP($A634,Equipos!$C$2:$M$967,9,FALSE()),"")</f>
        <v>VSSTE0203</v>
      </c>
      <c r="D634" s="46" t="str">
        <f>IFERROR(VLOOKUP($A634,Equipos!$C$2:$M$967,3,FALSE()),"")</f>
        <v>Quimioterapia Ambulatoria Adulto</v>
      </c>
      <c r="E634" s="46" t="str">
        <f>IFERROR(VLOOKUP($A634,Equipos!$C$2:$M$967,7,FALSE()),"")</f>
        <v>Drager</v>
      </c>
      <c r="F634" s="46" t="str">
        <f>IFERROR(VLOOKUP($A634,Equipos!$C$2:$M$967,8,FALSE()),"")</f>
        <v>Vista 120</v>
      </c>
      <c r="G634" s="46" t="s">
        <v>296</v>
      </c>
      <c r="H634" s="46"/>
      <c r="I634" s="46"/>
      <c r="J634" s="46" t="s">
        <v>323</v>
      </c>
      <c r="K634" s="46" t="str">
        <f>IFERROR(VLOOKUP($J634,Catálogos!$M$4:$N$17,2,FALSE()),"")</f>
        <v>Reprogramada · No disponibilidad de horas hombre del funcionario SEC por alta carga laboral</v>
      </c>
      <c r="L634" s="46"/>
      <c r="M634" s="46"/>
      <c r="N634" s="46"/>
      <c r="O634" s="46"/>
      <c r="P634" s="46"/>
      <c r="Q634" s="46"/>
    </row>
    <row r="635" spans="1:17" hidden="1" x14ac:dyDescent="0.25">
      <c r="A635" s="47" t="s">
        <v>676</v>
      </c>
      <c r="B635" s="46" t="str">
        <f>IFERROR(VLOOKUP($A635,Equipos!$C$2:$M$967,2,FALSE()),"")</f>
        <v>Monitor Multiparámetros</v>
      </c>
      <c r="C635" s="46" t="str">
        <f>IFERROR(VLOOKUP($A635,Equipos!$C$2:$M$967,9,FALSE()),"")</f>
        <v>VSSTE0203</v>
      </c>
      <c r="D635" s="46" t="str">
        <f>IFERROR(VLOOKUP($A635,Equipos!$C$2:$M$967,3,FALSE()),"")</f>
        <v>Quimioterapia Ambulatoria Adulto</v>
      </c>
      <c r="E635" s="46" t="str">
        <f>IFERROR(VLOOKUP($A635,Equipos!$C$2:$M$967,7,FALSE()),"")</f>
        <v>Drager</v>
      </c>
      <c r="F635" s="46" t="str">
        <f>IFERROR(VLOOKUP($A635,Equipos!$C$2:$M$967,8,FALSE()),"")</f>
        <v>Vista 120</v>
      </c>
      <c r="G635" s="46" t="s">
        <v>316</v>
      </c>
      <c r="H635" s="46"/>
      <c r="I635" s="46"/>
      <c r="J635" s="46" t="s">
        <v>297</v>
      </c>
      <c r="K635" s="46" t="str">
        <f>IFERROR(VLOOKUP($J635,Catálogos!$M$4:$N$17,2,FALSE()),"")</f>
        <v>Mantención Preventiva Realizada</v>
      </c>
      <c r="L635" s="46"/>
      <c r="M635" s="46"/>
      <c r="N635" s="46"/>
      <c r="O635" s="46"/>
      <c r="P635" s="46"/>
      <c r="Q635" s="46"/>
    </row>
    <row r="636" spans="1:17" hidden="1" x14ac:dyDescent="0.25">
      <c r="A636" s="47" t="s">
        <v>677</v>
      </c>
      <c r="B636" s="46" t="str">
        <f>IFERROR(VLOOKUP($A636,Equipos!$C$2:$M$967,2,FALSE()),"")</f>
        <v>Oxímetro</v>
      </c>
      <c r="C636" s="46" t="str">
        <f>IFERROR(VLOOKUP($A636,Equipos!$C$2:$M$967,9,FALSE()),"")</f>
        <v>(21)17G11325X</v>
      </c>
      <c r="D636" s="46" t="str">
        <f>IFERROR(VLOOKUP($A636,Equipos!$C$2:$M$967,3,FALSE()),"")</f>
        <v>Neonatología</v>
      </c>
      <c r="E636" s="46" t="str">
        <f>IFERROR(VLOOKUP($A636,Equipos!$C$2:$M$967,7,FALSE()),"")</f>
        <v>SOMANETICS</v>
      </c>
      <c r="F636" s="46" t="str">
        <f>IFERROR(VLOOKUP($A636,Equipos!$C$2:$M$967,8,FALSE()),"")</f>
        <v>5100C</v>
      </c>
      <c r="G636" s="46" t="s">
        <v>298</v>
      </c>
      <c r="H636" s="46"/>
      <c r="I636" s="46"/>
      <c r="J636" s="46" t="s">
        <v>297</v>
      </c>
      <c r="K636" s="46" t="str">
        <f>IFERROR(VLOOKUP($J636,Catálogos!$M$4:$N$17,2,FALSE()),"")</f>
        <v>Mantención Preventiva Realizada</v>
      </c>
      <c r="L636" s="46"/>
      <c r="M636" s="46"/>
      <c r="N636" s="46"/>
      <c r="O636" s="46"/>
      <c r="P636" s="46"/>
      <c r="Q636" s="46"/>
    </row>
    <row r="637" spans="1:17" hidden="1" x14ac:dyDescent="0.25">
      <c r="A637" s="47" t="s">
        <v>678</v>
      </c>
      <c r="B637" s="46" t="str">
        <f>IFERROR(VLOOKUP($A637,Equipos!$C$2:$M$967,2,FALSE()),"")</f>
        <v>Oxímetro</v>
      </c>
      <c r="C637" s="46" t="str">
        <f>IFERROR(VLOOKUP($A637,Equipos!$C$2:$M$967,9,FALSE()),"")</f>
        <v>(21)18G10312X</v>
      </c>
      <c r="D637" s="46" t="str">
        <f>IFERROR(VLOOKUP($A637,Equipos!$C$2:$M$967,3,FALSE()),"")</f>
        <v>Neonatología</v>
      </c>
      <c r="E637" s="46" t="str">
        <f>IFERROR(VLOOKUP($A637,Equipos!$C$2:$M$967,7,FALSE()),"")</f>
        <v>SOMANETICS</v>
      </c>
      <c r="F637" s="46" t="str">
        <f>IFERROR(VLOOKUP($A637,Equipos!$C$2:$M$967,8,FALSE()),"")</f>
        <v>5100C</v>
      </c>
      <c r="G637" s="46" t="s">
        <v>298</v>
      </c>
      <c r="H637" s="46"/>
      <c r="I637" s="46"/>
      <c r="J637" s="46" t="s">
        <v>297</v>
      </c>
      <c r="K637" s="46" t="str">
        <f>IFERROR(VLOOKUP($J637,Catálogos!$M$4:$N$17,2,FALSE()),"")</f>
        <v>Mantención Preventiva Realizada</v>
      </c>
      <c r="L637" s="46"/>
      <c r="M637" s="46"/>
      <c r="N637" s="46"/>
      <c r="O637" s="46"/>
      <c r="P637" s="46"/>
      <c r="Q637" s="46"/>
    </row>
    <row r="638" spans="1:17" hidden="1" x14ac:dyDescent="0.25">
      <c r="A638" s="47" t="s">
        <v>679</v>
      </c>
      <c r="B638" s="46" t="str">
        <f>IFERROR(VLOOKUP($A638,Equipos!$C$2:$M$967,2,FALSE()),"")</f>
        <v>Monitor Multiparámetros</v>
      </c>
      <c r="C638" s="46" t="str">
        <f>IFERROR(VLOOKUP($A638,Equipos!$C$2:$M$967,9,FALSE()),"")</f>
        <v>VGSML0046</v>
      </c>
      <c r="D638" s="46" t="str">
        <f>IFERROR(VLOOKUP($A638,Equipos!$C$2:$M$967,3,FALSE()),"")</f>
        <v>Pabellón (Recuperación)</v>
      </c>
      <c r="E638" s="46" t="str">
        <f>IFERROR(VLOOKUP($A638,Equipos!$C$2:$M$967,7,FALSE()),"")</f>
        <v>Drager</v>
      </c>
      <c r="F638" s="46" t="str">
        <f>IFERROR(VLOOKUP($A638,Equipos!$C$2:$M$967,8,FALSE()),"")</f>
        <v>Vista 120</v>
      </c>
      <c r="G638" s="46" t="s">
        <v>296</v>
      </c>
      <c r="H638" s="46"/>
      <c r="I638" s="46"/>
      <c r="J638" s="46" t="s">
        <v>297</v>
      </c>
      <c r="K638" s="46" t="str">
        <f>IFERROR(VLOOKUP($J638,Catálogos!$M$4:$N$17,2,FALSE()),"")</f>
        <v>Mantención Preventiva Realizada</v>
      </c>
      <c r="L638" s="46"/>
      <c r="M638" s="46"/>
      <c r="N638" s="46"/>
      <c r="O638" s="46"/>
      <c r="P638" s="46"/>
      <c r="Q638" s="46"/>
    </row>
    <row r="639" spans="1:17" hidden="1" x14ac:dyDescent="0.25">
      <c r="A639" s="47" t="s">
        <v>680</v>
      </c>
      <c r="B639" s="46" t="str">
        <f>IFERROR(VLOOKUP($A639,Equipos!$C$2:$M$967,2,FALSE()),"")</f>
        <v>Monitor Multiparámetros</v>
      </c>
      <c r="C639" s="46" t="str">
        <f>IFERROR(VLOOKUP($A639,Equipos!$C$2:$M$967,9,FALSE()),"")</f>
        <v>VGSML0057</v>
      </c>
      <c r="D639" s="46" t="str">
        <f>IFERROR(VLOOKUP($A639,Equipos!$C$2:$M$967,3,FALSE()),"")</f>
        <v>Pabellón (Recuperación)</v>
      </c>
      <c r="E639" s="46" t="str">
        <f>IFERROR(VLOOKUP($A639,Equipos!$C$2:$M$967,7,FALSE()),"")</f>
        <v>Drager</v>
      </c>
      <c r="F639" s="46" t="str">
        <f>IFERROR(VLOOKUP($A639,Equipos!$C$2:$M$967,8,FALSE()),"")</f>
        <v>Vista 120</v>
      </c>
      <c r="G639" s="46" t="s">
        <v>296</v>
      </c>
      <c r="H639" s="46"/>
      <c r="I639" s="46"/>
      <c r="J639" s="46" t="s">
        <v>297</v>
      </c>
      <c r="K639" s="46" t="str">
        <f>IFERROR(VLOOKUP($J639,Catálogos!$M$4:$N$17,2,FALSE()),"")</f>
        <v>Mantención Preventiva Realizada</v>
      </c>
      <c r="L639" s="46"/>
      <c r="M639" s="46"/>
      <c r="N639" s="46"/>
      <c r="O639" s="46"/>
      <c r="P639" s="46"/>
      <c r="Q639" s="46"/>
    </row>
    <row r="640" spans="1:17" hidden="1" x14ac:dyDescent="0.25">
      <c r="A640" s="47" t="s">
        <v>681</v>
      </c>
      <c r="B640" s="46" t="str">
        <f>IFERROR(VLOOKUP($A640,Equipos!$C$2:$M$967,2,FALSE()),"")</f>
        <v>Monitor Multiparámetros</v>
      </c>
      <c r="C640" s="46" t="str">
        <f>IFERROR(VLOOKUP($A640,Equipos!$C$2:$M$967,9,FALSE()),"")</f>
        <v>VGSML0043</v>
      </c>
      <c r="D640" s="46" t="str">
        <f>IFERROR(VLOOKUP($A640,Equipos!$C$2:$M$967,3,FALSE()),"")</f>
        <v>Pabellón (Recuperación)</v>
      </c>
      <c r="E640" s="46" t="str">
        <f>IFERROR(VLOOKUP($A640,Equipos!$C$2:$M$967,7,FALSE()),"")</f>
        <v>Drager</v>
      </c>
      <c r="F640" s="46" t="str">
        <f>IFERROR(VLOOKUP($A640,Equipos!$C$2:$M$967,8,FALSE()),"")</f>
        <v>Vista 120</v>
      </c>
      <c r="G640" s="46" t="s">
        <v>296</v>
      </c>
      <c r="H640" s="46"/>
      <c r="I640" s="46"/>
      <c r="J640" s="46" t="s">
        <v>297</v>
      </c>
      <c r="K640" s="46" t="str">
        <f>IFERROR(VLOOKUP($J640,Catálogos!$M$4:$N$17,2,FALSE()),"")</f>
        <v>Mantención Preventiva Realizada</v>
      </c>
      <c r="L640" s="46"/>
      <c r="M640" s="46"/>
      <c r="N640" s="46"/>
      <c r="O640" s="46"/>
      <c r="P640" s="46"/>
      <c r="Q640" s="46"/>
    </row>
    <row r="641" spans="1:17" hidden="1" x14ac:dyDescent="0.25">
      <c r="A641" s="47" t="s">
        <v>682</v>
      </c>
      <c r="B641" s="46" t="str">
        <f>IFERROR(VLOOKUP($A641,Equipos!$C$2:$M$967,2,FALSE()),"")</f>
        <v>Monitor Multiparámetros</v>
      </c>
      <c r="C641" s="46" t="str">
        <f>IFERROR(VLOOKUP($A641,Equipos!$C$2:$M$967,9,FALSE()),"")</f>
        <v>VGSML0044</v>
      </c>
      <c r="D641" s="46" t="str">
        <f>IFERROR(VLOOKUP($A641,Equipos!$C$2:$M$967,3,FALSE()),"")</f>
        <v>Pabellón (Recuperación)</v>
      </c>
      <c r="E641" s="46" t="str">
        <f>IFERROR(VLOOKUP($A641,Equipos!$C$2:$M$967,7,FALSE()),"")</f>
        <v>Drager</v>
      </c>
      <c r="F641" s="46" t="str">
        <f>IFERROR(VLOOKUP($A641,Equipos!$C$2:$M$967,8,FALSE()),"")</f>
        <v>Vista 120</v>
      </c>
      <c r="G641" s="46" t="s">
        <v>296</v>
      </c>
      <c r="H641" s="46"/>
      <c r="I641" s="46"/>
      <c r="J641" s="46" t="s">
        <v>297</v>
      </c>
      <c r="K641" s="46" t="str">
        <f>IFERROR(VLOOKUP($J641,Catálogos!$M$4:$N$17,2,FALSE()),"")</f>
        <v>Mantención Preventiva Realizada</v>
      </c>
      <c r="L641" s="46"/>
      <c r="M641" s="46"/>
      <c r="N641" s="46"/>
      <c r="O641" s="46"/>
      <c r="P641" s="46"/>
      <c r="Q641" s="46"/>
    </row>
    <row r="642" spans="1:17" hidden="1" x14ac:dyDescent="0.25">
      <c r="A642" s="47" t="s">
        <v>683</v>
      </c>
      <c r="B642" s="46" t="str">
        <f>IFERROR(VLOOKUP($A642,Equipos!$C$2:$M$967,2,FALSE()),"")</f>
        <v>Monitor Multiparámetros</v>
      </c>
      <c r="C642" s="46" t="str">
        <f>IFERROR(VLOOKUP($A642,Equipos!$C$2:$M$967,9,FALSE()),"")</f>
        <v>VGSML0047</v>
      </c>
      <c r="D642" s="46" t="str">
        <f>IFERROR(VLOOKUP($A642,Equipos!$C$2:$M$967,3,FALSE()),"")</f>
        <v>Pabellón (Recuperación) prestado a UPC Adulto</v>
      </c>
      <c r="E642" s="46" t="str">
        <f>IFERROR(VLOOKUP($A642,Equipos!$C$2:$M$967,7,FALSE()),"")</f>
        <v>Drager</v>
      </c>
      <c r="F642" s="46" t="str">
        <f>IFERROR(VLOOKUP($A642,Equipos!$C$2:$M$967,8,FALSE()),"")</f>
        <v>Vista 120</v>
      </c>
      <c r="G642" s="46" t="s">
        <v>296</v>
      </c>
      <c r="H642" s="46"/>
      <c r="I642" s="46"/>
      <c r="J642" s="46" t="s">
        <v>684</v>
      </c>
      <c r="K642" s="46" t="str">
        <f>IFERROR(VLOOKUP($J642,Catálogos!$M$4:$N$17,2,FALSE()),"")</f>
        <v>Reprogramada · Imposibilidad de desocupar el equipo del paciente por indicación clínica</v>
      </c>
      <c r="L642" s="46"/>
      <c r="M642" s="46"/>
      <c r="N642" s="46"/>
      <c r="O642" s="46"/>
      <c r="P642" s="46"/>
      <c r="Q642" s="46"/>
    </row>
    <row r="643" spans="1:17" hidden="1" x14ac:dyDescent="0.25">
      <c r="A643" s="47" t="s">
        <v>683</v>
      </c>
      <c r="B643" s="46" t="str">
        <f>IFERROR(VLOOKUP($A643,Equipos!$C$2:$M$967,2,FALSE()),"")</f>
        <v>Monitor Multiparámetros</v>
      </c>
      <c r="C643" s="46" t="str">
        <f>IFERROR(VLOOKUP($A643,Equipos!$C$2:$M$967,9,FALSE()),"")</f>
        <v>VGSML0047</v>
      </c>
      <c r="D643" s="46" t="str">
        <f>IFERROR(VLOOKUP($A643,Equipos!$C$2:$M$967,3,FALSE()),"")</f>
        <v>Pabellón (Recuperación) prestado a UPC Adulto</v>
      </c>
      <c r="E643" s="46" t="str">
        <f>IFERROR(VLOOKUP($A643,Equipos!$C$2:$M$967,7,FALSE()),"")</f>
        <v>Drager</v>
      </c>
      <c r="F643" s="46" t="str">
        <f>IFERROR(VLOOKUP($A643,Equipos!$C$2:$M$967,8,FALSE()),"")</f>
        <v>Vista 120</v>
      </c>
      <c r="G643" s="46" t="s">
        <v>316</v>
      </c>
      <c r="H643" s="46"/>
      <c r="I643" s="46"/>
      <c r="J643" s="46" t="s">
        <v>297</v>
      </c>
      <c r="K643" s="46" t="str">
        <f>IFERROR(VLOOKUP($J643,Catálogos!$M$4:$N$17,2,FALSE()),"")</f>
        <v>Mantención Preventiva Realizada</v>
      </c>
      <c r="L643" s="46"/>
      <c r="M643" s="46"/>
      <c r="N643" s="46"/>
      <c r="O643" s="46"/>
      <c r="P643" s="46"/>
      <c r="Q643" s="46"/>
    </row>
    <row r="644" spans="1:17" hidden="1" x14ac:dyDescent="0.25">
      <c r="A644" s="47" t="s">
        <v>685</v>
      </c>
      <c r="B644" s="46" t="str">
        <f>IFERROR(VLOOKUP($A644,Equipos!$C$2:$M$967,2,FALSE()),"")</f>
        <v>Monitor Multiparámetros</v>
      </c>
      <c r="C644" s="46" t="str">
        <f>IFERROR(VLOOKUP($A644,Equipos!$C$2:$M$967,9,FALSE()),"")</f>
        <v>VGSML0049</v>
      </c>
      <c r="D644" s="46" t="str">
        <f>IFERROR(VLOOKUP($A644,Equipos!$C$2:$M$967,3,FALSE()),"")</f>
        <v>Pabellón (Recuperación)</v>
      </c>
      <c r="E644" s="46" t="str">
        <f>IFERROR(VLOOKUP($A644,Equipos!$C$2:$M$967,7,FALSE()),"")</f>
        <v>Drager</v>
      </c>
      <c r="F644" s="46" t="str">
        <f>IFERROR(VLOOKUP($A644,Equipos!$C$2:$M$967,8,FALSE()),"")</f>
        <v>Vista 120</v>
      </c>
      <c r="G644" s="46" t="s">
        <v>296</v>
      </c>
      <c r="H644" s="46"/>
      <c r="I644" s="46"/>
      <c r="J644" s="46" t="s">
        <v>297</v>
      </c>
      <c r="K644" s="46" t="str">
        <f>IFERROR(VLOOKUP($J644,Catálogos!$M$4:$N$17,2,FALSE()),"")</f>
        <v>Mantención Preventiva Realizada</v>
      </c>
      <c r="L644" s="46"/>
      <c r="M644" s="46"/>
      <c r="N644" s="46"/>
      <c r="O644" s="46"/>
      <c r="P644" s="46"/>
      <c r="Q644" s="46"/>
    </row>
    <row r="645" spans="1:17" hidden="1" x14ac:dyDescent="0.25">
      <c r="A645" s="47" t="s">
        <v>686</v>
      </c>
      <c r="B645" s="46" t="str">
        <f>IFERROR(VLOOKUP($A645,Equipos!$C$2:$M$967,2,FALSE()),"")</f>
        <v>Monitor Multiparámetros</v>
      </c>
      <c r="C645" s="46" t="str">
        <f>IFERROR(VLOOKUP($A645,Equipos!$C$2:$M$967,9,FALSE()),"")</f>
        <v>VGSML0050</v>
      </c>
      <c r="D645" s="46" t="str">
        <f>IFERROR(VLOOKUP($A645,Equipos!$C$2:$M$967,3,FALSE()),"")</f>
        <v>Pabellón (Recuperación)</v>
      </c>
      <c r="E645" s="46" t="str">
        <f>IFERROR(VLOOKUP($A645,Equipos!$C$2:$M$967,7,FALSE()),"")</f>
        <v>Drager</v>
      </c>
      <c r="F645" s="46" t="str">
        <f>IFERROR(VLOOKUP($A645,Equipos!$C$2:$M$967,8,FALSE()),"")</f>
        <v>Vista 120</v>
      </c>
      <c r="G645" s="46" t="s">
        <v>296</v>
      </c>
      <c r="H645" s="46"/>
      <c r="I645" s="46"/>
      <c r="J645" s="46" t="s">
        <v>297</v>
      </c>
      <c r="K645" s="46" t="str">
        <f>IFERROR(VLOOKUP($J645,Catálogos!$M$4:$N$17,2,FALSE()),"")</f>
        <v>Mantención Preventiva Realizada</v>
      </c>
      <c r="L645" s="46"/>
      <c r="M645" s="46"/>
      <c r="N645" s="46"/>
      <c r="O645" s="46"/>
      <c r="P645" s="46"/>
      <c r="Q645" s="46"/>
    </row>
    <row r="646" spans="1:17" hidden="1" x14ac:dyDescent="0.25">
      <c r="A646" s="47" t="s">
        <v>687</v>
      </c>
      <c r="B646" s="46" t="str">
        <f>IFERROR(VLOOKUP($A646,Equipos!$C$2:$M$967,2,FALSE()),"")</f>
        <v>Monitor Multiparámetros</v>
      </c>
      <c r="C646" s="46" t="str">
        <f>IFERROR(VLOOKUP($A646,Equipos!$C$2:$M$967,9,FALSE()),"")</f>
        <v>VGSML0062</v>
      </c>
      <c r="D646" s="46" t="str">
        <f>IFERROR(VLOOKUP($A646,Equipos!$C$2:$M$967,3,FALSE()),"")</f>
        <v>Pabellón (Recuperación)</v>
      </c>
      <c r="E646" s="46" t="str">
        <f>IFERROR(VLOOKUP($A646,Equipos!$C$2:$M$967,7,FALSE()),"")</f>
        <v>Drager</v>
      </c>
      <c r="F646" s="46" t="str">
        <f>IFERROR(VLOOKUP($A646,Equipos!$C$2:$M$967,8,FALSE()),"")</f>
        <v>Vista 120</v>
      </c>
      <c r="G646" s="46" t="s">
        <v>296</v>
      </c>
      <c r="H646" s="46"/>
      <c r="I646" s="46"/>
      <c r="J646" s="46" t="s">
        <v>297</v>
      </c>
      <c r="K646" s="46" t="str">
        <f>IFERROR(VLOOKUP($J646,Catálogos!$M$4:$N$17,2,FALSE()),"")</f>
        <v>Mantención Preventiva Realizada</v>
      </c>
      <c r="L646" s="46"/>
      <c r="M646" s="46"/>
      <c r="N646" s="46"/>
      <c r="O646" s="46"/>
      <c r="P646" s="46"/>
      <c r="Q646" s="46"/>
    </row>
    <row r="647" spans="1:17" hidden="1" x14ac:dyDescent="0.25">
      <c r="A647" s="47" t="s">
        <v>688</v>
      </c>
      <c r="B647" s="46" t="str">
        <f>IFERROR(VLOOKUP($A647,Equipos!$C$2:$M$967,2,FALSE()),"")</f>
        <v>Monitor Multiparámetros</v>
      </c>
      <c r="C647" s="46" t="str">
        <f>IFERROR(VLOOKUP($A647,Equipos!$C$2:$M$967,9,FALSE()),"")</f>
        <v>VGSML0065</v>
      </c>
      <c r="D647" s="46" t="str">
        <f>IFERROR(VLOOKUP($A647,Equipos!$C$2:$M$967,3,FALSE()),"")</f>
        <v>Pabellón (Recuperación)</v>
      </c>
      <c r="E647" s="46" t="str">
        <f>IFERROR(VLOOKUP($A647,Equipos!$C$2:$M$967,7,FALSE()),"")</f>
        <v>Drager</v>
      </c>
      <c r="F647" s="46" t="str">
        <f>IFERROR(VLOOKUP($A647,Equipos!$C$2:$M$967,8,FALSE()),"")</f>
        <v>Vista 120</v>
      </c>
      <c r="G647" s="46" t="s">
        <v>296</v>
      </c>
      <c r="H647" s="46"/>
      <c r="I647" s="46"/>
      <c r="J647" s="46" t="s">
        <v>297</v>
      </c>
      <c r="K647" s="46" t="str">
        <f>IFERROR(VLOOKUP($J647,Catálogos!$M$4:$N$17,2,FALSE()),"")</f>
        <v>Mantención Preventiva Realizada</v>
      </c>
      <c r="L647" s="46"/>
      <c r="M647" s="46"/>
      <c r="N647" s="46"/>
      <c r="O647" s="46"/>
      <c r="P647" s="46"/>
      <c r="Q647" s="46"/>
    </row>
    <row r="648" spans="1:17" hidden="1" x14ac:dyDescent="0.25">
      <c r="A648" s="47" t="s">
        <v>689</v>
      </c>
      <c r="B648" s="46" t="str">
        <f>IFERROR(VLOOKUP($A648,Equipos!$C$2:$M$967,2,FALSE()),"")</f>
        <v>Monitor Multiparámetros</v>
      </c>
      <c r="C648" s="46" t="str">
        <f>IFERROR(VLOOKUP($A648,Equipos!$C$2:$M$967,9,FALSE()),"")</f>
        <v>0100639</v>
      </c>
      <c r="D648" s="46" t="str">
        <f>IFERROR(VLOOKUP($A648,Equipos!$C$2:$M$967,3,FALSE()),"")</f>
        <v>Neonatología</v>
      </c>
      <c r="E648" s="46" t="str">
        <f>IFERROR(VLOOKUP($A648,Equipos!$C$2:$M$967,7,FALSE()),"")</f>
        <v xml:space="preserve">Nihon Kohden </v>
      </c>
      <c r="F648" s="46" t="str">
        <f>IFERROR(VLOOKUP($A648,Equipos!$C$2:$M$967,8,FALSE()),"")</f>
        <v>PVM-2701K</v>
      </c>
      <c r="G648" s="46" t="s">
        <v>335</v>
      </c>
      <c r="H648" s="46"/>
      <c r="I648" s="46"/>
      <c r="J648" s="46" t="s">
        <v>323</v>
      </c>
      <c r="K648" s="46" t="str">
        <f>IFERROR(VLOOKUP($J648,Catálogos!$M$4:$N$17,2,FALSE()),"")</f>
        <v>Reprogramada · No disponibilidad de horas hombre del funcionario SEC por alta carga laboral</v>
      </c>
      <c r="L648" s="46"/>
      <c r="M648" s="46"/>
      <c r="N648" s="46"/>
      <c r="O648" s="46"/>
      <c r="P648" s="46"/>
      <c r="Q648" s="46"/>
    </row>
    <row r="649" spans="1:17" hidden="1" x14ac:dyDescent="0.25">
      <c r="A649" s="47" t="s">
        <v>689</v>
      </c>
      <c r="B649" s="46" t="str">
        <f>IFERROR(VLOOKUP($A649,Equipos!$C$2:$M$967,2,FALSE()),"")</f>
        <v>Monitor Multiparámetros</v>
      </c>
      <c r="C649" s="46" t="str">
        <f>IFERROR(VLOOKUP($A649,Equipos!$C$2:$M$967,9,FALSE()),"")</f>
        <v>0100639</v>
      </c>
      <c r="D649" s="46" t="str">
        <f>IFERROR(VLOOKUP($A649,Equipos!$C$2:$M$967,3,FALSE()),"")</f>
        <v>Neonatología</v>
      </c>
      <c r="E649" s="46" t="str">
        <f>IFERROR(VLOOKUP($A649,Equipos!$C$2:$M$967,7,FALSE()),"")</f>
        <v xml:space="preserve">Nihon Kohden </v>
      </c>
      <c r="F649" s="46" t="str">
        <f>IFERROR(VLOOKUP($A649,Equipos!$C$2:$M$967,8,FALSE()),"")</f>
        <v>PVM-2701K</v>
      </c>
      <c r="G649" s="46" t="s">
        <v>296</v>
      </c>
      <c r="H649" s="46"/>
      <c r="I649" s="46"/>
      <c r="J649" s="46" t="s">
        <v>297</v>
      </c>
      <c r="K649" s="46" t="str">
        <f>IFERROR(VLOOKUP($J649,Catálogos!$M$4:$N$17,2,FALSE()),"")</f>
        <v>Mantención Preventiva Realizada</v>
      </c>
      <c r="L649" s="46"/>
      <c r="M649" s="46"/>
      <c r="N649" s="46"/>
      <c r="O649" s="46"/>
      <c r="P649" s="46"/>
      <c r="Q649" s="46"/>
    </row>
    <row r="650" spans="1:17" hidden="1" x14ac:dyDescent="0.25">
      <c r="A650" s="47" t="s">
        <v>690</v>
      </c>
      <c r="B650" s="46" t="str">
        <f>IFERROR(VLOOKUP($A650,Equipos!$C$2:$M$967,2,FALSE()),"")</f>
        <v>Monitor Multiparámetros</v>
      </c>
      <c r="C650" s="46" t="str">
        <f>IFERROR(VLOOKUP($A650,Equipos!$C$2:$M$967,9,FALSE()),"")</f>
        <v>01070</v>
      </c>
      <c r="D650" s="46" t="str">
        <f>IFERROR(VLOOKUP($A650,Equipos!$C$2:$M$967,3,FALSE()),"")</f>
        <v>Neonatología</v>
      </c>
      <c r="E650" s="46" t="str">
        <f>IFERROR(VLOOKUP($A650,Equipos!$C$2:$M$967,7,FALSE()),"")</f>
        <v xml:space="preserve">Nihon Kohden </v>
      </c>
      <c r="F650" s="46" t="str">
        <f>IFERROR(VLOOKUP($A650,Equipos!$C$2:$M$967,8,FALSE()),"")</f>
        <v>BSM-6301K</v>
      </c>
      <c r="G650" s="46" t="s">
        <v>335</v>
      </c>
      <c r="H650" s="46"/>
      <c r="I650" s="46"/>
      <c r="J650" s="46" t="s">
        <v>278</v>
      </c>
      <c r="K650" s="46" t="str">
        <f>IFERROR(VLOOKUP($J650,Catálogos!$M$4:$N$17,2,FALSE()),"")</f>
        <v>Reprogramada · Equipo en servicio técnico</v>
      </c>
      <c r="L650" s="46"/>
      <c r="M650" s="46"/>
      <c r="N650" s="46"/>
      <c r="O650" s="46"/>
      <c r="P650" s="46"/>
      <c r="Q650" s="46"/>
    </row>
    <row r="651" spans="1:17" hidden="1" x14ac:dyDescent="0.25">
      <c r="A651" s="47" t="s">
        <v>691</v>
      </c>
      <c r="B651" s="46" t="str">
        <f>IFERROR(VLOOKUP($A651,Equipos!$C$2:$M$967,2,FALSE()),"")</f>
        <v>Monitor Multiparámetros</v>
      </c>
      <c r="C651" s="46" t="str">
        <f>IFERROR(VLOOKUP($A651,Equipos!$C$2:$M$967,9,FALSE()),"")</f>
        <v>01033</v>
      </c>
      <c r="D651" s="46" t="str">
        <f>IFERROR(VLOOKUP($A651,Equipos!$C$2:$M$967,3,FALSE()),"")</f>
        <v>Neonatología</v>
      </c>
      <c r="E651" s="46" t="str">
        <f>IFERROR(VLOOKUP($A651,Equipos!$C$2:$M$967,7,FALSE()),"")</f>
        <v xml:space="preserve">Nihon Kohden </v>
      </c>
      <c r="F651" s="46" t="str">
        <f>IFERROR(VLOOKUP($A651,Equipos!$C$2:$M$967,8,FALSE()),"")</f>
        <v>BSM-6301K</v>
      </c>
      <c r="G651" s="46" t="s">
        <v>335</v>
      </c>
      <c r="H651" s="46"/>
      <c r="I651" s="46"/>
      <c r="J651" s="46" t="s">
        <v>323</v>
      </c>
      <c r="K651" s="46" t="str">
        <f>IFERROR(VLOOKUP($J651,Catálogos!$M$4:$N$17,2,FALSE()),"")</f>
        <v>Reprogramada · No disponibilidad de horas hombre del funcionario SEC por alta carga laboral</v>
      </c>
      <c r="L651" s="46"/>
      <c r="M651" s="46"/>
      <c r="N651" s="46"/>
      <c r="O651" s="46"/>
      <c r="P651" s="46"/>
      <c r="Q651" s="46"/>
    </row>
    <row r="652" spans="1:17" hidden="1" x14ac:dyDescent="0.25">
      <c r="A652" s="47" t="s">
        <v>691</v>
      </c>
      <c r="B652" s="46" t="str">
        <f>IFERROR(VLOOKUP($A652,Equipos!$C$2:$M$967,2,FALSE()),"")</f>
        <v>Monitor Multiparámetros</v>
      </c>
      <c r="C652" s="46" t="str">
        <f>IFERROR(VLOOKUP($A652,Equipos!$C$2:$M$967,9,FALSE()),"")</f>
        <v>01033</v>
      </c>
      <c r="D652" s="46" t="str">
        <f>IFERROR(VLOOKUP($A652,Equipos!$C$2:$M$967,3,FALSE()),"")</f>
        <v>Neonatología</v>
      </c>
      <c r="E652" s="46" t="str">
        <f>IFERROR(VLOOKUP($A652,Equipos!$C$2:$M$967,7,FALSE()),"")</f>
        <v xml:space="preserve">Nihon Kohden </v>
      </c>
      <c r="F652" s="46" t="str">
        <f>IFERROR(VLOOKUP($A652,Equipos!$C$2:$M$967,8,FALSE()),"")</f>
        <v>BSM-6301K</v>
      </c>
      <c r="G652" s="46" t="s">
        <v>296</v>
      </c>
      <c r="H652" s="46"/>
      <c r="I652" s="46"/>
      <c r="J652" s="46" t="s">
        <v>297</v>
      </c>
      <c r="K652" s="46" t="str">
        <f>IFERROR(VLOOKUP($J652,Catálogos!$M$4:$N$17,2,FALSE()),"")</f>
        <v>Mantención Preventiva Realizada</v>
      </c>
      <c r="L652" s="46"/>
      <c r="M652" s="46"/>
      <c r="N652" s="46"/>
      <c r="O652" s="46"/>
      <c r="P652" s="46"/>
      <c r="Q652" s="46"/>
    </row>
    <row r="653" spans="1:17" hidden="1" x14ac:dyDescent="0.25">
      <c r="A653" s="47" t="s">
        <v>692</v>
      </c>
      <c r="B653" s="46" t="str">
        <f>IFERROR(VLOOKUP($A653,Equipos!$C$2:$M$967,2,FALSE()),"")</f>
        <v>Monitor Multiparámetros</v>
      </c>
      <c r="C653" s="46" t="str">
        <f>IFERROR(VLOOKUP($A653,Equipos!$C$2:$M$967,9,FALSE()),"")</f>
        <v>01044</v>
      </c>
      <c r="D653" s="46" t="str">
        <f>IFERROR(VLOOKUP($A653,Equipos!$C$2:$M$967,3,FALSE()),"")</f>
        <v>Neonatología</v>
      </c>
      <c r="E653" s="46" t="str">
        <f>IFERROR(VLOOKUP($A653,Equipos!$C$2:$M$967,7,FALSE()),"")</f>
        <v xml:space="preserve">Nihon Kohden </v>
      </c>
      <c r="F653" s="46" t="str">
        <f>IFERROR(VLOOKUP($A653,Equipos!$C$2:$M$967,8,FALSE()),"")</f>
        <v>BSM-6301K</v>
      </c>
      <c r="G653" s="46" t="s">
        <v>335</v>
      </c>
      <c r="H653" s="46"/>
      <c r="I653" s="46"/>
      <c r="J653" s="46" t="s">
        <v>323</v>
      </c>
      <c r="K653" s="46" t="str">
        <f>IFERROR(VLOOKUP($J653,Catálogos!$M$4:$N$17,2,FALSE()),"")</f>
        <v>Reprogramada · No disponibilidad de horas hombre del funcionario SEC por alta carga laboral</v>
      </c>
      <c r="L653" s="46"/>
      <c r="M653" s="46"/>
      <c r="N653" s="46"/>
      <c r="O653" s="46"/>
      <c r="P653" s="46"/>
      <c r="Q653" s="46"/>
    </row>
    <row r="654" spans="1:17" hidden="1" x14ac:dyDescent="0.25">
      <c r="A654" s="47" t="s">
        <v>692</v>
      </c>
      <c r="B654" s="46" t="str">
        <f>IFERROR(VLOOKUP($A654,Equipos!$C$2:$M$967,2,FALSE()),"")</f>
        <v>Monitor Multiparámetros</v>
      </c>
      <c r="C654" s="46" t="str">
        <f>IFERROR(VLOOKUP($A654,Equipos!$C$2:$M$967,9,FALSE()),"")</f>
        <v>01044</v>
      </c>
      <c r="D654" s="46" t="str">
        <f>IFERROR(VLOOKUP($A654,Equipos!$C$2:$M$967,3,FALSE()),"")</f>
        <v>Neonatología</v>
      </c>
      <c r="E654" s="46" t="str">
        <f>IFERROR(VLOOKUP($A654,Equipos!$C$2:$M$967,7,FALSE()),"")</f>
        <v xml:space="preserve">Nihon Kohden </v>
      </c>
      <c r="F654" s="46" t="str">
        <f>IFERROR(VLOOKUP($A654,Equipos!$C$2:$M$967,8,FALSE()),"")</f>
        <v>BSM-6301K</v>
      </c>
      <c r="G654" s="46" t="s">
        <v>296</v>
      </c>
      <c r="H654" s="46"/>
      <c r="I654" s="46"/>
      <c r="J654" s="46" t="s">
        <v>297</v>
      </c>
      <c r="K654" s="46" t="str">
        <f>IFERROR(VLOOKUP($J654,Catálogos!$M$4:$N$17,2,FALSE()),"")</f>
        <v>Mantención Preventiva Realizada</v>
      </c>
      <c r="L654" s="46"/>
      <c r="M654" s="46"/>
      <c r="N654" s="46"/>
      <c r="O654" s="46"/>
      <c r="P654" s="46"/>
      <c r="Q654" s="46"/>
    </row>
    <row r="655" spans="1:17" hidden="1" x14ac:dyDescent="0.25">
      <c r="A655" s="47" t="s">
        <v>693</v>
      </c>
      <c r="B655" s="46" t="str">
        <f>IFERROR(VLOOKUP($A655,Equipos!$C$2:$M$967,2,FALSE()),"")</f>
        <v>Monitor Multiparámetros</v>
      </c>
      <c r="C655" s="46" t="str">
        <f>IFERROR(VLOOKUP($A655,Equipos!$C$2:$M$967,9,FALSE()),"")</f>
        <v>01071</v>
      </c>
      <c r="D655" s="46" t="str">
        <f>IFERROR(VLOOKUP($A655,Equipos!$C$2:$M$967,3,FALSE()),"")</f>
        <v>Neonatología</v>
      </c>
      <c r="E655" s="46" t="str">
        <f>IFERROR(VLOOKUP($A655,Equipos!$C$2:$M$967,7,FALSE()),"")</f>
        <v xml:space="preserve">Nihon Kohden </v>
      </c>
      <c r="F655" s="46" t="str">
        <f>IFERROR(VLOOKUP($A655,Equipos!$C$2:$M$967,8,FALSE()),"")</f>
        <v>BSM-6301K</v>
      </c>
      <c r="G655" s="46" t="s">
        <v>335</v>
      </c>
      <c r="H655" s="46"/>
      <c r="I655" s="46"/>
      <c r="J655" s="46" t="s">
        <v>323</v>
      </c>
      <c r="K655" s="46" t="str">
        <f>IFERROR(VLOOKUP($J655,Catálogos!$M$4:$N$17,2,FALSE()),"")</f>
        <v>Reprogramada · No disponibilidad de horas hombre del funcionario SEC por alta carga laboral</v>
      </c>
      <c r="L655" s="46"/>
      <c r="M655" s="46"/>
      <c r="N655" s="46"/>
      <c r="O655" s="46"/>
      <c r="P655" s="46"/>
      <c r="Q655" s="46"/>
    </row>
    <row r="656" spans="1:17" hidden="1" x14ac:dyDescent="0.25">
      <c r="A656" s="47" t="s">
        <v>693</v>
      </c>
      <c r="B656" s="46" t="str">
        <f>IFERROR(VLOOKUP($A656,Equipos!$C$2:$M$967,2,FALSE()),"")</f>
        <v>Monitor Multiparámetros</v>
      </c>
      <c r="C656" s="46" t="str">
        <f>IFERROR(VLOOKUP($A656,Equipos!$C$2:$M$967,9,FALSE()),"")</f>
        <v>01071</v>
      </c>
      <c r="D656" s="46" t="str">
        <f>IFERROR(VLOOKUP($A656,Equipos!$C$2:$M$967,3,FALSE()),"")</f>
        <v>Neonatología</v>
      </c>
      <c r="E656" s="46" t="str">
        <f>IFERROR(VLOOKUP($A656,Equipos!$C$2:$M$967,7,FALSE()),"")</f>
        <v xml:space="preserve">Nihon Kohden </v>
      </c>
      <c r="F656" s="46" t="str">
        <f>IFERROR(VLOOKUP($A656,Equipos!$C$2:$M$967,8,FALSE()),"")</f>
        <v>BSM-6301K</v>
      </c>
      <c r="G656" s="46" t="s">
        <v>296</v>
      </c>
      <c r="H656" s="46"/>
      <c r="I656" s="46"/>
      <c r="J656" s="46" t="s">
        <v>297</v>
      </c>
      <c r="K656" s="46" t="str">
        <f>IFERROR(VLOOKUP($J656,Catálogos!$M$4:$N$17,2,FALSE()),"")</f>
        <v>Mantención Preventiva Realizada</v>
      </c>
      <c r="L656" s="46"/>
      <c r="M656" s="46"/>
      <c r="N656" s="46"/>
      <c r="O656" s="46"/>
      <c r="P656" s="46"/>
      <c r="Q656" s="46"/>
    </row>
    <row r="657" spans="1:17" hidden="1" x14ac:dyDescent="0.25">
      <c r="A657" s="47" t="s">
        <v>694</v>
      </c>
      <c r="B657" s="46" t="str">
        <f>IFERROR(VLOOKUP($A657,Equipos!$C$2:$M$967,2,FALSE()),"")</f>
        <v>Monitor Multiparámetros</v>
      </c>
      <c r="C657" s="46" t="str">
        <f>IFERROR(VLOOKUP($A657,Equipos!$C$2:$M$967,9,FALSE()),"")</f>
        <v>5516412180</v>
      </c>
      <c r="D657" s="46" t="str">
        <f>IFERROR(VLOOKUP($A657,Equipos!$C$2:$M$967,3,FALSE()),"")</f>
        <v>UPC Pediátrica</v>
      </c>
      <c r="E657" s="46" t="str">
        <f>IFERROR(VLOOKUP($A657,Equipos!$C$2:$M$967,7,FALSE()),"")</f>
        <v xml:space="preserve">Drager </v>
      </c>
      <c r="F657" s="46" t="str">
        <f>IFERROR(VLOOKUP($A657,Equipos!$C$2:$M$967,8,FALSE()),"")</f>
        <v xml:space="preserve">Infinity Vista </v>
      </c>
      <c r="G657" s="46" t="s">
        <v>335</v>
      </c>
      <c r="H657" s="46"/>
      <c r="I657" s="46"/>
      <c r="J657" s="46" t="s">
        <v>315</v>
      </c>
      <c r="K657" s="46" t="str">
        <f>IFERROR(VLOOKUP($J657,Catálogos!$M$4:$N$17,2,FALSE()),"")</f>
        <v>Reprogramada · Ausencia justificada del funcionario SEC superior a 15 días</v>
      </c>
      <c r="L657" s="46"/>
      <c r="M657" s="46"/>
      <c r="N657" s="46"/>
      <c r="O657" s="46"/>
      <c r="P657" s="46"/>
      <c r="Q657" s="46"/>
    </row>
    <row r="658" spans="1:17" hidden="1" x14ac:dyDescent="0.25">
      <c r="A658" s="47" t="s">
        <v>694</v>
      </c>
      <c r="B658" s="46" t="str">
        <f>IFERROR(VLOOKUP($A658,Equipos!$C$2:$M$967,2,FALSE()),"")</f>
        <v>Monitor Multiparámetros</v>
      </c>
      <c r="C658" s="46" t="str">
        <f>IFERROR(VLOOKUP($A658,Equipos!$C$2:$M$967,9,FALSE()),"")</f>
        <v>5516412180</v>
      </c>
      <c r="D658" s="46" t="str">
        <f>IFERROR(VLOOKUP($A658,Equipos!$C$2:$M$967,3,FALSE()),"")</f>
        <v>UPC Pediátrica</v>
      </c>
      <c r="E658" s="46" t="str">
        <f>IFERROR(VLOOKUP($A658,Equipos!$C$2:$M$967,7,FALSE()),"")</f>
        <v xml:space="preserve">Drager </v>
      </c>
      <c r="F658" s="46" t="str">
        <f>IFERROR(VLOOKUP($A658,Equipos!$C$2:$M$967,8,FALSE()),"")</f>
        <v xml:space="preserve">Infinity Vista </v>
      </c>
      <c r="G658" s="46" t="s">
        <v>296</v>
      </c>
      <c r="H658" s="46"/>
      <c r="I658" s="46"/>
      <c r="J658" s="46" t="s">
        <v>297</v>
      </c>
      <c r="K658" s="46" t="str">
        <f>IFERROR(VLOOKUP($J658,Catálogos!$M$4:$N$17,2,FALSE()),"")</f>
        <v>Mantención Preventiva Realizada</v>
      </c>
      <c r="L658" s="46"/>
      <c r="M658" s="46"/>
      <c r="N658" s="46"/>
      <c r="O658" s="46"/>
      <c r="P658" s="46"/>
      <c r="Q658" s="46"/>
    </row>
    <row r="659" spans="1:17" hidden="1" x14ac:dyDescent="0.25">
      <c r="A659" s="47" t="s">
        <v>695</v>
      </c>
      <c r="B659" s="46" t="str">
        <f>IFERROR(VLOOKUP($A659,Equipos!$C$2:$M$967,2,FALSE()),"")</f>
        <v>Monitor Multiparámetros</v>
      </c>
      <c r="C659" s="46" t="str">
        <f>IFERROR(VLOOKUP($A659,Equipos!$C$2:$M$967,9,FALSE()),"")</f>
        <v>5516412278</v>
      </c>
      <c r="D659" s="46" t="str">
        <f>IFERROR(VLOOKUP($A659,Equipos!$C$2:$M$967,3,FALSE()),"")</f>
        <v>Pediatría</v>
      </c>
      <c r="E659" s="46" t="str">
        <f>IFERROR(VLOOKUP($A659,Equipos!$C$2:$M$967,7,FALSE()),"")</f>
        <v xml:space="preserve">Drager </v>
      </c>
      <c r="F659" s="46" t="str">
        <f>IFERROR(VLOOKUP($A659,Equipos!$C$2:$M$967,8,FALSE()),"")</f>
        <v xml:space="preserve">Infinity Vista </v>
      </c>
      <c r="G659" s="46" t="s">
        <v>335</v>
      </c>
      <c r="H659" s="46"/>
      <c r="I659" s="46"/>
      <c r="J659" s="46" t="s">
        <v>323</v>
      </c>
      <c r="K659" s="46" t="str">
        <f>IFERROR(VLOOKUP($J659,Catálogos!$M$4:$N$17,2,FALSE()),"")</f>
        <v>Reprogramada · No disponibilidad de horas hombre del funcionario SEC por alta carga laboral</v>
      </c>
      <c r="L659" s="46"/>
      <c r="M659" s="46"/>
      <c r="N659" s="46"/>
      <c r="O659" s="46"/>
      <c r="P659" s="46"/>
      <c r="Q659" s="46"/>
    </row>
    <row r="660" spans="1:17" hidden="1" x14ac:dyDescent="0.25">
      <c r="A660" s="47" t="s">
        <v>695</v>
      </c>
      <c r="B660" s="46" t="str">
        <f>IFERROR(VLOOKUP($A660,Equipos!$C$2:$M$967,2,FALSE()),"")</f>
        <v>Monitor Multiparámetros</v>
      </c>
      <c r="C660" s="46" t="str">
        <f>IFERROR(VLOOKUP($A660,Equipos!$C$2:$M$967,9,FALSE()),"")</f>
        <v>5516412278</v>
      </c>
      <c r="D660" s="46" t="str">
        <f>IFERROR(VLOOKUP($A660,Equipos!$C$2:$M$967,3,FALSE()),"")</f>
        <v>Pediatría</v>
      </c>
      <c r="E660" s="46" t="str">
        <f>IFERROR(VLOOKUP($A660,Equipos!$C$2:$M$967,7,FALSE()),"")</f>
        <v xml:space="preserve">Drager </v>
      </c>
      <c r="F660" s="46" t="str">
        <f>IFERROR(VLOOKUP($A660,Equipos!$C$2:$M$967,8,FALSE()),"")</f>
        <v xml:space="preserve">Infinity Vista </v>
      </c>
      <c r="G660" s="46" t="s">
        <v>296</v>
      </c>
      <c r="H660" s="46"/>
      <c r="I660" s="46"/>
      <c r="J660" s="46" t="s">
        <v>297</v>
      </c>
      <c r="K660" s="46" t="str">
        <f>IFERROR(VLOOKUP($J660,Catálogos!$M$4:$N$17,2,FALSE()),"")</f>
        <v>Mantención Preventiva Realizada</v>
      </c>
      <c r="L660" s="46"/>
      <c r="M660" s="46"/>
      <c r="N660" s="46"/>
      <c r="O660" s="46"/>
      <c r="P660" s="46"/>
      <c r="Q660" s="46"/>
    </row>
    <row r="661" spans="1:17" hidden="1" x14ac:dyDescent="0.25">
      <c r="A661" s="47" t="s">
        <v>696</v>
      </c>
      <c r="B661" s="46" t="str">
        <f>IFERROR(VLOOKUP($A661,Equipos!$C$2:$M$967,2,FALSE()),"")</f>
        <v>Monitor Multiparámetros</v>
      </c>
      <c r="C661" s="46" t="str">
        <f>IFERROR(VLOOKUP($A661,Equipos!$C$2:$M$967,9,FALSE()),"")</f>
        <v>01051</v>
      </c>
      <c r="D661" s="46" t="str">
        <f>IFERROR(VLOOKUP($A661,Equipos!$C$2:$M$967,3,FALSE()),"")</f>
        <v>Neonatología</v>
      </c>
      <c r="E661" s="46" t="str">
        <f>IFERROR(VLOOKUP($A661,Equipos!$C$2:$M$967,7,FALSE()),"")</f>
        <v xml:space="preserve">Nihon Kohden </v>
      </c>
      <c r="F661" s="46" t="str">
        <f>IFERROR(VLOOKUP($A661,Equipos!$C$2:$M$967,8,FALSE()),"")</f>
        <v>BSM-6301K</v>
      </c>
      <c r="G661" s="46" t="s">
        <v>335</v>
      </c>
      <c r="H661" s="46"/>
      <c r="I661" s="46"/>
      <c r="J661" s="46" t="s">
        <v>323</v>
      </c>
      <c r="K661" s="46" t="str">
        <f>IFERROR(VLOOKUP($J661,Catálogos!$M$4:$N$17,2,FALSE()),"")</f>
        <v>Reprogramada · No disponibilidad de horas hombre del funcionario SEC por alta carga laboral</v>
      </c>
      <c r="L661" s="46"/>
      <c r="M661" s="46"/>
      <c r="N661" s="46"/>
      <c r="O661" s="46"/>
      <c r="P661" s="46"/>
      <c r="Q661" s="46"/>
    </row>
    <row r="662" spans="1:17" hidden="1" x14ac:dyDescent="0.25">
      <c r="A662" s="47" t="s">
        <v>696</v>
      </c>
      <c r="B662" s="46" t="str">
        <f>IFERROR(VLOOKUP($A662,Equipos!$C$2:$M$967,2,FALSE()),"")</f>
        <v>Monitor Multiparámetros</v>
      </c>
      <c r="C662" s="46" t="str">
        <f>IFERROR(VLOOKUP($A662,Equipos!$C$2:$M$967,9,FALSE()),"")</f>
        <v>01051</v>
      </c>
      <c r="D662" s="46" t="str">
        <f>IFERROR(VLOOKUP($A662,Equipos!$C$2:$M$967,3,FALSE()),"")</f>
        <v>Neonatología</v>
      </c>
      <c r="E662" s="46" t="str">
        <f>IFERROR(VLOOKUP($A662,Equipos!$C$2:$M$967,7,FALSE()),"")</f>
        <v xml:space="preserve">Nihon Kohden </v>
      </c>
      <c r="F662" s="46" t="str">
        <f>IFERROR(VLOOKUP($A662,Equipos!$C$2:$M$967,8,FALSE()),"")</f>
        <v>BSM-6301K</v>
      </c>
      <c r="G662" s="46" t="s">
        <v>296</v>
      </c>
      <c r="H662" s="46"/>
      <c r="I662" s="46"/>
      <c r="J662" s="46" t="s">
        <v>297</v>
      </c>
      <c r="K662" s="46" t="str">
        <f>IFERROR(VLOOKUP($J662,Catálogos!$M$4:$N$17,2,FALSE()),"")</f>
        <v>Mantención Preventiva Realizada</v>
      </c>
      <c r="L662" s="46"/>
      <c r="M662" s="46"/>
      <c r="N662" s="46"/>
      <c r="O662" s="46"/>
      <c r="P662" s="46"/>
      <c r="Q662" s="46"/>
    </row>
    <row r="663" spans="1:17" hidden="1" x14ac:dyDescent="0.25">
      <c r="A663" s="47" t="s">
        <v>697</v>
      </c>
      <c r="B663" s="46" t="str">
        <f>IFERROR(VLOOKUP($A663,Equipos!$C$2:$M$967,2,FALSE()),"")</f>
        <v>Monitor Multiparámetros</v>
      </c>
      <c r="C663" s="46" t="str">
        <f>IFERROR(VLOOKUP($A663,Equipos!$C$2:$M$967,9,FALSE()),"")</f>
        <v>0100657</v>
      </c>
      <c r="D663" s="46" t="str">
        <f>IFERROR(VLOOKUP($A663,Equipos!$C$2:$M$967,3,FALSE()),"")</f>
        <v>Neonatología</v>
      </c>
      <c r="E663" s="46" t="str">
        <f>IFERROR(VLOOKUP($A663,Equipos!$C$2:$M$967,7,FALSE()),"")</f>
        <v xml:space="preserve">Nihon Kohden </v>
      </c>
      <c r="F663" s="46" t="str">
        <f>IFERROR(VLOOKUP($A663,Equipos!$C$2:$M$967,8,FALSE()),"")</f>
        <v>PVM-2701K</v>
      </c>
      <c r="G663" s="46" t="s">
        <v>335</v>
      </c>
      <c r="H663" s="46"/>
      <c r="I663" s="46"/>
      <c r="J663" s="46" t="s">
        <v>323</v>
      </c>
      <c r="K663" s="46" t="str">
        <f>IFERROR(VLOOKUP($J663,Catálogos!$M$4:$N$17,2,FALSE()),"")</f>
        <v>Reprogramada · No disponibilidad de horas hombre del funcionario SEC por alta carga laboral</v>
      </c>
      <c r="L663" s="46"/>
      <c r="M663" s="46"/>
      <c r="N663" s="46"/>
      <c r="O663" s="46"/>
      <c r="P663" s="46"/>
      <c r="Q663" s="46"/>
    </row>
    <row r="664" spans="1:17" hidden="1" x14ac:dyDescent="0.25">
      <c r="A664" s="47" t="s">
        <v>697</v>
      </c>
      <c r="B664" s="46" t="str">
        <f>IFERROR(VLOOKUP($A664,Equipos!$C$2:$M$967,2,FALSE()),"")</f>
        <v>Monitor Multiparámetros</v>
      </c>
      <c r="C664" s="46" t="str">
        <f>IFERROR(VLOOKUP($A664,Equipos!$C$2:$M$967,9,FALSE()),"")</f>
        <v>0100657</v>
      </c>
      <c r="D664" s="46" t="str">
        <f>IFERROR(VLOOKUP($A664,Equipos!$C$2:$M$967,3,FALSE()),"")</f>
        <v>Neonatología</v>
      </c>
      <c r="E664" s="46" t="str">
        <f>IFERROR(VLOOKUP($A664,Equipos!$C$2:$M$967,7,FALSE()),"")</f>
        <v xml:space="preserve">Nihon Kohden </v>
      </c>
      <c r="F664" s="46" t="str">
        <f>IFERROR(VLOOKUP($A664,Equipos!$C$2:$M$967,8,FALSE()),"")</f>
        <v>PVM-2701K</v>
      </c>
      <c r="G664" s="46" t="s">
        <v>296</v>
      </c>
      <c r="H664" s="46"/>
      <c r="I664" s="46"/>
      <c r="J664" s="46" t="s">
        <v>297</v>
      </c>
      <c r="K664" s="46" t="str">
        <f>IFERROR(VLOOKUP($J664,Catálogos!$M$4:$N$17,2,FALSE()),"")</f>
        <v>Mantención Preventiva Realizada</v>
      </c>
      <c r="L664" s="46"/>
      <c r="M664" s="46"/>
      <c r="N664" s="46"/>
      <c r="O664" s="46"/>
      <c r="P664" s="46"/>
      <c r="Q664" s="46"/>
    </row>
    <row r="665" spans="1:17" hidden="1" x14ac:dyDescent="0.25">
      <c r="A665" s="47" t="s">
        <v>698</v>
      </c>
      <c r="B665" s="46" t="str">
        <f>IFERROR(VLOOKUP($A665,Equipos!$C$2:$M$967,2,FALSE()),"")</f>
        <v>Monitor Multiparámetros</v>
      </c>
      <c r="C665" s="46" t="str">
        <f>IFERROR(VLOOKUP($A665,Equipos!$C$2:$M$967,9,FALSE()),"")</f>
        <v>5514422672</v>
      </c>
      <c r="D665" s="46" t="str">
        <f>IFERROR(VLOOKUP($A665,Equipos!$C$2:$M$967,3,FALSE()),"")</f>
        <v>Pediatría</v>
      </c>
      <c r="E665" s="46" t="str">
        <f>IFERROR(VLOOKUP($A665,Equipos!$C$2:$M$967,7,FALSE()),"")</f>
        <v xml:space="preserve">Drager </v>
      </c>
      <c r="F665" s="46" t="str">
        <f>IFERROR(VLOOKUP($A665,Equipos!$C$2:$M$967,8,FALSE()),"")</f>
        <v xml:space="preserve">Infinity Vista </v>
      </c>
      <c r="G665" s="46" t="s">
        <v>335</v>
      </c>
      <c r="H665" s="46"/>
      <c r="I665" s="46"/>
      <c r="J665" s="46" t="s">
        <v>323</v>
      </c>
      <c r="K665" s="46" t="str">
        <f>IFERROR(VLOOKUP($J665,Catálogos!$M$4:$N$17,2,FALSE()),"")</f>
        <v>Reprogramada · No disponibilidad de horas hombre del funcionario SEC por alta carga laboral</v>
      </c>
      <c r="L665" s="46"/>
      <c r="M665" s="46"/>
      <c r="N665" s="46"/>
      <c r="O665" s="46"/>
      <c r="P665" s="46"/>
      <c r="Q665" s="46"/>
    </row>
    <row r="666" spans="1:17" hidden="1" x14ac:dyDescent="0.25">
      <c r="A666" s="47" t="s">
        <v>698</v>
      </c>
      <c r="B666" s="46" t="str">
        <f>IFERROR(VLOOKUP($A666,Equipos!$C$2:$M$967,2,FALSE()),"")</f>
        <v>Monitor Multiparámetros</v>
      </c>
      <c r="C666" s="46" t="str">
        <f>IFERROR(VLOOKUP($A666,Equipos!$C$2:$M$967,9,FALSE()),"")</f>
        <v>5514422672</v>
      </c>
      <c r="D666" s="46" t="str">
        <f>IFERROR(VLOOKUP($A666,Equipos!$C$2:$M$967,3,FALSE()),"")</f>
        <v>Pediatría</v>
      </c>
      <c r="E666" s="46" t="str">
        <f>IFERROR(VLOOKUP($A666,Equipos!$C$2:$M$967,7,FALSE()),"")</f>
        <v xml:space="preserve">Drager </v>
      </c>
      <c r="F666" s="46" t="str">
        <f>IFERROR(VLOOKUP($A666,Equipos!$C$2:$M$967,8,FALSE()),"")</f>
        <v xml:space="preserve">Infinity Vista </v>
      </c>
      <c r="G666" s="46" t="s">
        <v>296</v>
      </c>
      <c r="H666" s="46"/>
      <c r="I666" s="46"/>
      <c r="J666" s="46" t="s">
        <v>297</v>
      </c>
      <c r="K666" s="46" t="str">
        <f>IFERROR(VLOOKUP($J666,Catálogos!$M$4:$N$17,2,FALSE()),"")</f>
        <v>Mantención Preventiva Realizada</v>
      </c>
      <c r="L666" s="46"/>
      <c r="M666" s="46"/>
      <c r="N666" s="46"/>
      <c r="O666" s="46"/>
      <c r="P666" s="46"/>
      <c r="Q666" s="46"/>
    </row>
    <row r="667" spans="1:17" hidden="1" x14ac:dyDescent="0.25">
      <c r="A667" s="47" t="s">
        <v>699</v>
      </c>
      <c r="B667" s="46" t="str">
        <f>IFERROR(VLOOKUP($A667,Equipos!$C$2:$M$967,2,FALSE()),"")</f>
        <v>Monitor Multiparámetros</v>
      </c>
      <c r="C667" s="46" t="str">
        <f>IFERROR(VLOOKUP($A667,Equipos!$C$2:$M$967,9,FALSE()),"")</f>
        <v>01037</v>
      </c>
      <c r="D667" s="46" t="str">
        <f>IFERROR(VLOOKUP($A667,Equipos!$C$2:$M$967,3,FALSE()),"")</f>
        <v>Neonatología</v>
      </c>
      <c r="E667" s="46" t="str">
        <f>IFERROR(VLOOKUP($A667,Equipos!$C$2:$M$967,7,FALSE()),"")</f>
        <v xml:space="preserve">Nihon Kohden </v>
      </c>
      <c r="F667" s="46" t="str">
        <f>IFERROR(VLOOKUP($A667,Equipos!$C$2:$M$967,8,FALSE()),"")</f>
        <v>BSM-6301K</v>
      </c>
      <c r="G667" s="46" t="s">
        <v>335</v>
      </c>
      <c r="H667" s="46"/>
      <c r="I667" s="46"/>
      <c r="J667" s="46" t="s">
        <v>323</v>
      </c>
      <c r="K667" s="46" t="str">
        <f>IFERROR(VLOOKUP($J667,Catálogos!$M$4:$N$17,2,FALSE()),"")</f>
        <v>Reprogramada · No disponibilidad de horas hombre del funcionario SEC por alta carga laboral</v>
      </c>
      <c r="L667" s="46"/>
      <c r="M667" s="46"/>
      <c r="N667" s="46"/>
      <c r="O667" s="46"/>
      <c r="P667" s="46"/>
      <c r="Q667" s="46"/>
    </row>
    <row r="668" spans="1:17" hidden="1" x14ac:dyDescent="0.25">
      <c r="A668" s="47" t="s">
        <v>699</v>
      </c>
      <c r="B668" s="46" t="str">
        <f>IFERROR(VLOOKUP($A668,Equipos!$C$2:$M$967,2,FALSE()),"")</f>
        <v>Monitor Multiparámetros</v>
      </c>
      <c r="C668" s="46" t="str">
        <f>IFERROR(VLOOKUP($A668,Equipos!$C$2:$M$967,9,FALSE()),"")</f>
        <v>01037</v>
      </c>
      <c r="D668" s="46" t="str">
        <f>IFERROR(VLOOKUP($A668,Equipos!$C$2:$M$967,3,FALSE()),"")</f>
        <v>Neonatología</v>
      </c>
      <c r="E668" s="46" t="str">
        <f>IFERROR(VLOOKUP($A668,Equipos!$C$2:$M$967,7,FALSE()),"")</f>
        <v xml:space="preserve">Nihon Kohden </v>
      </c>
      <c r="F668" s="46" t="str">
        <f>IFERROR(VLOOKUP($A668,Equipos!$C$2:$M$967,8,FALSE()),"")</f>
        <v>BSM-6301K</v>
      </c>
      <c r="G668" s="46" t="s">
        <v>296</v>
      </c>
      <c r="H668" s="46"/>
      <c r="I668" s="46"/>
      <c r="J668" s="46" t="s">
        <v>297</v>
      </c>
      <c r="K668" s="46" t="str">
        <f>IFERROR(VLOOKUP($J668,Catálogos!$M$4:$N$17,2,FALSE()),"")</f>
        <v>Mantención Preventiva Realizada</v>
      </c>
      <c r="L668" s="46"/>
      <c r="M668" s="46"/>
      <c r="N668" s="46"/>
      <c r="O668" s="46"/>
      <c r="P668" s="46"/>
      <c r="Q668" s="46"/>
    </row>
    <row r="669" spans="1:17" hidden="1" x14ac:dyDescent="0.25">
      <c r="A669" s="47" t="s">
        <v>700</v>
      </c>
      <c r="B669" s="46" t="str">
        <f>IFERROR(VLOOKUP($A669,Equipos!$C$2:$M$967,2,FALSE()),"")</f>
        <v>Monitor Multiparámetros</v>
      </c>
      <c r="C669" s="46" t="str">
        <f>IFERROR(VLOOKUP($A669,Equipos!$C$2:$M$967,9,FALSE()),"")</f>
        <v>5516414472</v>
      </c>
      <c r="D669" s="46" t="str">
        <f>IFERROR(VLOOKUP($A669,Equipos!$C$2:$M$967,3,FALSE()),"")</f>
        <v>Pediatría</v>
      </c>
      <c r="E669" s="46" t="str">
        <f>IFERROR(VLOOKUP($A669,Equipos!$C$2:$M$967,7,FALSE()),"")</f>
        <v xml:space="preserve">Drager </v>
      </c>
      <c r="F669" s="46" t="str">
        <f>IFERROR(VLOOKUP($A669,Equipos!$C$2:$M$967,8,FALSE()),"")</f>
        <v xml:space="preserve">Infinity Vista </v>
      </c>
      <c r="G669" s="46" t="s">
        <v>335</v>
      </c>
      <c r="H669" s="46"/>
      <c r="I669" s="46"/>
      <c r="J669" s="46" t="s">
        <v>323</v>
      </c>
      <c r="K669" s="46" t="str">
        <f>IFERROR(VLOOKUP($J669,Catálogos!$M$4:$N$17,2,FALSE()),"")</f>
        <v>Reprogramada · No disponibilidad de horas hombre del funcionario SEC por alta carga laboral</v>
      </c>
      <c r="L669" s="46"/>
      <c r="M669" s="46"/>
      <c r="N669" s="46"/>
      <c r="O669" s="46"/>
      <c r="P669" s="46"/>
      <c r="Q669" s="46"/>
    </row>
    <row r="670" spans="1:17" hidden="1" x14ac:dyDescent="0.25">
      <c r="A670" s="47" t="s">
        <v>700</v>
      </c>
      <c r="B670" s="46" t="str">
        <f>IFERROR(VLOOKUP($A670,Equipos!$C$2:$M$967,2,FALSE()),"")</f>
        <v>Monitor Multiparámetros</v>
      </c>
      <c r="C670" s="46" t="str">
        <f>IFERROR(VLOOKUP($A670,Equipos!$C$2:$M$967,9,FALSE()),"")</f>
        <v>5516414472</v>
      </c>
      <c r="D670" s="46" t="str">
        <f>IFERROR(VLOOKUP($A670,Equipos!$C$2:$M$967,3,FALSE()),"")</f>
        <v>Pediatría</v>
      </c>
      <c r="E670" s="46" t="str">
        <f>IFERROR(VLOOKUP($A670,Equipos!$C$2:$M$967,7,FALSE()),"")</f>
        <v xml:space="preserve">Drager </v>
      </c>
      <c r="F670" s="46" t="str">
        <f>IFERROR(VLOOKUP($A670,Equipos!$C$2:$M$967,8,FALSE()),"")</f>
        <v xml:space="preserve">Infinity Vista </v>
      </c>
      <c r="G670" s="46" t="s">
        <v>296</v>
      </c>
      <c r="H670" s="46"/>
      <c r="I670" s="46"/>
      <c r="J670" s="46" t="s">
        <v>297</v>
      </c>
      <c r="K670" s="46" t="str">
        <f>IFERROR(VLOOKUP($J670,Catálogos!$M$4:$N$17,2,FALSE()),"")</f>
        <v>Mantención Preventiva Realizada</v>
      </c>
      <c r="L670" s="46"/>
      <c r="M670" s="46"/>
      <c r="N670" s="46"/>
      <c r="O670" s="46"/>
      <c r="P670" s="46"/>
      <c r="Q670" s="46"/>
    </row>
    <row r="671" spans="1:17" hidden="1" x14ac:dyDescent="0.25">
      <c r="A671" s="47" t="s">
        <v>701</v>
      </c>
      <c r="B671" s="46" t="str">
        <f>IFERROR(VLOOKUP($A671,Equipos!$C$2:$M$967,2,FALSE()),"")</f>
        <v>Monitor Multiparámetros</v>
      </c>
      <c r="C671" s="46" t="str">
        <f>IFERROR(VLOOKUP($A671,Equipos!$C$2:$M$967,9,FALSE()),"")</f>
        <v>0100649</v>
      </c>
      <c r="D671" s="46" t="str">
        <f>IFERROR(VLOOKUP($A671,Equipos!$C$2:$M$967,3,FALSE()),"")</f>
        <v>Pediatría</v>
      </c>
      <c r="E671" s="46" t="str">
        <f>IFERROR(VLOOKUP($A671,Equipos!$C$2:$M$967,7,FALSE()),"")</f>
        <v xml:space="preserve">Nihon Kohden </v>
      </c>
      <c r="F671" s="46" t="str">
        <f>IFERROR(VLOOKUP($A671,Equipos!$C$2:$M$967,8,FALSE()),"")</f>
        <v>PVM-2701K</v>
      </c>
      <c r="G671" s="46" t="s">
        <v>335</v>
      </c>
      <c r="H671" s="46"/>
      <c r="I671" s="46"/>
      <c r="J671" s="46" t="s">
        <v>323</v>
      </c>
      <c r="K671" s="46" t="str">
        <f>IFERROR(VLOOKUP($J671,Catálogos!$M$4:$N$17,2,FALSE()),"")</f>
        <v>Reprogramada · No disponibilidad de horas hombre del funcionario SEC por alta carga laboral</v>
      </c>
      <c r="L671" s="46"/>
      <c r="M671" s="46"/>
      <c r="N671" s="46"/>
      <c r="O671" s="46"/>
      <c r="P671" s="46"/>
      <c r="Q671" s="46"/>
    </row>
    <row r="672" spans="1:17" hidden="1" x14ac:dyDescent="0.25">
      <c r="A672" s="47" t="s">
        <v>701</v>
      </c>
      <c r="B672" s="46" t="str">
        <f>IFERROR(VLOOKUP($A672,Equipos!$C$2:$M$967,2,FALSE()),"")</f>
        <v>Monitor Multiparámetros</v>
      </c>
      <c r="C672" s="46" t="str">
        <f>IFERROR(VLOOKUP($A672,Equipos!$C$2:$M$967,9,FALSE()),"")</f>
        <v>0100649</v>
      </c>
      <c r="D672" s="46" t="str">
        <f>IFERROR(VLOOKUP($A672,Equipos!$C$2:$M$967,3,FALSE()),"")</f>
        <v>Pediatría</v>
      </c>
      <c r="E672" s="46" t="str">
        <f>IFERROR(VLOOKUP($A672,Equipos!$C$2:$M$967,7,FALSE()),"")</f>
        <v xml:space="preserve">Nihon Kohden </v>
      </c>
      <c r="F672" s="46" t="str">
        <f>IFERROR(VLOOKUP($A672,Equipos!$C$2:$M$967,8,FALSE()),"")</f>
        <v>PVM-2701K</v>
      </c>
      <c r="G672" s="46" t="s">
        <v>296</v>
      </c>
      <c r="H672" s="46"/>
      <c r="I672" s="46"/>
      <c r="J672" s="46" t="s">
        <v>297</v>
      </c>
      <c r="K672" s="46" t="str">
        <f>IFERROR(VLOOKUP($J672,Catálogos!$M$4:$N$17,2,FALSE()),"")</f>
        <v>Mantención Preventiva Realizada</v>
      </c>
      <c r="L672" s="46"/>
      <c r="M672" s="46"/>
      <c r="N672" s="46"/>
      <c r="O672" s="46"/>
      <c r="P672" s="46"/>
      <c r="Q672" s="46"/>
    </row>
    <row r="673" spans="1:17" hidden="1" x14ac:dyDescent="0.25">
      <c r="A673" s="47" t="s">
        <v>702</v>
      </c>
      <c r="B673" s="46" t="str">
        <f>IFERROR(VLOOKUP($A673,Equipos!$C$2:$M$967,2,FALSE()),"")</f>
        <v>Monitor Multiparámetros</v>
      </c>
      <c r="C673" s="46" t="str">
        <f>IFERROR(VLOOKUP($A673,Equipos!$C$2:$M$967,9,FALSE()),"")</f>
        <v>0100640</v>
      </c>
      <c r="D673" s="46" t="str">
        <f>IFERROR(VLOOKUP($A673,Equipos!$C$2:$M$967,3,FALSE()),"")</f>
        <v>Pediatría</v>
      </c>
      <c r="E673" s="46" t="str">
        <f>IFERROR(VLOOKUP($A673,Equipos!$C$2:$M$967,7,FALSE()),"")</f>
        <v xml:space="preserve">Nihon Kohden </v>
      </c>
      <c r="F673" s="46" t="str">
        <f>IFERROR(VLOOKUP($A673,Equipos!$C$2:$M$967,8,FALSE()),"")</f>
        <v>PVM-2701K</v>
      </c>
      <c r="G673" s="46" t="s">
        <v>335</v>
      </c>
      <c r="H673" s="46"/>
      <c r="I673" s="46"/>
      <c r="J673" s="46" t="s">
        <v>323</v>
      </c>
      <c r="K673" s="46" t="str">
        <f>IFERROR(VLOOKUP($J673,Catálogos!$M$4:$N$17,2,FALSE()),"")</f>
        <v>Reprogramada · No disponibilidad de horas hombre del funcionario SEC por alta carga laboral</v>
      </c>
      <c r="L673" s="46"/>
      <c r="M673" s="46"/>
      <c r="N673" s="46"/>
      <c r="O673" s="46"/>
      <c r="P673" s="46"/>
      <c r="Q673" s="46"/>
    </row>
    <row r="674" spans="1:17" hidden="1" x14ac:dyDescent="0.25">
      <c r="A674" s="47" t="s">
        <v>702</v>
      </c>
      <c r="B674" s="46" t="str">
        <f>IFERROR(VLOOKUP($A674,Equipos!$C$2:$M$967,2,FALSE()),"")</f>
        <v>Monitor Multiparámetros</v>
      </c>
      <c r="C674" s="46" t="str">
        <f>IFERROR(VLOOKUP($A674,Equipos!$C$2:$M$967,9,FALSE()),"")</f>
        <v>0100640</v>
      </c>
      <c r="D674" s="46" t="str">
        <f>IFERROR(VLOOKUP($A674,Equipos!$C$2:$M$967,3,FALSE()),"")</f>
        <v>Pediatría</v>
      </c>
      <c r="E674" s="46" t="str">
        <f>IFERROR(VLOOKUP($A674,Equipos!$C$2:$M$967,7,FALSE()),"")</f>
        <v xml:space="preserve">Nihon Kohden </v>
      </c>
      <c r="F674" s="46" t="str">
        <f>IFERROR(VLOOKUP($A674,Equipos!$C$2:$M$967,8,FALSE()),"")</f>
        <v>PVM-2701K</v>
      </c>
      <c r="G674" s="46" t="s">
        <v>296</v>
      </c>
      <c r="H674" s="46"/>
      <c r="I674" s="46"/>
      <c r="J674" s="46" t="s">
        <v>297</v>
      </c>
      <c r="K674" s="46" t="str">
        <f>IFERROR(VLOOKUP($J674,Catálogos!$M$4:$N$17,2,FALSE()),"")</f>
        <v>Mantención Preventiva Realizada</v>
      </c>
      <c r="L674" s="46"/>
      <c r="M674" s="46"/>
      <c r="N674" s="46"/>
      <c r="O674" s="46"/>
      <c r="P674" s="46"/>
      <c r="Q674" s="46"/>
    </row>
    <row r="675" spans="1:17" hidden="1" x14ac:dyDescent="0.25">
      <c r="A675" s="47" t="s">
        <v>703</v>
      </c>
      <c r="B675" s="46" t="str">
        <f>IFERROR(VLOOKUP($A675,Equipos!$C$2:$M$967,2,FALSE()),"")</f>
        <v>Monitor Multiparámetros</v>
      </c>
      <c r="C675" s="46" t="str">
        <f>IFERROR(VLOOKUP($A675,Equipos!$C$2:$M$967,9,FALSE()),"")</f>
        <v>5494782651</v>
      </c>
      <c r="D675" s="46" t="str">
        <f>IFERROR(VLOOKUP($A675,Equipos!$C$2:$M$967,3,FALSE()),"")</f>
        <v>Pabellón Quirúrgico</v>
      </c>
      <c r="E675" s="46" t="str">
        <f>IFERROR(VLOOKUP($A675,Equipos!$C$2:$M$967,7,FALSE()),"")</f>
        <v xml:space="preserve">Drager </v>
      </c>
      <c r="F675" s="46" t="str">
        <f>IFERROR(VLOOKUP($A675,Equipos!$C$2:$M$967,8,FALSE()),"")</f>
        <v>Infinity Kappa</v>
      </c>
      <c r="G675" s="46" t="s">
        <v>331</v>
      </c>
      <c r="H675" s="46"/>
      <c r="I675" s="46"/>
      <c r="J675" s="46" t="s">
        <v>297</v>
      </c>
      <c r="K675" s="46" t="str">
        <f>IFERROR(VLOOKUP($J675,Catálogos!$M$4:$N$17,2,FALSE()),"")</f>
        <v>Mantención Preventiva Realizada</v>
      </c>
      <c r="L675" s="46"/>
      <c r="M675" s="46"/>
      <c r="N675" s="46"/>
      <c r="O675" s="46"/>
      <c r="P675" s="46"/>
      <c r="Q675" s="46"/>
    </row>
    <row r="676" spans="1:17" hidden="1" x14ac:dyDescent="0.25">
      <c r="A676" s="47" t="s">
        <v>704</v>
      </c>
      <c r="B676" s="46" t="str">
        <f>IFERROR(VLOOKUP($A676,Equipos!$C$2:$M$967,2,FALSE()),"")</f>
        <v>Monitor Multiparámetros</v>
      </c>
      <c r="C676" s="46" t="str">
        <f>IFERROR(VLOOKUP($A676,Equipos!$C$2:$M$967,9,FALSE()),"")</f>
        <v>01035.</v>
      </c>
      <c r="D676" s="46" t="str">
        <f>IFERROR(VLOOKUP($A676,Equipos!$C$2:$M$967,3,FALSE()),"")</f>
        <v>Traumatología</v>
      </c>
      <c r="E676" s="46" t="str">
        <f>IFERROR(VLOOKUP($A676,Equipos!$C$2:$M$967,7,FALSE()),"")</f>
        <v xml:space="preserve">Nihon Kohden </v>
      </c>
      <c r="F676" s="46" t="str">
        <f>IFERROR(VLOOKUP($A676,Equipos!$C$2:$M$967,8,FALSE()),"")</f>
        <v>BSM-6301K</v>
      </c>
      <c r="G676" s="46" t="s">
        <v>316</v>
      </c>
      <c r="H676" s="46"/>
      <c r="I676" s="46"/>
      <c r="J676" s="46" t="s">
        <v>323</v>
      </c>
      <c r="K676" s="46" t="str">
        <f>IFERROR(VLOOKUP($J676,Catálogos!$M$4:$N$17,2,FALSE()),"")</f>
        <v>Reprogramada · No disponibilidad de horas hombre del funcionario SEC por alta carga laboral</v>
      </c>
      <c r="L676" s="46"/>
      <c r="M676" s="46"/>
      <c r="N676" s="46"/>
      <c r="O676" s="46"/>
      <c r="P676" s="46"/>
      <c r="Q676" s="46"/>
    </row>
    <row r="677" spans="1:17" hidden="1" x14ac:dyDescent="0.25">
      <c r="A677" s="47" t="s">
        <v>704</v>
      </c>
      <c r="B677" s="46" t="str">
        <f>IFERROR(VLOOKUP($A677,Equipos!$C$2:$M$967,2,FALSE()),"")</f>
        <v>Monitor Multiparámetros</v>
      </c>
      <c r="C677" s="46" t="str">
        <f>IFERROR(VLOOKUP($A677,Equipos!$C$2:$M$967,9,FALSE()),"")</f>
        <v>01035.</v>
      </c>
      <c r="D677" s="46" t="str">
        <f>IFERROR(VLOOKUP($A677,Equipos!$C$2:$M$967,3,FALSE()),"")</f>
        <v>Traumatología</v>
      </c>
      <c r="E677" s="46" t="str">
        <f>IFERROR(VLOOKUP($A677,Equipos!$C$2:$M$967,7,FALSE()),"")</f>
        <v xml:space="preserve">Nihon Kohden </v>
      </c>
      <c r="F677" s="46" t="str">
        <f>IFERROR(VLOOKUP($A677,Equipos!$C$2:$M$967,8,FALSE()),"")</f>
        <v>BSM-6301K</v>
      </c>
      <c r="G677" s="46" t="s">
        <v>331</v>
      </c>
      <c r="H677" s="46"/>
      <c r="I677" s="46"/>
      <c r="J677" s="46" t="s">
        <v>297</v>
      </c>
      <c r="K677" s="46" t="str">
        <f>IFERROR(VLOOKUP($J677,Catálogos!$M$4:$N$17,2,FALSE()),"")</f>
        <v>Mantención Preventiva Realizada</v>
      </c>
      <c r="L677" s="46"/>
      <c r="M677" s="46"/>
      <c r="N677" s="46"/>
      <c r="O677" s="46"/>
      <c r="P677" s="46"/>
      <c r="Q677" s="46"/>
    </row>
    <row r="678" spans="1:17" hidden="1" x14ac:dyDescent="0.25">
      <c r="A678" s="47" t="s">
        <v>705</v>
      </c>
      <c r="B678" s="46" t="str">
        <f>IFERROR(VLOOKUP($A678,Equipos!$C$2:$M$967,2,FALSE()),"")</f>
        <v>Monitor Multiparámetros</v>
      </c>
      <c r="C678" s="46" t="str">
        <f>IFERROR(VLOOKUP($A678,Equipos!$C$2:$M$967,9,FALSE()),"")</f>
        <v>01036.</v>
      </c>
      <c r="D678" s="46" t="str">
        <f>IFERROR(VLOOKUP($A678,Equipos!$C$2:$M$967,3,FALSE()),"")</f>
        <v>Traumatología</v>
      </c>
      <c r="E678" s="46" t="str">
        <f>IFERROR(VLOOKUP($A678,Equipos!$C$2:$M$967,7,FALSE()),"")</f>
        <v xml:space="preserve">Nihon Kohden </v>
      </c>
      <c r="F678" s="46" t="str">
        <f>IFERROR(VLOOKUP($A678,Equipos!$C$2:$M$967,8,FALSE()),"")</f>
        <v>BSM-6301K</v>
      </c>
      <c r="G678" s="46" t="s">
        <v>316</v>
      </c>
      <c r="H678" s="46"/>
      <c r="I678" s="46"/>
      <c r="J678" s="46" t="s">
        <v>323</v>
      </c>
      <c r="K678" s="46" t="str">
        <f>IFERROR(VLOOKUP($J678,Catálogos!$M$4:$N$17,2,FALSE()),"")</f>
        <v>Reprogramada · No disponibilidad de horas hombre del funcionario SEC por alta carga laboral</v>
      </c>
      <c r="L678" s="46"/>
      <c r="M678" s="46"/>
      <c r="N678" s="46"/>
      <c r="O678" s="46"/>
      <c r="P678" s="46"/>
      <c r="Q678" s="46"/>
    </row>
    <row r="679" spans="1:17" hidden="1" x14ac:dyDescent="0.25">
      <c r="A679" s="47" t="s">
        <v>705</v>
      </c>
      <c r="B679" s="46" t="str">
        <f>IFERROR(VLOOKUP($A679,Equipos!$C$2:$M$967,2,FALSE()),"")</f>
        <v>Monitor Multiparámetros</v>
      </c>
      <c r="C679" s="46" t="str">
        <f>IFERROR(VLOOKUP($A679,Equipos!$C$2:$M$967,9,FALSE()),"")</f>
        <v>01036.</v>
      </c>
      <c r="D679" s="46" t="str">
        <f>IFERROR(VLOOKUP($A679,Equipos!$C$2:$M$967,3,FALSE()),"")</f>
        <v>Traumatología</v>
      </c>
      <c r="E679" s="46" t="str">
        <f>IFERROR(VLOOKUP($A679,Equipos!$C$2:$M$967,7,FALSE()),"")</f>
        <v xml:space="preserve">Nihon Kohden </v>
      </c>
      <c r="F679" s="46" t="str">
        <f>IFERROR(VLOOKUP($A679,Equipos!$C$2:$M$967,8,FALSE()),"")</f>
        <v>BSM-6301K</v>
      </c>
      <c r="G679" s="46" t="s">
        <v>331</v>
      </c>
      <c r="H679" s="46"/>
      <c r="I679" s="46"/>
      <c r="J679" s="46" t="s">
        <v>297</v>
      </c>
      <c r="K679" s="46" t="str">
        <f>IFERROR(VLOOKUP($J679,Catálogos!$M$4:$N$17,2,FALSE()),"")</f>
        <v>Mantención Preventiva Realizada</v>
      </c>
      <c r="L679" s="46"/>
      <c r="M679" s="46"/>
      <c r="N679" s="46"/>
      <c r="O679" s="46"/>
      <c r="P679" s="46"/>
      <c r="Q679" s="46"/>
    </row>
    <row r="680" spans="1:17" hidden="1" x14ac:dyDescent="0.25">
      <c r="A680" s="47" t="s">
        <v>706</v>
      </c>
      <c r="B680" s="46" t="str">
        <f>IFERROR(VLOOKUP($A680,Equipos!$C$2:$M$967,2,FALSE()),"")</f>
        <v>Monitor Multiparámetros</v>
      </c>
      <c r="C680" s="46" t="str">
        <f>IFERROR(VLOOKUP($A680,Equipos!$C$2:$M$967,9,FALSE()),"")</f>
        <v>01039</v>
      </c>
      <c r="D680" s="46" t="str">
        <f>IFERROR(VLOOKUP($A680,Equipos!$C$2:$M$967,3,FALSE()),"")</f>
        <v>Hemato Oncología Adulto</v>
      </c>
      <c r="E680" s="46" t="str">
        <f>IFERROR(VLOOKUP($A680,Equipos!$C$2:$M$967,7,FALSE()),"")</f>
        <v xml:space="preserve">Nihon Kohden </v>
      </c>
      <c r="F680" s="46" t="str">
        <f>IFERROR(VLOOKUP($A680,Equipos!$C$2:$M$967,8,FALSE()),"")</f>
        <v>BSM-6301K</v>
      </c>
      <c r="G680" s="46" t="s">
        <v>316</v>
      </c>
      <c r="H680" s="46"/>
      <c r="I680" s="46"/>
      <c r="J680" s="46" t="s">
        <v>323</v>
      </c>
      <c r="K680" s="46" t="str">
        <f>IFERROR(VLOOKUP($J680,Catálogos!$M$4:$N$17,2,FALSE()),"")</f>
        <v>Reprogramada · No disponibilidad de horas hombre del funcionario SEC por alta carga laboral</v>
      </c>
      <c r="L680" s="46"/>
      <c r="M680" s="46"/>
      <c r="N680" s="46"/>
      <c r="O680" s="46"/>
      <c r="P680" s="46"/>
      <c r="Q680" s="46"/>
    </row>
    <row r="681" spans="1:17" hidden="1" x14ac:dyDescent="0.25">
      <c r="A681" s="47" t="s">
        <v>706</v>
      </c>
      <c r="B681" s="46" t="str">
        <f>IFERROR(VLOOKUP($A681,Equipos!$C$2:$M$967,2,FALSE()),"")</f>
        <v>Monitor Multiparámetros</v>
      </c>
      <c r="C681" s="46" t="str">
        <f>IFERROR(VLOOKUP($A681,Equipos!$C$2:$M$967,9,FALSE()),"")</f>
        <v>01039</v>
      </c>
      <c r="D681" s="46" t="str">
        <f>IFERROR(VLOOKUP($A681,Equipos!$C$2:$M$967,3,FALSE()),"")</f>
        <v>Hemato Oncología Adulto</v>
      </c>
      <c r="E681" s="46" t="str">
        <f>IFERROR(VLOOKUP($A681,Equipos!$C$2:$M$967,7,FALSE()),"")</f>
        <v xml:space="preserve">Nihon Kohden </v>
      </c>
      <c r="F681" s="46" t="str">
        <f>IFERROR(VLOOKUP($A681,Equipos!$C$2:$M$967,8,FALSE()),"")</f>
        <v>BSM-6301K</v>
      </c>
      <c r="G681" s="46" t="s">
        <v>331</v>
      </c>
      <c r="H681" s="46"/>
      <c r="I681" s="46"/>
      <c r="J681" s="46" t="s">
        <v>297</v>
      </c>
      <c r="K681" s="46" t="str">
        <f>IFERROR(VLOOKUP($J681,Catálogos!$M$4:$N$17,2,FALSE()),"")</f>
        <v>Mantención Preventiva Realizada</v>
      </c>
      <c r="L681" s="46"/>
      <c r="M681" s="46"/>
      <c r="N681" s="46"/>
      <c r="O681" s="46"/>
      <c r="P681" s="46"/>
      <c r="Q681" s="46"/>
    </row>
    <row r="682" spans="1:17" hidden="1" x14ac:dyDescent="0.25">
      <c r="A682" s="47" t="s">
        <v>707</v>
      </c>
      <c r="B682" s="46" t="str">
        <f>IFERROR(VLOOKUP($A682,Equipos!$C$2:$M$967,2,FALSE()),"")</f>
        <v>Monitor Multiparámetros</v>
      </c>
      <c r="C682" s="46" t="str">
        <f>IFERROR(VLOOKUP($A682,Equipos!$C$2:$M$967,9,FALSE()),"")</f>
        <v>212726171</v>
      </c>
      <c r="D682" s="46" t="str">
        <f>IFERROR(VLOOKUP($A682,Equipos!$C$2:$M$967,3,FALSE()),"")</f>
        <v>Hemato Oncología Adulto</v>
      </c>
      <c r="E682" s="46" t="str">
        <f>IFERROR(VLOOKUP($A682,Equipos!$C$2:$M$967,7,FALSE()),"")</f>
        <v xml:space="preserve">Criticare </v>
      </c>
      <c r="F682" s="46" t="str">
        <f>IFERROR(VLOOKUP($A682,Equipos!$C$2:$M$967,8,FALSE()),"")</f>
        <v>8100E-S</v>
      </c>
      <c r="G682" s="46" t="s">
        <v>316</v>
      </c>
      <c r="H682" s="46"/>
      <c r="I682" s="46"/>
      <c r="J682" s="46" t="s">
        <v>323</v>
      </c>
      <c r="K682" s="46" t="str">
        <f>IFERROR(VLOOKUP($J682,Catálogos!$M$4:$N$17,2,FALSE()),"")</f>
        <v>Reprogramada · No disponibilidad de horas hombre del funcionario SEC por alta carga laboral</v>
      </c>
      <c r="L682" s="46"/>
      <c r="M682" s="46"/>
      <c r="N682" s="46"/>
      <c r="O682" s="46"/>
      <c r="P682" s="46"/>
      <c r="Q682" s="46"/>
    </row>
    <row r="683" spans="1:17" hidden="1" x14ac:dyDescent="0.25">
      <c r="A683" s="47" t="s">
        <v>707</v>
      </c>
      <c r="B683" s="46" t="str">
        <f>IFERROR(VLOOKUP($A683,Equipos!$C$2:$M$967,2,FALSE()),"")</f>
        <v>Monitor Multiparámetros</v>
      </c>
      <c r="C683" s="46" t="str">
        <f>IFERROR(VLOOKUP($A683,Equipos!$C$2:$M$967,9,FALSE()),"")</f>
        <v>212726171</v>
      </c>
      <c r="D683" s="46" t="str">
        <f>IFERROR(VLOOKUP($A683,Equipos!$C$2:$M$967,3,FALSE()),"")</f>
        <v>Hemato Oncología Adulto</v>
      </c>
      <c r="E683" s="46" t="str">
        <f>IFERROR(VLOOKUP($A683,Equipos!$C$2:$M$967,7,FALSE()),"")</f>
        <v xml:space="preserve">Criticare </v>
      </c>
      <c r="F683" s="46" t="str">
        <f>IFERROR(VLOOKUP($A683,Equipos!$C$2:$M$967,8,FALSE()),"")</f>
        <v>8100E-S</v>
      </c>
      <c r="G683" s="46" t="s">
        <v>331</v>
      </c>
      <c r="H683" s="46"/>
      <c r="I683" s="46"/>
      <c r="J683" s="46" t="s">
        <v>297</v>
      </c>
      <c r="K683" s="46" t="str">
        <f>IFERROR(VLOOKUP($J683,Catálogos!$M$4:$N$17,2,FALSE()),"")</f>
        <v>Mantención Preventiva Realizada</v>
      </c>
      <c r="L683" s="46"/>
      <c r="M683" s="46"/>
      <c r="N683" s="46"/>
      <c r="O683" s="46"/>
      <c r="P683" s="46"/>
      <c r="Q683" s="46"/>
    </row>
    <row r="684" spans="1:17" hidden="1" x14ac:dyDescent="0.25">
      <c r="A684" s="47" t="s">
        <v>708</v>
      </c>
      <c r="B684" s="46" t="str">
        <f>IFERROR(VLOOKUP($A684,Equipos!$C$2:$M$967,2,FALSE()),"")</f>
        <v>Monitor Multiparámetros</v>
      </c>
      <c r="C684" s="46" t="str">
        <f>IFERROR(VLOOKUP($A684,Equipos!$C$2:$M$967,9,FALSE()),"")</f>
        <v>01074</v>
      </c>
      <c r="D684" s="46" t="str">
        <f>IFERROR(VLOOKUP($A684,Equipos!$C$2:$M$967,3,FALSE()),"")</f>
        <v>Hemato Oncología Adulto</v>
      </c>
      <c r="E684" s="46" t="str">
        <f>IFERROR(VLOOKUP($A684,Equipos!$C$2:$M$967,7,FALSE()),"")</f>
        <v xml:space="preserve">Nihon Kohden </v>
      </c>
      <c r="F684" s="46" t="str">
        <f>IFERROR(VLOOKUP($A684,Equipos!$C$2:$M$967,8,FALSE()),"")</f>
        <v>BSM-6301K</v>
      </c>
      <c r="G684" s="46" t="s">
        <v>316</v>
      </c>
      <c r="H684" s="46"/>
      <c r="I684" s="46"/>
      <c r="J684" s="46" t="s">
        <v>323</v>
      </c>
      <c r="K684" s="46" t="str">
        <f>IFERROR(VLOOKUP($J684,Catálogos!$M$4:$N$17,2,FALSE()),"")</f>
        <v>Reprogramada · No disponibilidad de horas hombre del funcionario SEC por alta carga laboral</v>
      </c>
      <c r="L684" s="46"/>
      <c r="M684" s="46"/>
      <c r="N684" s="46"/>
      <c r="O684" s="46"/>
      <c r="P684" s="46"/>
      <c r="Q684" s="46"/>
    </row>
    <row r="685" spans="1:17" hidden="1" x14ac:dyDescent="0.25">
      <c r="A685" s="47" t="s">
        <v>708</v>
      </c>
      <c r="B685" s="46" t="str">
        <f>IFERROR(VLOOKUP($A685,Equipos!$C$2:$M$967,2,FALSE()),"")</f>
        <v>Monitor Multiparámetros</v>
      </c>
      <c r="C685" s="46" t="str">
        <f>IFERROR(VLOOKUP($A685,Equipos!$C$2:$M$967,9,FALSE()),"")</f>
        <v>01074</v>
      </c>
      <c r="D685" s="46" t="str">
        <f>IFERROR(VLOOKUP($A685,Equipos!$C$2:$M$967,3,FALSE()),"")</f>
        <v>Hemato Oncología Adulto</v>
      </c>
      <c r="E685" s="46" t="str">
        <f>IFERROR(VLOOKUP($A685,Equipos!$C$2:$M$967,7,FALSE()),"")</f>
        <v xml:space="preserve">Nihon Kohden </v>
      </c>
      <c r="F685" s="46" t="str">
        <f>IFERROR(VLOOKUP($A685,Equipos!$C$2:$M$967,8,FALSE()),"")</f>
        <v>BSM-6301K</v>
      </c>
      <c r="G685" s="46" t="s">
        <v>331</v>
      </c>
      <c r="H685" s="46"/>
      <c r="I685" s="46"/>
      <c r="J685" s="46" t="s">
        <v>297</v>
      </c>
      <c r="K685" s="46" t="str">
        <f>IFERROR(VLOOKUP($J685,Catálogos!$M$4:$N$17,2,FALSE()),"")</f>
        <v>Mantención Preventiva Realizada</v>
      </c>
      <c r="L685" s="46"/>
      <c r="M685" s="46"/>
      <c r="N685" s="46"/>
      <c r="O685" s="46"/>
      <c r="P685" s="46"/>
      <c r="Q685" s="46"/>
    </row>
    <row r="686" spans="1:17" hidden="1" x14ac:dyDescent="0.25">
      <c r="A686" s="47" t="s">
        <v>709</v>
      </c>
      <c r="B686" s="46" t="str">
        <f>IFERROR(VLOOKUP($A686,Equipos!$C$2:$M$967,2,FALSE()),"")</f>
        <v>Monitor Multiparámetros</v>
      </c>
      <c r="C686" s="46" t="str">
        <f>IFERROR(VLOOKUP($A686,Equipos!$C$2:$M$967,9,FALSE()),"")</f>
        <v>01063</v>
      </c>
      <c r="D686" s="46" t="str">
        <f>IFERROR(VLOOKUP($A686,Equipos!$C$2:$M$967,3,FALSE()),"")</f>
        <v>Hemato Oncología Adulto</v>
      </c>
      <c r="E686" s="46" t="str">
        <f>IFERROR(VLOOKUP($A686,Equipos!$C$2:$M$967,7,FALSE()),"")</f>
        <v xml:space="preserve">Nihon Kohden </v>
      </c>
      <c r="F686" s="46" t="str">
        <f>IFERROR(VLOOKUP($A686,Equipos!$C$2:$M$967,8,FALSE()),"")</f>
        <v>BSM-6301K</v>
      </c>
      <c r="G686" s="46" t="s">
        <v>316</v>
      </c>
      <c r="H686" s="46"/>
      <c r="I686" s="46"/>
      <c r="J686" s="46" t="s">
        <v>323</v>
      </c>
      <c r="K686" s="46" t="str">
        <f>IFERROR(VLOOKUP($J686,Catálogos!$M$4:$N$17,2,FALSE()),"")</f>
        <v>Reprogramada · No disponibilidad de horas hombre del funcionario SEC por alta carga laboral</v>
      </c>
      <c r="L686" s="46"/>
      <c r="M686" s="46"/>
      <c r="N686" s="46"/>
      <c r="O686" s="46"/>
      <c r="P686" s="46"/>
      <c r="Q686" s="46"/>
    </row>
    <row r="687" spans="1:17" hidden="1" x14ac:dyDescent="0.25">
      <c r="A687" s="47" t="s">
        <v>709</v>
      </c>
      <c r="B687" s="46" t="str">
        <f>IFERROR(VLOOKUP($A687,Equipos!$C$2:$M$967,2,FALSE()),"")</f>
        <v>Monitor Multiparámetros</v>
      </c>
      <c r="C687" s="46" t="str">
        <f>IFERROR(VLOOKUP($A687,Equipos!$C$2:$M$967,9,FALSE()),"")</f>
        <v>01063</v>
      </c>
      <c r="D687" s="46" t="str">
        <f>IFERROR(VLOOKUP($A687,Equipos!$C$2:$M$967,3,FALSE()),"")</f>
        <v>Hemato Oncología Adulto</v>
      </c>
      <c r="E687" s="46" t="str">
        <f>IFERROR(VLOOKUP($A687,Equipos!$C$2:$M$967,7,FALSE()),"")</f>
        <v xml:space="preserve">Nihon Kohden </v>
      </c>
      <c r="F687" s="46" t="str">
        <f>IFERROR(VLOOKUP($A687,Equipos!$C$2:$M$967,8,FALSE()),"")</f>
        <v>BSM-6301K</v>
      </c>
      <c r="G687" s="46" t="s">
        <v>331</v>
      </c>
      <c r="H687" s="46"/>
      <c r="I687" s="46"/>
      <c r="J687" s="46" t="s">
        <v>297</v>
      </c>
      <c r="K687" s="46" t="str">
        <f>IFERROR(VLOOKUP($J687,Catálogos!$M$4:$N$17,2,FALSE()),"")</f>
        <v>Mantención Preventiva Realizada</v>
      </c>
      <c r="L687" s="46"/>
      <c r="M687" s="46"/>
      <c r="N687" s="46"/>
      <c r="O687" s="46"/>
      <c r="P687" s="46"/>
      <c r="Q687" s="46"/>
    </row>
    <row r="688" spans="1:17" hidden="1" x14ac:dyDescent="0.25">
      <c r="A688" s="47" t="s">
        <v>710</v>
      </c>
      <c r="B688" s="46" t="str">
        <f>IFERROR(VLOOKUP($A688,Equipos!$C$2:$M$967,2,FALSE()),"")</f>
        <v>Monitor Multiparámetros</v>
      </c>
      <c r="C688" s="46" t="str">
        <f>IFERROR(VLOOKUP($A688,Equipos!$C$2:$M$967,9,FALSE()),"")</f>
        <v>01043</v>
      </c>
      <c r="D688" s="46" t="str">
        <f>IFERROR(VLOOKUP($A688,Equipos!$C$2:$M$967,3,FALSE()),"")</f>
        <v>Hemato Oncología Adulto</v>
      </c>
      <c r="E688" s="46" t="str">
        <f>IFERROR(VLOOKUP($A688,Equipos!$C$2:$M$967,7,FALSE()),"")</f>
        <v xml:space="preserve">Nihon Kohden </v>
      </c>
      <c r="F688" s="46" t="str">
        <f>IFERROR(VLOOKUP($A688,Equipos!$C$2:$M$967,8,FALSE()),"")</f>
        <v>BSM-6301K</v>
      </c>
      <c r="G688" s="46" t="s">
        <v>316</v>
      </c>
      <c r="H688" s="46"/>
      <c r="I688" s="46"/>
      <c r="J688" s="46" t="s">
        <v>323</v>
      </c>
      <c r="K688" s="46" t="str">
        <f>IFERROR(VLOOKUP($J688,Catálogos!$M$4:$N$17,2,FALSE()),"")</f>
        <v>Reprogramada · No disponibilidad de horas hombre del funcionario SEC por alta carga laboral</v>
      </c>
      <c r="L688" s="46"/>
      <c r="M688" s="46"/>
      <c r="N688" s="46"/>
      <c r="O688" s="46"/>
      <c r="P688" s="46"/>
      <c r="Q688" s="46"/>
    </row>
    <row r="689" spans="1:17" hidden="1" x14ac:dyDescent="0.25">
      <c r="A689" s="47" t="s">
        <v>710</v>
      </c>
      <c r="B689" s="46" t="str">
        <f>IFERROR(VLOOKUP($A689,Equipos!$C$2:$M$967,2,FALSE()),"")</f>
        <v>Monitor Multiparámetros</v>
      </c>
      <c r="C689" s="46" t="str">
        <f>IFERROR(VLOOKUP($A689,Equipos!$C$2:$M$967,9,FALSE()),"")</f>
        <v>01043</v>
      </c>
      <c r="D689" s="46" t="str">
        <f>IFERROR(VLOOKUP($A689,Equipos!$C$2:$M$967,3,FALSE()),"")</f>
        <v>Hemato Oncología Adulto</v>
      </c>
      <c r="E689" s="46" t="str">
        <f>IFERROR(VLOOKUP($A689,Equipos!$C$2:$M$967,7,FALSE()),"")</f>
        <v xml:space="preserve">Nihon Kohden </v>
      </c>
      <c r="F689" s="46" t="str">
        <f>IFERROR(VLOOKUP($A689,Equipos!$C$2:$M$967,8,FALSE()),"")</f>
        <v>BSM-6301K</v>
      </c>
      <c r="G689" s="46" t="s">
        <v>331</v>
      </c>
      <c r="H689" s="46"/>
      <c r="I689" s="46"/>
      <c r="J689" s="46" t="s">
        <v>297</v>
      </c>
      <c r="K689" s="46" t="str">
        <f>IFERROR(VLOOKUP($J689,Catálogos!$M$4:$N$17,2,FALSE()),"")</f>
        <v>Mantención Preventiva Realizada</v>
      </c>
      <c r="L689" s="46"/>
      <c r="M689" s="46"/>
      <c r="N689" s="46"/>
      <c r="O689" s="46"/>
      <c r="P689" s="46"/>
      <c r="Q689" s="46"/>
    </row>
    <row r="690" spans="1:17" hidden="1" x14ac:dyDescent="0.25">
      <c r="A690" s="47" t="s">
        <v>711</v>
      </c>
      <c r="B690" s="46" t="str">
        <f>IFERROR(VLOOKUP($A690,Equipos!$C$2:$M$967,2,FALSE()),"")</f>
        <v>Monitor Multiparámetros</v>
      </c>
      <c r="C690" s="46" t="str">
        <f>IFERROR(VLOOKUP($A690,Equipos!$C$2:$M$967,9,FALSE()),"")</f>
        <v>212726117</v>
      </c>
      <c r="D690" s="46" t="str">
        <f>IFERROR(VLOOKUP($A690,Equipos!$C$2:$M$967,3,FALSE()),"")</f>
        <v>Quimioterapia Ambulatoria Adulto</v>
      </c>
      <c r="E690" s="46" t="str">
        <f>IFERROR(VLOOKUP($A690,Equipos!$C$2:$M$967,7,FALSE()),"")</f>
        <v xml:space="preserve">Criticare </v>
      </c>
      <c r="F690" s="46" t="str">
        <f>IFERROR(VLOOKUP($A690,Equipos!$C$2:$M$967,8,FALSE()),"")</f>
        <v>8100E-S</v>
      </c>
      <c r="G690" s="46" t="s">
        <v>316</v>
      </c>
      <c r="H690" s="46"/>
      <c r="I690" s="46"/>
      <c r="J690" s="46" t="s">
        <v>323</v>
      </c>
      <c r="K690" s="46" t="str">
        <f>IFERROR(VLOOKUP($J690,Catálogos!$M$4:$N$17,2,FALSE()),"")</f>
        <v>Reprogramada · No disponibilidad de horas hombre del funcionario SEC por alta carga laboral</v>
      </c>
      <c r="L690" s="46"/>
      <c r="M690" s="46"/>
      <c r="N690" s="46"/>
      <c r="O690" s="46"/>
      <c r="P690" s="46"/>
      <c r="Q690" s="46"/>
    </row>
    <row r="691" spans="1:17" hidden="1" x14ac:dyDescent="0.25">
      <c r="A691" s="47" t="s">
        <v>711</v>
      </c>
      <c r="B691" s="46" t="str">
        <f>IFERROR(VLOOKUP($A691,Equipos!$C$2:$M$967,2,FALSE()),"")</f>
        <v>Monitor Multiparámetros</v>
      </c>
      <c r="C691" s="46" t="str">
        <f>IFERROR(VLOOKUP($A691,Equipos!$C$2:$M$967,9,FALSE()),"")</f>
        <v>212726117</v>
      </c>
      <c r="D691" s="46" t="str">
        <f>IFERROR(VLOOKUP($A691,Equipos!$C$2:$M$967,3,FALSE()),"")</f>
        <v>Quimioterapia Ambulatoria Adulto</v>
      </c>
      <c r="E691" s="46" t="str">
        <f>IFERROR(VLOOKUP($A691,Equipos!$C$2:$M$967,7,FALSE()),"")</f>
        <v xml:space="preserve">Criticare </v>
      </c>
      <c r="F691" s="46" t="str">
        <f>IFERROR(VLOOKUP($A691,Equipos!$C$2:$M$967,8,FALSE()),"")</f>
        <v>8100E-S</v>
      </c>
      <c r="G691" s="46" t="s">
        <v>331</v>
      </c>
      <c r="H691" s="46"/>
      <c r="I691" s="46"/>
      <c r="J691" s="46" t="s">
        <v>297</v>
      </c>
      <c r="K691" s="46" t="str">
        <f>IFERROR(VLOOKUP($J691,Catálogos!$M$4:$N$17,2,FALSE()),"")</f>
        <v>Mantención Preventiva Realizada</v>
      </c>
      <c r="L691" s="46"/>
      <c r="M691" s="46"/>
      <c r="N691" s="46"/>
      <c r="O691" s="46"/>
      <c r="P691" s="46"/>
      <c r="Q691" s="46"/>
    </row>
    <row r="692" spans="1:17" hidden="1" x14ac:dyDescent="0.25">
      <c r="A692" s="47" t="s">
        <v>712</v>
      </c>
      <c r="B692" s="46" t="str">
        <f>IFERROR(VLOOKUP($A692,Equipos!$C$2:$M$967,2,FALSE()),"")</f>
        <v>Monitor Multiparámetros</v>
      </c>
      <c r="C692" s="46" t="str">
        <f>IFERROR(VLOOKUP($A692,Equipos!$C$2:$M$967,9,FALSE()),"")</f>
        <v>6001128079</v>
      </c>
      <c r="D692" s="46" t="str">
        <f>IFERROR(VLOOKUP($A692,Equipos!$C$2:$M$967,3,FALSE()),"")</f>
        <v>Neurocirugía</v>
      </c>
      <c r="E692" s="46" t="str">
        <f>IFERROR(VLOOKUP($A692,Equipos!$C$2:$M$967,7,FALSE()),"")</f>
        <v xml:space="preserve">Drager </v>
      </c>
      <c r="F692" s="46" t="str">
        <f>IFERROR(VLOOKUP($A692,Equipos!$C$2:$M$967,8,FALSE()),"")</f>
        <v xml:space="preserve">Infinity Vista XL </v>
      </c>
      <c r="G692" s="46" t="s">
        <v>316</v>
      </c>
      <c r="H692" s="46"/>
      <c r="I692" s="46"/>
      <c r="J692" s="46" t="s">
        <v>323</v>
      </c>
      <c r="K692" s="46" t="str">
        <f>IFERROR(VLOOKUP($J692,Catálogos!$M$4:$N$17,2,FALSE()),"")</f>
        <v>Reprogramada · No disponibilidad de horas hombre del funcionario SEC por alta carga laboral</v>
      </c>
      <c r="L692" s="46"/>
      <c r="M692" s="46"/>
      <c r="N692" s="46"/>
      <c r="O692" s="46"/>
      <c r="P692" s="46"/>
      <c r="Q692" s="46"/>
    </row>
    <row r="693" spans="1:17" hidden="1" x14ac:dyDescent="0.25">
      <c r="A693" s="47" t="s">
        <v>712</v>
      </c>
      <c r="B693" s="46" t="str">
        <f>IFERROR(VLOOKUP($A693,Equipos!$C$2:$M$967,2,FALSE()),"")</f>
        <v>Monitor Multiparámetros</v>
      </c>
      <c r="C693" s="46" t="str">
        <f>IFERROR(VLOOKUP($A693,Equipos!$C$2:$M$967,9,FALSE()),"")</f>
        <v>6001128079</v>
      </c>
      <c r="D693" s="46" t="str">
        <f>IFERROR(VLOOKUP($A693,Equipos!$C$2:$M$967,3,FALSE()),"")</f>
        <v>Neurocirugía</v>
      </c>
      <c r="E693" s="46" t="str">
        <f>IFERROR(VLOOKUP($A693,Equipos!$C$2:$M$967,7,FALSE()),"")</f>
        <v xml:space="preserve">Drager </v>
      </c>
      <c r="F693" s="46" t="str">
        <f>IFERROR(VLOOKUP($A693,Equipos!$C$2:$M$967,8,FALSE()),"")</f>
        <v xml:space="preserve">Infinity Vista XL </v>
      </c>
      <c r="G693" s="46" t="s">
        <v>331</v>
      </c>
      <c r="H693" s="46"/>
      <c r="I693" s="46"/>
      <c r="J693" s="46" t="s">
        <v>297</v>
      </c>
      <c r="K693" s="46" t="str">
        <f>IFERROR(VLOOKUP($J693,Catálogos!$M$4:$N$17,2,FALSE()),"")</f>
        <v>Mantención Preventiva Realizada</v>
      </c>
      <c r="L693" s="46"/>
      <c r="M693" s="46"/>
      <c r="N693" s="46"/>
      <c r="O693" s="46"/>
      <c r="P693" s="46"/>
      <c r="Q693" s="46"/>
    </row>
    <row r="694" spans="1:17" hidden="1" x14ac:dyDescent="0.25">
      <c r="A694" s="47" t="s">
        <v>713</v>
      </c>
      <c r="B694" s="46" t="str">
        <f>IFERROR(VLOOKUP($A694,Equipos!$C$2:$M$967,2,FALSE()),"")</f>
        <v>Monitor Multiparámetros</v>
      </c>
      <c r="C694" s="46" t="str">
        <f>IFERROR(VLOOKUP($A694,Equipos!$C$2:$M$967,9,FALSE()),"")</f>
        <v>6001029471</v>
      </c>
      <c r="D694" s="46" t="str">
        <f>IFERROR(VLOOKUP($A694,Equipos!$C$2:$M$967,3,FALSE()),"")</f>
        <v>Neurocirugía</v>
      </c>
      <c r="E694" s="46" t="str">
        <f>IFERROR(VLOOKUP($A694,Equipos!$C$2:$M$967,7,FALSE()),"")</f>
        <v xml:space="preserve">Drager </v>
      </c>
      <c r="F694" s="46" t="str">
        <f>IFERROR(VLOOKUP($A694,Equipos!$C$2:$M$967,8,FALSE()),"")</f>
        <v xml:space="preserve">Infinity Vista XL </v>
      </c>
      <c r="G694" s="46" t="s">
        <v>316</v>
      </c>
      <c r="H694" s="46"/>
      <c r="I694" s="46"/>
      <c r="J694" s="46" t="s">
        <v>323</v>
      </c>
      <c r="K694" s="46" t="str">
        <f>IFERROR(VLOOKUP($J694,Catálogos!$M$4:$N$17,2,FALSE()),"")</f>
        <v>Reprogramada · No disponibilidad de horas hombre del funcionario SEC por alta carga laboral</v>
      </c>
      <c r="L694" s="46"/>
      <c r="M694" s="46"/>
      <c r="N694" s="46"/>
      <c r="O694" s="46"/>
      <c r="P694" s="46"/>
      <c r="Q694" s="46"/>
    </row>
    <row r="695" spans="1:17" hidden="1" x14ac:dyDescent="0.25">
      <c r="A695" s="47" t="s">
        <v>713</v>
      </c>
      <c r="B695" s="46" t="str">
        <f>IFERROR(VLOOKUP($A695,Equipos!$C$2:$M$967,2,FALSE()),"")</f>
        <v>Monitor Multiparámetros</v>
      </c>
      <c r="C695" s="46" t="str">
        <f>IFERROR(VLOOKUP($A695,Equipos!$C$2:$M$967,9,FALSE()),"")</f>
        <v>6001029471</v>
      </c>
      <c r="D695" s="46" t="str">
        <f>IFERROR(VLOOKUP($A695,Equipos!$C$2:$M$967,3,FALSE()),"")</f>
        <v>Neurocirugía</v>
      </c>
      <c r="E695" s="46" t="str">
        <f>IFERROR(VLOOKUP($A695,Equipos!$C$2:$M$967,7,FALSE()),"")</f>
        <v xml:space="preserve">Drager </v>
      </c>
      <c r="F695" s="46" t="str">
        <f>IFERROR(VLOOKUP($A695,Equipos!$C$2:$M$967,8,FALSE()),"")</f>
        <v xml:space="preserve">Infinity Vista XL </v>
      </c>
      <c r="G695" s="46" t="s">
        <v>331</v>
      </c>
      <c r="H695" s="46"/>
      <c r="I695" s="46"/>
      <c r="J695" s="46" t="s">
        <v>297</v>
      </c>
      <c r="K695" s="46" t="str">
        <f>IFERROR(VLOOKUP($J695,Catálogos!$M$4:$N$17,2,FALSE()),"")</f>
        <v>Mantención Preventiva Realizada</v>
      </c>
      <c r="L695" s="46"/>
      <c r="M695" s="46"/>
      <c r="N695" s="46"/>
      <c r="O695" s="46"/>
      <c r="P695" s="46"/>
      <c r="Q695" s="46"/>
    </row>
    <row r="696" spans="1:17" hidden="1" x14ac:dyDescent="0.25">
      <c r="A696" s="47" t="s">
        <v>714</v>
      </c>
      <c r="B696" s="46" t="str">
        <f>IFERROR(VLOOKUP($A696,Equipos!$C$2:$M$967,2,FALSE()),"")</f>
        <v>Monitor Multiparámetros</v>
      </c>
      <c r="C696" s="46" t="str">
        <f>IFERROR(VLOOKUP($A696,Equipos!$C$2:$M$967,9,FALSE()),"")</f>
        <v>6001111685</v>
      </c>
      <c r="D696" s="46" t="str">
        <f>IFERROR(VLOOKUP($A696,Equipos!$C$2:$M$967,3,FALSE()),"")</f>
        <v>Neurocirugía</v>
      </c>
      <c r="E696" s="46" t="str">
        <f>IFERROR(VLOOKUP($A696,Equipos!$C$2:$M$967,7,FALSE()),"")</f>
        <v xml:space="preserve">Drager </v>
      </c>
      <c r="F696" s="46" t="str">
        <f>IFERROR(VLOOKUP($A696,Equipos!$C$2:$M$967,8,FALSE()),"")</f>
        <v xml:space="preserve">Infinity Vista XL </v>
      </c>
      <c r="G696" s="46" t="s">
        <v>316</v>
      </c>
      <c r="H696" s="46"/>
      <c r="I696" s="46"/>
      <c r="J696" s="46" t="s">
        <v>297</v>
      </c>
      <c r="K696" s="46" t="str">
        <f>IFERROR(VLOOKUP($J696,Catálogos!$M$4:$N$17,2,FALSE()),"")</f>
        <v>Mantención Preventiva Realizada</v>
      </c>
      <c r="L696" s="46"/>
      <c r="M696" s="46"/>
      <c r="N696" s="46"/>
      <c r="O696" s="46"/>
      <c r="P696" s="46"/>
      <c r="Q696" s="46"/>
    </row>
    <row r="697" spans="1:17" hidden="1" x14ac:dyDescent="0.25">
      <c r="A697" s="47" t="s">
        <v>715</v>
      </c>
      <c r="B697" s="46" t="str">
        <f>IFERROR(VLOOKUP($A697,Equipos!$C$2:$M$967,2,FALSE()),"")</f>
        <v>Monitor Multiparámetros</v>
      </c>
      <c r="C697" s="46" t="str">
        <f>IFERROR(VLOOKUP($A697,Equipos!$C$2:$M$967,9,FALSE()),"")</f>
        <v>VSSUM0046</v>
      </c>
      <c r="D697" s="46" t="str">
        <f>IFERROR(VLOOKUP($A697,Equipos!$C$2:$M$967,3,FALSE()),"")</f>
        <v>TROI</v>
      </c>
      <c r="E697" s="46" t="str">
        <f>IFERROR(VLOOKUP($A697,Equipos!$C$2:$M$967,7,FALSE()),"")</f>
        <v>Drager</v>
      </c>
      <c r="F697" s="46" t="str">
        <f>IFERROR(VLOOKUP($A697,Equipos!$C$2:$M$967,8,FALSE()),"")</f>
        <v>Vista 300</v>
      </c>
      <c r="G697" s="46" t="s">
        <v>331</v>
      </c>
      <c r="H697" s="46"/>
      <c r="I697" s="46"/>
      <c r="J697" s="46" t="s">
        <v>297</v>
      </c>
      <c r="K697" s="46" t="str">
        <f>IFERROR(VLOOKUP($J697,Catálogos!$M$4:$N$17,2,FALSE()),"")</f>
        <v>Mantención Preventiva Realizada</v>
      </c>
      <c r="L697" s="46"/>
      <c r="M697" s="46"/>
      <c r="N697" s="46"/>
      <c r="O697" s="46"/>
      <c r="P697" s="46"/>
      <c r="Q697" s="46"/>
    </row>
    <row r="698" spans="1:17" hidden="1" x14ac:dyDescent="0.25">
      <c r="A698" s="47" t="s">
        <v>716</v>
      </c>
      <c r="B698" s="46" t="str">
        <f>IFERROR(VLOOKUP($A698,Equipos!$C$2:$M$967,2,FALSE()),"")</f>
        <v>Monitor Multiparámetros</v>
      </c>
      <c r="C698" s="46" t="str">
        <f>IFERROR(VLOOKUP($A698,Equipos!$C$2:$M$967,9,FALSE()),"")</f>
        <v>6001123877</v>
      </c>
      <c r="D698" s="46" t="str">
        <f>IFERROR(VLOOKUP($A698,Equipos!$C$2:$M$967,3,FALSE()),"")</f>
        <v>Neurocirugía</v>
      </c>
      <c r="E698" s="46" t="str">
        <f>IFERROR(VLOOKUP($A698,Equipos!$C$2:$M$967,7,FALSE()),"")</f>
        <v xml:space="preserve">Drager </v>
      </c>
      <c r="F698" s="46" t="str">
        <f>IFERROR(VLOOKUP($A698,Equipos!$C$2:$M$967,8,FALSE()),"")</f>
        <v xml:space="preserve">Infinity Vista </v>
      </c>
      <c r="G698" s="46" t="s">
        <v>316</v>
      </c>
      <c r="H698" s="46"/>
      <c r="I698" s="46"/>
      <c r="J698" s="46" t="s">
        <v>297</v>
      </c>
      <c r="K698" s="46" t="str">
        <f>IFERROR(VLOOKUP($J698,Catálogos!$M$4:$N$17,2,FALSE()),"")</f>
        <v>Mantención Preventiva Realizada</v>
      </c>
      <c r="L698" s="46"/>
      <c r="M698" s="46"/>
      <c r="N698" s="46"/>
      <c r="O698" s="46"/>
      <c r="P698" s="46"/>
      <c r="Q698" s="46"/>
    </row>
    <row r="699" spans="1:17" hidden="1" x14ac:dyDescent="0.25">
      <c r="A699" s="47" t="s">
        <v>717</v>
      </c>
      <c r="B699" s="46" t="str">
        <f>IFERROR(VLOOKUP($A699,Equipos!$C$2:$M$967,2,FALSE()),"")</f>
        <v>Monitor Multiparámetros</v>
      </c>
      <c r="C699" s="46" t="str">
        <f>IFERROR(VLOOKUP($A699,Equipos!$C$2:$M$967,9,FALSE()),"")</f>
        <v>1393-109300</v>
      </c>
      <c r="D699" s="46" t="str">
        <f>IFERROR(VLOOKUP($A699,Equipos!$C$2:$M$967,3,FALSE()),"")</f>
        <v>UPC Pediátrica</v>
      </c>
      <c r="E699" s="46" t="str">
        <f>IFERROR(VLOOKUP($A699,Equipos!$C$2:$M$967,7,FALSE()),"")</f>
        <v>SPACELABS HEALTHCARE</v>
      </c>
      <c r="F699" s="46" t="str">
        <f>IFERROR(VLOOKUP($A699,Equipos!$C$2:$M$967,8,FALSE()),"")</f>
        <v>XPREZZON</v>
      </c>
      <c r="G699" s="46" t="s">
        <v>335</v>
      </c>
      <c r="H699" s="46"/>
      <c r="I699" s="46"/>
      <c r="J699" s="46" t="s">
        <v>315</v>
      </c>
      <c r="K699" s="46" t="str">
        <f>IFERROR(VLOOKUP($J699,Catálogos!$M$4:$N$17,2,FALSE()),"")</f>
        <v>Reprogramada · Ausencia justificada del funcionario SEC superior a 15 días</v>
      </c>
      <c r="L699" s="46"/>
      <c r="M699" s="46"/>
      <c r="N699" s="46"/>
      <c r="O699" s="46"/>
      <c r="P699" s="46"/>
      <c r="Q699" s="46"/>
    </row>
    <row r="700" spans="1:17" hidden="1" x14ac:dyDescent="0.25">
      <c r="A700" s="47" t="s">
        <v>717</v>
      </c>
      <c r="B700" s="46" t="str">
        <f>IFERROR(VLOOKUP($A700,Equipos!$C$2:$M$967,2,FALSE()),"")</f>
        <v>Monitor Multiparámetros</v>
      </c>
      <c r="C700" s="46" t="str">
        <f>IFERROR(VLOOKUP($A700,Equipos!$C$2:$M$967,9,FALSE()),"")</f>
        <v>1393-109300</v>
      </c>
      <c r="D700" s="46" t="str">
        <f>IFERROR(VLOOKUP($A700,Equipos!$C$2:$M$967,3,FALSE()),"")</f>
        <v>UPC Pediátrica</v>
      </c>
      <c r="E700" s="46" t="str">
        <f>IFERROR(VLOOKUP($A700,Equipos!$C$2:$M$967,7,FALSE()),"")</f>
        <v>SPACELABS HEALTHCARE</v>
      </c>
      <c r="F700" s="46" t="str">
        <f>IFERROR(VLOOKUP($A700,Equipos!$C$2:$M$967,8,FALSE()),"")</f>
        <v>XPREZZON</v>
      </c>
      <c r="G700" s="46" t="s">
        <v>296</v>
      </c>
      <c r="H700" s="46"/>
      <c r="I700" s="46"/>
      <c r="J700" s="46" t="s">
        <v>297</v>
      </c>
      <c r="K700" s="46" t="str">
        <f>IFERROR(VLOOKUP($J700,Catálogos!$M$4:$N$17,2,FALSE()),"")</f>
        <v>Mantención Preventiva Realizada</v>
      </c>
      <c r="L700" s="46"/>
      <c r="M700" s="46"/>
      <c r="N700" s="46"/>
      <c r="O700" s="46"/>
      <c r="P700" s="46"/>
      <c r="Q700" s="46"/>
    </row>
    <row r="701" spans="1:17" hidden="1" x14ac:dyDescent="0.25">
      <c r="A701" s="47" t="s">
        <v>718</v>
      </c>
      <c r="B701" s="46" t="str">
        <f>IFERROR(VLOOKUP($A701,Equipos!$C$2:$M$967,2,FALSE()),"")</f>
        <v>Monitor Multiparámetros</v>
      </c>
      <c r="C701" s="46" t="str">
        <f>IFERROR(VLOOKUP($A701,Equipos!$C$2:$M$967,9,FALSE()),"")</f>
        <v>01041</v>
      </c>
      <c r="D701" s="46" t="str">
        <f>IFERROR(VLOOKUP($A701,Equipos!$C$2:$M$967,3,FALSE()),"")</f>
        <v>Cirugía Adulto</v>
      </c>
      <c r="E701" s="46" t="str">
        <f>IFERROR(VLOOKUP($A701,Equipos!$C$2:$M$967,7,FALSE()),"")</f>
        <v xml:space="preserve">Nihon Kohden </v>
      </c>
      <c r="F701" s="46" t="str">
        <f>IFERROR(VLOOKUP($A701,Equipos!$C$2:$M$967,8,FALSE()),"")</f>
        <v>BSM-6301K</v>
      </c>
      <c r="G701" s="46" t="s">
        <v>298</v>
      </c>
      <c r="H701" s="46"/>
      <c r="I701" s="46"/>
      <c r="J701" s="46" t="s">
        <v>297</v>
      </c>
      <c r="K701" s="46" t="str">
        <f>IFERROR(VLOOKUP($J701,Catálogos!$M$4:$N$17,2,FALSE()),"")</f>
        <v>Mantención Preventiva Realizada</v>
      </c>
      <c r="L701" s="46"/>
      <c r="M701" s="46"/>
      <c r="N701" s="46"/>
      <c r="O701" s="46"/>
      <c r="P701" s="46"/>
      <c r="Q701" s="46"/>
    </row>
    <row r="702" spans="1:17" hidden="1" x14ac:dyDescent="0.25">
      <c r="A702" s="47" t="s">
        <v>719</v>
      </c>
      <c r="B702" s="46" t="str">
        <f>IFERROR(VLOOKUP($A702,Equipos!$C$2:$M$967,2,FALSE()),"")</f>
        <v>Monitor Multiparámetros</v>
      </c>
      <c r="C702" s="46" t="str">
        <f>IFERROR(VLOOKUP($A702,Equipos!$C$2:$M$967,9,FALSE()),"")</f>
        <v>01049</v>
      </c>
      <c r="D702" s="46" t="str">
        <f>IFERROR(VLOOKUP($A702,Equipos!$C$2:$M$967,3,FALSE()),"")</f>
        <v>Cirugía Adulto</v>
      </c>
      <c r="E702" s="46" t="str">
        <f>IFERROR(VLOOKUP($A702,Equipos!$C$2:$M$967,7,FALSE()),"")</f>
        <v xml:space="preserve">Nihon Kohden </v>
      </c>
      <c r="F702" s="46" t="str">
        <f>IFERROR(VLOOKUP($A702,Equipos!$C$2:$M$967,8,FALSE()),"")</f>
        <v>BSM-6301K</v>
      </c>
      <c r="G702" s="46" t="s">
        <v>298</v>
      </c>
      <c r="H702" s="46"/>
      <c r="I702" s="46"/>
      <c r="J702" s="46" t="s">
        <v>297</v>
      </c>
      <c r="K702" s="46" t="str">
        <f>IFERROR(VLOOKUP($J702,Catálogos!$M$4:$N$17,2,FALSE()),"")</f>
        <v>Mantención Preventiva Realizada</v>
      </c>
      <c r="L702" s="46"/>
      <c r="M702" s="46"/>
      <c r="N702" s="46"/>
      <c r="O702" s="46"/>
      <c r="P702" s="46"/>
      <c r="Q702" s="46"/>
    </row>
    <row r="703" spans="1:17" hidden="1" x14ac:dyDescent="0.25">
      <c r="A703" s="47" t="s">
        <v>720</v>
      </c>
      <c r="B703" s="46" t="str">
        <f>IFERROR(VLOOKUP($A703,Equipos!$C$2:$M$967,2,FALSE()),"")</f>
        <v>Monitor Multiparámetros</v>
      </c>
      <c r="C703" s="46" t="str">
        <f>IFERROR(VLOOKUP($A703,Equipos!$C$2:$M$967,9,FALSE()),"")</f>
        <v>01055</v>
      </c>
      <c r="D703" s="46" t="str">
        <f>IFERROR(VLOOKUP($A703,Equipos!$C$2:$M$967,3,FALSE()),"")</f>
        <v>Cirugía Adulto</v>
      </c>
      <c r="E703" s="46" t="str">
        <f>IFERROR(VLOOKUP($A703,Equipos!$C$2:$M$967,7,FALSE()),"")</f>
        <v xml:space="preserve">Nihon Kohden </v>
      </c>
      <c r="F703" s="46" t="str">
        <f>IFERROR(VLOOKUP($A703,Equipos!$C$2:$M$967,8,FALSE()),"")</f>
        <v>BSM-6301K</v>
      </c>
      <c r="G703" s="46" t="s">
        <v>298</v>
      </c>
      <c r="H703" s="46"/>
      <c r="I703" s="46"/>
      <c r="J703" s="46" t="s">
        <v>297</v>
      </c>
      <c r="K703" s="46" t="str">
        <f>IFERROR(VLOOKUP($J703,Catálogos!$M$4:$N$17,2,FALSE()),"")</f>
        <v>Mantención Preventiva Realizada</v>
      </c>
      <c r="L703" s="46"/>
      <c r="M703" s="46"/>
      <c r="N703" s="46"/>
      <c r="O703" s="46"/>
      <c r="P703" s="46"/>
      <c r="Q703" s="46"/>
    </row>
    <row r="704" spans="1:17" hidden="1" x14ac:dyDescent="0.25">
      <c r="A704" s="47" t="s">
        <v>721</v>
      </c>
      <c r="B704" s="46" t="str">
        <f>IFERROR(VLOOKUP($A704,Equipos!$C$2:$M$967,2,FALSE()),"")</f>
        <v>Monitor Multiparámetros</v>
      </c>
      <c r="C704" s="46" t="str">
        <f>IFERROR(VLOOKUP($A704,Equipos!$C$2:$M$967,9,FALSE()),"")</f>
        <v>01057</v>
      </c>
      <c r="D704" s="46" t="str">
        <f>IFERROR(VLOOKUP($A704,Equipos!$C$2:$M$967,3,FALSE()),"")</f>
        <v>Cirugía Adulto</v>
      </c>
      <c r="E704" s="46" t="str">
        <f>IFERROR(VLOOKUP($A704,Equipos!$C$2:$M$967,7,FALSE()),"")</f>
        <v xml:space="preserve">Nihon Kohden </v>
      </c>
      <c r="F704" s="46" t="str">
        <f>IFERROR(VLOOKUP($A704,Equipos!$C$2:$M$967,8,FALSE()),"")</f>
        <v>BSM-6301K</v>
      </c>
      <c r="G704" s="46" t="s">
        <v>298</v>
      </c>
      <c r="H704" s="46"/>
      <c r="I704" s="46"/>
      <c r="J704" s="46" t="s">
        <v>297</v>
      </c>
      <c r="K704" s="46" t="str">
        <f>IFERROR(VLOOKUP($J704,Catálogos!$M$4:$N$17,2,FALSE()),"")</f>
        <v>Mantención Preventiva Realizada</v>
      </c>
      <c r="L704" s="46"/>
      <c r="M704" s="46"/>
      <c r="N704" s="46"/>
      <c r="O704" s="46"/>
      <c r="P704" s="46"/>
      <c r="Q704" s="46"/>
    </row>
    <row r="705" spans="1:17" hidden="1" x14ac:dyDescent="0.25">
      <c r="A705" s="47" t="s">
        <v>722</v>
      </c>
      <c r="B705" s="46" t="str">
        <f>IFERROR(VLOOKUP($A705,Equipos!$C$2:$M$967,2,FALSE()),"")</f>
        <v>Monitor Multiparámetros</v>
      </c>
      <c r="C705" s="46" t="str">
        <f>IFERROR(VLOOKUP($A705,Equipos!$C$2:$M$967,9,FALSE()),"")</f>
        <v>01065</v>
      </c>
      <c r="D705" s="46" t="str">
        <f>IFERROR(VLOOKUP($A705,Equipos!$C$2:$M$967,3,FALSE()),"")</f>
        <v>Cirugía Adulto</v>
      </c>
      <c r="E705" s="46" t="str">
        <f>IFERROR(VLOOKUP($A705,Equipos!$C$2:$M$967,7,FALSE()),"")</f>
        <v xml:space="preserve">Nihon Kohden </v>
      </c>
      <c r="F705" s="46" t="str">
        <f>IFERROR(VLOOKUP($A705,Equipos!$C$2:$M$967,8,FALSE()),"")</f>
        <v>BSM-6301K</v>
      </c>
      <c r="G705" s="46" t="s">
        <v>298</v>
      </c>
      <c r="H705" s="46"/>
      <c r="I705" s="46"/>
      <c r="J705" s="46" t="s">
        <v>297</v>
      </c>
      <c r="K705" s="46" t="str">
        <f>IFERROR(VLOOKUP($J705,Catálogos!$M$4:$N$17,2,FALSE()),"")</f>
        <v>Mantención Preventiva Realizada</v>
      </c>
      <c r="L705" s="46"/>
      <c r="M705" s="46"/>
      <c r="N705" s="46"/>
      <c r="O705" s="46"/>
      <c r="P705" s="46"/>
      <c r="Q705" s="46"/>
    </row>
    <row r="706" spans="1:17" hidden="1" x14ac:dyDescent="0.25">
      <c r="A706" s="47" t="s">
        <v>723</v>
      </c>
      <c r="B706" s="46" t="str">
        <f>IFERROR(VLOOKUP($A706,Equipos!$C$2:$M$967,2,FALSE()),"")</f>
        <v>Monitor Multiparámetros</v>
      </c>
      <c r="C706" s="46" t="str">
        <f>IFERROR(VLOOKUP($A706,Equipos!$C$2:$M$967,9,FALSE()),"")</f>
        <v>01032</v>
      </c>
      <c r="D706" s="46" t="str">
        <f>IFERROR(VLOOKUP($A706,Equipos!$C$2:$M$967,3,FALSE()),"")</f>
        <v>Cirugía Adulto</v>
      </c>
      <c r="E706" s="46" t="str">
        <f>IFERROR(VLOOKUP($A706,Equipos!$C$2:$M$967,7,FALSE()),"")</f>
        <v xml:space="preserve">Nihon Kohden </v>
      </c>
      <c r="F706" s="46" t="str">
        <f>IFERROR(VLOOKUP($A706,Equipos!$C$2:$M$967,8,FALSE()),"")</f>
        <v>BSM-6301K</v>
      </c>
      <c r="G706" s="46" t="s">
        <v>298</v>
      </c>
      <c r="H706" s="46"/>
      <c r="I706" s="46"/>
      <c r="J706" s="46" t="s">
        <v>297</v>
      </c>
      <c r="K706" s="46" t="str">
        <f>IFERROR(VLOOKUP($J706,Catálogos!$M$4:$N$17,2,FALSE()),"")</f>
        <v>Mantención Preventiva Realizada</v>
      </c>
      <c r="L706" s="46"/>
      <c r="M706" s="46"/>
      <c r="N706" s="46"/>
      <c r="O706" s="46"/>
      <c r="P706" s="46"/>
      <c r="Q706" s="46"/>
    </row>
    <row r="707" spans="1:17" hidden="1" x14ac:dyDescent="0.25">
      <c r="A707" s="47" t="s">
        <v>724</v>
      </c>
      <c r="B707" s="46" t="str">
        <f>IFERROR(VLOOKUP($A707,Equipos!$C$2:$M$967,2,FALSE()),"")</f>
        <v>Monitor Multiparámetros</v>
      </c>
      <c r="C707" s="46" t="str">
        <f>IFERROR(VLOOKUP($A707,Equipos!$C$2:$M$967,9,FALSE()),"")</f>
        <v>01053</v>
      </c>
      <c r="D707" s="46" t="str">
        <f>IFERROR(VLOOKUP($A707,Equipos!$C$2:$M$967,3,FALSE()),"")</f>
        <v>Cirugía Adulto</v>
      </c>
      <c r="E707" s="46" t="str">
        <f>IFERROR(VLOOKUP($A707,Equipos!$C$2:$M$967,7,FALSE()),"")</f>
        <v xml:space="preserve">Nihon Kohden </v>
      </c>
      <c r="F707" s="46" t="str">
        <f>IFERROR(VLOOKUP($A707,Equipos!$C$2:$M$967,8,FALSE()),"")</f>
        <v>BSM-6301K</v>
      </c>
      <c r="G707" s="46" t="s">
        <v>298</v>
      </c>
      <c r="H707" s="46"/>
      <c r="I707" s="46"/>
      <c r="J707" s="46" t="s">
        <v>297</v>
      </c>
      <c r="K707" s="46" t="str">
        <f>IFERROR(VLOOKUP($J707,Catálogos!$M$4:$N$17,2,FALSE()),"")</f>
        <v>Mantención Preventiva Realizada</v>
      </c>
      <c r="L707" s="46"/>
      <c r="M707" s="46"/>
      <c r="N707" s="46"/>
      <c r="O707" s="46"/>
      <c r="P707" s="46"/>
      <c r="Q707" s="46"/>
    </row>
    <row r="708" spans="1:17" hidden="1" x14ac:dyDescent="0.25">
      <c r="A708" s="47" t="s">
        <v>725</v>
      </c>
      <c r="B708" s="46" t="str">
        <f>IFERROR(VLOOKUP($A708,Equipos!$C$2:$M$967,2,FALSE()),"")</f>
        <v>Monitor Multiparámetros</v>
      </c>
      <c r="C708" s="46" t="str">
        <f>IFERROR(VLOOKUP($A708,Equipos!$C$2:$M$967,9,FALSE()),"")</f>
        <v>01034</v>
      </c>
      <c r="D708" s="46" t="str">
        <f>IFERROR(VLOOKUP($A708,Equipos!$C$2:$M$967,3,FALSE()),"")</f>
        <v>Ginecología</v>
      </c>
      <c r="E708" s="46" t="str">
        <f>IFERROR(VLOOKUP($A708,Equipos!$C$2:$M$967,7,FALSE()),"")</f>
        <v xml:space="preserve">Nihon Kohden </v>
      </c>
      <c r="F708" s="46" t="str">
        <f>IFERROR(VLOOKUP($A708,Equipos!$C$2:$M$967,8,FALSE()),"")</f>
        <v>BSM-6301K</v>
      </c>
      <c r="G708" s="46" t="s">
        <v>298</v>
      </c>
      <c r="H708" s="46"/>
      <c r="I708" s="46"/>
      <c r="J708" s="46" t="s">
        <v>297</v>
      </c>
      <c r="K708" s="46" t="str">
        <f>IFERROR(VLOOKUP($J708,Catálogos!$M$4:$N$17,2,FALSE()),"")</f>
        <v>Mantención Preventiva Realizada</v>
      </c>
      <c r="L708" s="46"/>
      <c r="M708" s="46"/>
      <c r="N708" s="46"/>
      <c r="O708" s="46"/>
      <c r="P708" s="46"/>
      <c r="Q708" s="46"/>
    </row>
    <row r="709" spans="1:17" hidden="1" x14ac:dyDescent="0.25">
      <c r="A709" s="47" t="s">
        <v>726</v>
      </c>
      <c r="B709" s="46" t="str">
        <f>IFERROR(VLOOKUP($A709,Equipos!$C$2:$M$967,2,FALSE()),"")</f>
        <v>Monitor Multiparámetros</v>
      </c>
      <c r="C709" s="46" t="str">
        <f>IFERROR(VLOOKUP($A709,Equipos!$C$2:$M$967,9,FALSE()),"")</f>
        <v>01050</v>
      </c>
      <c r="D709" s="46" t="str">
        <f>IFERROR(VLOOKUP($A709,Equipos!$C$2:$M$967,3,FALSE()),"")</f>
        <v>Ginecología</v>
      </c>
      <c r="E709" s="46" t="str">
        <f>IFERROR(VLOOKUP($A709,Equipos!$C$2:$M$967,7,FALSE()),"")</f>
        <v xml:space="preserve">Nihon Kohden </v>
      </c>
      <c r="F709" s="46" t="str">
        <f>IFERROR(VLOOKUP($A709,Equipos!$C$2:$M$967,8,FALSE()),"")</f>
        <v>BSM-6301K</v>
      </c>
      <c r="G709" s="46" t="s">
        <v>298</v>
      </c>
      <c r="H709" s="46"/>
      <c r="I709" s="46"/>
      <c r="J709" s="46" t="s">
        <v>297</v>
      </c>
      <c r="K709" s="46" t="str">
        <f>IFERROR(VLOOKUP($J709,Catálogos!$M$4:$N$17,2,FALSE()),"")</f>
        <v>Mantención Preventiva Realizada</v>
      </c>
      <c r="L709" s="46"/>
      <c r="M709" s="46"/>
      <c r="N709" s="46"/>
      <c r="O709" s="46"/>
      <c r="P709" s="46"/>
      <c r="Q709" s="46"/>
    </row>
    <row r="710" spans="1:17" hidden="1" x14ac:dyDescent="0.25">
      <c r="A710" s="47" t="s">
        <v>727</v>
      </c>
      <c r="B710" s="46" t="str">
        <f>IFERROR(VLOOKUP($A710,Equipos!$C$2:$M$967,2,FALSE()),"")</f>
        <v>Monitor Multiparámetros</v>
      </c>
      <c r="C710" s="46" t="str">
        <f>IFERROR(VLOOKUP($A710,Equipos!$C$2:$M$967,9,FALSE()),"")</f>
        <v>01038</v>
      </c>
      <c r="D710" s="46" t="str">
        <f>IFERROR(VLOOKUP($A710,Equipos!$C$2:$M$967,3,FALSE()),"")</f>
        <v>Ginecología</v>
      </c>
      <c r="E710" s="46" t="str">
        <f>IFERROR(VLOOKUP($A710,Equipos!$C$2:$M$967,7,FALSE()),"")</f>
        <v xml:space="preserve">Nihon Kohden </v>
      </c>
      <c r="F710" s="46" t="str">
        <f>IFERROR(VLOOKUP($A710,Equipos!$C$2:$M$967,8,FALSE()),"")</f>
        <v>BSM-6301K</v>
      </c>
      <c r="G710" s="46" t="s">
        <v>298</v>
      </c>
      <c r="H710" s="46"/>
      <c r="I710" s="46"/>
      <c r="J710" s="46" t="s">
        <v>297</v>
      </c>
      <c r="K710" s="46" t="str">
        <f>IFERROR(VLOOKUP($J710,Catálogos!$M$4:$N$17,2,FALSE()),"")</f>
        <v>Mantención Preventiva Realizada</v>
      </c>
      <c r="L710" s="46"/>
      <c r="M710" s="46"/>
      <c r="N710" s="46"/>
      <c r="O710" s="46"/>
      <c r="P710" s="46"/>
      <c r="Q710" s="46"/>
    </row>
    <row r="711" spans="1:17" hidden="1" x14ac:dyDescent="0.25">
      <c r="A711" s="47" t="s">
        <v>728</v>
      </c>
      <c r="B711" s="46" t="str">
        <f>IFERROR(VLOOKUP($A711,Equipos!$C$2:$M$967,2,FALSE()),"")</f>
        <v>Monitor Multiparámetros</v>
      </c>
      <c r="C711" s="46" t="str">
        <f>IFERROR(VLOOKUP($A711,Equipos!$C$2:$M$967,9,FALSE()),"")</f>
        <v>01072</v>
      </c>
      <c r="D711" s="46" t="str">
        <f>IFERROR(VLOOKUP($A711,Equipos!$C$2:$M$967,3,FALSE()),"")</f>
        <v>Quimioterapia Ambulatoria Adulto</v>
      </c>
      <c r="E711" s="46" t="str">
        <f>IFERROR(VLOOKUP($A711,Equipos!$C$2:$M$967,7,FALSE()),"")</f>
        <v xml:space="preserve">Nihon Kohden </v>
      </c>
      <c r="F711" s="46" t="str">
        <f>IFERROR(VLOOKUP($A711,Equipos!$C$2:$M$967,8,FALSE()),"")</f>
        <v>BSM-6301K</v>
      </c>
      <c r="G711" s="46" t="s">
        <v>316</v>
      </c>
      <c r="H711" s="46"/>
      <c r="I711" s="46"/>
      <c r="J711" s="46" t="s">
        <v>323</v>
      </c>
      <c r="K711" s="46" t="str">
        <f>IFERROR(VLOOKUP($J711,Catálogos!$M$4:$N$17,2,FALSE()),"")</f>
        <v>Reprogramada · No disponibilidad de horas hombre del funcionario SEC por alta carga laboral</v>
      </c>
      <c r="L711" s="46"/>
      <c r="M711" s="46"/>
      <c r="N711" s="46"/>
      <c r="O711" s="46"/>
      <c r="P711" s="46"/>
      <c r="Q711" s="46"/>
    </row>
    <row r="712" spans="1:17" hidden="1" x14ac:dyDescent="0.25">
      <c r="A712" s="47" t="s">
        <v>728</v>
      </c>
      <c r="B712" s="46" t="str">
        <f>IFERROR(VLOOKUP($A712,Equipos!$C$2:$M$967,2,FALSE()),"")</f>
        <v>Monitor Multiparámetros</v>
      </c>
      <c r="C712" s="46" t="str">
        <f>IFERROR(VLOOKUP($A712,Equipos!$C$2:$M$967,9,FALSE()),"")</f>
        <v>01072</v>
      </c>
      <c r="D712" s="46" t="str">
        <f>IFERROR(VLOOKUP($A712,Equipos!$C$2:$M$967,3,FALSE()),"")</f>
        <v>Quimioterapia Ambulatoria Adulto</v>
      </c>
      <c r="E712" s="46" t="str">
        <f>IFERROR(VLOOKUP($A712,Equipos!$C$2:$M$967,7,FALSE()),"")</f>
        <v xml:space="preserve">Nihon Kohden </v>
      </c>
      <c r="F712" s="46" t="str">
        <f>IFERROR(VLOOKUP($A712,Equipos!$C$2:$M$967,8,FALSE()),"")</f>
        <v>BSM-6301K</v>
      </c>
      <c r="G712" s="46" t="s">
        <v>331</v>
      </c>
      <c r="H712" s="46"/>
      <c r="I712" s="46"/>
      <c r="J712" s="46" t="s">
        <v>297</v>
      </c>
      <c r="K712" s="46" t="str">
        <f>IFERROR(VLOOKUP($J712,Catálogos!$M$4:$N$17,2,FALSE()),"")</f>
        <v>Mantención Preventiva Realizada</v>
      </c>
      <c r="L712" s="46"/>
      <c r="M712" s="46"/>
      <c r="N712" s="46"/>
      <c r="O712" s="46"/>
      <c r="P712" s="46"/>
      <c r="Q712" s="46"/>
    </row>
    <row r="713" spans="1:17" hidden="1" x14ac:dyDescent="0.25">
      <c r="A713" s="47" t="s">
        <v>729</v>
      </c>
      <c r="B713" s="46" t="str">
        <f>IFERROR(VLOOKUP($A713,Equipos!$C$2:$M$967,2,FALSE()),"")</f>
        <v>Monitor Multiparámetros</v>
      </c>
      <c r="C713" s="46" t="str">
        <f>IFERROR(VLOOKUP($A713,Equipos!$C$2:$M$967,9,FALSE()),"")</f>
        <v>212726139</v>
      </c>
      <c r="D713" s="46" t="str">
        <f>IFERROR(VLOOKUP($A713,Equipos!$C$2:$M$967,3,FALSE()),"")</f>
        <v>Pediatría</v>
      </c>
      <c r="E713" s="46" t="str">
        <f>IFERROR(VLOOKUP($A713,Equipos!$C$2:$M$967,7,FALSE()),"")</f>
        <v xml:space="preserve">Criticare </v>
      </c>
      <c r="F713" s="46" t="str">
        <f>IFERROR(VLOOKUP($A713,Equipos!$C$2:$M$967,8,FALSE()),"")</f>
        <v>8100E-S</v>
      </c>
      <c r="G713" s="46" t="s">
        <v>335</v>
      </c>
      <c r="H713" s="46"/>
      <c r="I713" s="46"/>
      <c r="J713" s="46" t="s">
        <v>323</v>
      </c>
      <c r="K713" s="46" t="str">
        <f>IFERROR(VLOOKUP($J713,Catálogos!$M$4:$N$17,2,FALSE()),"")</f>
        <v>Reprogramada · No disponibilidad de horas hombre del funcionario SEC por alta carga laboral</v>
      </c>
      <c r="L713" s="46"/>
      <c r="M713" s="46"/>
      <c r="N713" s="46"/>
      <c r="O713" s="46"/>
      <c r="P713" s="46"/>
      <c r="Q713" s="46"/>
    </row>
    <row r="714" spans="1:17" hidden="1" x14ac:dyDescent="0.25">
      <c r="A714" s="47" t="s">
        <v>729</v>
      </c>
      <c r="B714" s="46" t="str">
        <f>IFERROR(VLOOKUP($A714,Equipos!$C$2:$M$967,2,FALSE()),"")</f>
        <v>Monitor Multiparámetros</v>
      </c>
      <c r="C714" s="46" t="str">
        <f>IFERROR(VLOOKUP($A714,Equipos!$C$2:$M$967,9,FALSE()),"")</f>
        <v>212726139</v>
      </c>
      <c r="D714" s="46" t="str">
        <f>IFERROR(VLOOKUP($A714,Equipos!$C$2:$M$967,3,FALSE()),"")</f>
        <v>Pediatría</v>
      </c>
      <c r="E714" s="46" t="str">
        <f>IFERROR(VLOOKUP($A714,Equipos!$C$2:$M$967,7,FALSE()),"")</f>
        <v xml:space="preserve">Criticare </v>
      </c>
      <c r="F714" s="46" t="str">
        <f>IFERROR(VLOOKUP($A714,Equipos!$C$2:$M$967,8,FALSE()),"")</f>
        <v>8100E-S</v>
      </c>
      <c r="G714" s="46" t="s">
        <v>296</v>
      </c>
      <c r="H714" s="46"/>
      <c r="I714" s="46"/>
      <c r="J714" s="46" t="s">
        <v>297</v>
      </c>
      <c r="K714" s="46" t="str">
        <f>IFERROR(VLOOKUP($J714,Catálogos!$M$4:$N$17,2,FALSE()),"")</f>
        <v>Mantención Preventiva Realizada</v>
      </c>
      <c r="L714" s="46"/>
      <c r="M714" s="46"/>
      <c r="N714" s="46"/>
      <c r="O714" s="46"/>
      <c r="P714" s="46"/>
      <c r="Q714" s="46"/>
    </row>
    <row r="715" spans="1:17" hidden="1" x14ac:dyDescent="0.25">
      <c r="A715" s="47" t="s">
        <v>730</v>
      </c>
      <c r="B715" s="46" t="str">
        <f>IFERROR(VLOOKUP($A715,Equipos!$C$2:$M$967,2,FALSE()),"")</f>
        <v>Monitor Multiparámetros</v>
      </c>
      <c r="C715" s="46" t="str">
        <f>IFERROR(VLOOKUP($A715,Equipos!$C$2:$M$967,9,FALSE()),"")</f>
        <v>212726134</v>
      </c>
      <c r="D715" s="46" t="str">
        <f>IFERROR(VLOOKUP($A715,Equipos!$C$2:$M$967,3,FALSE()),"")</f>
        <v>Pediatría</v>
      </c>
      <c r="E715" s="46" t="str">
        <f>IFERROR(VLOOKUP($A715,Equipos!$C$2:$M$967,7,FALSE()),"")</f>
        <v xml:space="preserve">Criticare </v>
      </c>
      <c r="F715" s="46" t="str">
        <f>IFERROR(VLOOKUP($A715,Equipos!$C$2:$M$967,8,FALSE()),"")</f>
        <v>8100E-S</v>
      </c>
      <c r="G715" s="46" t="s">
        <v>335</v>
      </c>
      <c r="H715" s="46"/>
      <c r="I715" s="46"/>
      <c r="J715" s="46" t="s">
        <v>323</v>
      </c>
      <c r="K715" s="46" t="str">
        <f>IFERROR(VLOOKUP($J715,Catálogos!$M$4:$N$17,2,FALSE()),"")</f>
        <v>Reprogramada · No disponibilidad de horas hombre del funcionario SEC por alta carga laboral</v>
      </c>
      <c r="L715" s="46"/>
      <c r="M715" s="46"/>
      <c r="N715" s="46"/>
      <c r="O715" s="46"/>
      <c r="P715" s="46"/>
      <c r="Q715" s="46"/>
    </row>
    <row r="716" spans="1:17" hidden="1" x14ac:dyDescent="0.25">
      <c r="A716" s="47" t="s">
        <v>730</v>
      </c>
      <c r="B716" s="46" t="str">
        <f>IFERROR(VLOOKUP($A716,Equipos!$C$2:$M$967,2,FALSE()),"")</f>
        <v>Monitor Multiparámetros</v>
      </c>
      <c r="C716" s="46" t="str">
        <f>IFERROR(VLOOKUP($A716,Equipos!$C$2:$M$967,9,FALSE()),"")</f>
        <v>212726134</v>
      </c>
      <c r="D716" s="46" t="str">
        <f>IFERROR(VLOOKUP($A716,Equipos!$C$2:$M$967,3,FALSE()),"")</f>
        <v>Pediatría</v>
      </c>
      <c r="E716" s="46" t="str">
        <f>IFERROR(VLOOKUP($A716,Equipos!$C$2:$M$967,7,FALSE()),"")</f>
        <v xml:space="preserve">Criticare </v>
      </c>
      <c r="F716" s="46" t="str">
        <f>IFERROR(VLOOKUP($A716,Equipos!$C$2:$M$967,8,FALSE()),"")</f>
        <v>8100E-S</v>
      </c>
      <c r="G716" s="46" t="s">
        <v>296</v>
      </c>
      <c r="H716" s="46"/>
      <c r="I716" s="46"/>
      <c r="J716" s="46" t="s">
        <v>297</v>
      </c>
      <c r="K716" s="46" t="str">
        <f>IFERROR(VLOOKUP($J716,Catálogos!$M$4:$N$17,2,FALSE()),"")</f>
        <v>Mantención Preventiva Realizada</v>
      </c>
      <c r="L716" s="46"/>
      <c r="M716" s="46"/>
      <c r="N716" s="46"/>
      <c r="O716" s="46"/>
      <c r="P716" s="46"/>
      <c r="Q716" s="46"/>
    </row>
    <row r="717" spans="1:17" hidden="1" x14ac:dyDescent="0.25">
      <c r="A717" s="47" t="s">
        <v>731</v>
      </c>
      <c r="B717" s="46" t="str">
        <f>IFERROR(VLOOKUP($A717,Equipos!$C$2:$M$967,2,FALSE()),"")</f>
        <v>Monitor Multiparámetros</v>
      </c>
      <c r="C717" s="46" t="str">
        <f>IFERROR(VLOOKUP($A717,Equipos!$C$2:$M$967,9,FALSE()),"")</f>
        <v>01062</v>
      </c>
      <c r="D717" s="46" t="str">
        <f>IFERROR(VLOOKUP($A717,Equipos!$C$2:$M$967,3,FALSE()),"")</f>
        <v>Pediatría</v>
      </c>
      <c r="E717" s="46" t="str">
        <f>IFERROR(VLOOKUP($A717,Equipos!$C$2:$M$967,7,FALSE()),"")</f>
        <v xml:space="preserve">Nihon Kohden </v>
      </c>
      <c r="F717" s="46" t="str">
        <f>IFERROR(VLOOKUP($A717,Equipos!$C$2:$M$967,8,FALSE()),"")</f>
        <v>BSM-6301K</v>
      </c>
      <c r="G717" s="46" t="s">
        <v>335</v>
      </c>
      <c r="H717" s="46"/>
      <c r="I717" s="46"/>
      <c r="J717" s="46" t="s">
        <v>323</v>
      </c>
      <c r="K717" s="46" t="str">
        <f>IFERROR(VLOOKUP($J717,Catálogos!$M$4:$N$17,2,FALSE()),"")</f>
        <v>Reprogramada · No disponibilidad de horas hombre del funcionario SEC por alta carga laboral</v>
      </c>
      <c r="L717" s="46"/>
      <c r="M717" s="46"/>
      <c r="N717" s="46"/>
      <c r="O717" s="46"/>
      <c r="P717" s="46"/>
      <c r="Q717" s="46"/>
    </row>
    <row r="718" spans="1:17" hidden="1" x14ac:dyDescent="0.25">
      <c r="A718" s="47" t="s">
        <v>731</v>
      </c>
      <c r="B718" s="46" t="str">
        <f>IFERROR(VLOOKUP($A718,Equipos!$C$2:$M$967,2,FALSE()),"")</f>
        <v>Monitor Multiparámetros</v>
      </c>
      <c r="C718" s="46" t="str">
        <f>IFERROR(VLOOKUP($A718,Equipos!$C$2:$M$967,9,FALSE()),"")</f>
        <v>01062</v>
      </c>
      <c r="D718" s="46" t="str">
        <f>IFERROR(VLOOKUP($A718,Equipos!$C$2:$M$967,3,FALSE()),"")</f>
        <v>Pediatría</v>
      </c>
      <c r="E718" s="46" t="str">
        <f>IFERROR(VLOOKUP($A718,Equipos!$C$2:$M$967,7,FALSE()),"")</f>
        <v xml:space="preserve">Nihon Kohden </v>
      </c>
      <c r="F718" s="46" t="str">
        <f>IFERROR(VLOOKUP($A718,Equipos!$C$2:$M$967,8,FALSE()),"")</f>
        <v>BSM-6301K</v>
      </c>
      <c r="G718" s="46" t="s">
        <v>296</v>
      </c>
      <c r="H718" s="46"/>
      <c r="I718" s="46"/>
      <c r="J718" s="46" t="s">
        <v>297</v>
      </c>
      <c r="K718" s="46" t="str">
        <f>IFERROR(VLOOKUP($J718,Catálogos!$M$4:$N$17,2,FALSE()),"")</f>
        <v>Mantención Preventiva Realizada</v>
      </c>
      <c r="L718" s="46"/>
      <c r="M718" s="46"/>
      <c r="N718" s="46"/>
      <c r="O718" s="46"/>
      <c r="P718" s="46"/>
      <c r="Q718" s="46"/>
    </row>
    <row r="719" spans="1:17" hidden="1" x14ac:dyDescent="0.25">
      <c r="A719" s="47" t="s">
        <v>732</v>
      </c>
      <c r="B719" s="46" t="str">
        <f>IFERROR(VLOOKUP($A719,Equipos!$C$2:$M$967,2,FALSE()),"")</f>
        <v>Monitor Multiparámetros</v>
      </c>
      <c r="C719" s="46" t="str">
        <f>IFERROR(VLOOKUP($A719,Equipos!$C$2:$M$967,9,FALSE()),"")</f>
        <v>212726126</v>
      </c>
      <c r="D719" s="46" t="str">
        <f>IFERROR(VLOOKUP($A719,Equipos!$C$2:$M$967,3,FALSE()),"")</f>
        <v>Pediatría</v>
      </c>
      <c r="E719" s="46" t="str">
        <f>IFERROR(VLOOKUP($A719,Equipos!$C$2:$M$967,7,FALSE()),"")</f>
        <v xml:space="preserve">Criticare </v>
      </c>
      <c r="F719" s="46" t="str">
        <f>IFERROR(VLOOKUP($A719,Equipos!$C$2:$M$967,8,FALSE()),"")</f>
        <v>8100E-S</v>
      </c>
      <c r="G719" s="46" t="s">
        <v>335</v>
      </c>
      <c r="H719" s="46"/>
      <c r="I719" s="46"/>
      <c r="J719" s="46" t="s">
        <v>323</v>
      </c>
      <c r="K719" s="46" t="str">
        <f>IFERROR(VLOOKUP($J719,Catálogos!$M$4:$N$17,2,FALSE()),"")</f>
        <v>Reprogramada · No disponibilidad de horas hombre del funcionario SEC por alta carga laboral</v>
      </c>
      <c r="L719" s="46"/>
      <c r="M719" s="46"/>
      <c r="N719" s="46"/>
      <c r="O719" s="46"/>
      <c r="P719" s="46"/>
      <c r="Q719" s="46"/>
    </row>
    <row r="720" spans="1:17" hidden="1" x14ac:dyDescent="0.25">
      <c r="A720" s="47" t="s">
        <v>732</v>
      </c>
      <c r="B720" s="46" t="str">
        <f>IFERROR(VLOOKUP($A720,Equipos!$C$2:$M$967,2,FALSE()),"")</f>
        <v>Monitor Multiparámetros</v>
      </c>
      <c r="C720" s="46" t="str">
        <f>IFERROR(VLOOKUP($A720,Equipos!$C$2:$M$967,9,FALSE()),"")</f>
        <v>212726126</v>
      </c>
      <c r="D720" s="46" t="str">
        <f>IFERROR(VLOOKUP($A720,Equipos!$C$2:$M$967,3,FALSE()),"")</f>
        <v>Pediatría</v>
      </c>
      <c r="E720" s="46" t="str">
        <f>IFERROR(VLOOKUP($A720,Equipos!$C$2:$M$967,7,FALSE()),"")</f>
        <v xml:space="preserve">Criticare </v>
      </c>
      <c r="F720" s="46" t="str">
        <f>IFERROR(VLOOKUP($A720,Equipos!$C$2:$M$967,8,FALSE()),"")</f>
        <v>8100E-S</v>
      </c>
      <c r="G720" s="46" t="s">
        <v>296</v>
      </c>
      <c r="H720" s="46"/>
      <c r="I720" s="46"/>
      <c r="J720" s="46" t="s">
        <v>297</v>
      </c>
      <c r="K720" s="46" t="str">
        <f>IFERROR(VLOOKUP($J720,Catálogos!$M$4:$N$17,2,FALSE()),"")</f>
        <v>Mantención Preventiva Realizada</v>
      </c>
      <c r="L720" s="46"/>
      <c r="M720" s="46"/>
      <c r="N720" s="46"/>
      <c r="O720" s="46"/>
      <c r="P720" s="46"/>
      <c r="Q720" s="46"/>
    </row>
    <row r="721" spans="1:17" hidden="1" x14ac:dyDescent="0.25">
      <c r="A721" s="47" t="s">
        <v>733</v>
      </c>
      <c r="B721" s="46" t="str">
        <f>IFERROR(VLOOKUP($A721,Equipos!$C$2:$M$967,2,FALSE()),"")</f>
        <v>Monitor Multiparámetros</v>
      </c>
      <c r="C721" s="46" t="str">
        <f>IFERROR(VLOOKUP($A721,Equipos!$C$2:$M$967,9,FALSE()),"")</f>
        <v>01030</v>
      </c>
      <c r="D721" s="46" t="str">
        <f>IFERROR(VLOOKUP($A721,Equipos!$C$2:$M$967,3,FALSE()),"")</f>
        <v>Cirugía Infantil</v>
      </c>
      <c r="E721" s="46" t="str">
        <f>IFERROR(VLOOKUP($A721,Equipos!$C$2:$M$967,7,FALSE()),"")</f>
        <v xml:space="preserve">Nihon Kohden </v>
      </c>
      <c r="F721" s="46" t="str">
        <f>IFERROR(VLOOKUP($A721,Equipos!$C$2:$M$967,8,FALSE()),"")</f>
        <v>BSM-6301K</v>
      </c>
      <c r="G721" s="46" t="s">
        <v>335</v>
      </c>
      <c r="H721" s="46"/>
      <c r="I721" s="46"/>
      <c r="J721" s="46" t="s">
        <v>323</v>
      </c>
      <c r="K721" s="46" t="str">
        <f>IFERROR(VLOOKUP($J721,Catálogos!$M$4:$N$17,2,FALSE()),"")</f>
        <v>Reprogramada · No disponibilidad de horas hombre del funcionario SEC por alta carga laboral</v>
      </c>
      <c r="L721" s="46"/>
      <c r="M721" s="46"/>
      <c r="N721" s="46"/>
      <c r="O721" s="46"/>
      <c r="P721" s="46"/>
      <c r="Q721" s="46"/>
    </row>
    <row r="722" spans="1:17" hidden="1" x14ac:dyDescent="0.25">
      <c r="A722" s="47" t="s">
        <v>733</v>
      </c>
      <c r="B722" s="46" t="str">
        <f>IFERROR(VLOOKUP($A722,Equipos!$C$2:$M$967,2,FALSE()),"")</f>
        <v>Monitor Multiparámetros</v>
      </c>
      <c r="C722" s="46" t="str">
        <f>IFERROR(VLOOKUP($A722,Equipos!$C$2:$M$967,9,FALSE()),"")</f>
        <v>01030</v>
      </c>
      <c r="D722" s="46" t="str">
        <f>IFERROR(VLOOKUP($A722,Equipos!$C$2:$M$967,3,FALSE()),"")</f>
        <v>Cirugía Infantil</v>
      </c>
      <c r="E722" s="46" t="str">
        <f>IFERROR(VLOOKUP($A722,Equipos!$C$2:$M$967,7,FALSE()),"")</f>
        <v xml:space="preserve">Nihon Kohden </v>
      </c>
      <c r="F722" s="46" t="str">
        <f>IFERROR(VLOOKUP($A722,Equipos!$C$2:$M$967,8,FALSE()),"")</f>
        <v>BSM-6301K</v>
      </c>
      <c r="G722" s="46" t="s">
        <v>296</v>
      </c>
      <c r="H722" s="46"/>
      <c r="I722" s="46"/>
      <c r="J722" s="46" t="s">
        <v>297</v>
      </c>
      <c r="K722" s="46" t="str">
        <f>IFERROR(VLOOKUP($J722,Catálogos!$M$4:$N$17,2,FALSE()),"")</f>
        <v>Mantención Preventiva Realizada</v>
      </c>
      <c r="L722" s="46"/>
      <c r="M722" s="46"/>
      <c r="N722" s="46"/>
      <c r="O722" s="46"/>
      <c r="P722" s="46"/>
      <c r="Q722" s="46"/>
    </row>
    <row r="723" spans="1:17" hidden="1" x14ac:dyDescent="0.25">
      <c r="A723" s="47" t="s">
        <v>734</v>
      </c>
      <c r="B723" s="46" t="str">
        <f>IFERROR(VLOOKUP($A723,Equipos!$C$2:$M$967,2,FALSE()),"")</f>
        <v>Monitor Multiparámetros</v>
      </c>
      <c r="C723" s="46" t="str">
        <f>IFERROR(VLOOKUP($A723,Equipos!$C$2:$M$967,9,FALSE()),"")</f>
        <v>01064</v>
      </c>
      <c r="D723" s="46" t="str">
        <f>IFERROR(VLOOKUP($A723,Equipos!$C$2:$M$967,3,FALSE()),"")</f>
        <v>Medicina</v>
      </c>
      <c r="E723" s="46" t="str">
        <f>IFERROR(VLOOKUP($A723,Equipos!$C$2:$M$967,7,FALSE()),"")</f>
        <v xml:space="preserve">Nihon Kohden </v>
      </c>
      <c r="F723" s="46" t="str">
        <f>IFERROR(VLOOKUP($A723,Equipos!$C$2:$M$967,8,FALSE()),"")</f>
        <v>BSM-6301K</v>
      </c>
      <c r="G723" s="46" t="s">
        <v>296</v>
      </c>
      <c r="H723" s="46"/>
      <c r="I723" s="46"/>
      <c r="J723" s="46" t="s">
        <v>323</v>
      </c>
      <c r="K723" s="46" t="str">
        <f>IFERROR(VLOOKUP($J723,Catálogos!$M$4:$N$17,2,FALSE()),"")</f>
        <v>Reprogramada · No disponibilidad de horas hombre del funcionario SEC por alta carga laboral</v>
      </c>
      <c r="L723" s="46"/>
      <c r="M723" s="46"/>
      <c r="N723" s="46"/>
      <c r="O723" s="46"/>
      <c r="P723" s="46"/>
      <c r="Q723" s="46"/>
    </row>
    <row r="724" spans="1:17" hidden="1" x14ac:dyDescent="0.25">
      <c r="A724" s="47" t="s">
        <v>734</v>
      </c>
      <c r="B724" s="46" t="str">
        <f>IFERROR(VLOOKUP($A724,Equipos!$C$2:$M$967,2,FALSE()),"")</f>
        <v>Monitor Multiparámetros</v>
      </c>
      <c r="C724" s="46" t="str">
        <f>IFERROR(VLOOKUP($A724,Equipos!$C$2:$M$967,9,FALSE()),"")</f>
        <v>01064</v>
      </c>
      <c r="D724" s="46" t="str">
        <f>IFERROR(VLOOKUP($A724,Equipos!$C$2:$M$967,3,FALSE()),"")</f>
        <v>Medicina</v>
      </c>
      <c r="E724" s="46" t="str">
        <f>IFERROR(VLOOKUP($A724,Equipos!$C$2:$M$967,7,FALSE()),"")</f>
        <v xml:space="preserve">Nihon Kohden </v>
      </c>
      <c r="F724" s="46" t="str">
        <f>IFERROR(VLOOKUP($A724,Equipos!$C$2:$M$967,8,FALSE()),"")</f>
        <v>BSM-6301K</v>
      </c>
      <c r="G724" s="46" t="s">
        <v>316</v>
      </c>
      <c r="H724" s="46"/>
      <c r="I724" s="46"/>
      <c r="J724" s="46" t="s">
        <v>297</v>
      </c>
      <c r="K724" s="46" t="str">
        <f>IFERROR(VLOOKUP($J724,Catálogos!$M$4:$N$17,2,FALSE()),"")</f>
        <v>Mantención Preventiva Realizada</v>
      </c>
      <c r="L724" s="46"/>
      <c r="M724" s="46"/>
      <c r="N724" s="46"/>
      <c r="O724" s="46"/>
      <c r="P724" s="46"/>
      <c r="Q724" s="46"/>
    </row>
    <row r="725" spans="1:17" hidden="1" x14ac:dyDescent="0.25">
      <c r="A725" s="47" t="s">
        <v>735</v>
      </c>
      <c r="B725" s="46" t="str">
        <f>IFERROR(VLOOKUP($A725,Equipos!$C$2:$M$967,2,FALSE()),"")</f>
        <v>Monitor Multiparámetros</v>
      </c>
      <c r="C725" s="46" t="str">
        <f>IFERROR(VLOOKUP($A725,Equipos!$C$2:$M$967,9,FALSE()),"")</f>
        <v>01056</v>
      </c>
      <c r="D725" s="46" t="str">
        <f>IFERROR(VLOOKUP($A725,Equipos!$C$2:$M$967,3,FALSE()),"")</f>
        <v>Quimioterapia Ambulatoria Adulto</v>
      </c>
      <c r="E725" s="46" t="str">
        <f>IFERROR(VLOOKUP($A725,Equipos!$C$2:$M$967,7,FALSE()),"")</f>
        <v xml:space="preserve">Nihon Kohden </v>
      </c>
      <c r="F725" s="46" t="str">
        <f>IFERROR(VLOOKUP($A725,Equipos!$C$2:$M$967,8,FALSE()),"")</f>
        <v>BSM-6301K</v>
      </c>
      <c r="G725" s="46" t="s">
        <v>316</v>
      </c>
      <c r="H725" s="46"/>
      <c r="I725" s="46"/>
      <c r="J725" s="46" t="s">
        <v>323</v>
      </c>
      <c r="K725" s="46" t="str">
        <f>IFERROR(VLOOKUP($J725,Catálogos!$M$4:$N$17,2,FALSE()),"")</f>
        <v>Reprogramada · No disponibilidad de horas hombre del funcionario SEC por alta carga laboral</v>
      </c>
      <c r="L725" s="46"/>
      <c r="M725" s="46"/>
      <c r="N725" s="46"/>
      <c r="O725" s="46"/>
      <c r="P725" s="46"/>
      <c r="Q725" s="46"/>
    </row>
    <row r="726" spans="1:17" hidden="1" x14ac:dyDescent="0.25">
      <c r="A726" s="47" t="s">
        <v>735</v>
      </c>
      <c r="B726" s="46" t="str">
        <f>IFERROR(VLOOKUP($A726,Equipos!$C$2:$M$967,2,FALSE()),"")</f>
        <v>Monitor Multiparámetros</v>
      </c>
      <c r="C726" s="46" t="str">
        <f>IFERROR(VLOOKUP($A726,Equipos!$C$2:$M$967,9,FALSE()),"")</f>
        <v>01056</v>
      </c>
      <c r="D726" s="46" t="str">
        <f>IFERROR(VLOOKUP($A726,Equipos!$C$2:$M$967,3,FALSE()),"")</f>
        <v>Quimioterapia Ambulatoria Adulto</v>
      </c>
      <c r="E726" s="46" t="str">
        <f>IFERROR(VLOOKUP($A726,Equipos!$C$2:$M$967,7,FALSE()),"")</f>
        <v xml:space="preserve">Nihon Kohden </v>
      </c>
      <c r="F726" s="46" t="str">
        <f>IFERROR(VLOOKUP($A726,Equipos!$C$2:$M$967,8,FALSE()),"")</f>
        <v>BSM-6301K</v>
      </c>
      <c r="G726" s="46" t="s">
        <v>331</v>
      </c>
      <c r="H726" s="46"/>
      <c r="I726" s="46"/>
      <c r="J726" s="46" t="s">
        <v>297</v>
      </c>
      <c r="K726" s="46" t="str">
        <f>IFERROR(VLOOKUP($J726,Catálogos!$M$4:$N$17,2,FALSE()),"")</f>
        <v>Mantención Preventiva Realizada</v>
      </c>
      <c r="L726" s="46"/>
      <c r="M726" s="46"/>
      <c r="N726" s="46"/>
      <c r="O726" s="46"/>
      <c r="P726" s="46"/>
      <c r="Q726" s="46"/>
    </row>
    <row r="727" spans="1:17" hidden="1" x14ac:dyDescent="0.25">
      <c r="A727" s="47" t="s">
        <v>736</v>
      </c>
      <c r="B727" s="46" t="str">
        <f>IFERROR(VLOOKUP($A727,Equipos!$C$2:$M$967,2,FALSE()),"")</f>
        <v>Monitor Multiparámetros</v>
      </c>
      <c r="C727" s="46" t="str">
        <f>IFERROR(VLOOKUP($A727,Equipos!$C$2:$M$967,9,FALSE()),"")</f>
        <v>01073</v>
      </c>
      <c r="D727" s="46" t="str">
        <f>IFERROR(VLOOKUP($A727,Equipos!$C$2:$M$967,3,FALSE()),"")</f>
        <v>Medicina</v>
      </c>
      <c r="E727" s="46" t="str">
        <f>IFERROR(VLOOKUP($A727,Equipos!$C$2:$M$967,7,FALSE()),"")</f>
        <v xml:space="preserve">Nihon Kohden </v>
      </c>
      <c r="F727" s="46" t="str">
        <f>IFERROR(VLOOKUP($A727,Equipos!$C$2:$M$967,8,FALSE()),"")</f>
        <v>BSM-6301K</v>
      </c>
      <c r="G727" s="46" t="s">
        <v>296</v>
      </c>
      <c r="H727" s="46"/>
      <c r="I727" s="46"/>
      <c r="J727" s="46" t="s">
        <v>297</v>
      </c>
      <c r="K727" s="46" t="str">
        <f>IFERROR(VLOOKUP($J727,Catálogos!$M$4:$N$17,2,FALSE()),"")</f>
        <v>Mantención Preventiva Realizada</v>
      </c>
      <c r="L727" s="46"/>
      <c r="M727" s="46"/>
      <c r="N727" s="46"/>
      <c r="O727" s="46"/>
      <c r="P727" s="46"/>
      <c r="Q727" s="46"/>
    </row>
    <row r="728" spans="1:17" hidden="1" x14ac:dyDescent="0.25">
      <c r="A728" s="47" t="s">
        <v>737</v>
      </c>
      <c r="B728" s="46" t="str">
        <f>IFERROR(VLOOKUP($A728,Equipos!$C$2:$M$967,2,FALSE()),"")</f>
        <v>Monitor Multiparámetros</v>
      </c>
      <c r="C728" s="46" t="str">
        <f>IFERROR(VLOOKUP($A728,Equipos!$C$2:$M$967,9,FALSE()),"")</f>
        <v>01061</v>
      </c>
      <c r="D728" s="46" t="str">
        <f>IFERROR(VLOOKUP($A728,Equipos!$C$2:$M$967,3,FALSE()),"")</f>
        <v>Medicina</v>
      </c>
      <c r="E728" s="46" t="str">
        <f>IFERROR(VLOOKUP($A728,Equipos!$C$2:$M$967,7,FALSE()),"")</f>
        <v xml:space="preserve">Nihon Kohden </v>
      </c>
      <c r="F728" s="46" t="str">
        <f>IFERROR(VLOOKUP($A728,Equipos!$C$2:$M$967,8,FALSE()),"")</f>
        <v>BSM-6301K</v>
      </c>
      <c r="G728" s="46" t="s">
        <v>296</v>
      </c>
      <c r="H728" s="46"/>
      <c r="I728" s="46"/>
      <c r="J728" s="46" t="s">
        <v>297</v>
      </c>
      <c r="K728" s="46" t="str">
        <f>IFERROR(VLOOKUP($J728,Catálogos!$M$4:$N$17,2,FALSE()),"")</f>
        <v>Mantención Preventiva Realizada</v>
      </c>
      <c r="L728" s="46"/>
      <c r="M728" s="46"/>
      <c r="N728" s="46"/>
      <c r="O728" s="46"/>
      <c r="P728" s="46"/>
      <c r="Q728" s="46"/>
    </row>
    <row r="729" spans="1:17" hidden="1" x14ac:dyDescent="0.25">
      <c r="A729" s="47" t="s">
        <v>738</v>
      </c>
      <c r="B729" s="46" t="str">
        <f>IFERROR(VLOOKUP($A729,Equipos!$C$2:$M$967,2,FALSE()),"")</f>
        <v>Monitor Multiparámetros</v>
      </c>
      <c r="C729" s="46" t="str">
        <f>IFERROR(VLOOKUP($A729,Equipos!$C$2:$M$967,9,FALSE()),"")</f>
        <v>01048</v>
      </c>
      <c r="D729" s="46" t="str">
        <f>IFERROR(VLOOKUP($A729,Equipos!$C$2:$M$967,3,FALSE()),"")</f>
        <v>SAMU</v>
      </c>
      <c r="E729" s="46" t="str">
        <f>IFERROR(VLOOKUP($A729,Equipos!$C$2:$M$967,7,FALSE()),"")</f>
        <v xml:space="preserve">Nihon Kohden </v>
      </c>
      <c r="F729" s="46" t="str">
        <f>IFERROR(VLOOKUP($A729,Equipos!$C$2:$M$967,8,FALSE()),"")</f>
        <v>BSM-6301K</v>
      </c>
      <c r="G729" s="46" t="s">
        <v>331</v>
      </c>
      <c r="H729" s="46"/>
      <c r="I729" s="46"/>
      <c r="J729" s="46" t="s">
        <v>297</v>
      </c>
      <c r="K729" s="46" t="str">
        <f>IFERROR(VLOOKUP($J729,Catálogos!$M$4:$N$17,2,FALSE()),"")</f>
        <v>Mantención Preventiva Realizada</v>
      </c>
      <c r="L729" s="46"/>
      <c r="M729" s="46"/>
      <c r="N729" s="46"/>
      <c r="O729" s="46"/>
      <c r="P729" s="46"/>
      <c r="Q729" s="46"/>
    </row>
    <row r="730" spans="1:17" hidden="1" x14ac:dyDescent="0.25">
      <c r="A730" s="47" t="s">
        <v>739</v>
      </c>
      <c r="B730" s="46" t="str">
        <f>IFERROR(VLOOKUP($A730,Equipos!$C$2:$M$967,2,FALSE()),"")</f>
        <v>Monitor Multiparámetros</v>
      </c>
      <c r="C730" s="46" t="str">
        <f>IFERROR(VLOOKUP($A730,Equipos!$C$2:$M$967,9,FALSE()),"")</f>
        <v>01040</v>
      </c>
      <c r="D730" s="46" t="str">
        <f>IFERROR(VLOOKUP($A730,Equipos!$C$2:$M$967,3,FALSE()),"")</f>
        <v>SAMU</v>
      </c>
      <c r="E730" s="46" t="str">
        <f>IFERROR(VLOOKUP($A730,Equipos!$C$2:$M$967,7,FALSE()),"")</f>
        <v xml:space="preserve">Nihon Kohden </v>
      </c>
      <c r="F730" s="46" t="str">
        <f>IFERROR(VLOOKUP($A730,Equipos!$C$2:$M$967,8,FALSE()),"")</f>
        <v>BSM-6301K</v>
      </c>
      <c r="G730" s="46" t="s">
        <v>331</v>
      </c>
      <c r="H730" s="46"/>
      <c r="I730" s="46"/>
      <c r="J730" s="46" t="s">
        <v>297</v>
      </c>
      <c r="K730" s="46" t="str">
        <f>IFERROR(VLOOKUP($J730,Catálogos!$M$4:$N$17,2,FALSE()),"")</f>
        <v>Mantención Preventiva Realizada</v>
      </c>
      <c r="L730" s="46"/>
      <c r="M730" s="46"/>
      <c r="N730" s="46"/>
      <c r="O730" s="46"/>
      <c r="P730" s="46"/>
      <c r="Q730" s="46"/>
    </row>
    <row r="731" spans="1:17" hidden="1" x14ac:dyDescent="0.25">
      <c r="A731" s="47" t="s">
        <v>740</v>
      </c>
      <c r="B731" s="46" t="str">
        <f>IFERROR(VLOOKUP($A731,Equipos!$C$2:$M$967,2,FALSE()),"")</f>
        <v>Monitor Multiparámetros</v>
      </c>
      <c r="C731" s="46" t="str">
        <f>IFERROR(VLOOKUP($A731,Equipos!$C$2:$M$967,9,FALSE()),"")</f>
        <v>01068</v>
      </c>
      <c r="D731" s="46" t="str">
        <f>IFERROR(VLOOKUP($A731,Equipos!$C$2:$M$967,3,FALSE()),"")</f>
        <v>Medicina (Prestado a medicina cardiovascular)</v>
      </c>
      <c r="E731" s="46" t="str">
        <f>IFERROR(VLOOKUP($A731,Equipos!$C$2:$M$967,7,FALSE()),"")</f>
        <v xml:space="preserve">Nihon Kohden </v>
      </c>
      <c r="F731" s="46" t="str">
        <f>IFERROR(VLOOKUP($A731,Equipos!$C$2:$M$967,8,FALSE()),"")</f>
        <v>BSM-6301K</v>
      </c>
      <c r="G731" s="46" t="s">
        <v>296</v>
      </c>
      <c r="H731" s="46"/>
      <c r="I731" s="46"/>
      <c r="J731" s="46" t="s">
        <v>323</v>
      </c>
      <c r="K731" s="46" t="str">
        <f>IFERROR(VLOOKUP($J731,Catálogos!$M$4:$N$17,2,FALSE()),"")</f>
        <v>Reprogramada · No disponibilidad de horas hombre del funcionario SEC por alta carga laboral</v>
      </c>
      <c r="L731" s="46"/>
      <c r="M731" s="46"/>
      <c r="N731" s="46"/>
      <c r="O731" s="46"/>
      <c r="P731" s="46"/>
      <c r="Q731" s="46"/>
    </row>
    <row r="732" spans="1:17" hidden="1" x14ac:dyDescent="0.25">
      <c r="A732" s="47" t="s">
        <v>740</v>
      </c>
      <c r="B732" s="46" t="str">
        <f>IFERROR(VLOOKUP($A732,Equipos!$C$2:$M$967,2,FALSE()),"")</f>
        <v>Monitor Multiparámetros</v>
      </c>
      <c r="C732" s="46" t="str">
        <f>IFERROR(VLOOKUP($A732,Equipos!$C$2:$M$967,9,FALSE()),"")</f>
        <v>01068</v>
      </c>
      <c r="D732" s="46" t="str">
        <f>IFERROR(VLOOKUP($A732,Equipos!$C$2:$M$967,3,FALSE()),"")</f>
        <v>Medicina (Prestado a medicina cardiovascular)</v>
      </c>
      <c r="E732" s="46" t="str">
        <f>IFERROR(VLOOKUP($A732,Equipos!$C$2:$M$967,7,FALSE()),"")</f>
        <v xml:space="preserve">Nihon Kohden </v>
      </c>
      <c r="F732" s="46" t="str">
        <f>IFERROR(VLOOKUP($A732,Equipos!$C$2:$M$967,8,FALSE()),"")</f>
        <v>BSM-6301K</v>
      </c>
      <c r="G732" s="46" t="s">
        <v>316</v>
      </c>
      <c r="H732" s="46"/>
      <c r="I732" s="46"/>
      <c r="J732" s="46" t="s">
        <v>297</v>
      </c>
      <c r="K732" s="46" t="str">
        <f>IFERROR(VLOOKUP($J732,Catálogos!$M$4:$N$17,2,FALSE()),"")</f>
        <v>Mantención Preventiva Realizada</v>
      </c>
      <c r="L732" s="46"/>
      <c r="M732" s="46"/>
      <c r="N732" s="46"/>
      <c r="O732" s="46"/>
      <c r="P732" s="46"/>
      <c r="Q732" s="46"/>
    </row>
    <row r="733" spans="1:17" hidden="1" x14ac:dyDescent="0.25">
      <c r="A733" s="47" t="s">
        <v>741</v>
      </c>
      <c r="B733" s="46" t="str">
        <f>IFERROR(VLOOKUP($A733,Equipos!$C$2:$M$967,2,FALSE()),"")</f>
        <v>Monitor Multiparámetros</v>
      </c>
      <c r="C733" s="46" t="str">
        <f>IFERROR(VLOOKUP($A733,Equipos!$C$2:$M$967,9,FALSE()),"")</f>
        <v>01067</v>
      </c>
      <c r="D733" s="46" t="str">
        <f>IFERROR(VLOOKUP($A733,Equipos!$C$2:$M$967,3,FALSE()),"")</f>
        <v>Medicina</v>
      </c>
      <c r="E733" s="46" t="str">
        <f>IFERROR(VLOOKUP($A733,Equipos!$C$2:$M$967,7,FALSE()),"")</f>
        <v xml:space="preserve">Nihon Kohden </v>
      </c>
      <c r="F733" s="46" t="str">
        <f>IFERROR(VLOOKUP($A733,Equipos!$C$2:$M$967,8,FALSE()),"")</f>
        <v>BSM-6301K</v>
      </c>
      <c r="G733" s="46" t="s">
        <v>296</v>
      </c>
      <c r="H733" s="46"/>
      <c r="I733" s="46"/>
      <c r="J733" s="46" t="s">
        <v>297</v>
      </c>
      <c r="K733" s="46" t="str">
        <f>IFERROR(VLOOKUP($J733,Catálogos!$M$4:$N$17,2,FALSE()),"")</f>
        <v>Mantención Preventiva Realizada</v>
      </c>
      <c r="L733" s="46"/>
      <c r="M733" s="46"/>
      <c r="N733" s="46"/>
      <c r="O733" s="46"/>
      <c r="P733" s="46"/>
      <c r="Q733" s="46"/>
    </row>
    <row r="734" spans="1:17" hidden="1" x14ac:dyDescent="0.25">
      <c r="A734" s="47" t="s">
        <v>742</v>
      </c>
      <c r="B734" s="46" t="str">
        <f>IFERROR(VLOOKUP($A734,Equipos!$C$2:$M$967,2,FALSE()),"")</f>
        <v>Monitor Multiparámetros</v>
      </c>
      <c r="C734" s="46" t="str">
        <f>IFERROR(VLOOKUP($A734,Equipos!$C$2:$M$967,9,FALSE()),"")</f>
        <v>01042</v>
      </c>
      <c r="D734" s="46" t="str">
        <f>IFERROR(VLOOKUP($A734,Equipos!$C$2:$M$967,3,FALSE()),"")</f>
        <v>Medicina</v>
      </c>
      <c r="E734" s="46" t="str">
        <f>IFERROR(VLOOKUP($A734,Equipos!$C$2:$M$967,7,FALSE()),"")</f>
        <v xml:space="preserve">Nihon Kohden </v>
      </c>
      <c r="F734" s="46" t="str">
        <f>IFERROR(VLOOKUP($A734,Equipos!$C$2:$M$967,8,FALSE()),"")</f>
        <v>BSM-6301K</v>
      </c>
      <c r="G734" s="46" t="s">
        <v>296</v>
      </c>
      <c r="H734" s="46"/>
      <c r="I734" s="46"/>
      <c r="J734" s="46" t="s">
        <v>297</v>
      </c>
      <c r="K734" s="46" t="str">
        <f>IFERROR(VLOOKUP($J734,Catálogos!$M$4:$N$17,2,FALSE()),"")</f>
        <v>Mantención Preventiva Realizada</v>
      </c>
      <c r="L734" s="46"/>
      <c r="M734" s="46"/>
      <c r="N734" s="46"/>
      <c r="O734" s="46"/>
      <c r="P734" s="46"/>
      <c r="Q734" s="46"/>
    </row>
    <row r="735" spans="1:17" hidden="1" x14ac:dyDescent="0.25">
      <c r="A735" s="47" t="s">
        <v>743</v>
      </c>
      <c r="B735" s="46" t="str">
        <f>IFERROR(VLOOKUP($A735,Equipos!$C$2:$M$967,2,FALSE()),"")</f>
        <v>Monitor Multiparámetros</v>
      </c>
      <c r="C735" s="46" t="str">
        <f>IFERROR(VLOOKUP($A735,Equipos!$C$2:$M$967,9,FALSE()),"")</f>
        <v>01058</v>
      </c>
      <c r="D735" s="46" t="str">
        <f>IFERROR(VLOOKUP($A735,Equipos!$C$2:$M$967,3,FALSE()),"")</f>
        <v>Medicina (Prestado a medicina cardiovascular)</v>
      </c>
      <c r="E735" s="46" t="str">
        <f>IFERROR(VLOOKUP($A735,Equipos!$C$2:$M$967,7,FALSE()),"")</f>
        <v xml:space="preserve">Nihon Kohden </v>
      </c>
      <c r="F735" s="46" t="str">
        <f>IFERROR(VLOOKUP($A735,Equipos!$C$2:$M$967,8,FALSE()),"")</f>
        <v>BSM-6301K</v>
      </c>
      <c r="G735" s="46" t="s">
        <v>296</v>
      </c>
      <c r="H735" s="46"/>
      <c r="I735" s="46"/>
      <c r="J735" s="46" t="s">
        <v>323</v>
      </c>
      <c r="K735" s="46" t="str">
        <f>IFERROR(VLOOKUP($J735,Catálogos!$M$4:$N$17,2,FALSE()),"")</f>
        <v>Reprogramada · No disponibilidad de horas hombre del funcionario SEC por alta carga laboral</v>
      </c>
      <c r="L735" s="46"/>
      <c r="M735" s="46"/>
      <c r="N735" s="46"/>
      <c r="O735" s="46"/>
      <c r="P735" s="46"/>
      <c r="Q735" s="46"/>
    </row>
    <row r="736" spans="1:17" hidden="1" x14ac:dyDescent="0.25">
      <c r="A736" s="47" t="s">
        <v>743</v>
      </c>
      <c r="B736" s="46" t="str">
        <f>IFERROR(VLOOKUP($A736,Equipos!$C$2:$M$967,2,FALSE()),"")</f>
        <v>Monitor Multiparámetros</v>
      </c>
      <c r="C736" s="46" t="str">
        <f>IFERROR(VLOOKUP($A736,Equipos!$C$2:$M$967,9,FALSE()),"")</f>
        <v>01058</v>
      </c>
      <c r="D736" s="46" t="str">
        <f>IFERROR(VLOOKUP($A736,Equipos!$C$2:$M$967,3,FALSE()),"")</f>
        <v>Medicina (Prestado a medicina cardiovascular)</v>
      </c>
      <c r="E736" s="46" t="str">
        <f>IFERROR(VLOOKUP($A736,Equipos!$C$2:$M$967,7,FALSE()),"")</f>
        <v xml:space="preserve">Nihon Kohden </v>
      </c>
      <c r="F736" s="46" t="str">
        <f>IFERROR(VLOOKUP($A736,Equipos!$C$2:$M$967,8,FALSE()),"")</f>
        <v>BSM-6301K</v>
      </c>
      <c r="G736" s="46" t="s">
        <v>316</v>
      </c>
      <c r="H736" s="46"/>
      <c r="I736" s="46"/>
      <c r="J736" s="46" t="s">
        <v>297</v>
      </c>
      <c r="K736" s="46" t="str">
        <f>IFERROR(VLOOKUP($J736,Catálogos!$M$4:$N$17,2,FALSE()),"")</f>
        <v>Mantención Preventiva Realizada</v>
      </c>
      <c r="L736" s="46"/>
      <c r="M736" s="46"/>
      <c r="N736" s="46"/>
      <c r="O736" s="46"/>
      <c r="P736" s="46"/>
      <c r="Q736" s="46"/>
    </row>
    <row r="737" spans="1:17" hidden="1" x14ac:dyDescent="0.25">
      <c r="A737" s="47" t="s">
        <v>744</v>
      </c>
      <c r="B737" s="46" t="str">
        <f>IFERROR(VLOOKUP($A737,Equipos!$C$2:$M$967,2,FALSE()),"")</f>
        <v>Monitor Multiparámetros</v>
      </c>
      <c r="C737" s="46" t="str">
        <f>IFERROR(VLOOKUP($A737,Equipos!$C$2:$M$967,9,FALSE()),"")</f>
        <v>01045</v>
      </c>
      <c r="D737" s="46" t="str">
        <f>IFERROR(VLOOKUP($A737,Equipos!$C$2:$M$967,3,FALSE()),"")</f>
        <v>Medicina</v>
      </c>
      <c r="E737" s="46" t="str">
        <f>IFERROR(VLOOKUP($A737,Equipos!$C$2:$M$967,7,FALSE()),"")</f>
        <v xml:space="preserve">Nihon Kohden </v>
      </c>
      <c r="F737" s="46" t="str">
        <f>IFERROR(VLOOKUP($A737,Equipos!$C$2:$M$967,8,FALSE()),"")</f>
        <v>BSM-6301K</v>
      </c>
      <c r="G737" s="46" t="s">
        <v>296</v>
      </c>
      <c r="H737" s="46"/>
      <c r="I737" s="46"/>
      <c r="J737" s="46" t="s">
        <v>278</v>
      </c>
      <c r="K737" s="46" t="str">
        <f>IFERROR(VLOOKUP($J737,Catálogos!$M$4:$N$17,2,FALSE()),"")</f>
        <v>Reprogramada · Equipo en servicio técnico</v>
      </c>
      <c r="L737" s="46"/>
      <c r="M737" s="46"/>
      <c r="N737" s="46"/>
      <c r="O737" s="46"/>
      <c r="P737" s="46"/>
      <c r="Q737" s="46"/>
    </row>
    <row r="738" spans="1:17" hidden="1" x14ac:dyDescent="0.25">
      <c r="A738" s="47" t="s">
        <v>745</v>
      </c>
      <c r="B738" s="46" t="str">
        <f>IFERROR(VLOOKUP($A738,Equipos!$C$2:$M$967,2,FALSE()),"")</f>
        <v>Monitor Multiparámetros</v>
      </c>
      <c r="C738" s="46" t="str">
        <f>IFERROR(VLOOKUP($A738,Equipos!$C$2:$M$967,9,FALSE()),"")</f>
        <v>1393-109309</v>
      </c>
      <c r="D738" s="46" t="str">
        <f>IFERROR(VLOOKUP($A738,Equipos!$C$2:$M$967,3,FALSE()),"")</f>
        <v>UPC Pediátrica</v>
      </c>
      <c r="E738" s="46" t="str">
        <f>IFERROR(VLOOKUP($A738,Equipos!$C$2:$M$967,7,FALSE()),"")</f>
        <v>SPACELABS HEALTHCARE</v>
      </c>
      <c r="F738" s="46" t="str">
        <f>IFERROR(VLOOKUP($A738,Equipos!$C$2:$M$967,8,FALSE()),"")</f>
        <v>XPREZZON</v>
      </c>
      <c r="G738" s="46" t="s">
        <v>335</v>
      </c>
      <c r="H738" s="46"/>
      <c r="I738" s="46"/>
      <c r="J738" s="46" t="s">
        <v>315</v>
      </c>
      <c r="K738" s="46" t="str">
        <f>IFERROR(VLOOKUP($J738,Catálogos!$M$4:$N$17,2,FALSE()),"")</f>
        <v>Reprogramada · Ausencia justificada del funcionario SEC superior a 15 días</v>
      </c>
      <c r="L738" s="46"/>
      <c r="M738" s="46"/>
      <c r="N738" s="46"/>
      <c r="O738" s="46"/>
      <c r="P738" s="46"/>
      <c r="Q738" s="46"/>
    </row>
    <row r="739" spans="1:17" hidden="1" x14ac:dyDescent="0.25">
      <c r="A739" s="47" t="s">
        <v>745</v>
      </c>
      <c r="B739" s="46" t="str">
        <f>IFERROR(VLOOKUP($A739,Equipos!$C$2:$M$967,2,FALSE()),"")</f>
        <v>Monitor Multiparámetros</v>
      </c>
      <c r="C739" s="46" t="str">
        <f>IFERROR(VLOOKUP($A739,Equipos!$C$2:$M$967,9,FALSE()),"")</f>
        <v>1393-109309</v>
      </c>
      <c r="D739" s="46" t="str">
        <f>IFERROR(VLOOKUP($A739,Equipos!$C$2:$M$967,3,FALSE()),"")</f>
        <v>UPC Pediátrica</v>
      </c>
      <c r="E739" s="46" t="str">
        <f>IFERROR(VLOOKUP($A739,Equipos!$C$2:$M$967,7,FALSE()),"")</f>
        <v>SPACELABS HEALTHCARE</v>
      </c>
      <c r="F739" s="46" t="str">
        <f>IFERROR(VLOOKUP($A739,Equipos!$C$2:$M$967,8,FALSE()),"")</f>
        <v>XPREZZON</v>
      </c>
      <c r="G739" s="46" t="s">
        <v>296</v>
      </c>
      <c r="H739" s="46"/>
      <c r="I739" s="46"/>
      <c r="J739" s="46" t="s">
        <v>297</v>
      </c>
      <c r="K739" s="46" t="str">
        <f>IFERROR(VLOOKUP($J739,Catálogos!$M$4:$N$17,2,FALSE()),"")</f>
        <v>Mantención Preventiva Realizada</v>
      </c>
      <c r="L739" s="46"/>
      <c r="M739" s="46"/>
      <c r="N739" s="46"/>
      <c r="O739" s="46"/>
      <c r="P739" s="46"/>
      <c r="Q739" s="46"/>
    </row>
    <row r="740" spans="1:17" hidden="1" x14ac:dyDescent="0.25">
      <c r="A740" s="47" t="s">
        <v>746</v>
      </c>
      <c r="B740" s="46" t="str">
        <f>IFERROR(VLOOKUP($A740,Equipos!$C$2:$M$967,2,FALSE()),"")</f>
        <v>Monitor Multiparámetros</v>
      </c>
      <c r="C740" s="46" t="str">
        <f>IFERROR(VLOOKUP($A740,Equipos!$C$2:$M$967,9,FALSE()),"")</f>
        <v>01029</v>
      </c>
      <c r="D740" s="46" t="str">
        <f>IFERROR(VLOOKUP($A740,Equipos!$C$2:$M$967,3,FALSE()),"")</f>
        <v>CDT</v>
      </c>
      <c r="E740" s="46" t="str">
        <f>IFERROR(VLOOKUP($A740,Equipos!$C$2:$M$967,7,FALSE()),"")</f>
        <v xml:space="preserve">Nihon Kohden </v>
      </c>
      <c r="F740" s="46" t="str">
        <f>IFERROR(VLOOKUP($A740,Equipos!$C$2:$M$967,8,FALSE()),"")</f>
        <v>BSM-6301K</v>
      </c>
      <c r="G740" s="46" t="s">
        <v>316</v>
      </c>
      <c r="H740" s="46"/>
      <c r="I740" s="46"/>
      <c r="J740" s="46" t="s">
        <v>323</v>
      </c>
      <c r="K740" s="46" t="str">
        <f>IFERROR(VLOOKUP($J740,Catálogos!$M$4:$N$17,2,FALSE()),"")</f>
        <v>Reprogramada · No disponibilidad de horas hombre del funcionario SEC por alta carga laboral</v>
      </c>
      <c r="L740" s="46"/>
      <c r="M740" s="46"/>
      <c r="N740" s="46"/>
      <c r="O740" s="46"/>
      <c r="P740" s="46"/>
      <c r="Q740" s="46"/>
    </row>
    <row r="741" spans="1:17" hidden="1" x14ac:dyDescent="0.25">
      <c r="A741" s="47" t="s">
        <v>746</v>
      </c>
      <c r="B741" s="46" t="str">
        <f>IFERROR(VLOOKUP($A741,Equipos!$C$2:$M$967,2,FALSE()),"")</f>
        <v>Monitor Multiparámetros</v>
      </c>
      <c r="C741" s="46" t="str">
        <f>IFERROR(VLOOKUP($A741,Equipos!$C$2:$M$967,9,FALSE()),"")</f>
        <v>01029</v>
      </c>
      <c r="D741" s="46" t="str">
        <f>IFERROR(VLOOKUP($A741,Equipos!$C$2:$M$967,3,FALSE()),"")</f>
        <v>CDT</v>
      </c>
      <c r="E741" s="46" t="str">
        <f>IFERROR(VLOOKUP($A741,Equipos!$C$2:$M$967,7,FALSE()),"")</f>
        <v xml:space="preserve">Nihon Kohden </v>
      </c>
      <c r="F741" s="46" t="str">
        <f>IFERROR(VLOOKUP($A741,Equipos!$C$2:$M$967,8,FALSE()),"")</f>
        <v>BSM-6301K</v>
      </c>
      <c r="G741" s="46" t="s">
        <v>331</v>
      </c>
      <c r="H741" s="46"/>
      <c r="I741" s="46"/>
      <c r="J741" s="46" t="s">
        <v>297</v>
      </c>
      <c r="K741" s="46" t="str">
        <f>IFERROR(VLOOKUP($J741,Catálogos!$M$4:$N$17,2,FALSE()),"")</f>
        <v>Mantención Preventiva Realizada</v>
      </c>
      <c r="L741" s="46"/>
      <c r="M741" s="46"/>
      <c r="N741" s="46"/>
      <c r="O741" s="46"/>
      <c r="P741" s="46"/>
      <c r="Q741" s="46"/>
    </row>
    <row r="742" spans="1:17" hidden="1" x14ac:dyDescent="0.25">
      <c r="A742" s="47" t="s">
        <v>747</v>
      </c>
      <c r="B742" s="46" t="str">
        <f>IFERROR(VLOOKUP($A742,Equipos!$C$2:$M$967,2,FALSE()),"")</f>
        <v>Monitor Multiparámetros</v>
      </c>
      <c r="C742" s="46" t="str">
        <f>IFERROR(VLOOKUP($A742,Equipos!$C$2:$M$967,9,FALSE()),"")</f>
        <v>1393-109310</v>
      </c>
      <c r="D742" s="46" t="str">
        <f>IFERROR(VLOOKUP($A742,Equipos!$C$2:$M$967,3,FALSE()),"")</f>
        <v>UPC Pediátrica</v>
      </c>
      <c r="E742" s="46" t="str">
        <f>IFERROR(VLOOKUP($A742,Equipos!$C$2:$M$967,7,FALSE()),"")</f>
        <v>SPACELABS HEALTHCARE</v>
      </c>
      <c r="F742" s="46" t="str">
        <f>IFERROR(VLOOKUP($A742,Equipos!$C$2:$M$967,8,FALSE()),"")</f>
        <v>XPREZZON</v>
      </c>
      <c r="G742" s="46" t="s">
        <v>335</v>
      </c>
      <c r="H742" s="46"/>
      <c r="I742" s="46"/>
      <c r="J742" s="46" t="s">
        <v>315</v>
      </c>
      <c r="K742" s="46" t="str">
        <f>IFERROR(VLOOKUP($J742,Catálogos!$M$4:$N$17,2,FALSE()),"")</f>
        <v>Reprogramada · Ausencia justificada del funcionario SEC superior a 15 días</v>
      </c>
      <c r="L742" s="46"/>
      <c r="M742" s="46"/>
      <c r="N742" s="46"/>
      <c r="O742" s="46"/>
      <c r="P742" s="46"/>
      <c r="Q742" s="46"/>
    </row>
    <row r="743" spans="1:17" hidden="1" x14ac:dyDescent="0.25">
      <c r="A743" s="47" t="s">
        <v>747</v>
      </c>
      <c r="B743" s="46" t="str">
        <f>IFERROR(VLOOKUP($A743,Equipos!$C$2:$M$967,2,FALSE()),"")</f>
        <v>Monitor Multiparámetros</v>
      </c>
      <c r="C743" s="46" t="str">
        <f>IFERROR(VLOOKUP($A743,Equipos!$C$2:$M$967,9,FALSE()),"")</f>
        <v>1393-109310</v>
      </c>
      <c r="D743" s="46" t="str">
        <f>IFERROR(VLOOKUP($A743,Equipos!$C$2:$M$967,3,FALSE()),"")</f>
        <v>UPC Pediátrica</v>
      </c>
      <c r="E743" s="46" t="str">
        <f>IFERROR(VLOOKUP($A743,Equipos!$C$2:$M$967,7,FALSE()),"")</f>
        <v>SPACELABS HEALTHCARE</v>
      </c>
      <c r="F743" s="46" t="str">
        <f>IFERROR(VLOOKUP($A743,Equipos!$C$2:$M$967,8,FALSE()),"")</f>
        <v>XPREZZON</v>
      </c>
      <c r="G743" s="46" t="s">
        <v>296</v>
      </c>
      <c r="H743" s="46"/>
      <c r="I743" s="46"/>
      <c r="J743" s="46" t="s">
        <v>297</v>
      </c>
      <c r="K743" s="46" t="str">
        <f>IFERROR(VLOOKUP($J743,Catálogos!$M$4:$N$17,2,FALSE()),"")</f>
        <v>Mantención Preventiva Realizada</v>
      </c>
      <c r="L743" s="46"/>
      <c r="M743" s="46"/>
      <c r="N743" s="46"/>
      <c r="O743" s="46"/>
      <c r="P743" s="46"/>
      <c r="Q743" s="46"/>
    </row>
    <row r="744" spans="1:17" hidden="1" x14ac:dyDescent="0.25">
      <c r="A744" s="47" t="s">
        <v>748</v>
      </c>
      <c r="B744" s="46" t="str">
        <f>IFERROR(VLOOKUP($A744,Equipos!$C$2:$M$967,2,FALSE()),"")</f>
        <v>Monitor Multiparámetros</v>
      </c>
      <c r="C744" s="46" t="str">
        <f>IFERROR(VLOOKUP($A744,Equipos!$C$2:$M$967,9,FALSE()),"")</f>
        <v>01069</v>
      </c>
      <c r="D744" s="46" t="str">
        <f>IFERROR(VLOOKUP($A744,Equipos!$C$2:$M$967,3,FALSE()),"")</f>
        <v>Medicina</v>
      </c>
      <c r="E744" s="46" t="str">
        <f>IFERROR(VLOOKUP($A744,Equipos!$C$2:$M$967,7,FALSE()),"")</f>
        <v xml:space="preserve">Nihon Kohden </v>
      </c>
      <c r="F744" s="46" t="str">
        <f>IFERROR(VLOOKUP($A744,Equipos!$C$2:$M$967,8,FALSE()),"")</f>
        <v>BSM-6301K</v>
      </c>
      <c r="G744" s="46" t="s">
        <v>296</v>
      </c>
      <c r="H744" s="46"/>
      <c r="I744" s="46"/>
      <c r="J744" s="46" t="s">
        <v>323</v>
      </c>
      <c r="K744" s="46" t="str">
        <f>IFERROR(VLOOKUP($J744,Catálogos!$M$4:$N$17,2,FALSE()),"")</f>
        <v>Reprogramada · No disponibilidad de horas hombre del funcionario SEC por alta carga laboral</v>
      </c>
      <c r="L744" s="46"/>
      <c r="M744" s="46"/>
      <c r="N744" s="46"/>
      <c r="O744" s="46"/>
      <c r="P744" s="46"/>
      <c r="Q744" s="46"/>
    </row>
    <row r="745" spans="1:17" hidden="1" x14ac:dyDescent="0.25">
      <c r="A745" s="47" t="s">
        <v>748</v>
      </c>
      <c r="B745" s="46" t="str">
        <f>IFERROR(VLOOKUP($A745,Equipos!$C$2:$M$967,2,FALSE()),"")</f>
        <v>Monitor Multiparámetros</v>
      </c>
      <c r="C745" s="46" t="str">
        <f>IFERROR(VLOOKUP($A745,Equipos!$C$2:$M$967,9,FALSE()),"")</f>
        <v>01069</v>
      </c>
      <c r="D745" s="46" t="str">
        <f>IFERROR(VLOOKUP($A745,Equipos!$C$2:$M$967,3,FALSE()),"")</f>
        <v>Medicina</v>
      </c>
      <c r="E745" s="46" t="str">
        <f>IFERROR(VLOOKUP($A745,Equipos!$C$2:$M$967,7,FALSE()),"")</f>
        <v xml:space="preserve">Nihon Kohden </v>
      </c>
      <c r="F745" s="46" t="str">
        <f>IFERROR(VLOOKUP($A745,Equipos!$C$2:$M$967,8,FALSE()),"")</f>
        <v>BSM-6301K</v>
      </c>
      <c r="G745" s="46" t="s">
        <v>316</v>
      </c>
      <c r="H745" s="46"/>
      <c r="I745" s="46"/>
      <c r="J745" s="46" t="s">
        <v>297</v>
      </c>
      <c r="K745" s="46" t="str">
        <f>IFERROR(VLOOKUP($J745,Catálogos!$M$4:$N$17,2,FALSE()),"")</f>
        <v>Mantención Preventiva Realizada</v>
      </c>
      <c r="L745" s="46"/>
      <c r="M745" s="46"/>
      <c r="N745" s="46"/>
      <c r="O745" s="46"/>
      <c r="P745" s="46"/>
      <c r="Q745" s="46"/>
    </row>
    <row r="746" spans="1:17" hidden="1" x14ac:dyDescent="0.25">
      <c r="A746" s="47" t="s">
        <v>749</v>
      </c>
      <c r="B746" s="46" t="str">
        <f>IFERROR(VLOOKUP($A746,Equipos!$C$2:$M$967,2,FALSE()),"")</f>
        <v>Monitor Multiparámetros</v>
      </c>
      <c r="C746" s="46" t="str">
        <f>IFERROR(VLOOKUP($A746,Equipos!$C$2:$M$967,9,FALSE()),"")</f>
        <v>29789</v>
      </c>
      <c r="D746" s="46" t="str">
        <f>IFERROR(VLOOKUP($A746,Equipos!$C$2:$M$967,3,FALSE()),"")</f>
        <v>Medicina</v>
      </c>
      <c r="E746" s="46" t="str">
        <f>IFERROR(VLOOKUP($A746,Equipos!$C$2:$M$967,7,FALSE()),"")</f>
        <v xml:space="preserve">Nihon Kohden </v>
      </c>
      <c r="F746" s="46" t="str">
        <f>IFERROR(VLOOKUP($A746,Equipos!$C$2:$M$967,8,FALSE()),"")</f>
        <v>BSM-3562K</v>
      </c>
      <c r="G746" s="46" t="s">
        <v>296</v>
      </c>
      <c r="H746" s="46"/>
      <c r="I746" s="46"/>
      <c r="J746" s="46" t="s">
        <v>297</v>
      </c>
      <c r="K746" s="46" t="str">
        <f>IFERROR(VLOOKUP($J746,Catálogos!$M$4:$N$17,2,FALSE()),"")</f>
        <v>Mantención Preventiva Realizada</v>
      </c>
      <c r="L746" s="46"/>
      <c r="M746" s="46"/>
      <c r="N746" s="46"/>
      <c r="O746" s="46"/>
      <c r="P746" s="46"/>
      <c r="Q746" s="46"/>
    </row>
    <row r="747" spans="1:17" hidden="1" x14ac:dyDescent="0.25">
      <c r="A747" s="47" t="s">
        <v>750</v>
      </c>
      <c r="B747" s="46" t="str">
        <f>IFERROR(VLOOKUP($A747,Equipos!$C$2:$M$967,2,FALSE()),"")</f>
        <v>Monitor Multiparámetros</v>
      </c>
      <c r="C747" s="46" t="str">
        <f>IFERROR(VLOOKUP($A747,Equipos!$C$2:$M$967,9,FALSE()),"")</f>
        <v>01054</v>
      </c>
      <c r="D747" s="46" t="str">
        <f>IFERROR(VLOOKUP($A747,Equipos!$C$2:$M$967,3,FALSE()),"")</f>
        <v>Medicina</v>
      </c>
      <c r="E747" s="46" t="str">
        <f>IFERROR(VLOOKUP($A747,Equipos!$C$2:$M$967,7,FALSE()),"")</f>
        <v xml:space="preserve">Nihon Kohden </v>
      </c>
      <c r="F747" s="46" t="str">
        <f>IFERROR(VLOOKUP($A747,Equipos!$C$2:$M$967,8,FALSE()),"")</f>
        <v>BSM-6301K</v>
      </c>
      <c r="G747" s="46" t="s">
        <v>296</v>
      </c>
      <c r="H747" s="46"/>
      <c r="I747" s="46"/>
      <c r="J747" s="46" t="s">
        <v>323</v>
      </c>
      <c r="K747" s="46" t="str">
        <f>IFERROR(VLOOKUP($J747,Catálogos!$M$4:$N$17,2,FALSE()),"")</f>
        <v>Reprogramada · No disponibilidad de horas hombre del funcionario SEC por alta carga laboral</v>
      </c>
      <c r="L747" s="46"/>
      <c r="M747" s="46"/>
      <c r="N747" s="46"/>
      <c r="O747" s="46"/>
      <c r="P747" s="46"/>
      <c r="Q747" s="46"/>
    </row>
    <row r="748" spans="1:17" hidden="1" x14ac:dyDescent="0.25">
      <c r="A748" s="47" t="s">
        <v>750</v>
      </c>
      <c r="B748" s="46" t="str">
        <f>IFERROR(VLOOKUP($A748,Equipos!$C$2:$M$967,2,FALSE()),"")</f>
        <v>Monitor Multiparámetros</v>
      </c>
      <c r="C748" s="46" t="str">
        <f>IFERROR(VLOOKUP($A748,Equipos!$C$2:$M$967,9,FALSE()),"")</f>
        <v>01054</v>
      </c>
      <c r="D748" s="46" t="str">
        <f>IFERROR(VLOOKUP($A748,Equipos!$C$2:$M$967,3,FALSE()),"")</f>
        <v>Medicina</v>
      </c>
      <c r="E748" s="46" t="str">
        <f>IFERROR(VLOOKUP($A748,Equipos!$C$2:$M$967,7,FALSE()),"")</f>
        <v xml:space="preserve">Nihon Kohden </v>
      </c>
      <c r="F748" s="46" t="str">
        <f>IFERROR(VLOOKUP($A748,Equipos!$C$2:$M$967,8,FALSE()),"")</f>
        <v>BSM-6301K</v>
      </c>
      <c r="G748" s="46" t="s">
        <v>316</v>
      </c>
      <c r="H748" s="46"/>
      <c r="I748" s="46"/>
      <c r="J748" s="46" t="s">
        <v>297</v>
      </c>
      <c r="K748" s="46" t="str">
        <f>IFERROR(VLOOKUP($J748,Catálogos!$M$4:$N$17,2,FALSE()),"")</f>
        <v>Mantención Preventiva Realizada</v>
      </c>
      <c r="L748" s="46"/>
      <c r="M748" s="46"/>
      <c r="N748" s="46"/>
      <c r="O748" s="46"/>
      <c r="P748" s="46"/>
      <c r="Q748" s="46"/>
    </row>
    <row r="749" spans="1:17" hidden="1" x14ac:dyDescent="0.25">
      <c r="A749" s="47" t="s">
        <v>751</v>
      </c>
      <c r="B749" s="46" t="str">
        <f>IFERROR(VLOOKUP($A749,Equipos!$C$2:$M$967,2,FALSE()),"")</f>
        <v>Monitor Multiparámetros</v>
      </c>
      <c r="C749" s="46" t="str">
        <f>IFERROR(VLOOKUP($A749,Equipos!$C$2:$M$967,9,FALSE()),"")</f>
        <v>1393-109301</v>
      </c>
      <c r="D749" s="46" t="str">
        <f>IFERROR(VLOOKUP($A749,Equipos!$C$2:$M$967,3,FALSE()),"")</f>
        <v>UPC Pediátrica</v>
      </c>
      <c r="E749" s="46" t="str">
        <f>IFERROR(VLOOKUP($A749,Equipos!$C$2:$M$967,7,FALSE()),"")</f>
        <v>SPACELABS HEALTHCARE</v>
      </c>
      <c r="F749" s="46" t="str">
        <f>IFERROR(VLOOKUP($A749,Equipos!$C$2:$M$967,8,FALSE()),"")</f>
        <v>XPREZZON</v>
      </c>
      <c r="G749" s="46" t="s">
        <v>335</v>
      </c>
      <c r="H749" s="46"/>
      <c r="I749" s="46"/>
      <c r="J749" s="46" t="s">
        <v>315</v>
      </c>
      <c r="K749" s="46" t="str">
        <f>IFERROR(VLOOKUP($J749,Catálogos!$M$4:$N$17,2,FALSE()),"")</f>
        <v>Reprogramada · Ausencia justificada del funcionario SEC superior a 15 días</v>
      </c>
      <c r="L749" s="46"/>
      <c r="M749" s="46"/>
      <c r="N749" s="46"/>
      <c r="O749" s="46"/>
      <c r="P749" s="46"/>
      <c r="Q749" s="46"/>
    </row>
    <row r="750" spans="1:17" hidden="1" x14ac:dyDescent="0.25">
      <c r="A750" s="47" t="s">
        <v>751</v>
      </c>
      <c r="B750" s="46" t="str">
        <f>IFERROR(VLOOKUP($A750,Equipos!$C$2:$M$967,2,FALSE()),"")</f>
        <v>Monitor Multiparámetros</v>
      </c>
      <c r="C750" s="46" t="str">
        <f>IFERROR(VLOOKUP($A750,Equipos!$C$2:$M$967,9,FALSE()),"")</f>
        <v>1393-109301</v>
      </c>
      <c r="D750" s="46" t="str">
        <f>IFERROR(VLOOKUP($A750,Equipos!$C$2:$M$967,3,FALSE()),"")</f>
        <v>UPC Pediátrica</v>
      </c>
      <c r="E750" s="46" t="str">
        <f>IFERROR(VLOOKUP($A750,Equipos!$C$2:$M$967,7,FALSE()),"")</f>
        <v>SPACELABS HEALTHCARE</v>
      </c>
      <c r="F750" s="46" t="str">
        <f>IFERROR(VLOOKUP($A750,Equipos!$C$2:$M$967,8,FALSE()),"")</f>
        <v>XPREZZON</v>
      </c>
      <c r="G750" s="46" t="s">
        <v>296</v>
      </c>
      <c r="H750" s="46"/>
      <c r="I750" s="46"/>
      <c r="J750" s="46" t="s">
        <v>297</v>
      </c>
      <c r="K750" s="46" t="str">
        <f>IFERROR(VLOOKUP($J750,Catálogos!$M$4:$N$17,2,FALSE()),"")</f>
        <v>Mantención Preventiva Realizada</v>
      </c>
      <c r="L750" s="46"/>
      <c r="M750" s="46"/>
      <c r="N750" s="46"/>
      <c r="O750" s="46"/>
      <c r="P750" s="46"/>
      <c r="Q750" s="46"/>
    </row>
    <row r="751" spans="1:17" hidden="1" x14ac:dyDescent="0.25">
      <c r="A751" s="47" t="s">
        <v>752</v>
      </c>
      <c r="B751" s="46" t="str">
        <f>IFERROR(VLOOKUP($A751,Equipos!$C$2:$M$967,2,FALSE()),"")</f>
        <v>Monitor Multiparámetros</v>
      </c>
      <c r="C751" s="46" t="str">
        <f>IFERROR(VLOOKUP($A751,Equipos!$C$2:$M$967,9,FALSE()),"")</f>
        <v>03643</v>
      </c>
      <c r="D751" s="46" t="str">
        <f>IFERROR(VLOOKUP($A751,Equipos!$C$2:$M$967,3,FALSE()),"")</f>
        <v>Cirugía Adulto</v>
      </c>
      <c r="E751" s="46" t="str">
        <f>IFERROR(VLOOKUP($A751,Equipos!$C$2:$M$967,7,FALSE()),"")</f>
        <v xml:space="preserve">Nihon Kohden </v>
      </c>
      <c r="F751" s="46" t="str">
        <f>IFERROR(VLOOKUP($A751,Equipos!$C$2:$M$967,8,FALSE()),"")</f>
        <v>BSM-2351K</v>
      </c>
      <c r="G751" s="46" t="s">
        <v>296</v>
      </c>
      <c r="H751" s="46"/>
      <c r="I751" s="46"/>
      <c r="J751" s="46" t="s">
        <v>304</v>
      </c>
      <c r="K751" s="46" t="str">
        <f>IFERROR(VLOOKUP($J751,Catálogos!$M$4:$N$17,2,FALSE()),"")</f>
        <v>Equipo Dado de Baja</v>
      </c>
      <c r="L751" s="46"/>
      <c r="M751" s="46"/>
      <c r="N751" s="46"/>
      <c r="O751" s="46"/>
      <c r="P751" s="46"/>
      <c r="Q751" s="46"/>
    </row>
    <row r="752" spans="1:17" hidden="1" x14ac:dyDescent="0.25">
      <c r="A752" s="47" t="s">
        <v>753</v>
      </c>
      <c r="B752" s="46" t="str">
        <f>IFERROR(VLOOKUP($A752,Equipos!$C$2:$M$967,2,FALSE()),"")</f>
        <v>Monitor Multiparámetros</v>
      </c>
      <c r="C752" s="46" t="str">
        <f>IFERROR(VLOOKUP($A752,Equipos!$C$2:$M$967,9,FALSE()),"")</f>
        <v>01052.</v>
      </c>
      <c r="D752" s="46" t="str">
        <f>IFERROR(VLOOKUP($A752,Equipos!$C$2:$M$967,3,FALSE()),"")</f>
        <v>Traumatología</v>
      </c>
      <c r="E752" s="46" t="str">
        <f>IFERROR(VLOOKUP($A752,Equipos!$C$2:$M$967,7,FALSE()),"")</f>
        <v xml:space="preserve">Nihon Kohden </v>
      </c>
      <c r="F752" s="46" t="str">
        <f>IFERROR(VLOOKUP($A752,Equipos!$C$2:$M$967,8,FALSE()),"")</f>
        <v>BSM-6301K</v>
      </c>
      <c r="G752" s="46" t="s">
        <v>316</v>
      </c>
      <c r="H752" s="46"/>
      <c r="I752" s="46"/>
      <c r="J752" s="46" t="s">
        <v>323</v>
      </c>
      <c r="K752" s="46" t="str">
        <f>IFERROR(VLOOKUP($J752,Catálogos!$M$4:$N$17,2,FALSE()),"")</f>
        <v>Reprogramada · No disponibilidad de horas hombre del funcionario SEC por alta carga laboral</v>
      </c>
      <c r="L752" s="46"/>
      <c r="M752" s="46"/>
      <c r="N752" s="46"/>
      <c r="O752" s="46"/>
      <c r="P752" s="46"/>
      <c r="Q752" s="46"/>
    </row>
    <row r="753" spans="1:17" hidden="1" x14ac:dyDescent="0.25">
      <c r="A753" s="47" t="s">
        <v>753</v>
      </c>
      <c r="B753" s="46" t="str">
        <f>IFERROR(VLOOKUP($A753,Equipos!$C$2:$M$967,2,FALSE()),"")</f>
        <v>Monitor Multiparámetros</v>
      </c>
      <c r="C753" s="46" t="str">
        <f>IFERROR(VLOOKUP($A753,Equipos!$C$2:$M$967,9,FALSE()),"")</f>
        <v>01052.</v>
      </c>
      <c r="D753" s="46" t="str">
        <f>IFERROR(VLOOKUP($A753,Equipos!$C$2:$M$967,3,FALSE()),"")</f>
        <v>Traumatología</v>
      </c>
      <c r="E753" s="46" t="str">
        <f>IFERROR(VLOOKUP($A753,Equipos!$C$2:$M$967,7,FALSE()),"")</f>
        <v xml:space="preserve">Nihon Kohden </v>
      </c>
      <c r="F753" s="46" t="str">
        <f>IFERROR(VLOOKUP($A753,Equipos!$C$2:$M$967,8,FALSE()),"")</f>
        <v>BSM-6301K</v>
      </c>
      <c r="G753" s="46" t="s">
        <v>331</v>
      </c>
      <c r="H753" s="46"/>
      <c r="I753" s="46"/>
      <c r="J753" s="46" t="s">
        <v>297</v>
      </c>
      <c r="K753" s="46" t="str">
        <f>IFERROR(VLOOKUP($J753,Catálogos!$M$4:$N$17,2,FALSE()),"")</f>
        <v>Mantención Preventiva Realizada</v>
      </c>
      <c r="L753" s="46"/>
      <c r="M753" s="46"/>
      <c r="N753" s="46"/>
      <c r="O753" s="46"/>
      <c r="P753" s="46"/>
      <c r="Q753" s="46"/>
    </row>
    <row r="754" spans="1:17" hidden="1" x14ac:dyDescent="0.25">
      <c r="A754" s="47" t="s">
        <v>754</v>
      </c>
      <c r="B754" s="46" t="str">
        <f>IFERROR(VLOOKUP($A754,Equipos!$C$2:$M$967,2,FALSE()),"")</f>
        <v>Monitor Multiparámetros</v>
      </c>
      <c r="C754" s="46" t="str">
        <f>IFERROR(VLOOKUP($A754,Equipos!$C$2:$M$967,9,FALSE()),"")</f>
        <v>01046.</v>
      </c>
      <c r="D754" s="46" t="str">
        <f>IFERROR(VLOOKUP($A754,Equipos!$C$2:$M$967,3,FALSE()),"")</f>
        <v>Traumatología</v>
      </c>
      <c r="E754" s="46" t="str">
        <f>IFERROR(VLOOKUP($A754,Equipos!$C$2:$M$967,7,FALSE()),"")</f>
        <v xml:space="preserve">Nihon Kohden </v>
      </c>
      <c r="F754" s="46" t="str">
        <f>IFERROR(VLOOKUP($A754,Equipos!$C$2:$M$967,8,FALSE()),"")</f>
        <v>BSM-6301K</v>
      </c>
      <c r="G754" s="46" t="s">
        <v>316</v>
      </c>
      <c r="H754" s="46"/>
      <c r="I754" s="46"/>
      <c r="J754" s="46" t="s">
        <v>323</v>
      </c>
      <c r="K754" s="46" t="str">
        <f>IFERROR(VLOOKUP($J754,Catálogos!$M$4:$N$17,2,FALSE()),"")</f>
        <v>Reprogramada · No disponibilidad de horas hombre del funcionario SEC por alta carga laboral</v>
      </c>
      <c r="L754" s="46"/>
      <c r="M754" s="46"/>
      <c r="N754" s="46"/>
      <c r="O754" s="46"/>
      <c r="P754" s="46"/>
      <c r="Q754" s="46"/>
    </row>
    <row r="755" spans="1:17" hidden="1" x14ac:dyDescent="0.25">
      <c r="A755" s="47" t="s">
        <v>754</v>
      </c>
      <c r="B755" s="46" t="str">
        <f>IFERROR(VLOOKUP($A755,Equipos!$C$2:$M$967,2,FALSE()),"")</f>
        <v>Monitor Multiparámetros</v>
      </c>
      <c r="C755" s="46" t="str">
        <f>IFERROR(VLOOKUP($A755,Equipos!$C$2:$M$967,9,FALSE()),"")</f>
        <v>01046.</v>
      </c>
      <c r="D755" s="46" t="str">
        <f>IFERROR(VLOOKUP($A755,Equipos!$C$2:$M$967,3,FALSE()),"")</f>
        <v>Traumatología</v>
      </c>
      <c r="E755" s="46" t="str">
        <f>IFERROR(VLOOKUP($A755,Equipos!$C$2:$M$967,7,FALSE()),"")</f>
        <v xml:space="preserve">Nihon Kohden </v>
      </c>
      <c r="F755" s="46" t="str">
        <f>IFERROR(VLOOKUP($A755,Equipos!$C$2:$M$967,8,FALSE()),"")</f>
        <v>BSM-6301K</v>
      </c>
      <c r="G755" s="46" t="s">
        <v>331</v>
      </c>
      <c r="H755" s="46"/>
      <c r="I755" s="46"/>
      <c r="J755" s="46" t="s">
        <v>297</v>
      </c>
      <c r="K755" s="46" t="str">
        <f>IFERROR(VLOOKUP($J755,Catálogos!$M$4:$N$17,2,FALSE()),"")</f>
        <v>Mantención Preventiva Realizada</v>
      </c>
      <c r="L755" s="46"/>
      <c r="M755" s="46"/>
      <c r="N755" s="46"/>
      <c r="O755" s="46"/>
      <c r="P755" s="46"/>
      <c r="Q755" s="46"/>
    </row>
    <row r="756" spans="1:17" hidden="1" x14ac:dyDescent="0.25">
      <c r="A756" s="47" t="s">
        <v>755</v>
      </c>
      <c r="B756" s="46" t="str">
        <f>IFERROR(VLOOKUP($A756,Equipos!$C$2:$M$967,2,FALSE()),"")</f>
        <v>Monitor Multiparámetros</v>
      </c>
      <c r="C756" s="46" t="str">
        <f>IFERROR(VLOOKUP($A756,Equipos!$C$2:$M$967,9,FALSE()),"")</f>
        <v>01047</v>
      </c>
      <c r="D756" s="46" t="str">
        <f>IFERROR(VLOOKUP($A756,Equipos!$C$2:$M$967,3,FALSE()),"")</f>
        <v>Cirugía Adulto</v>
      </c>
      <c r="E756" s="46" t="str">
        <f>IFERROR(VLOOKUP($A756,Equipos!$C$2:$M$967,7,FALSE()),"")</f>
        <v xml:space="preserve">Nihon Kohden </v>
      </c>
      <c r="F756" s="46" t="str">
        <f>IFERROR(VLOOKUP($A756,Equipos!$C$2:$M$967,8,FALSE()),"")</f>
        <v>BSM-6301K</v>
      </c>
      <c r="G756" s="46" t="s">
        <v>298</v>
      </c>
      <c r="H756" s="46"/>
      <c r="I756" s="46"/>
      <c r="J756" s="46" t="s">
        <v>297</v>
      </c>
      <c r="K756" s="46" t="str">
        <f>IFERROR(VLOOKUP($J756,Catálogos!$M$4:$N$17,2,FALSE()),"")</f>
        <v>Mantención Preventiva Realizada</v>
      </c>
      <c r="L756" s="46"/>
      <c r="M756" s="46"/>
      <c r="N756" s="46"/>
      <c r="O756" s="46"/>
      <c r="P756" s="46"/>
      <c r="Q756" s="46"/>
    </row>
    <row r="757" spans="1:17" hidden="1" x14ac:dyDescent="0.25">
      <c r="A757" s="47" t="s">
        <v>756</v>
      </c>
      <c r="B757" s="46" t="str">
        <f>IFERROR(VLOOKUP($A757,Equipos!$C$2:$M$967,2,FALSE()),"")</f>
        <v>Monitor Multiparámetros</v>
      </c>
      <c r="C757" s="46" t="str">
        <f>IFERROR(VLOOKUP($A757,Equipos!$C$2:$M$967,9,FALSE()),"")</f>
        <v>01059.</v>
      </c>
      <c r="D757" s="46" t="str">
        <f>IFERROR(VLOOKUP($A757,Equipos!$C$2:$M$967,3,FALSE()),"")</f>
        <v>Traumatología</v>
      </c>
      <c r="E757" s="46" t="str">
        <f>IFERROR(VLOOKUP($A757,Equipos!$C$2:$M$967,7,FALSE()),"")</f>
        <v xml:space="preserve">Nihon Kohden </v>
      </c>
      <c r="F757" s="46" t="str">
        <f>IFERROR(VLOOKUP($A757,Equipos!$C$2:$M$967,8,FALSE()),"")</f>
        <v>BSM-6301K</v>
      </c>
      <c r="G757" s="46" t="s">
        <v>316</v>
      </c>
      <c r="H757" s="46"/>
      <c r="I757" s="46"/>
      <c r="J757" s="46" t="s">
        <v>323</v>
      </c>
      <c r="K757" s="46" t="str">
        <f>IFERROR(VLOOKUP($J757,Catálogos!$M$4:$N$17,2,FALSE()),"")</f>
        <v>Reprogramada · No disponibilidad de horas hombre del funcionario SEC por alta carga laboral</v>
      </c>
      <c r="L757" s="46"/>
      <c r="M757" s="46"/>
      <c r="N757" s="46"/>
      <c r="O757" s="46"/>
      <c r="P757" s="46"/>
      <c r="Q757" s="46"/>
    </row>
    <row r="758" spans="1:17" hidden="1" x14ac:dyDescent="0.25">
      <c r="A758" s="47" t="s">
        <v>756</v>
      </c>
      <c r="B758" s="46" t="str">
        <f>IFERROR(VLOOKUP($A758,Equipos!$C$2:$M$967,2,FALSE()),"")</f>
        <v>Monitor Multiparámetros</v>
      </c>
      <c r="C758" s="46" t="str">
        <f>IFERROR(VLOOKUP($A758,Equipos!$C$2:$M$967,9,FALSE()),"")</f>
        <v>01059.</v>
      </c>
      <c r="D758" s="46" t="str">
        <f>IFERROR(VLOOKUP($A758,Equipos!$C$2:$M$967,3,FALSE()),"")</f>
        <v>Traumatología</v>
      </c>
      <c r="E758" s="46" t="str">
        <f>IFERROR(VLOOKUP($A758,Equipos!$C$2:$M$967,7,FALSE()),"")</f>
        <v xml:space="preserve">Nihon Kohden </v>
      </c>
      <c r="F758" s="46" t="str">
        <f>IFERROR(VLOOKUP($A758,Equipos!$C$2:$M$967,8,FALSE()),"")</f>
        <v>BSM-6301K</v>
      </c>
      <c r="G758" s="46" t="s">
        <v>331</v>
      </c>
      <c r="H758" s="46"/>
      <c r="I758" s="46"/>
      <c r="J758" s="46" t="s">
        <v>297</v>
      </c>
      <c r="K758" s="46" t="str">
        <f>IFERROR(VLOOKUP($J758,Catálogos!$M$4:$N$17,2,FALSE()),"")</f>
        <v>Mantención Preventiva Realizada</v>
      </c>
      <c r="L758" s="46"/>
      <c r="M758" s="46"/>
      <c r="N758" s="46"/>
      <c r="O758" s="46"/>
      <c r="P758" s="46"/>
      <c r="Q758" s="46"/>
    </row>
    <row r="759" spans="1:17" hidden="1" x14ac:dyDescent="0.25">
      <c r="A759" s="47" t="s">
        <v>757</v>
      </c>
      <c r="B759" s="46" t="str">
        <f>IFERROR(VLOOKUP($A759,Equipos!$C$2:$M$967,2,FALSE()),"")</f>
        <v>Monitor Multiparámetros</v>
      </c>
      <c r="C759" s="46" t="str">
        <f>IFERROR(VLOOKUP($A759,Equipos!$C$2:$M$967,9,FALSE()),"")</f>
        <v>VGSML0069</v>
      </c>
      <c r="D759" s="46" t="str">
        <f>IFERROR(VLOOKUP($A759,Equipos!$C$2:$M$967,3,FALSE()),"")</f>
        <v>Pabellón (Recuperación)</v>
      </c>
      <c r="E759" s="46" t="str">
        <f>IFERROR(VLOOKUP($A759,Equipos!$C$2:$M$967,7,FALSE()),"")</f>
        <v>Drager</v>
      </c>
      <c r="F759" s="46" t="str">
        <f>IFERROR(VLOOKUP($A759,Equipos!$C$2:$M$967,8,FALSE()),"")</f>
        <v>Vista 120</v>
      </c>
      <c r="G759" s="46" t="s">
        <v>296</v>
      </c>
      <c r="H759" s="46"/>
      <c r="I759" s="46"/>
      <c r="J759" s="46" t="s">
        <v>297</v>
      </c>
      <c r="K759" s="46" t="str">
        <f>IFERROR(VLOOKUP($J759,Catálogos!$M$4:$N$17,2,FALSE()),"")</f>
        <v>Mantención Preventiva Realizada</v>
      </c>
      <c r="L759" s="46"/>
      <c r="M759" s="46"/>
      <c r="N759" s="46"/>
      <c r="O759" s="46"/>
      <c r="P759" s="46"/>
      <c r="Q759" s="46"/>
    </row>
    <row r="760" spans="1:17" hidden="1" x14ac:dyDescent="0.25">
      <c r="A760" s="47" t="s">
        <v>758</v>
      </c>
      <c r="B760" s="46" t="str">
        <f>IFERROR(VLOOKUP($A760,Equipos!$C$2:$M$967,2,FALSE()),"")</f>
        <v>Monitor Multiparámetros</v>
      </c>
      <c r="C760" s="46" t="str">
        <f>IFERROR(VLOOKUP($A760,Equipos!$C$2:$M$967,9,FALSE()),"")</f>
        <v>1393-109325</v>
      </c>
      <c r="D760" s="46" t="str">
        <f>IFERROR(VLOOKUP($A760,Equipos!$C$2:$M$967,3,FALSE()),"")</f>
        <v>UPC Pediátrica</v>
      </c>
      <c r="E760" s="46" t="str">
        <f>IFERROR(VLOOKUP($A760,Equipos!$C$2:$M$967,7,FALSE()),"")</f>
        <v>SPACELABS HEALTHCARE</v>
      </c>
      <c r="F760" s="46" t="str">
        <f>IFERROR(VLOOKUP($A760,Equipos!$C$2:$M$967,8,FALSE()),"")</f>
        <v>XPREZZON</v>
      </c>
      <c r="G760" s="46" t="s">
        <v>335</v>
      </c>
      <c r="H760" s="46"/>
      <c r="I760" s="46"/>
      <c r="J760" s="46" t="s">
        <v>315</v>
      </c>
      <c r="K760" s="46" t="str">
        <f>IFERROR(VLOOKUP($J760,Catálogos!$M$4:$N$17,2,FALSE()),"")</f>
        <v>Reprogramada · Ausencia justificada del funcionario SEC superior a 15 días</v>
      </c>
      <c r="L760" s="46"/>
      <c r="M760" s="46"/>
      <c r="N760" s="46"/>
      <c r="O760" s="46"/>
      <c r="P760" s="46"/>
      <c r="Q760" s="46"/>
    </row>
    <row r="761" spans="1:17" hidden="1" x14ac:dyDescent="0.25">
      <c r="A761" s="47" t="s">
        <v>758</v>
      </c>
      <c r="B761" s="46" t="str">
        <f>IFERROR(VLOOKUP($A761,Equipos!$C$2:$M$967,2,FALSE()),"")</f>
        <v>Monitor Multiparámetros</v>
      </c>
      <c r="C761" s="46" t="str">
        <f>IFERROR(VLOOKUP($A761,Equipos!$C$2:$M$967,9,FALSE()),"")</f>
        <v>1393-109325</v>
      </c>
      <c r="D761" s="46" t="str">
        <f>IFERROR(VLOOKUP($A761,Equipos!$C$2:$M$967,3,FALSE()),"")</f>
        <v>UPC Pediátrica</v>
      </c>
      <c r="E761" s="46" t="str">
        <f>IFERROR(VLOOKUP($A761,Equipos!$C$2:$M$967,7,FALSE()),"")</f>
        <v>SPACELABS HEALTHCARE</v>
      </c>
      <c r="F761" s="46" t="str">
        <f>IFERROR(VLOOKUP($A761,Equipos!$C$2:$M$967,8,FALSE()),"")</f>
        <v>XPREZZON</v>
      </c>
      <c r="G761" s="46" t="s">
        <v>296</v>
      </c>
      <c r="H761" s="46"/>
      <c r="I761" s="46"/>
      <c r="J761" s="46" t="s">
        <v>297</v>
      </c>
      <c r="K761" s="46" t="str">
        <f>IFERROR(VLOOKUP($J761,Catálogos!$M$4:$N$17,2,FALSE()),"")</f>
        <v>Mantención Preventiva Realizada</v>
      </c>
      <c r="L761" s="46"/>
      <c r="M761" s="46"/>
      <c r="N761" s="46"/>
      <c r="O761" s="46"/>
      <c r="P761" s="46"/>
      <c r="Q761" s="46"/>
    </row>
    <row r="762" spans="1:17" hidden="1" x14ac:dyDescent="0.25">
      <c r="A762" s="47" t="s">
        <v>759</v>
      </c>
      <c r="B762" s="46" t="str">
        <f>IFERROR(VLOOKUP($A762,Equipos!$C$2:$M$967,2,FALSE()),"")</f>
        <v>Monitor Multiparámetros</v>
      </c>
      <c r="C762" s="46" t="str">
        <f>IFERROR(VLOOKUP($A762,Equipos!$C$2:$M$967,9,FALSE()),"")</f>
        <v>1393-109314</v>
      </c>
      <c r="D762" s="46" t="str">
        <f>IFERROR(VLOOKUP($A762,Equipos!$C$2:$M$967,3,FALSE()),"")</f>
        <v>UPC Pediátrica</v>
      </c>
      <c r="E762" s="46" t="str">
        <f>IFERROR(VLOOKUP($A762,Equipos!$C$2:$M$967,7,FALSE()),"")</f>
        <v>SPACELABS HEALTHCARE</v>
      </c>
      <c r="F762" s="46" t="str">
        <f>IFERROR(VLOOKUP($A762,Equipos!$C$2:$M$967,8,FALSE()),"")</f>
        <v>XPREZZON</v>
      </c>
      <c r="G762" s="46" t="s">
        <v>335</v>
      </c>
      <c r="H762" s="46"/>
      <c r="I762" s="46"/>
      <c r="J762" s="46" t="s">
        <v>315</v>
      </c>
      <c r="K762" s="46" t="str">
        <f>IFERROR(VLOOKUP($J762,Catálogos!$M$4:$N$17,2,FALSE()),"")</f>
        <v>Reprogramada · Ausencia justificada del funcionario SEC superior a 15 días</v>
      </c>
      <c r="L762" s="46"/>
      <c r="M762" s="46"/>
      <c r="N762" s="46"/>
      <c r="O762" s="46"/>
      <c r="P762" s="46"/>
      <c r="Q762" s="46"/>
    </row>
    <row r="763" spans="1:17" hidden="1" x14ac:dyDescent="0.25">
      <c r="A763" s="47" t="s">
        <v>759</v>
      </c>
      <c r="B763" s="46" t="str">
        <f>IFERROR(VLOOKUP($A763,Equipos!$C$2:$M$967,2,FALSE()),"")</f>
        <v>Monitor Multiparámetros</v>
      </c>
      <c r="C763" s="46" t="str">
        <f>IFERROR(VLOOKUP($A763,Equipos!$C$2:$M$967,9,FALSE()),"")</f>
        <v>1393-109314</v>
      </c>
      <c r="D763" s="46" t="str">
        <f>IFERROR(VLOOKUP($A763,Equipos!$C$2:$M$967,3,FALSE()),"")</f>
        <v>UPC Pediátrica</v>
      </c>
      <c r="E763" s="46" t="str">
        <f>IFERROR(VLOOKUP($A763,Equipos!$C$2:$M$967,7,FALSE()),"")</f>
        <v>SPACELABS HEALTHCARE</v>
      </c>
      <c r="F763" s="46" t="str">
        <f>IFERROR(VLOOKUP($A763,Equipos!$C$2:$M$967,8,FALSE()),"")</f>
        <v>XPREZZON</v>
      </c>
      <c r="G763" s="46" t="s">
        <v>296</v>
      </c>
      <c r="H763" s="46"/>
      <c r="I763" s="46"/>
      <c r="J763" s="46" t="s">
        <v>297</v>
      </c>
      <c r="K763" s="46" t="str">
        <f>IFERROR(VLOOKUP($J763,Catálogos!$M$4:$N$17,2,FALSE()),"")</f>
        <v>Mantención Preventiva Realizada</v>
      </c>
      <c r="L763" s="46"/>
      <c r="M763" s="46"/>
      <c r="N763" s="46"/>
      <c r="O763" s="46"/>
      <c r="P763" s="46"/>
      <c r="Q763" s="46"/>
    </row>
    <row r="764" spans="1:17" hidden="1" x14ac:dyDescent="0.25">
      <c r="A764" s="47" t="s">
        <v>760</v>
      </c>
      <c r="B764" s="46" t="str">
        <f>IFERROR(VLOOKUP($A764,Equipos!$C$2:$M$967,2,FALSE()),"")</f>
        <v>Monitor Multiparámetros</v>
      </c>
      <c r="C764" s="46" t="str">
        <f>IFERROR(VLOOKUP($A764,Equipos!$C$2:$M$967,9,FALSE()),"")</f>
        <v>6000874576</v>
      </c>
      <c r="D764" s="46" t="str">
        <f>IFERROR(VLOOKUP($A764,Equipos!$C$2:$M$967,3,FALSE()),"")</f>
        <v>UPC Cardiovascular</v>
      </c>
      <c r="E764" s="46" t="str">
        <f>IFERROR(VLOOKUP($A764,Equipos!$C$2:$M$967,7,FALSE()),"")</f>
        <v xml:space="preserve">Drager </v>
      </c>
      <c r="F764" s="46" t="str">
        <f>IFERROR(VLOOKUP($A764,Equipos!$C$2:$M$967,8,FALSE()),"")</f>
        <v xml:space="preserve">Infinity Vista XL </v>
      </c>
      <c r="G764" s="46" t="s">
        <v>335</v>
      </c>
      <c r="H764" s="46"/>
      <c r="I764" s="46"/>
      <c r="J764" s="46" t="s">
        <v>315</v>
      </c>
      <c r="K764" s="46" t="str">
        <f>IFERROR(VLOOKUP($J764,Catálogos!$M$4:$N$17,2,FALSE()),"")</f>
        <v>Reprogramada · Ausencia justificada del funcionario SEC superior a 15 días</v>
      </c>
      <c r="L764" s="46"/>
      <c r="M764" s="46"/>
      <c r="N764" s="46"/>
      <c r="O764" s="46"/>
      <c r="P764" s="46"/>
      <c r="Q764" s="46"/>
    </row>
    <row r="765" spans="1:17" hidden="1" x14ac:dyDescent="0.25">
      <c r="A765" s="47" t="s">
        <v>760</v>
      </c>
      <c r="B765" s="46" t="str">
        <f>IFERROR(VLOOKUP($A765,Equipos!$C$2:$M$967,2,FALSE()),"")</f>
        <v>Monitor Multiparámetros</v>
      </c>
      <c r="C765" s="46" t="str">
        <f>IFERROR(VLOOKUP($A765,Equipos!$C$2:$M$967,9,FALSE()),"")</f>
        <v>6000874576</v>
      </c>
      <c r="D765" s="46" t="str">
        <f>IFERROR(VLOOKUP($A765,Equipos!$C$2:$M$967,3,FALSE()),"")</f>
        <v>UPC Cardiovascular</v>
      </c>
      <c r="E765" s="46" t="str">
        <f>IFERROR(VLOOKUP($A765,Equipos!$C$2:$M$967,7,FALSE()),"")</f>
        <v xml:space="preserve">Drager </v>
      </c>
      <c r="F765" s="46" t="str">
        <f>IFERROR(VLOOKUP($A765,Equipos!$C$2:$M$967,8,FALSE()),"")</f>
        <v xml:space="preserve">Infinity Vista XL </v>
      </c>
      <c r="G765" s="46" t="s">
        <v>296</v>
      </c>
      <c r="H765" s="46"/>
      <c r="I765" s="46"/>
      <c r="J765" s="46" t="s">
        <v>297</v>
      </c>
      <c r="K765" s="46" t="str">
        <f>IFERROR(VLOOKUP($J765,Catálogos!$M$4:$N$17,2,FALSE()),"")</f>
        <v>Mantención Preventiva Realizada</v>
      </c>
      <c r="L765" s="46"/>
      <c r="M765" s="46"/>
      <c r="N765" s="46"/>
      <c r="O765" s="46"/>
      <c r="P765" s="46"/>
      <c r="Q765" s="46"/>
    </row>
    <row r="766" spans="1:17" hidden="1" x14ac:dyDescent="0.25">
      <c r="A766" s="47" t="s">
        <v>761</v>
      </c>
      <c r="B766" s="46" t="str">
        <f>IFERROR(VLOOKUP($A766,Equipos!$C$2:$M$967,2,FALSE()),"")</f>
        <v>Monitor Multiparámetros</v>
      </c>
      <c r="C766" s="46" t="str">
        <f>IFERROR(VLOOKUP($A766,Equipos!$C$2:$M$967,9,FALSE()),"")</f>
        <v>6000907871</v>
      </c>
      <c r="D766" s="46" t="str">
        <f>IFERROR(VLOOKUP($A766,Equipos!$C$2:$M$967,3,FALSE()),"")</f>
        <v>UPC Cardiovascular</v>
      </c>
      <c r="E766" s="46" t="str">
        <f>IFERROR(VLOOKUP($A766,Equipos!$C$2:$M$967,7,FALSE()),"")</f>
        <v xml:space="preserve">Drager </v>
      </c>
      <c r="F766" s="46" t="str">
        <f>IFERROR(VLOOKUP($A766,Equipos!$C$2:$M$967,8,FALSE()),"")</f>
        <v xml:space="preserve">Infinity Vista XL </v>
      </c>
      <c r="G766" s="46" t="s">
        <v>335</v>
      </c>
      <c r="H766" s="46"/>
      <c r="I766" s="46"/>
      <c r="J766" s="46" t="s">
        <v>278</v>
      </c>
      <c r="K766" s="46" t="str">
        <f>IFERROR(VLOOKUP($J766,Catálogos!$M$4:$N$17,2,FALSE()),"")</f>
        <v>Reprogramada · Equipo en servicio técnico</v>
      </c>
      <c r="L766" s="46"/>
      <c r="M766" s="46"/>
      <c r="N766" s="46"/>
      <c r="O766" s="46"/>
      <c r="P766" s="46"/>
      <c r="Q766" s="46"/>
    </row>
    <row r="767" spans="1:17" hidden="1" x14ac:dyDescent="0.25">
      <c r="A767" s="47" t="s">
        <v>761</v>
      </c>
      <c r="B767" s="46" t="str">
        <f>IFERROR(VLOOKUP($A767,Equipos!$C$2:$M$967,2,FALSE()),"")</f>
        <v>Monitor Multiparámetros</v>
      </c>
      <c r="C767" s="46" t="str">
        <f>IFERROR(VLOOKUP($A767,Equipos!$C$2:$M$967,9,FALSE()),"")</f>
        <v>6000907871</v>
      </c>
      <c r="D767" s="46" t="str">
        <f>IFERROR(VLOOKUP($A767,Equipos!$C$2:$M$967,3,FALSE()),"")</f>
        <v>UPC Cardiovascular</v>
      </c>
      <c r="E767" s="46" t="str">
        <f>IFERROR(VLOOKUP($A767,Equipos!$C$2:$M$967,7,FALSE()),"")</f>
        <v xml:space="preserve">Drager </v>
      </c>
      <c r="F767" s="46" t="str">
        <f>IFERROR(VLOOKUP($A767,Equipos!$C$2:$M$967,8,FALSE()),"")</f>
        <v xml:space="preserve">Infinity Vista XL </v>
      </c>
      <c r="G767" s="46" t="s">
        <v>316</v>
      </c>
      <c r="H767" s="46"/>
      <c r="I767" s="46"/>
      <c r="J767" s="46" t="s">
        <v>297</v>
      </c>
      <c r="K767" s="46" t="str">
        <f>IFERROR(VLOOKUP($J767,Catálogos!$M$4:$N$17,2,FALSE()),"")</f>
        <v>Mantención Preventiva Realizada</v>
      </c>
      <c r="L767" s="46"/>
      <c r="M767" s="46"/>
      <c r="N767" s="46"/>
      <c r="O767" s="46"/>
      <c r="P767" s="46"/>
      <c r="Q767" s="46"/>
    </row>
    <row r="768" spans="1:17" hidden="1" x14ac:dyDescent="0.25">
      <c r="A768" s="47" t="s">
        <v>762</v>
      </c>
      <c r="B768" s="46" t="str">
        <f>IFERROR(VLOOKUP($A768,Equipos!$C$2:$M$967,2,FALSE()),"")</f>
        <v>Monitor Multiparámetros</v>
      </c>
      <c r="C768" s="46" t="str">
        <f>IFERROR(VLOOKUP($A768,Equipos!$C$2:$M$967,9,FALSE()),"")</f>
        <v>6000875272</v>
      </c>
      <c r="D768" s="46" t="str">
        <f>IFERROR(VLOOKUP($A768,Equipos!$C$2:$M$967,3,FALSE()),"")</f>
        <v>UPC Cardiovascular (Prestado a UPC Adulto)</v>
      </c>
      <c r="E768" s="46" t="str">
        <f>IFERROR(VLOOKUP($A768,Equipos!$C$2:$M$967,7,FALSE()),"")</f>
        <v xml:space="preserve">Drager </v>
      </c>
      <c r="F768" s="46" t="str">
        <f>IFERROR(VLOOKUP($A768,Equipos!$C$2:$M$967,8,FALSE()),"")</f>
        <v xml:space="preserve">Infinity Vista XL </v>
      </c>
      <c r="G768" s="46" t="s">
        <v>331</v>
      </c>
      <c r="H768" s="46"/>
      <c r="I768" s="46"/>
      <c r="J768" s="46" t="s">
        <v>278</v>
      </c>
      <c r="K768" s="46" t="str">
        <f>IFERROR(VLOOKUP($J768,Catálogos!$M$4:$N$17,2,FALSE()),"")</f>
        <v>Reprogramada · Equipo en servicio técnico</v>
      </c>
      <c r="L768" s="46"/>
      <c r="M768" s="46"/>
      <c r="N768" s="46"/>
      <c r="O768" s="46"/>
      <c r="P768" s="46"/>
      <c r="Q768" s="46"/>
    </row>
    <row r="769" spans="1:17" hidden="1" x14ac:dyDescent="0.25">
      <c r="A769" s="47" t="s">
        <v>763</v>
      </c>
      <c r="B769" s="46" t="str">
        <f>IFERROR(VLOOKUP($A769,Equipos!$C$2:$M$967,2,FALSE()),"")</f>
        <v>Monitor Multiparámetros</v>
      </c>
      <c r="C769" s="46" t="str">
        <f>IFERROR(VLOOKUP($A769,Equipos!$C$2:$M$967,9,FALSE()),"")</f>
        <v>6000873372</v>
      </c>
      <c r="D769" s="46" t="str">
        <f>IFERROR(VLOOKUP($A769,Equipos!$C$2:$M$967,3,FALSE()),"")</f>
        <v>Medicina</v>
      </c>
      <c r="E769" s="46" t="str">
        <f>IFERROR(VLOOKUP($A769,Equipos!$C$2:$M$967,7,FALSE()),"")</f>
        <v xml:space="preserve">Drager </v>
      </c>
      <c r="F769" s="46" t="str">
        <f>IFERROR(VLOOKUP($A769,Equipos!$C$2:$M$967,8,FALSE()),"")</f>
        <v xml:space="preserve">Infinity Vista XL </v>
      </c>
      <c r="G769" s="46" t="s">
        <v>296</v>
      </c>
      <c r="H769" s="46"/>
      <c r="I769" s="46"/>
      <c r="J769" s="46" t="s">
        <v>297</v>
      </c>
      <c r="K769" s="46" t="str">
        <f>IFERROR(VLOOKUP($J769,Catálogos!$M$4:$N$17,2,FALSE()),"")</f>
        <v>Mantención Preventiva Realizada</v>
      </c>
      <c r="L769" s="46"/>
      <c r="M769" s="46"/>
      <c r="N769" s="46"/>
      <c r="O769" s="46"/>
      <c r="P769" s="46"/>
      <c r="Q769" s="46"/>
    </row>
    <row r="770" spans="1:17" hidden="1" x14ac:dyDescent="0.25">
      <c r="A770" s="47" t="s">
        <v>764</v>
      </c>
      <c r="B770" s="46" t="str">
        <f>IFERROR(VLOOKUP($A770,Equipos!$C$2:$M$967,2,FALSE()),"")</f>
        <v>Monitor Multiparámetros</v>
      </c>
      <c r="C770" s="46" t="str">
        <f>IFERROR(VLOOKUP($A770,Equipos!$C$2:$M$967,9,FALSE()),"")</f>
        <v>23307030152</v>
      </c>
      <c r="D770" s="46" t="str">
        <f>IFERROR(VLOOKUP($A770,Equipos!$C$2:$M$967,3,FALSE()),"")</f>
        <v>Cardiología</v>
      </c>
      <c r="E770" s="46" t="str">
        <f>IFERROR(VLOOKUP($A770,Equipos!$C$2:$M$967,7,FALSE()),"")</f>
        <v>Nellcor</v>
      </c>
      <c r="F770" s="46" t="str">
        <f>IFERROR(VLOOKUP($A770,Equipos!$C$2:$M$967,8,FALSE()),"")</f>
        <v>M5600-LA</v>
      </c>
      <c r="G770" s="46" t="s">
        <v>316</v>
      </c>
      <c r="H770" s="46"/>
      <c r="I770" s="46"/>
      <c r="J770" s="46" t="s">
        <v>323</v>
      </c>
      <c r="K770" s="46" t="str">
        <f>IFERROR(VLOOKUP($J770,Catálogos!$M$4:$N$17,2,FALSE()),"")</f>
        <v>Reprogramada · No disponibilidad de horas hombre del funcionario SEC por alta carga laboral</v>
      </c>
      <c r="L770" s="46"/>
      <c r="M770" s="46"/>
      <c r="N770" s="46"/>
      <c r="O770" s="46"/>
      <c r="P770" s="46"/>
      <c r="Q770" s="46"/>
    </row>
    <row r="771" spans="1:17" hidden="1" x14ac:dyDescent="0.25">
      <c r="A771" s="47" t="s">
        <v>764</v>
      </c>
      <c r="B771" s="46" t="str">
        <f>IFERROR(VLOOKUP($A771,Equipos!$C$2:$M$967,2,FALSE()),"")</f>
        <v>Monitor Multiparámetros</v>
      </c>
      <c r="C771" s="46" t="str">
        <f>IFERROR(VLOOKUP($A771,Equipos!$C$2:$M$967,9,FALSE()),"")</f>
        <v>23307030152</v>
      </c>
      <c r="D771" s="46" t="str">
        <f>IFERROR(VLOOKUP($A771,Equipos!$C$2:$M$967,3,FALSE()),"")</f>
        <v>Cardiología</v>
      </c>
      <c r="E771" s="46" t="str">
        <f>IFERROR(VLOOKUP($A771,Equipos!$C$2:$M$967,7,FALSE()),"")</f>
        <v>Nellcor</v>
      </c>
      <c r="F771" s="46" t="str">
        <f>IFERROR(VLOOKUP($A771,Equipos!$C$2:$M$967,8,FALSE()),"")</f>
        <v>M5600-LA</v>
      </c>
      <c r="G771" s="46" t="s">
        <v>331</v>
      </c>
      <c r="H771" s="46"/>
      <c r="I771" s="46"/>
      <c r="J771" s="46" t="s">
        <v>297</v>
      </c>
      <c r="K771" s="46" t="str">
        <f>IFERROR(VLOOKUP($J771,Catálogos!$M$4:$N$17,2,FALSE()),"")</f>
        <v>Mantención Preventiva Realizada</v>
      </c>
      <c r="L771" s="46"/>
      <c r="M771" s="46"/>
      <c r="N771" s="46"/>
      <c r="O771" s="46"/>
      <c r="P771" s="46"/>
      <c r="Q771" s="46"/>
    </row>
    <row r="772" spans="1:17" hidden="1" x14ac:dyDescent="0.25">
      <c r="A772" s="47" t="s">
        <v>765</v>
      </c>
      <c r="B772" s="46" t="str">
        <f>IFERROR(VLOOKUP($A772,Equipos!$C$2:$M$967,2,FALSE()),"")</f>
        <v>Monitor Multiparámetros</v>
      </c>
      <c r="C772" s="46" t="str">
        <f>IFERROR(VLOOKUP($A772,Equipos!$C$2:$M$967,9,FALSE()),"")</f>
        <v>5395673564</v>
      </c>
      <c r="D772" s="46" t="str">
        <f>IFERROR(VLOOKUP($A772,Equipos!$C$2:$M$967,3,FALSE()),"")</f>
        <v>Urgencia Infantil (Prestado a Pediatría)</v>
      </c>
      <c r="E772" s="46" t="str">
        <f>IFERROR(VLOOKUP($A772,Equipos!$C$2:$M$967,7,FALSE()),"")</f>
        <v xml:space="preserve">Drager </v>
      </c>
      <c r="F772" s="46" t="str">
        <f>IFERROR(VLOOKUP($A772,Equipos!$C$2:$M$967,8,FALSE()),"")</f>
        <v xml:space="preserve">Infinity Vista XL </v>
      </c>
      <c r="G772" s="46" t="s">
        <v>296</v>
      </c>
      <c r="H772" s="46"/>
      <c r="I772" s="46"/>
      <c r="J772" s="46" t="s">
        <v>323</v>
      </c>
      <c r="K772" s="46" t="str">
        <f>IFERROR(VLOOKUP($J772,Catálogos!$M$4:$N$17,2,FALSE()),"")</f>
        <v>Reprogramada · No disponibilidad de horas hombre del funcionario SEC por alta carga laboral</v>
      </c>
      <c r="L772" s="46"/>
      <c r="M772" s="46"/>
      <c r="N772" s="46"/>
      <c r="O772" s="46"/>
      <c r="P772" s="46"/>
      <c r="Q772" s="46"/>
    </row>
    <row r="773" spans="1:17" hidden="1" x14ac:dyDescent="0.25">
      <c r="A773" s="47" t="s">
        <v>765</v>
      </c>
      <c r="B773" s="46" t="str">
        <f>IFERROR(VLOOKUP($A773,Equipos!$C$2:$M$967,2,FALSE()),"")</f>
        <v>Monitor Multiparámetros</v>
      </c>
      <c r="C773" s="46" t="str">
        <f>IFERROR(VLOOKUP($A773,Equipos!$C$2:$M$967,9,FALSE()),"")</f>
        <v>5395673564</v>
      </c>
      <c r="D773" s="46" t="str">
        <f>IFERROR(VLOOKUP($A773,Equipos!$C$2:$M$967,3,FALSE()),"")</f>
        <v>Urgencia Infantil (Prestado a Pediatría)</v>
      </c>
      <c r="E773" s="46" t="str">
        <f>IFERROR(VLOOKUP($A773,Equipos!$C$2:$M$967,7,FALSE()),"")</f>
        <v xml:space="preserve">Drager </v>
      </c>
      <c r="F773" s="46" t="str">
        <f>IFERROR(VLOOKUP($A773,Equipos!$C$2:$M$967,8,FALSE()),"")</f>
        <v xml:space="preserve">Infinity Vista XL </v>
      </c>
      <c r="G773" s="46" t="s">
        <v>316</v>
      </c>
      <c r="H773" s="46"/>
      <c r="I773" s="46"/>
      <c r="J773" s="46" t="s">
        <v>297</v>
      </c>
      <c r="K773" s="46" t="str">
        <f>IFERROR(VLOOKUP($J773,Catálogos!$M$4:$N$17,2,FALSE()),"")</f>
        <v>Mantención Preventiva Realizada</v>
      </c>
      <c r="L773" s="46"/>
      <c r="M773" s="46"/>
      <c r="N773" s="46"/>
      <c r="O773" s="46"/>
      <c r="P773" s="46"/>
      <c r="Q773" s="46"/>
    </row>
    <row r="774" spans="1:17" hidden="1" x14ac:dyDescent="0.25">
      <c r="A774" s="47" t="s">
        <v>766</v>
      </c>
      <c r="B774" s="46" t="str">
        <f>IFERROR(VLOOKUP($A774,Equipos!$C$2:$M$967,2,FALSE()),"")</f>
        <v>Monitor Multiparámetros</v>
      </c>
      <c r="C774" s="46" t="str">
        <f>IFERROR(VLOOKUP($A774,Equipos!$C$2:$M$967,9,FALSE()),"")</f>
        <v>01066</v>
      </c>
      <c r="D774" s="46" t="str">
        <f>IFERROR(VLOOKUP($A774,Equipos!$C$2:$M$967,3,FALSE()),"")</f>
        <v>Cirugía Infantil</v>
      </c>
      <c r="E774" s="46" t="str">
        <f>IFERROR(VLOOKUP($A774,Equipos!$C$2:$M$967,7,FALSE()),"")</f>
        <v xml:space="preserve">Nihon Kohden </v>
      </c>
      <c r="F774" s="46" t="str">
        <f>IFERROR(VLOOKUP($A774,Equipos!$C$2:$M$967,8,FALSE()),"")</f>
        <v>BSM-6301K</v>
      </c>
      <c r="G774" s="46" t="s">
        <v>335</v>
      </c>
      <c r="H774" s="46"/>
      <c r="I774" s="46"/>
      <c r="J774" s="46" t="s">
        <v>323</v>
      </c>
      <c r="K774" s="46" t="str">
        <f>IFERROR(VLOOKUP($J774,Catálogos!$M$4:$N$17,2,FALSE()),"")</f>
        <v>Reprogramada · No disponibilidad de horas hombre del funcionario SEC por alta carga laboral</v>
      </c>
      <c r="L774" s="46"/>
      <c r="M774" s="46"/>
      <c r="N774" s="46"/>
      <c r="O774" s="46"/>
      <c r="P774" s="46"/>
      <c r="Q774" s="46"/>
    </row>
    <row r="775" spans="1:17" hidden="1" x14ac:dyDescent="0.25">
      <c r="A775" s="47" t="s">
        <v>766</v>
      </c>
      <c r="B775" s="46" t="str">
        <f>IFERROR(VLOOKUP($A775,Equipos!$C$2:$M$967,2,FALSE()),"")</f>
        <v>Monitor Multiparámetros</v>
      </c>
      <c r="C775" s="46" t="str">
        <f>IFERROR(VLOOKUP($A775,Equipos!$C$2:$M$967,9,FALSE()),"")</f>
        <v>01066</v>
      </c>
      <c r="D775" s="46" t="str">
        <f>IFERROR(VLOOKUP($A775,Equipos!$C$2:$M$967,3,FALSE()),"")</f>
        <v>Cirugía Infantil</v>
      </c>
      <c r="E775" s="46" t="str">
        <f>IFERROR(VLOOKUP($A775,Equipos!$C$2:$M$967,7,FALSE()),"")</f>
        <v xml:space="preserve">Nihon Kohden </v>
      </c>
      <c r="F775" s="46" t="str">
        <f>IFERROR(VLOOKUP($A775,Equipos!$C$2:$M$967,8,FALSE()),"")</f>
        <v>BSM-6301K</v>
      </c>
      <c r="G775" s="46" t="s">
        <v>296</v>
      </c>
      <c r="H775" s="46"/>
      <c r="I775" s="46"/>
      <c r="J775" s="46" t="s">
        <v>297</v>
      </c>
      <c r="K775" s="46" t="str">
        <f>IFERROR(VLOOKUP($J775,Catálogos!$M$4:$N$17,2,FALSE()),"")</f>
        <v>Mantención Preventiva Realizada</v>
      </c>
      <c r="L775" s="46"/>
      <c r="M775" s="46"/>
      <c r="N775" s="46"/>
      <c r="O775" s="46"/>
      <c r="P775" s="46"/>
      <c r="Q775" s="46"/>
    </row>
    <row r="776" spans="1:17" hidden="1" x14ac:dyDescent="0.25">
      <c r="A776" s="47" t="s">
        <v>767</v>
      </c>
      <c r="B776" s="46" t="str">
        <f>IFERROR(VLOOKUP($A776,Equipos!$C$2:$M$967,2,FALSE()),"")</f>
        <v>Monitor Multiparámetros</v>
      </c>
      <c r="C776" s="46" t="str">
        <f>IFERROR(VLOOKUP($A776,Equipos!$C$2:$M$967,9,FALSE()),"")</f>
        <v>VGSML0072</v>
      </c>
      <c r="D776" s="46" t="str">
        <f>IFERROR(VLOOKUP($A776,Equipos!$C$2:$M$967,3,FALSE()),"")</f>
        <v>Pabellón (Recuperación)</v>
      </c>
      <c r="E776" s="46" t="str">
        <f>IFERROR(VLOOKUP($A776,Equipos!$C$2:$M$967,7,FALSE()),"")</f>
        <v>Drager</v>
      </c>
      <c r="F776" s="46" t="str">
        <f>IFERROR(VLOOKUP($A776,Equipos!$C$2:$M$967,8,FALSE()),"")</f>
        <v>Vista 120</v>
      </c>
      <c r="G776" s="46" t="s">
        <v>296</v>
      </c>
      <c r="H776" s="46"/>
      <c r="I776" s="46"/>
      <c r="J776" s="46" t="s">
        <v>297</v>
      </c>
      <c r="K776" s="46" t="str">
        <f>IFERROR(VLOOKUP($J776,Catálogos!$M$4:$N$17,2,FALSE()),"")</f>
        <v>Mantención Preventiva Realizada</v>
      </c>
      <c r="L776" s="46"/>
      <c r="M776" s="46"/>
      <c r="N776" s="46"/>
      <c r="O776" s="46"/>
      <c r="P776" s="46"/>
      <c r="Q776" s="46"/>
    </row>
    <row r="777" spans="1:17" hidden="1" x14ac:dyDescent="0.25">
      <c r="A777" s="47" t="s">
        <v>768</v>
      </c>
      <c r="B777" s="46" t="str">
        <f>IFERROR(VLOOKUP($A777,Equipos!$C$2:$M$967,2,FALSE()),"")</f>
        <v>Monitor Multiparámetros</v>
      </c>
      <c r="C777" s="46" t="str">
        <f>IFERROR(VLOOKUP($A777,Equipos!$C$2:$M$967,9,FALSE()),"")</f>
        <v>5494305160</v>
      </c>
      <c r="D777" s="46" t="str">
        <f>IFERROR(VLOOKUP($A777,Equipos!$C$2:$M$967,3,FALSE()),"")</f>
        <v>Pabellón Quirúrgico</v>
      </c>
      <c r="E777" s="46" t="str">
        <f>IFERROR(VLOOKUP($A777,Equipos!$C$2:$M$967,7,FALSE()),"")</f>
        <v xml:space="preserve">Drager </v>
      </c>
      <c r="F777" s="46" t="str">
        <f>IFERROR(VLOOKUP($A777,Equipos!$C$2:$M$967,8,FALSE()),"")</f>
        <v>Infinity Kappa</v>
      </c>
      <c r="G777" s="46" t="s">
        <v>331</v>
      </c>
      <c r="H777" s="46"/>
      <c r="I777" s="46"/>
      <c r="J777" s="46" t="s">
        <v>297</v>
      </c>
      <c r="K777" s="46" t="str">
        <f>IFERROR(VLOOKUP($J777,Catálogos!$M$4:$N$17,2,FALSE()),"")</f>
        <v>Mantención Preventiva Realizada</v>
      </c>
      <c r="L777" s="46"/>
      <c r="M777" s="46"/>
      <c r="N777" s="46"/>
      <c r="O777" s="46"/>
      <c r="P777" s="46"/>
      <c r="Q777" s="46"/>
    </row>
    <row r="778" spans="1:17" hidden="1" x14ac:dyDescent="0.25">
      <c r="A778" s="47" t="s">
        <v>769</v>
      </c>
      <c r="B778" s="46" t="str">
        <f>IFERROR(VLOOKUP($A778,Equipos!$C$2:$M$967,2,FALSE()),"")</f>
        <v>Monitor Multiparámetros</v>
      </c>
      <c r="C778" s="46" t="str">
        <f>IFERROR(VLOOKUP($A778,Equipos!$C$2:$M$967,9,FALSE()),"")</f>
        <v>SQE19510004SA</v>
      </c>
      <c r="D778" s="46" t="str">
        <f>IFERROR(VLOOKUP($A778,Equipos!$C$2:$M$967,3,FALSE()),"")</f>
        <v>UPC 3er Piso</v>
      </c>
      <c r="E778" s="46" t="str">
        <f>IFERROR(VLOOKUP($A778,Equipos!$C$2:$M$967,7,FALSE()),"")</f>
        <v>General Electric</v>
      </c>
      <c r="F778" s="46" t="str">
        <f>IFERROR(VLOOKUP($A778,Equipos!$C$2:$M$967,8,FALSE()),"")</f>
        <v>B105</v>
      </c>
      <c r="G778" s="46" t="s">
        <v>298</v>
      </c>
      <c r="H778" s="46" t="s">
        <v>460</v>
      </c>
      <c r="I778" s="46"/>
      <c r="J778" s="46" t="s">
        <v>297</v>
      </c>
      <c r="K778" s="46" t="str">
        <f>IFERROR(VLOOKUP($J778,Catálogos!$M$4:$N$17,2,FALSE()),"")</f>
        <v>Mantención Preventiva Realizada</v>
      </c>
      <c r="L778" s="48">
        <v>46171</v>
      </c>
      <c r="M778" s="46" t="s">
        <v>461</v>
      </c>
      <c r="N778" s="46" t="s">
        <v>122</v>
      </c>
      <c r="O778" s="46"/>
      <c r="P778" s="46"/>
      <c r="Q778" s="46"/>
    </row>
    <row r="779" spans="1:17" hidden="1" x14ac:dyDescent="0.25">
      <c r="A779" s="47" t="s">
        <v>770</v>
      </c>
      <c r="B779" s="46" t="str">
        <f>IFERROR(VLOOKUP($A779,Equipos!$C$2:$M$967,2,FALSE()),"")</f>
        <v>Monitor Multiparámetros</v>
      </c>
      <c r="C779" s="46" t="str">
        <f>IFERROR(VLOOKUP($A779,Equipos!$C$2:$M$967,9,FALSE()),"")</f>
        <v>SQE19510005SA</v>
      </c>
      <c r="D779" s="46" t="str">
        <f>IFERROR(VLOOKUP($A779,Equipos!$C$2:$M$967,3,FALSE()),"")</f>
        <v>UPC 3er Piso</v>
      </c>
      <c r="E779" s="46" t="str">
        <f>IFERROR(VLOOKUP($A779,Equipos!$C$2:$M$967,7,FALSE()),"")</f>
        <v>General Electric</v>
      </c>
      <c r="F779" s="46" t="str">
        <f>IFERROR(VLOOKUP($A779,Equipos!$C$2:$M$967,8,FALSE()),"")</f>
        <v>B105</v>
      </c>
      <c r="G779" s="46" t="s">
        <v>298</v>
      </c>
      <c r="H779" s="46" t="s">
        <v>460</v>
      </c>
      <c r="I779" s="46"/>
      <c r="J779" s="46" t="s">
        <v>297</v>
      </c>
      <c r="K779" s="46" t="str">
        <f>IFERROR(VLOOKUP($J779,Catálogos!$M$4:$N$17,2,FALSE()),"")</f>
        <v>Mantención Preventiva Realizada</v>
      </c>
      <c r="L779" s="48">
        <v>46171</v>
      </c>
      <c r="M779" s="46" t="s">
        <v>461</v>
      </c>
      <c r="N779" s="46" t="s">
        <v>122</v>
      </c>
      <c r="O779" s="46"/>
      <c r="P779" s="46"/>
      <c r="Q779" s="46"/>
    </row>
    <row r="780" spans="1:17" hidden="1" x14ac:dyDescent="0.25">
      <c r="A780" s="47" t="s">
        <v>771</v>
      </c>
      <c r="B780" s="46" t="str">
        <f>IFERROR(VLOOKUP($A780,Equipos!$C$2:$M$967,2,FALSE()),"")</f>
        <v>Monitor Multiparámetros</v>
      </c>
      <c r="C780" s="46" t="str">
        <f>IFERROR(VLOOKUP($A780,Equipos!$C$2:$M$967,9,FALSE()),"")</f>
        <v>VSSUM0052</v>
      </c>
      <c r="D780" s="46" t="str">
        <f>IFERROR(VLOOKUP($A780,Equipos!$C$2:$M$967,3,FALSE()),"")</f>
        <v>TROI</v>
      </c>
      <c r="E780" s="46" t="str">
        <f>IFERROR(VLOOKUP($A780,Equipos!$C$2:$M$967,7,FALSE()),"")</f>
        <v>Drager</v>
      </c>
      <c r="F780" s="46" t="str">
        <f>IFERROR(VLOOKUP($A780,Equipos!$C$2:$M$967,8,FALSE()),"")</f>
        <v>Vista 300</v>
      </c>
      <c r="G780" s="46" t="s">
        <v>331</v>
      </c>
      <c r="H780" s="46"/>
      <c r="I780" s="46"/>
      <c r="J780" s="46" t="s">
        <v>297</v>
      </c>
      <c r="K780" s="46" t="str">
        <f>IFERROR(VLOOKUP($J780,Catálogos!$M$4:$N$17,2,FALSE()),"")</f>
        <v>Mantención Preventiva Realizada</v>
      </c>
      <c r="L780" s="46"/>
      <c r="M780" s="46"/>
      <c r="N780" s="46"/>
      <c r="O780" s="46"/>
      <c r="P780" s="46"/>
      <c r="Q780" s="46"/>
    </row>
    <row r="781" spans="1:17" hidden="1" x14ac:dyDescent="0.25">
      <c r="A781" s="47" t="s">
        <v>772</v>
      </c>
      <c r="B781" s="46" t="str">
        <f>IFERROR(VLOOKUP($A781,Equipos!$C$2:$M$967,2,FALSE()),"")</f>
        <v>Monitor Multiparámetros</v>
      </c>
      <c r="C781" s="46" t="str">
        <f>IFERROR(VLOOKUP($A781,Equipos!$C$2:$M$967,9,FALSE()),"")</f>
        <v>VSSTE0190</v>
      </c>
      <c r="D781" s="46" t="str">
        <f>IFERROR(VLOOKUP($A781,Equipos!$C$2:$M$967,3,FALSE()),"")</f>
        <v>TROI</v>
      </c>
      <c r="E781" s="46" t="str">
        <f>IFERROR(VLOOKUP($A781,Equipos!$C$2:$M$967,7,FALSE()),"")</f>
        <v>Drager</v>
      </c>
      <c r="F781" s="46" t="str">
        <f>IFERROR(VLOOKUP($A781,Equipos!$C$2:$M$967,8,FALSE()),"")</f>
        <v>Vista 300</v>
      </c>
      <c r="G781" s="46" t="s">
        <v>331</v>
      </c>
      <c r="H781" s="46"/>
      <c r="I781" s="46"/>
      <c r="J781" s="46" t="s">
        <v>297</v>
      </c>
      <c r="K781" s="46" t="str">
        <f>IFERROR(VLOOKUP($J781,Catálogos!$M$4:$N$17,2,FALSE()),"")</f>
        <v>Mantención Preventiva Realizada</v>
      </c>
      <c r="L781" s="46"/>
      <c r="M781" s="46"/>
      <c r="N781" s="46"/>
      <c r="O781" s="46"/>
      <c r="P781" s="46"/>
      <c r="Q781" s="46"/>
    </row>
    <row r="782" spans="1:17" hidden="1" x14ac:dyDescent="0.25">
      <c r="A782" s="47" t="s">
        <v>773</v>
      </c>
      <c r="B782" s="46" t="str">
        <f>IFERROR(VLOOKUP($A782,Equipos!$C$2:$M$967,2,FALSE()),"")</f>
        <v>Monitor Multiparámetros</v>
      </c>
      <c r="C782" s="46" t="str">
        <f>IFERROR(VLOOKUP($A782,Equipos!$C$2:$M$967,9,FALSE()),"")</f>
        <v>US74915951</v>
      </c>
      <c r="D782" s="46" t="str">
        <f>IFERROR(VLOOKUP($A782,Equipos!$C$2:$M$967,3,FALSE()),"")</f>
        <v>Psiquiatría</v>
      </c>
      <c r="E782" s="46" t="str">
        <f>IFERROR(VLOOKUP($A782,Equipos!$C$2:$M$967,7,FALSE()),"")</f>
        <v>Philips</v>
      </c>
      <c r="F782" s="46" t="str">
        <f>IFERROR(VLOOKUP($A782,Equipos!$C$2:$M$967,8,FALSE()),"")</f>
        <v>VM6</v>
      </c>
      <c r="G782" s="46" t="s">
        <v>316</v>
      </c>
      <c r="H782" s="46"/>
      <c r="I782" s="46"/>
      <c r="J782" s="46" t="s">
        <v>304</v>
      </c>
      <c r="K782" s="46" t="str">
        <f>IFERROR(VLOOKUP($J782,Catálogos!$M$4:$N$17,2,FALSE()),"")</f>
        <v>Equipo Dado de Baja</v>
      </c>
      <c r="L782" s="46"/>
      <c r="M782" s="46"/>
      <c r="N782" s="46"/>
      <c r="O782" s="46"/>
      <c r="P782" s="46"/>
      <c r="Q782" s="46"/>
    </row>
    <row r="783" spans="1:17" hidden="1" x14ac:dyDescent="0.25">
      <c r="A783" s="47" t="s">
        <v>774</v>
      </c>
      <c r="B783" s="46" t="str">
        <f>IFERROR(VLOOKUP($A783,Equipos!$C$2:$M$967,2,FALSE()),"")</f>
        <v>Monitor Multiparámetros</v>
      </c>
      <c r="C783" s="46" t="str">
        <f>IFERROR(VLOOKUP($A783,Equipos!$C$2:$M$967,9,FALSE()),"")</f>
        <v>SQE19510008SA</v>
      </c>
      <c r="D783" s="46" t="str">
        <f>IFERROR(VLOOKUP($A783,Equipos!$C$2:$M$967,3,FALSE()),"")</f>
        <v>UPC 3er Piso</v>
      </c>
      <c r="E783" s="46" t="str">
        <f>IFERROR(VLOOKUP($A783,Equipos!$C$2:$M$967,7,FALSE()),"")</f>
        <v>General Electric</v>
      </c>
      <c r="F783" s="46" t="str">
        <f>IFERROR(VLOOKUP($A783,Equipos!$C$2:$M$967,8,FALSE()),"")</f>
        <v>B105</v>
      </c>
      <c r="G783" s="46" t="s">
        <v>298</v>
      </c>
      <c r="H783" s="46" t="s">
        <v>460</v>
      </c>
      <c r="I783" s="46"/>
      <c r="J783" s="46" t="s">
        <v>297</v>
      </c>
      <c r="K783" s="46" t="str">
        <f>IFERROR(VLOOKUP($J783,Catálogos!$M$4:$N$17,2,FALSE()),"")</f>
        <v>Mantención Preventiva Realizada</v>
      </c>
      <c r="L783" s="48">
        <v>46171</v>
      </c>
      <c r="M783" s="46" t="s">
        <v>461</v>
      </c>
      <c r="N783" s="46" t="s">
        <v>122</v>
      </c>
      <c r="O783" s="46"/>
      <c r="P783" s="46"/>
      <c r="Q783" s="46"/>
    </row>
    <row r="784" spans="1:17" hidden="1" x14ac:dyDescent="0.25">
      <c r="A784" s="47" t="s">
        <v>775</v>
      </c>
      <c r="B784" s="46" t="str">
        <f>IFERROR(VLOOKUP($A784,Equipos!$C$2:$M$967,2,FALSE()),"")</f>
        <v>Monitor Multiparámetros</v>
      </c>
      <c r="C784" s="46" t="str">
        <f>IFERROR(VLOOKUP($A784,Equipos!$C$2:$M$967,9,FALSE()),"")</f>
        <v>03644.</v>
      </c>
      <c r="D784" s="46" t="str">
        <f>IFERROR(VLOOKUP($A784,Equipos!$C$2:$M$967,3,FALSE()),"")</f>
        <v>Medicina</v>
      </c>
      <c r="E784" s="46" t="str">
        <f>IFERROR(VLOOKUP($A784,Equipos!$C$2:$M$967,7,FALSE()),"")</f>
        <v xml:space="preserve">Nihon Kohden </v>
      </c>
      <c r="F784" s="46" t="str">
        <f>IFERROR(VLOOKUP($A784,Equipos!$C$2:$M$967,8,FALSE()),"")</f>
        <v>BSM-2351K</v>
      </c>
      <c r="G784" s="46" t="s">
        <v>296</v>
      </c>
      <c r="H784" s="46"/>
      <c r="I784" s="46"/>
      <c r="J784" s="46" t="s">
        <v>297</v>
      </c>
      <c r="K784" s="46" t="str">
        <f>IFERROR(VLOOKUP($J784,Catálogos!$M$4:$N$17,2,FALSE()),"")</f>
        <v>Mantención Preventiva Realizada</v>
      </c>
      <c r="L784" s="46"/>
      <c r="M784" s="46"/>
      <c r="N784" s="46"/>
      <c r="O784" s="46"/>
      <c r="P784" s="46"/>
      <c r="Q784" s="46"/>
    </row>
    <row r="785" spans="1:17" hidden="1" x14ac:dyDescent="0.25">
      <c r="A785" s="47" t="s">
        <v>776</v>
      </c>
      <c r="B785" s="46" t="str">
        <f>IFERROR(VLOOKUP($A785,Equipos!$C$2:$M$967,2,FALSE()),"")</f>
        <v>Monitor Multiparámetros</v>
      </c>
      <c r="C785" s="46" t="str">
        <f>IFERROR(VLOOKUP($A785,Equipos!$C$2:$M$967,9,FALSE()),"")</f>
        <v>100646</v>
      </c>
      <c r="D785" s="46" t="str">
        <f>IFERROR(VLOOKUP($A785,Equipos!$C$2:$M$967,3,FALSE()),"")</f>
        <v>Pabellón CMA</v>
      </c>
      <c r="E785" s="46" t="str">
        <f>IFERROR(VLOOKUP($A785,Equipos!$C$2:$M$967,7,FALSE()),"")</f>
        <v xml:space="preserve">Nihon Kohden </v>
      </c>
      <c r="F785" s="46" t="str">
        <f>IFERROR(VLOOKUP($A785,Equipos!$C$2:$M$967,8,FALSE()),"")</f>
        <v>PVM-2701K</v>
      </c>
      <c r="G785" s="46" t="s">
        <v>298</v>
      </c>
      <c r="H785" s="46"/>
      <c r="I785" s="46"/>
      <c r="J785" s="46" t="s">
        <v>297</v>
      </c>
      <c r="K785" s="46" t="str">
        <f>IFERROR(VLOOKUP($J785,Catálogos!$M$4:$N$17,2,FALSE()),"")</f>
        <v>Mantención Preventiva Realizada</v>
      </c>
      <c r="L785" s="46"/>
      <c r="M785" s="46"/>
      <c r="N785" s="46"/>
      <c r="O785" s="46"/>
      <c r="P785" s="46"/>
      <c r="Q785" s="46"/>
    </row>
    <row r="786" spans="1:17" hidden="1" x14ac:dyDescent="0.25">
      <c r="A786" s="47" t="s">
        <v>777</v>
      </c>
      <c r="B786" s="46" t="str">
        <f>IFERROR(VLOOKUP($A786,Equipos!$C$2:$M$967,2,FALSE()),"")</f>
        <v>Monitor Multiparámetros</v>
      </c>
      <c r="C786" s="46" t="str">
        <f>IFERROR(VLOOKUP($A786,Equipos!$C$2:$M$967,9,FALSE()),"")</f>
        <v>100642</v>
      </c>
      <c r="D786" s="46" t="str">
        <f>IFERROR(VLOOKUP($A786,Equipos!$C$2:$M$967,3,FALSE()),"")</f>
        <v>Pabellón CMA</v>
      </c>
      <c r="E786" s="46" t="str">
        <f>IFERROR(VLOOKUP($A786,Equipos!$C$2:$M$967,7,FALSE()),"")</f>
        <v xml:space="preserve">Nihon Kohden </v>
      </c>
      <c r="F786" s="46" t="str">
        <f>IFERROR(VLOOKUP($A786,Equipos!$C$2:$M$967,8,FALSE()),"")</f>
        <v>PVM-2701K</v>
      </c>
      <c r="G786" s="46" t="s">
        <v>298</v>
      </c>
      <c r="H786" s="46"/>
      <c r="I786" s="46"/>
      <c r="J786" s="46" t="s">
        <v>297</v>
      </c>
      <c r="K786" s="46" t="str">
        <f>IFERROR(VLOOKUP($J786,Catálogos!$M$4:$N$17,2,FALSE()),"")</f>
        <v>Mantención Preventiva Realizada</v>
      </c>
      <c r="L786" s="46"/>
      <c r="M786" s="46"/>
      <c r="N786" s="46"/>
      <c r="O786" s="46"/>
      <c r="P786" s="46"/>
      <c r="Q786" s="46"/>
    </row>
    <row r="787" spans="1:17" hidden="1" x14ac:dyDescent="0.25">
      <c r="A787" s="47" t="s">
        <v>778</v>
      </c>
      <c r="B787" s="46" t="str">
        <f>IFERROR(VLOOKUP($A787,Equipos!$C$2:$M$967,2,FALSE()),"")</f>
        <v>Monitor Multiparámetros</v>
      </c>
      <c r="C787" s="46" t="str">
        <f>IFERROR(VLOOKUP($A787,Equipos!$C$2:$M$967,9,FALSE()),"")</f>
        <v>SQE19510009SA</v>
      </c>
      <c r="D787" s="46" t="str">
        <f>IFERROR(VLOOKUP($A787,Equipos!$C$2:$M$967,3,FALSE()),"")</f>
        <v>UPC 3er Piso</v>
      </c>
      <c r="E787" s="46" t="str">
        <f>IFERROR(VLOOKUP($A787,Equipos!$C$2:$M$967,7,FALSE()),"")</f>
        <v>General Electric</v>
      </c>
      <c r="F787" s="46" t="str">
        <f>IFERROR(VLOOKUP($A787,Equipos!$C$2:$M$967,8,FALSE()),"")</f>
        <v>B105</v>
      </c>
      <c r="G787" s="46" t="s">
        <v>298</v>
      </c>
      <c r="H787" s="46"/>
      <c r="I787" s="46"/>
      <c r="J787" s="46" t="s">
        <v>297</v>
      </c>
      <c r="K787" s="46" t="str">
        <f>IFERROR(VLOOKUP($J787,Catálogos!$M$4:$N$17,2,FALSE()),"")</f>
        <v>Mantención Preventiva Realizada</v>
      </c>
      <c r="L787" s="46"/>
      <c r="M787" s="46"/>
      <c r="N787" s="46"/>
      <c r="O787" s="46"/>
      <c r="P787" s="46"/>
      <c r="Q787" s="46"/>
    </row>
    <row r="788" spans="1:17" hidden="1" x14ac:dyDescent="0.25">
      <c r="A788" s="47" t="s">
        <v>779</v>
      </c>
      <c r="B788" s="46" t="str">
        <f>IFERROR(VLOOKUP($A788,Equipos!$C$2:$M$967,2,FALSE()),"")</f>
        <v>Monitor Multiparámetros</v>
      </c>
      <c r="C788" s="46" t="str">
        <f>IFERROR(VLOOKUP($A788,Equipos!$C$2:$M$967,9,FALSE()),"")</f>
        <v>5613540865</v>
      </c>
      <c r="D788" s="46" t="str">
        <f>IFERROR(VLOOKUP($A788,Equipos!$C$2:$M$967,3,FALSE()),"")</f>
        <v>Pabellón Quirúrgico</v>
      </c>
      <c r="E788" s="46" t="str">
        <f>IFERROR(VLOOKUP($A788,Equipos!$C$2:$M$967,7,FALSE()),"")</f>
        <v>Drager</v>
      </c>
      <c r="F788" s="46" t="str">
        <f>IFERROR(VLOOKUP($A788,Equipos!$C$2:$M$967,8,FALSE()),"")</f>
        <v>M540</v>
      </c>
      <c r="G788" s="46" t="s">
        <v>331</v>
      </c>
      <c r="H788" s="46"/>
      <c r="I788" s="46"/>
      <c r="J788" s="46" t="s">
        <v>297</v>
      </c>
      <c r="K788" s="46" t="str">
        <f>IFERROR(VLOOKUP($J788,Catálogos!$M$4:$N$17,2,FALSE()),"")</f>
        <v>Mantención Preventiva Realizada</v>
      </c>
      <c r="L788" s="46"/>
      <c r="M788" s="46"/>
      <c r="N788" s="46"/>
      <c r="O788" s="46"/>
      <c r="P788" s="46"/>
      <c r="Q788" s="46"/>
    </row>
    <row r="789" spans="1:17" hidden="1" x14ac:dyDescent="0.25">
      <c r="A789" s="47" t="s">
        <v>780</v>
      </c>
      <c r="B789" s="46" t="str">
        <f>IFERROR(VLOOKUP($A789,Equipos!$C$2:$M$967,2,FALSE()),"")</f>
        <v>Monitor Multiparámetros</v>
      </c>
      <c r="C789" s="46" t="str">
        <f>IFERROR(VLOOKUP($A789,Equipos!$C$2:$M$967,9,FALSE()),"")</f>
        <v>US74915955</v>
      </c>
      <c r="D789" s="46" t="str">
        <f>IFERROR(VLOOKUP($A789,Equipos!$C$2:$M$967,3,FALSE()),"")</f>
        <v>Hospitalización Domiciliaria</v>
      </c>
      <c r="E789" s="46" t="str">
        <f>IFERROR(VLOOKUP($A789,Equipos!$C$2:$M$967,7,FALSE()),"")</f>
        <v>Philips</v>
      </c>
      <c r="F789" s="46" t="str">
        <f>IFERROR(VLOOKUP($A789,Equipos!$C$2:$M$967,8,FALSE()),"")</f>
        <v>VM6</v>
      </c>
      <c r="G789" s="46" t="s">
        <v>331</v>
      </c>
      <c r="H789" s="46"/>
      <c r="I789" s="46"/>
      <c r="J789" s="46" t="s">
        <v>297</v>
      </c>
      <c r="K789" s="46" t="str">
        <f>IFERROR(VLOOKUP($J789,Catálogos!$M$4:$N$17,2,FALSE()),"")</f>
        <v>Mantención Preventiva Realizada</v>
      </c>
      <c r="L789" s="46"/>
      <c r="M789" s="46"/>
      <c r="N789" s="46"/>
      <c r="O789" s="46"/>
      <c r="P789" s="46"/>
      <c r="Q789" s="46"/>
    </row>
    <row r="790" spans="1:17" hidden="1" x14ac:dyDescent="0.25">
      <c r="A790" s="47" t="s">
        <v>781</v>
      </c>
      <c r="B790" s="46" t="str">
        <f>IFERROR(VLOOKUP($A790,Equipos!$C$2:$M$967,2,FALSE()),"")</f>
        <v>Monitor Multiparámetros</v>
      </c>
      <c r="C790" s="46" t="str">
        <f>IFERROR(VLOOKUP($A790,Equipos!$C$2:$M$967,9,FALSE()),"")</f>
        <v>5494308059</v>
      </c>
      <c r="D790" s="46" t="str">
        <f>IFERROR(VLOOKUP($A790,Equipos!$C$2:$M$967,3,FALSE()),"")</f>
        <v>UPC Cardiovascular</v>
      </c>
      <c r="E790" s="46" t="str">
        <f>IFERROR(VLOOKUP($A790,Equipos!$C$2:$M$967,7,FALSE()),"")</f>
        <v>Drager</v>
      </c>
      <c r="F790" s="46" t="str">
        <f>IFERROR(VLOOKUP($A790,Equipos!$C$2:$M$967,8,FALSE()),"")</f>
        <v>Infinity Kappa</v>
      </c>
      <c r="G790" s="46" t="s">
        <v>335</v>
      </c>
      <c r="H790" s="46"/>
      <c r="I790" s="46"/>
      <c r="J790" s="46" t="s">
        <v>315</v>
      </c>
      <c r="K790" s="46" t="str">
        <f>IFERROR(VLOOKUP($J790,Catálogos!$M$4:$N$17,2,FALSE()),"")</f>
        <v>Reprogramada · Ausencia justificada del funcionario SEC superior a 15 días</v>
      </c>
      <c r="L790" s="46"/>
      <c r="M790" s="46"/>
      <c r="N790" s="46"/>
      <c r="O790" s="46"/>
      <c r="P790" s="46"/>
      <c r="Q790" s="46"/>
    </row>
    <row r="791" spans="1:17" hidden="1" x14ac:dyDescent="0.25">
      <c r="A791" s="47" t="s">
        <v>781</v>
      </c>
      <c r="B791" s="46" t="str">
        <f>IFERROR(VLOOKUP($A791,Equipos!$C$2:$M$967,2,FALSE()),"")</f>
        <v>Monitor Multiparámetros</v>
      </c>
      <c r="C791" s="46" t="str">
        <f>IFERROR(VLOOKUP($A791,Equipos!$C$2:$M$967,9,FALSE()),"")</f>
        <v>5494308059</v>
      </c>
      <c r="D791" s="46" t="str">
        <f>IFERROR(VLOOKUP($A791,Equipos!$C$2:$M$967,3,FALSE()),"")</f>
        <v>UPC Cardiovascular</v>
      </c>
      <c r="E791" s="46" t="str">
        <f>IFERROR(VLOOKUP($A791,Equipos!$C$2:$M$967,7,FALSE()),"")</f>
        <v>Drager</v>
      </c>
      <c r="F791" s="46" t="str">
        <f>IFERROR(VLOOKUP($A791,Equipos!$C$2:$M$967,8,FALSE()),"")</f>
        <v>Infinity Kappa</v>
      </c>
      <c r="G791" s="46" t="s">
        <v>296</v>
      </c>
      <c r="H791" s="46"/>
      <c r="I791" s="46"/>
      <c r="J791" s="46" t="s">
        <v>297</v>
      </c>
      <c r="K791" s="46" t="str">
        <f>IFERROR(VLOOKUP($J791,Catálogos!$M$4:$N$17,2,FALSE()),"")</f>
        <v>Mantención Preventiva Realizada</v>
      </c>
      <c r="L791" s="46"/>
      <c r="M791" s="46"/>
      <c r="N791" s="46"/>
      <c r="O791" s="46"/>
      <c r="P791" s="46"/>
      <c r="Q791" s="46"/>
    </row>
    <row r="792" spans="1:17" hidden="1" x14ac:dyDescent="0.25">
      <c r="A792" s="47" t="s">
        <v>782</v>
      </c>
      <c r="B792" s="46" t="str">
        <f>IFERROR(VLOOKUP($A792,Equipos!$C$2:$M$967,2,FALSE()),"")</f>
        <v>Monitor Multiparámetros</v>
      </c>
      <c r="C792" s="46" t="str">
        <f>IFERROR(VLOOKUP($A792,Equipos!$C$2:$M$967,9,FALSE()),"")</f>
        <v>3647</v>
      </c>
      <c r="D792" s="46" t="str">
        <f>IFERROR(VLOOKUP($A792,Equipos!$C$2:$M$967,3,FALSE()),"")</f>
        <v>Hemodiálisis</v>
      </c>
      <c r="E792" s="46" t="str">
        <f>IFERROR(VLOOKUP($A792,Equipos!$C$2:$M$967,7,FALSE()),"")</f>
        <v xml:space="preserve">Nihon Kohden </v>
      </c>
      <c r="F792" s="46" t="str">
        <f>IFERROR(VLOOKUP($A792,Equipos!$C$2:$M$967,8,FALSE()),"")</f>
        <v>BSM-2351K</v>
      </c>
      <c r="G792" s="46" t="s">
        <v>298</v>
      </c>
      <c r="H792" s="46" t="s">
        <v>460</v>
      </c>
      <c r="I792" s="46"/>
      <c r="J792" s="46" t="s">
        <v>297</v>
      </c>
      <c r="K792" s="46" t="str">
        <f>IFERROR(VLOOKUP($J792,Catálogos!$M$4:$N$17,2,FALSE()),"")</f>
        <v>Mantención Preventiva Realizada</v>
      </c>
      <c r="L792" s="48">
        <v>46171</v>
      </c>
      <c r="M792" s="46" t="s">
        <v>461</v>
      </c>
      <c r="N792" s="46" t="s">
        <v>122</v>
      </c>
      <c r="O792" s="46"/>
      <c r="P792" s="46"/>
      <c r="Q792" s="46"/>
    </row>
    <row r="793" spans="1:17" hidden="1" x14ac:dyDescent="0.25">
      <c r="A793" s="47" t="s">
        <v>783</v>
      </c>
      <c r="B793" s="46" t="str">
        <f>IFERROR(VLOOKUP($A793,Equipos!$C$2:$M$967,2,FALSE()),"")</f>
        <v>Monitor Multiparámetros</v>
      </c>
      <c r="C793" s="46" t="str">
        <f>IFERROR(VLOOKUP($A793,Equipos!$C$2:$M$967,9,FALSE()),"")</f>
        <v>5494528944</v>
      </c>
      <c r="D793" s="46" t="str">
        <f>IFERROR(VLOOKUP($A793,Equipos!$C$2:$M$967,3,FALSE()),"")</f>
        <v>Pabellón Quirúrgico</v>
      </c>
      <c r="E793" s="46" t="str">
        <f>IFERROR(VLOOKUP($A793,Equipos!$C$2:$M$967,7,FALSE()),"")</f>
        <v>Drager</v>
      </c>
      <c r="F793" s="46" t="str">
        <f>IFERROR(VLOOKUP($A793,Equipos!$C$2:$M$967,8,FALSE()),"")</f>
        <v xml:space="preserve">Infinity Kappa </v>
      </c>
      <c r="G793" s="46" t="s">
        <v>331</v>
      </c>
      <c r="H793" s="46"/>
      <c r="I793" s="46"/>
      <c r="J793" s="46" t="s">
        <v>784</v>
      </c>
      <c r="K793" s="46" t="str">
        <f>IFERROR(VLOOKUP($J793,Catálogos!$M$4:$N$17,2,FALSE()),"")</f>
        <v>No Ubicable</v>
      </c>
      <c r="L793" s="46"/>
      <c r="M793" s="46"/>
      <c r="N793" s="46"/>
      <c r="O793" s="46"/>
      <c r="P793" s="46"/>
      <c r="Q793" s="46"/>
    </row>
    <row r="794" spans="1:17" hidden="1" x14ac:dyDescent="0.25">
      <c r="A794" s="47" t="s">
        <v>783</v>
      </c>
      <c r="B794" s="46" t="str">
        <f>IFERROR(VLOOKUP($A794,Equipos!$C$2:$M$967,2,FALSE()),"")</f>
        <v>Monitor Multiparámetros</v>
      </c>
      <c r="C794" s="46" t="str">
        <f>IFERROR(VLOOKUP($A794,Equipos!$C$2:$M$967,9,FALSE()),"")</f>
        <v>5494528944</v>
      </c>
      <c r="D794" s="46" t="str">
        <f>IFERROR(VLOOKUP($A794,Equipos!$C$2:$M$967,3,FALSE()),"")</f>
        <v>Pabellón Quirúrgico</v>
      </c>
      <c r="E794" s="46" t="str">
        <f>IFERROR(VLOOKUP($A794,Equipos!$C$2:$M$967,7,FALSE()),"")</f>
        <v>Drager</v>
      </c>
      <c r="F794" s="46" t="str">
        <f>IFERROR(VLOOKUP($A794,Equipos!$C$2:$M$967,8,FALSE()),"")</f>
        <v xml:space="preserve">Infinity Kappa </v>
      </c>
      <c r="G794" s="46" t="s">
        <v>298</v>
      </c>
      <c r="H794" s="46"/>
      <c r="I794" s="46"/>
      <c r="J794" s="46" t="s">
        <v>297</v>
      </c>
      <c r="K794" s="46" t="str">
        <f>IFERROR(VLOOKUP($J794,Catálogos!$M$4:$N$17,2,FALSE()),"")</f>
        <v>Mantención Preventiva Realizada</v>
      </c>
      <c r="L794" s="46"/>
      <c r="M794" s="46"/>
      <c r="N794" s="46"/>
      <c r="O794" s="46"/>
      <c r="P794" s="46"/>
      <c r="Q794" s="46"/>
    </row>
    <row r="795" spans="1:17" hidden="1" x14ac:dyDescent="0.25">
      <c r="A795" s="47" t="s">
        <v>785</v>
      </c>
      <c r="B795" s="46" t="str">
        <f>IFERROR(VLOOKUP($A795,Equipos!$C$2:$M$967,2,FALSE()),"")</f>
        <v>Monitor Multiparámetros</v>
      </c>
      <c r="C795" s="46" t="str">
        <f>IFERROR(VLOOKUP($A795,Equipos!$C$2:$M$967,9,FALSE()),"")</f>
        <v>5613542961</v>
      </c>
      <c r="D795" s="46" t="str">
        <f>IFERROR(VLOOKUP($A795,Equipos!$C$2:$M$967,3,FALSE()),"")</f>
        <v>Pabellón Quirúrgico</v>
      </c>
      <c r="E795" s="46" t="str">
        <f>IFERROR(VLOOKUP($A795,Equipos!$C$2:$M$967,7,FALSE()),"")</f>
        <v>Drager</v>
      </c>
      <c r="F795" s="46" t="str">
        <f>IFERROR(VLOOKUP($A795,Equipos!$C$2:$M$967,8,FALSE()),"")</f>
        <v>M540</v>
      </c>
      <c r="G795" s="46" t="s">
        <v>331</v>
      </c>
      <c r="H795" s="46"/>
      <c r="I795" s="46"/>
      <c r="J795" s="46" t="s">
        <v>297</v>
      </c>
      <c r="K795" s="46" t="str">
        <f>IFERROR(VLOOKUP($J795,Catálogos!$M$4:$N$17,2,FALSE()),"")</f>
        <v>Mantención Preventiva Realizada</v>
      </c>
      <c r="L795" s="46"/>
      <c r="M795" s="46"/>
      <c r="N795" s="46"/>
      <c r="O795" s="46"/>
      <c r="P795" s="46"/>
      <c r="Q795" s="46"/>
    </row>
    <row r="796" spans="1:17" hidden="1" x14ac:dyDescent="0.25">
      <c r="A796" s="47" t="s">
        <v>786</v>
      </c>
      <c r="B796" s="46" t="str">
        <f>IFERROR(VLOOKUP($A796,Equipos!$C$2:$M$967,2,FALSE()),"")</f>
        <v>Monitor Multiparámetros</v>
      </c>
      <c r="C796" s="46" t="str">
        <f>IFERROR(VLOOKUP($A796,Equipos!$C$2:$M$967,9,FALSE()),"")</f>
        <v>SQE19510010SA</v>
      </c>
      <c r="D796" s="46" t="str">
        <f>IFERROR(VLOOKUP($A796,Equipos!$C$2:$M$967,3,FALSE()),"")</f>
        <v>Medicina</v>
      </c>
      <c r="E796" s="46" t="str">
        <f>IFERROR(VLOOKUP($A796,Equipos!$C$2:$M$967,7,FALSE()),"")</f>
        <v>General Electric</v>
      </c>
      <c r="F796" s="46" t="str">
        <f>IFERROR(VLOOKUP($A796,Equipos!$C$2:$M$967,8,FALSE()),"")</f>
        <v>B105</v>
      </c>
      <c r="G796" s="46" t="s">
        <v>296</v>
      </c>
      <c r="H796" s="46"/>
      <c r="I796" s="46"/>
      <c r="J796" s="46" t="s">
        <v>323</v>
      </c>
      <c r="K796" s="46" t="str">
        <f>IFERROR(VLOOKUP($J796,Catálogos!$M$4:$N$17,2,FALSE()),"")</f>
        <v>Reprogramada · No disponibilidad de horas hombre del funcionario SEC por alta carga laboral</v>
      </c>
      <c r="L796" s="46"/>
      <c r="M796" s="46"/>
      <c r="N796" s="46"/>
      <c r="O796" s="46"/>
      <c r="P796" s="46"/>
      <c r="Q796" s="46"/>
    </row>
    <row r="797" spans="1:17" hidden="1" x14ac:dyDescent="0.25">
      <c r="A797" s="47" t="s">
        <v>786</v>
      </c>
      <c r="B797" s="46" t="str">
        <f>IFERROR(VLOOKUP($A797,Equipos!$C$2:$M$967,2,FALSE()),"")</f>
        <v>Monitor Multiparámetros</v>
      </c>
      <c r="C797" s="46" t="str">
        <f>IFERROR(VLOOKUP($A797,Equipos!$C$2:$M$967,9,FALSE()),"")</f>
        <v>SQE19510010SA</v>
      </c>
      <c r="D797" s="46" t="str">
        <f>IFERROR(VLOOKUP($A797,Equipos!$C$2:$M$967,3,FALSE()),"")</f>
        <v>Medicina</v>
      </c>
      <c r="E797" s="46" t="str">
        <f>IFERROR(VLOOKUP($A797,Equipos!$C$2:$M$967,7,FALSE()),"")</f>
        <v>General Electric</v>
      </c>
      <c r="F797" s="46" t="str">
        <f>IFERROR(VLOOKUP($A797,Equipos!$C$2:$M$967,8,FALSE()),"")</f>
        <v>B105</v>
      </c>
      <c r="G797" s="46" t="s">
        <v>316</v>
      </c>
      <c r="H797" s="46"/>
      <c r="I797" s="46"/>
      <c r="J797" s="46" t="s">
        <v>297</v>
      </c>
      <c r="K797" s="46" t="str">
        <f>IFERROR(VLOOKUP($J797,Catálogos!$M$4:$N$17,2,FALSE()),"")</f>
        <v>Mantención Preventiva Realizada</v>
      </c>
      <c r="L797" s="46"/>
      <c r="M797" s="46"/>
      <c r="N797" s="46"/>
      <c r="O797" s="46"/>
      <c r="P797" s="46"/>
      <c r="Q797" s="46"/>
    </row>
    <row r="798" spans="1:17" hidden="1" x14ac:dyDescent="0.25">
      <c r="A798" s="47" t="s">
        <v>787</v>
      </c>
      <c r="B798" s="46" t="str">
        <f>IFERROR(VLOOKUP($A798,Equipos!$C$2:$M$967,2,FALSE()),"")</f>
        <v>Monitor Multiparámetros</v>
      </c>
      <c r="C798" s="46" t="str">
        <f>IFERROR(VLOOKUP($A798,Equipos!$C$2:$M$967,9,FALSE()),"")</f>
        <v>01031.</v>
      </c>
      <c r="D798" s="46" t="str">
        <f>IFERROR(VLOOKUP($A798,Equipos!$C$2:$M$967,3,FALSE()),"")</f>
        <v>Cirugía Adulto</v>
      </c>
      <c r="E798" s="46" t="str">
        <f>IFERROR(VLOOKUP($A798,Equipos!$C$2:$M$967,7,FALSE()),"")</f>
        <v xml:space="preserve">Nihon Kohden </v>
      </c>
      <c r="F798" s="46" t="str">
        <f>IFERROR(VLOOKUP($A798,Equipos!$C$2:$M$967,8,FALSE()),"")</f>
        <v>BSM-6301K</v>
      </c>
      <c r="G798" s="46" t="s">
        <v>298</v>
      </c>
      <c r="H798" s="46"/>
      <c r="I798" s="46"/>
      <c r="J798" s="46" t="s">
        <v>297</v>
      </c>
      <c r="K798" s="46" t="str">
        <f>IFERROR(VLOOKUP($J798,Catálogos!$M$4:$N$17,2,FALSE()),"")</f>
        <v>Mantención Preventiva Realizada</v>
      </c>
      <c r="L798" s="46"/>
      <c r="M798" s="46"/>
      <c r="N798" s="46"/>
      <c r="O798" s="46"/>
      <c r="P798" s="46"/>
      <c r="Q798" s="46"/>
    </row>
    <row r="799" spans="1:17" hidden="1" x14ac:dyDescent="0.25">
      <c r="A799" s="47" t="s">
        <v>788</v>
      </c>
      <c r="B799" s="46" t="str">
        <f>IFERROR(VLOOKUP($A799,Equipos!$C$2:$M$967,2,FALSE()),"")</f>
        <v>Monitor Multiparámetros</v>
      </c>
      <c r="C799" s="46" t="str">
        <f>IFERROR(VLOOKUP($A799,Equipos!$C$2:$M$967,9,FALSE()),"")</f>
        <v>5396140362</v>
      </c>
      <c r="D799" s="46" t="str">
        <f>IFERROR(VLOOKUP($A799,Equipos!$C$2:$M$967,3,FALSE()),"")</f>
        <v>Imagenología</v>
      </c>
      <c r="E799" s="46" t="str">
        <f>IFERROR(VLOOKUP($A799,Equipos!$C$2:$M$967,7,FALSE()),"")</f>
        <v>Drager</v>
      </c>
      <c r="F799" s="46" t="str">
        <f>IFERROR(VLOOKUP($A799,Equipos!$C$2:$M$967,8,FALSE()),"")</f>
        <v xml:space="preserve">Infinity Vista XL </v>
      </c>
      <c r="G799" s="46" t="s">
        <v>296</v>
      </c>
      <c r="H799" s="46"/>
      <c r="I799" s="46"/>
      <c r="J799" s="46" t="s">
        <v>323</v>
      </c>
      <c r="K799" s="46" t="str">
        <f>IFERROR(VLOOKUP($J799,Catálogos!$M$4:$N$17,2,FALSE()),"")</f>
        <v>Reprogramada · No disponibilidad de horas hombre del funcionario SEC por alta carga laboral</v>
      </c>
      <c r="L799" s="46"/>
      <c r="M799" s="46"/>
      <c r="N799" s="46"/>
      <c r="O799" s="46"/>
      <c r="P799" s="46"/>
      <c r="Q799" s="46"/>
    </row>
    <row r="800" spans="1:17" hidden="1" x14ac:dyDescent="0.25">
      <c r="A800" s="47" t="s">
        <v>788</v>
      </c>
      <c r="B800" s="46" t="str">
        <f>IFERROR(VLOOKUP($A800,Equipos!$C$2:$M$967,2,FALSE()),"")</f>
        <v>Monitor Multiparámetros</v>
      </c>
      <c r="C800" s="46" t="str">
        <f>IFERROR(VLOOKUP($A800,Equipos!$C$2:$M$967,9,FALSE()),"")</f>
        <v>5396140362</v>
      </c>
      <c r="D800" s="46" t="str">
        <f>IFERROR(VLOOKUP($A800,Equipos!$C$2:$M$967,3,FALSE()),"")</f>
        <v>Imagenología</v>
      </c>
      <c r="E800" s="46" t="str">
        <f>IFERROR(VLOOKUP($A800,Equipos!$C$2:$M$967,7,FALSE()),"")</f>
        <v>Drager</v>
      </c>
      <c r="F800" s="46" t="str">
        <f>IFERROR(VLOOKUP($A800,Equipos!$C$2:$M$967,8,FALSE()),"")</f>
        <v xml:space="preserve">Infinity Vista XL </v>
      </c>
      <c r="G800" s="46" t="s">
        <v>316</v>
      </c>
      <c r="H800" s="46"/>
      <c r="I800" s="46"/>
      <c r="J800" s="46" t="s">
        <v>297</v>
      </c>
      <c r="K800" s="46" t="str">
        <f>IFERROR(VLOOKUP($J800,Catálogos!$M$4:$N$17,2,FALSE()),"")</f>
        <v>Mantención Preventiva Realizada</v>
      </c>
      <c r="L800" s="46"/>
      <c r="M800" s="46"/>
      <c r="N800" s="46"/>
      <c r="O800" s="46"/>
      <c r="P800" s="46"/>
      <c r="Q800" s="46"/>
    </row>
    <row r="801" spans="1:17" hidden="1" x14ac:dyDescent="0.25">
      <c r="A801" s="47" t="s">
        <v>789</v>
      </c>
      <c r="B801" s="46" t="str">
        <f>IFERROR(VLOOKUP($A801,Equipos!$C$2:$M$967,2,FALSE()),"")</f>
        <v>Monitor Multiparámetros</v>
      </c>
      <c r="C801" s="46" t="str">
        <f>IFERROR(VLOOKUP($A801,Equipos!$C$2:$M$967,9,FALSE()),"")</f>
        <v>5495045456</v>
      </c>
      <c r="D801" s="46" t="str">
        <f>IFERROR(VLOOKUP($A801,Equipos!$C$2:$M$967,3,FALSE()),"")</f>
        <v>UPC Adulto</v>
      </c>
      <c r="E801" s="46" t="str">
        <f>IFERROR(VLOOKUP($A801,Equipos!$C$2:$M$967,7,FALSE()),"")</f>
        <v>Drager</v>
      </c>
      <c r="F801" s="46" t="str">
        <f>IFERROR(VLOOKUP($A801,Equipos!$C$2:$M$967,8,FALSE()),"")</f>
        <v>Infinity Kappa</v>
      </c>
      <c r="G801" s="46" t="s">
        <v>298</v>
      </c>
      <c r="H801" s="46"/>
      <c r="I801" s="46"/>
      <c r="J801" s="46" t="s">
        <v>297</v>
      </c>
      <c r="K801" s="46" t="str">
        <f>IFERROR(VLOOKUP($J801,Catálogos!$M$4:$N$17,2,FALSE()),"")</f>
        <v>Mantención Preventiva Realizada</v>
      </c>
      <c r="L801" s="46"/>
      <c r="M801" s="46"/>
      <c r="N801" s="46"/>
      <c r="O801" s="46"/>
      <c r="P801" s="46"/>
      <c r="Q801" s="46"/>
    </row>
    <row r="802" spans="1:17" hidden="1" x14ac:dyDescent="0.25">
      <c r="A802" s="47" t="s">
        <v>790</v>
      </c>
      <c r="B802" s="46" t="str">
        <f>IFERROR(VLOOKUP($A802,Equipos!$C$2:$M$967,2,FALSE()),"")</f>
        <v>Monitor Multiparámetros</v>
      </c>
      <c r="C802" s="46" t="str">
        <f>IFERROR(VLOOKUP($A802,Equipos!$C$2:$M$967,9,FALSE()),"")</f>
        <v>5495042762</v>
      </c>
      <c r="D802" s="46" t="str">
        <f>IFERROR(VLOOKUP($A802,Equipos!$C$2:$M$967,3,FALSE()),"")</f>
        <v>UPC Adulto</v>
      </c>
      <c r="E802" s="46" t="str">
        <f>IFERROR(VLOOKUP($A802,Equipos!$C$2:$M$967,7,FALSE()),"")</f>
        <v>Drager</v>
      </c>
      <c r="F802" s="46" t="str">
        <f>IFERROR(VLOOKUP($A802,Equipos!$C$2:$M$967,8,FALSE()),"")</f>
        <v>Infinity Kappa</v>
      </c>
      <c r="G802" s="46" t="s">
        <v>331</v>
      </c>
      <c r="H802" s="46"/>
      <c r="I802" s="46"/>
      <c r="J802" s="46" t="s">
        <v>297</v>
      </c>
      <c r="K802" s="46" t="str">
        <f>IFERROR(VLOOKUP($J802,Catálogos!$M$4:$N$17,2,FALSE()),"")</f>
        <v>Mantención Preventiva Realizada</v>
      </c>
      <c r="L802" s="46"/>
      <c r="M802" s="46"/>
      <c r="N802" s="46"/>
      <c r="O802" s="46"/>
      <c r="P802" s="46"/>
      <c r="Q802" s="46"/>
    </row>
    <row r="803" spans="1:17" hidden="1" x14ac:dyDescent="0.25">
      <c r="A803" s="47" t="s">
        <v>791</v>
      </c>
      <c r="B803" s="46" t="str">
        <f>IFERROR(VLOOKUP($A803,Equipos!$C$2:$M$967,2,FALSE()),"")</f>
        <v>Monitor Multiparámetros</v>
      </c>
      <c r="C803" s="46" t="str">
        <f>IFERROR(VLOOKUP($A803,Equipos!$C$2:$M$967,9,FALSE()),"")</f>
        <v>V2SFH0017</v>
      </c>
      <c r="D803" s="46" t="str">
        <f>IFERROR(VLOOKUP($A803,Equipos!$C$2:$M$967,3,FALSE()),"")</f>
        <v>Pabellón (Recuperación)</v>
      </c>
      <c r="E803" s="46" t="str">
        <f>IFERROR(VLOOKUP($A803,Equipos!$C$2:$M$967,7,FALSE()),"")</f>
        <v>Drager</v>
      </c>
      <c r="F803" s="46" t="str">
        <f>IFERROR(VLOOKUP($A803,Equipos!$C$2:$M$967,8,FALSE()),"")</f>
        <v>Vista 120</v>
      </c>
      <c r="G803" s="46" t="s">
        <v>296</v>
      </c>
      <c r="H803" s="46"/>
      <c r="I803" s="46"/>
      <c r="J803" s="46" t="s">
        <v>297</v>
      </c>
      <c r="K803" s="46" t="str">
        <f>IFERROR(VLOOKUP($J803,Catálogos!$M$4:$N$17,2,FALSE()),"")</f>
        <v>Mantención Preventiva Realizada</v>
      </c>
      <c r="L803" s="46"/>
      <c r="M803" s="46"/>
      <c r="N803" s="46"/>
      <c r="O803" s="46"/>
      <c r="P803" s="46"/>
      <c r="Q803" s="46"/>
    </row>
    <row r="804" spans="1:17" hidden="1" x14ac:dyDescent="0.25">
      <c r="A804" s="47" t="s">
        <v>792</v>
      </c>
      <c r="B804" s="46" t="str">
        <f>IFERROR(VLOOKUP($A804,Equipos!$C$2:$M$967,2,FALSE()),"")</f>
        <v>Monitor Multiparámetros</v>
      </c>
      <c r="C804" s="46" t="str">
        <f>IFERROR(VLOOKUP($A804,Equipos!$C$2:$M$967,9,FALSE()),"")</f>
        <v>V2SFH0032</v>
      </c>
      <c r="D804" s="46" t="str">
        <f>IFERROR(VLOOKUP($A804,Equipos!$C$2:$M$967,3,FALSE()),"")</f>
        <v>Pabellón (Recuperación)</v>
      </c>
      <c r="E804" s="46" t="str">
        <f>IFERROR(VLOOKUP($A804,Equipos!$C$2:$M$967,7,FALSE()),"")</f>
        <v>Drager</v>
      </c>
      <c r="F804" s="46" t="str">
        <f>IFERROR(VLOOKUP($A804,Equipos!$C$2:$M$967,8,FALSE()),"")</f>
        <v>Vista 120</v>
      </c>
      <c r="G804" s="46" t="s">
        <v>296</v>
      </c>
      <c r="H804" s="46"/>
      <c r="I804" s="46"/>
      <c r="J804" s="46" t="s">
        <v>297</v>
      </c>
      <c r="K804" s="46" t="str">
        <f>IFERROR(VLOOKUP($J804,Catálogos!$M$4:$N$17,2,FALSE()),"")</f>
        <v>Mantención Preventiva Realizada</v>
      </c>
      <c r="L804" s="46"/>
      <c r="M804" s="46"/>
      <c r="N804" s="46"/>
      <c r="O804" s="46"/>
      <c r="P804" s="46"/>
      <c r="Q804" s="46"/>
    </row>
    <row r="805" spans="1:17" hidden="1" x14ac:dyDescent="0.25">
      <c r="A805" s="47" t="s">
        <v>793</v>
      </c>
      <c r="B805" s="46" t="str">
        <f>IFERROR(VLOOKUP($A805,Equipos!$C$2:$M$967,2,FALSE()),"")</f>
        <v>Monitor Multiparámetros</v>
      </c>
      <c r="C805" s="46" t="str">
        <f>IFERROR(VLOOKUP($A805,Equipos!$C$2:$M$967,9,FALSE()),"")</f>
        <v>V2SFH0025</v>
      </c>
      <c r="D805" s="46" t="str">
        <f>IFERROR(VLOOKUP($A805,Equipos!$C$2:$M$967,3,FALSE()),"")</f>
        <v>Pabellón (Recuperación)</v>
      </c>
      <c r="E805" s="46" t="str">
        <f>IFERROR(VLOOKUP($A805,Equipos!$C$2:$M$967,7,FALSE()),"")</f>
        <v>Drager</v>
      </c>
      <c r="F805" s="46" t="str">
        <f>IFERROR(VLOOKUP($A805,Equipos!$C$2:$M$967,8,FALSE()),"")</f>
        <v>Vista 120</v>
      </c>
      <c r="G805" s="46" t="s">
        <v>296</v>
      </c>
      <c r="H805" s="46"/>
      <c r="I805" s="46"/>
      <c r="J805" s="46" t="s">
        <v>297</v>
      </c>
      <c r="K805" s="46" t="str">
        <f>IFERROR(VLOOKUP($J805,Catálogos!$M$4:$N$17,2,FALSE()),"")</f>
        <v>Mantención Preventiva Realizada</v>
      </c>
      <c r="L805" s="46"/>
      <c r="M805" s="46"/>
      <c r="N805" s="46"/>
      <c r="O805" s="46"/>
      <c r="P805" s="46"/>
      <c r="Q805" s="46"/>
    </row>
    <row r="806" spans="1:17" hidden="1" x14ac:dyDescent="0.25">
      <c r="A806" s="47" t="s">
        <v>794</v>
      </c>
      <c r="B806" s="46" t="str">
        <f>IFERROR(VLOOKUP($A806,Equipos!$C$2:$M$967,2,FALSE()),"")</f>
        <v>Monitor Multiparámetros</v>
      </c>
      <c r="C806" s="46" t="str">
        <f>IFERROR(VLOOKUP($A806,Equipos!$C$2:$M$967,9,FALSE()),"")</f>
        <v>V2SFH0016</v>
      </c>
      <c r="D806" s="46" t="str">
        <f>IFERROR(VLOOKUP($A806,Equipos!$C$2:$M$967,3,FALSE()),"")</f>
        <v>Pabellón (Recuperación)</v>
      </c>
      <c r="E806" s="46" t="str">
        <f>IFERROR(VLOOKUP($A806,Equipos!$C$2:$M$967,7,FALSE()),"")</f>
        <v>Drager</v>
      </c>
      <c r="F806" s="46" t="str">
        <f>IFERROR(VLOOKUP($A806,Equipos!$C$2:$M$967,8,FALSE()),"")</f>
        <v>Vista 120</v>
      </c>
      <c r="G806" s="46" t="s">
        <v>296</v>
      </c>
      <c r="H806" s="46"/>
      <c r="I806" s="46"/>
      <c r="J806" s="46" t="s">
        <v>297</v>
      </c>
      <c r="K806" s="46" t="str">
        <f>IFERROR(VLOOKUP($J806,Catálogos!$M$4:$N$17,2,FALSE()),"")</f>
        <v>Mantención Preventiva Realizada</v>
      </c>
      <c r="L806" s="46"/>
      <c r="M806" s="46"/>
      <c r="N806" s="46"/>
      <c r="O806" s="46"/>
      <c r="P806" s="46"/>
      <c r="Q806" s="46"/>
    </row>
    <row r="807" spans="1:17" hidden="1" x14ac:dyDescent="0.25">
      <c r="A807" s="47" t="s">
        <v>795</v>
      </c>
      <c r="B807" s="46" t="str">
        <f>IFERROR(VLOOKUP($A807,Equipos!$C$2:$M$967,2,FALSE()),"")</f>
        <v>Monitor Multiparámetros</v>
      </c>
      <c r="C807" s="46" t="str">
        <f>IFERROR(VLOOKUP($A807,Equipos!$C$2:$M$967,9,FALSE()),"")</f>
        <v>V2SFH0031</v>
      </c>
      <c r="D807" s="46" t="str">
        <f>IFERROR(VLOOKUP($A807,Equipos!$C$2:$M$967,3,FALSE()),"")</f>
        <v>Pabellón (Recuperación)</v>
      </c>
      <c r="E807" s="46" t="str">
        <f>IFERROR(VLOOKUP($A807,Equipos!$C$2:$M$967,7,FALSE()),"")</f>
        <v>Drager</v>
      </c>
      <c r="F807" s="46" t="str">
        <f>IFERROR(VLOOKUP($A807,Equipos!$C$2:$M$967,8,FALSE()),"")</f>
        <v>Vista 120</v>
      </c>
      <c r="G807" s="46" t="s">
        <v>296</v>
      </c>
      <c r="H807" s="46"/>
      <c r="I807" s="46"/>
      <c r="J807" s="46" t="s">
        <v>297</v>
      </c>
      <c r="K807" s="46" t="str">
        <f>IFERROR(VLOOKUP($J807,Catálogos!$M$4:$N$17,2,FALSE()),"")</f>
        <v>Mantención Preventiva Realizada</v>
      </c>
      <c r="L807" s="46"/>
      <c r="M807" s="46"/>
      <c r="N807" s="46"/>
      <c r="O807" s="46"/>
      <c r="P807" s="46"/>
      <c r="Q807" s="46"/>
    </row>
    <row r="808" spans="1:17" hidden="1" x14ac:dyDescent="0.25">
      <c r="A808" s="47" t="s">
        <v>796</v>
      </c>
      <c r="B808" s="46" t="str">
        <f>IFERROR(VLOOKUP($A808,Equipos!$C$2:$M$967,2,FALSE()),"")</f>
        <v>Monitor Multiparámetros</v>
      </c>
      <c r="C808" s="46" t="str">
        <f>IFERROR(VLOOKUP($A808,Equipos!$C$2:$M$967,9,FALSE()),"")</f>
        <v>V2SFH0035</v>
      </c>
      <c r="D808" s="46" t="str">
        <f>IFERROR(VLOOKUP($A808,Equipos!$C$2:$M$967,3,FALSE()),"")</f>
        <v>Pabellón (Recuperación)</v>
      </c>
      <c r="E808" s="46" t="str">
        <f>IFERROR(VLOOKUP($A808,Equipos!$C$2:$M$967,7,FALSE()),"")</f>
        <v>Drager</v>
      </c>
      <c r="F808" s="46" t="str">
        <f>IFERROR(VLOOKUP($A808,Equipos!$C$2:$M$967,8,FALSE()),"")</f>
        <v>Vista 120</v>
      </c>
      <c r="G808" s="46" t="s">
        <v>296</v>
      </c>
      <c r="H808" s="46"/>
      <c r="I808" s="46"/>
      <c r="J808" s="46" t="s">
        <v>278</v>
      </c>
      <c r="K808" s="46" t="str">
        <f>IFERROR(VLOOKUP($J808,Catálogos!$M$4:$N$17,2,FALSE()),"")</f>
        <v>Reprogramada · Equipo en servicio técnico</v>
      </c>
      <c r="L808" s="46"/>
      <c r="M808" s="46"/>
      <c r="N808" s="46"/>
      <c r="O808" s="46"/>
      <c r="P808" s="46"/>
      <c r="Q808" s="46"/>
    </row>
    <row r="809" spans="1:17" hidden="1" x14ac:dyDescent="0.25">
      <c r="A809" s="47" t="s">
        <v>796</v>
      </c>
      <c r="B809" s="46" t="str">
        <f>IFERROR(VLOOKUP($A809,Equipos!$C$2:$M$967,2,FALSE()),"")</f>
        <v>Monitor Multiparámetros</v>
      </c>
      <c r="C809" s="46" t="str">
        <f>IFERROR(VLOOKUP($A809,Equipos!$C$2:$M$967,9,FALSE()),"")</f>
        <v>V2SFH0035</v>
      </c>
      <c r="D809" s="46" t="str">
        <f>IFERROR(VLOOKUP($A809,Equipos!$C$2:$M$967,3,FALSE()),"")</f>
        <v>Pabellón (Recuperación)</v>
      </c>
      <c r="E809" s="46" t="str">
        <f>IFERROR(VLOOKUP($A809,Equipos!$C$2:$M$967,7,FALSE()),"")</f>
        <v>Drager</v>
      </c>
      <c r="F809" s="46" t="str">
        <f>IFERROR(VLOOKUP($A809,Equipos!$C$2:$M$967,8,FALSE()),"")</f>
        <v>Vista 120</v>
      </c>
      <c r="G809" s="46" t="s">
        <v>331</v>
      </c>
      <c r="H809" s="46"/>
      <c r="I809" s="46"/>
      <c r="J809" s="46" t="s">
        <v>297</v>
      </c>
      <c r="K809" s="46" t="str">
        <f>IFERROR(VLOOKUP($J809,Catálogos!$M$4:$N$17,2,FALSE()),"")</f>
        <v>Mantención Preventiva Realizada</v>
      </c>
      <c r="L809" s="46"/>
      <c r="M809" s="46"/>
      <c r="N809" s="46"/>
      <c r="O809" s="46"/>
      <c r="P809" s="46"/>
      <c r="Q809" s="46"/>
    </row>
    <row r="810" spans="1:17" hidden="1" x14ac:dyDescent="0.25">
      <c r="A810" s="47" t="s">
        <v>797</v>
      </c>
      <c r="B810" s="46" t="str">
        <f>IFERROR(VLOOKUP($A810,Equipos!$C$2:$M$967,2,FALSE()),"")</f>
        <v>Monitor Multiparámetros</v>
      </c>
      <c r="C810" s="46" t="str">
        <f>IFERROR(VLOOKUP($A810,Equipos!$C$2:$M$967,9,FALSE()),"")</f>
        <v>V2SFH0038</v>
      </c>
      <c r="D810" s="46" t="str">
        <f>IFERROR(VLOOKUP($A810,Equipos!$C$2:$M$967,3,FALSE()),"")</f>
        <v>Pabellón (Recuperación)</v>
      </c>
      <c r="E810" s="46" t="str">
        <f>IFERROR(VLOOKUP($A810,Equipos!$C$2:$M$967,7,FALSE()),"")</f>
        <v>Drager</v>
      </c>
      <c r="F810" s="46" t="str">
        <f>IFERROR(VLOOKUP($A810,Equipos!$C$2:$M$967,8,FALSE()),"")</f>
        <v>Vista 120</v>
      </c>
      <c r="G810" s="46" t="s">
        <v>296</v>
      </c>
      <c r="H810" s="46"/>
      <c r="I810" s="46"/>
      <c r="J810" s="46" t="s">
        <v>297</v>
      </c>
      <c r="K810" s="46" t="str">
        <f>IFERROR(VLOOKUP($J810,Catálogos!$M$4:$N$17,2,FALSE()),"")</f>
        <v>Mantención Preventiva Realizada</v>
      </c>
      <c r="L810" s="46"/>
      <c r="M810" s="46"/>
      <c r="N810" s="46"/>
      <c r="O810" s="46"/>
      <c r="P810" s="46"/>
      <c r="Q810" s="46"/>
    </row>
    <row r="811" spans="1:17" hidden="1" x14ac:dyDescent="0.25">
      <c r="A811" s="47" t="s">
        <v>798</v>
      </c>
      <c r="B811" s="46" t="str">
        <f>IFERROR(VLOOKUP($A811,Equipos!$C$2:$M$967,2,FALSE()),"")</f>
        <v>Monitor Multiparámetros</v>
      </c>
      <c r="C811" s="46" t="str">
        <f>IFERROR(VLOOKUP($A811,Equipos!$C$2:$M$967,9,FALSE()),"")</f>
        <v>V2SFH0033</v>
      </c>
      <c r="D811" s="46" t="str">
        <f>IFERROR(VLOOKUP($A811,Equipos!$C$2:$M$967,3,FALSE()),"")</f>
        <v>Pabellón Quirúrgico (Prestado a Traumatología)</v>
      </c>
      <c r="E811" s="46" t="str">
        <f>IFERROR(VLOOKUP($A811,Equipos!$C$2:$M$967,7,FALSE()),"")</f>
        <v>Drager</v>
      </c>
      <c r="F811" s="46" t="str">
        <f>IFERROR(VLOOKUP($A811,Equipos!$C$2:$M$967,8,FALSE()),"")</f>
        <v>Vista 120</v>
      </c>
      <c r="G811" s="46" t="s">
        <v>298</v>
      </c>
      <c r="H811" s="46"/>
      <c r="I811" s="46"/>
      <c r="J811" s="46" t="s">
        <v>297</v>
      </c>
      <c r="K811" s="46" t="str">
        <f>IFERROR(VLOOKUP($J811,Catálogos!$M$4:$N$17,2,FALSE()),"")</f>
        <v>Mantención Preventiva Realizada</v>
      </c>
      <c r="L811" s="46"/>
      <c r="M811" s="46"/>
      <c r="N811" s="46"/>
      <c r="O811" s="46"/>
      <c r="P811" s="46"/>
      <c r="Q811" s="46"/>
    </row>
    <row r="812" spans="1:17" hidden="1" x14ac:dyDescent="0.25">
      <c r="A812" s="47" t="s">
        <v>799</v>
      </c>
      <c r="B812" s="46" t="str">
        <f>IFERROR(VLOOKUP($A812,Equipos!$C$2:$M$967,2,FALSE()),"")</f>
        <v>Monitor Multiparámetros</v>
      </c>
      <c r="C812" s="46" t="str">
        <f>IFERROR(VLOOKUP($A812,Equipos!$C$2:$M$967,9,FALSE()),"")</f>
        <v>V2SFH0019</v>
      </c>
      <c r="D812" s="46" t="str">
        <f>IFERROR(VLOOKUP($A812,Equipos!$C$2:$M$967,3,FALSE()),"")</f>
        <v>Pabellón (Recuperación)</v>
      </c>
      <c r="E812" s="46" t="str">
        <f>IFERROR(VLOOKUP($A812,Equipos!$C$2:$M$967,7,FALSE()),"")</f>
        <v>Drager</v>
      </c>
      <c r="F812" s="46" t="str">
        <f>IFERROR(VLOOKUP($A812,Equipos!$C$2:$M$967,8,FALSE()),"")</f>
        <v>Vista 120</v>
      </c>
      <c r="G812" s="46" t="s">
        <v>296</v>
      </c>
      <c r="H812" s="46"/>
      <c r="I812" s="46"/>
      <c r="J812" s="46" t="s">
        <v>297</v>
      </c>
      <c r="K812" s="46" t="str">
        <f>IFERROR(VLOOKUP($J812,Catálogos!$M$4:$N$17,2,FALSE()),"")</f>
        <v>Mantención Preventiva Realizada</v>
      </c>
      <c r="L812" s="46"/>
      <c r="M812" s="46"/>
      <c r="N812" s="46"/>
      <c r="O812" s="46"/>
      <c r="P812" s="46"/>
      <c r="Q812" s="46"/>
    </row>
    <row r="813" spans="1:17" hidden="1" x14ac:dyDescent="0.25">
      <c r="A813" s="47" t="s">
        <v>800</v>
      </c>
      <c r="B813" s="46" t="str">
        <f>IFERROR(VLOOKUP($A813,Equipos!$C$2:$M$967,2,FALSE()),"")</f>
        <v>Monitor Multiparámetros</v>
      </c>
      <c r="C813" s="46" t="str">
        <f>IFERROR(VLOOKUP($A813,Equipos!$C$2:$M$967,9,FALSE()),"")</f>
        <v>V2SFH0026</v>
      </c>
      <c r="D813" s="46" t="str">
        <f>IFERROR(VLOOKUP($A813,Equipos!$C$2:$M$967,3,FALSE()),"")</f>
        <v>Pabellón (Recuperación)</v>
      </c>
      <c r="E813" s="46" t="str">
        <f>IFERROR(VLOOKUP($A813,Equipos!$C$2:$M$967,7,FALSE()),"")</f>
        <v>Drager</v>
      </c>
      <c r="F813" s="46" t="str">
        <f>IFERROR(VLOOKUP($A813,Equipos!$C$2:$M$967,8,FALSE()),"")</f>
        <v>Vista 120</v>
      </c>
      <c r="G813" s="46" t="s">
        <v>296</v>
      </c>
      <c r="H813" s="46"/>
      <c r="I813" s="46"/>
      <c r="J813" s="46" t="s">
        <v>297</v>
      </c>
      <c r="K813" s="46" t="str">
        <f>IFERROR(VLOOKUP($J813,Catálogos!$M$4:$N$17,2,FALSE()),"")</f>
        <v>Mantención Preventiva Realizada</v>
      </c>
      <c r="L813" s="46"/>
      <c r="M813" s="46"/>
      <c r="N813" s="46"/>
      <c r="O813" s="46"/>
      <c r="P813" s="46"/>
      <c r="Q813" s="46"/>
    </row>
    <row r="814" spans="1:17" hidden="1" x14ac:dyDescent="0.25">
      <c r="A814" s="47" t="s">
        <v>801</v>
      </c>
      <c r="B814" s="46" t="str">
        <f>IFERROR(VLOOKUP($A814,Equipos!$C$2:$M$967,2,FALSE()),"")</f>
        <v>Monitor Multiparámetros</v>
      </c>
      <c r="C814" s="46" t="str">
        <f>IFERROR(VLOOKUP($A814,Equipos!$C$2:$M$967,9,FALSE()),"")</f>
        <v>0105413.</v>
      </c>
      <c r="D814" s="46" t="str">
        <f>IFERROR(VLOOKUP($A814,Equipos!$C$2:$M$967,3,FALSE()),"")</f>
        <v xml:space="preserve">Urgencia Infantil </v>
      </c>
      <c r="E814" s="46" t="str">
        <f>IFERROR(VLOOKUP($A814,Equipos!$C$2:$M$967,7,FALSE()),"")</f>
        <v xml:space="preserve">Nihon Kohden </v>
      </c>
      <c r="F814" s="46" t="str">
        <f>IFERROR(VLOOKUP($A814,Equipos!$C$2:$M$967,8,FALSE()),"")</f>
        <v>Vismo PVM-2703K</v>
      </c>
      <c r="G814" s="46" t="s">
        <v>316</v>
      </c>
      <c r="H814" s="46"/>
      <c r="I814" s="46"/>
      <c r="J814" s="46" t="s">
        <v>297</v>
      </c>
      <c r="K814" s="46" t="str">
        <f>IFERROR(VLOOKUP($J814,Catálogos!$M$4:$N$17,2,FALSE()),"")</f>
        <v>Mantención Preventiva Realizada</v>
      </c>
      <c r="L814" s="46"/>
      <c r="M814" s="46"/>
      <c r="N814" s="46"/>
      <c r="O814" s="46"/>
      <c r="P814" s="46"/>
      <c r="Q814" s="46"/>
    </row>
    <row r="815" spans="1:17" hidden="1" x14ac:dyDescent="0.25">
      <c r="A815" s="47" t="s">
        <v>802</v>
      </c>
      <c r="B815" s="46" t="str">
        <f>IFERROR(VLOOKUP($A815,Equipos!$C$2:$M$967,2,FALSE()),"")</f>
        <v>Monitor Multiparámetros</v>
      </c>
      <c r="C815" s="46" t="str">
        <f>IFERROR(VLOOKUP($A815,Equipos!$C$2:$M$967,9,FALSE()),"")</f>
        <v>105784</v>
      </c>
      <c r="D815" s="46" t="str">
        <f>IFERROR(VLOOKUP($A815,Equipos!$C$2:$M$967,3,FALSE()),"")</f>
        <v>Urgencia Adulto</v>
      </c>
      <c r="E815" s="46" t="str">
        <f>IFERROR(VLOOKUP($A815,Equipos!$C$2:$M$967,7,FALSE()),"")</f>
        <v xml:space="preserve">Nihon Kohden </v>
      </c>
      <c r="F815" s="46" t="str">
        <f>IFERROR(VLOOKUP($A815,Equipos!$C$2:$M$967,8,FALSE()),"")</f>
        <v>Vismo PVM-2703K</v>
      </c>
      <c r="G815" s="46" t="s">
        <v>316</v>
      </c>
      <c r="H815" s="46"/>
      <c r="I815" s="46"/>
      <c r="J815" s="46" t="s">
        <v>297</v>
      </c>
      <c r="K815" s="46" t="str">
        <f>IFERROR(VLOOKUP($J815,Catálogos!$M$4:$N$17,2,FALSE()),"")</f>
        <v>Mantención Preventiva Realizada</v>
      </c>
      <c r="L815" s="46"/>
      <c r="M815" s="46"/>
      <c r="N815" s="46"/>
      <c r="O815" s="46"/>
      <c r="P815" s="46"/>
      <c r="Q815" s="46"/>
    </row>
    <row r="816" spans="1:17" hidden="1" x14ac:dyDescent="0.25">
      <c r="A816" s="47" t="s">
        <v>803</v>
      </c>
      <c r="B816" s="46" t="str">
        <f>IFERROR(VLOOKUP($A816,Equipos!$C$2:$M$967,2,FALSE()),"")</f>
        <v>Monitor Multiparámetros</v>
      </c>
      <c r="C816" s="46" t="str">
        <f>IFERROR(VLOOKUP($A816,Equipos!$C$2:$M$967,9,FALSE()),"")</f>
        <v>0105405.</v>
      </c>
      <c r="D816" s="46" t="str">
        <f>IFERROR(VLOOKUP($A816,Equipos!$C$2:$M$967,3,FALSE()),"")</f>
        <v>Urgencia Infantil</v>
      </c>
      <c r="E816" s="46" t="str">
        <f>IFERROR(VLOOKUP($A816,Equipos!$C$2:$M$967,7,FALSE()),"")</f>
        <v xml:space="preserve">Nihon Kohden </v>
      </c>
      <c r="F816" s="46" t="str">
        <f>IFERROR(VLOOKUP($A816,Equipos!$C$2:$M$967,8,FALSE()),"")</f>
        <v>Vismo PVM-2703K</v>
      </c>
      <c r="G816" s="46" t="s">
        <v>316</v>
      </c>
      <c r="H816" s="46"/>
      <c r="I816" s="46"/>
      <c r="J816" s="46" t="s">
        <v>297</v>
      </c>
      <c r="K816" s="46" t="str">
        <f>IFERROR(VLOOKUP($J816,Catálogos!$M$4:$N$17,2,FALSE()),"")</f>
        <v>Mantención Preventiva Realizada</v>
      </c>
      <c r="L816" s="46"/>
      <c r="M816" s="46"/>
      <c r="N816" s="46"/>
      <c r="O816" s="46"/>
      <c r="P816" s="46"/>
      <c r="Q816" s="46"/>
    </row>
    <row r="817" spans="1:17" hidden="1" x14ac:dyDescent="0.25">
      <c r="A817" s="47" t="s">
        <v>804</v>
      </c>
      <c r="B817" s="46" t="str">
        <f>IFERROR(VLOOKUP($A817,Equipos!$C$2:$M$967,2,FALSE()),"")</f>
        <v>Monitor Multiparámetros</v>
      </c>
      <c r="C817" s="46" t="str">
        <f>IFERROR(VLOOKUP($A817,Equipos!$C$2:$M$967,9,FALSE()),"")</f>
        <v>0105409.</v>
      </c>
      <c r="D817" s="46" t="str">
        <f>IFERROR(VLOOKUP($A817,Equipos!$C$2:$M$967,3,FALSE()),"")</f>
        <v>Urgencia Infantil</v>
      </c>
      <c r="E817" s="46" t="str">
        <f>IFERROR(VLOOKUP($A817,Equipos!$C$2:$M$967,7,FALSE()),"")</f>
        <v xml:space="preserve">Nihon Kohden </v>
      </c>
      <c r="F817" s="46" t="str">
        <f>IFERROR(VLOOKUP($A817,Equipos!$C$2:$M$967,8,FALSE()),"")</f>
        <v>Vismo PVM-2703K</v>
      </c>
      <c r="G817" s="46" t="s">
        <v>316</v>
      </c>
      <c r="H817" s="46"/>
      <c r="I817" s="46"/>
      <c r="J817" s="46" t="s">
        <v>297</v>
      </c>
      <c r="K817" s="46" t="str">
        <f>IFERROR(VLOOKUP($J817,Catálogos!$M$4:$N$17,2,FALSE()),"")</f>
        <v>Mantención Preventiva Realizada</v>
      </c>
      <c r="L817" s="46"/>
      <c r="M817" s="46"/>
      <c r="N817" s="46"/>
      <c r="O817" s="46"/>
      <c r="P817" s="46"/>
      <c r="Q817" s="46"/>
    </row>
    <row r="818" spans="1:17" hidden="1" x14ac:dyDescent="0.25">
      <c r="A818" s="47" t="s">
        <v>805</v>
      </c>
      <c r="B818" s="46" t="str">
        <f>IFERROR(VLOOKUP($A818,Equipos!$C$2:$M$967,2,FALSE()),"")</f>
        <v>Monitor Multiparámetros</v>
      </c>
      <c r="C818" s="46" t="str">
        <f>IFERROR(VLOOKUP($A818,Equipos!$C$2:$M$967,9,FALSE()),"")</f>
        <v>105804</v>
      </c>
      <c r="D818" s="46" t="str">
        <f>IFERROR(VLOOKUP($A818,Equipos!$C$2:$M$967,3,FALSE()),"")</f>
        <v>Urgencia Adulto</v>
      </c>
      <c r="E818" s="46" t="str">
        <f>IFERROR(VLOOKUP($A818,Equipos!$C$2:$M$967,7,FALSE()),"")</f>
        <v xml:space="preserve">Nihon Kohden </v>
      </c>
      <c r="F818" s="46" t="str">
        <f>IFERROR(VLOOKUP($A818,Equipos!$C$2:$M$967,8,FALSE()),"")</f>
        <v>Vismo PVM-2703K</v>
      </c>
      <c r="G818" s="46" t="s">
        <v>316</v>
      </c>
      <c r="H818" s="46"/>
      <c r="I818" s="46"/>
      <c r="J818" s="46" t="s">
        <v>297</v>
      </c>
      <c r="K818" s="46" t="str">
        <f>IFERROR(VLOOKUP($J818,Catálogos!$M$4:$N$17,2,FALSE()),"")</f>
        <v>Mantención Preventiva Realizada</v>
      </c>
      <c r="L818" s="46"/>
      <c r="M818" s="46"/>
      <c r="N818" s="46"/>
      <c r="O818" s="46"/>
      <c r="P818" s="46"/>
      <c r="Q818" s="46"/>
    </row>
    <row r="819" spans="1:17" hidden="1" x14ac:dyDescent="0.25">
      <c r="A819" s="47" t="s">
        <v>806</v>
      </c>
      <c r="B819" s="46" t="str">
        <f>IFERROR(VLOOKUP($A819,Equipos!$C$2:$M$967,2,FALSE()),"")</f>
        <v>Monitor Multiparámetros</v>
      </c>
      <c r="C819" s="46" t="str">
        <f>IFERROR(VLOOKUP($A819,Equipos!$C$2:$M$967,9,FALSE()),"")</f>
        <v>107080</v>
      </c>
      <c r="D819" s="46" t="str">
        <f>IFERROR(VLOOKUP($A819,Equipos!$C$2:$M$967,3,FALSE()),"")</f>
        <v>Urgencia Adulto</v>
      </c>
      <c r="E819" s="46" t="str">
        <f>IFERROR(VLOOKUP($A819,Equipos!$C$2:$M$967,7,FALSE()),"")</f>
        <v xml:space="preserve">Nihon Kohden </v>
      </c>
      <c r="F819" s="46" t="str">
        <f>IFERROR(VLOOKUP($A819,Equipos!$C$2:$M$967,8,FALSE()),"")</f>
        <v>Vismo PVM-2703K</v>
      </c>
      <c r="G819" s="46" t="s">
        <v>316</v>
      </c>
      <c r="H819" s="46"/>
      <c r="I819" s="46"/>
      <c r="J819" s="46" t="s">
        <v>297</v>
      </c>
      <c r="K819" s="46" t="str">
        <f>IFERROR(VLOOKUP($J819,Catálogos!$M$4:$N$17,2,FALSE()),"")</f>
        <v>Mantención Preventiva Realizada</v>
      </c>
      <c r="L819" s="46"/>
      <c r="M819" s="46"/>
      <c r="N819" s="46"/>
      <c r="O819" s="46"/>
      <c r="P819" s="46"/>
      <c r="Q819" s="46"/>
    </row>
    <row r="820" spans="1:17" hidden="1" x14ac:dyDescent="0.25">
      <c r="A820" s="47" t="s">
        <v>807</v>
      </c>
      <c r="B820" s="46" t="str">
        <f>IFERROR(VLOOKUP($A820,Equipos!$C$2:$M$967,2,FALSE()),"")</f>
        <v>Monitor Multiparámetros</v>
      </c>
      <c r="C820" s="46" t="str">
        <f>IFERROR(VLOOKUP($A820,Equipos!$C$2:$M$967,9,FALSE()),"")</f>
        <v>0107075.</v>
      </c>
      <c r="D820" s="46" t="str">
        <f>IFERROR(VLOOKUP($A820,Equipos!$C$2:$M$967,3,FALSE()),"")</f>
        <v>Urgencia Adulto</v>
      </c>
      <c r="E820" s="46" t="str">
        <f>IFERROR(VLOOKUP($A820,Equipos!$C$2:$M$967,7,FALSE()),"")</f>
        <v xml:space="preserve">Nihon Kohden </v>
      </c>
      <c r="F820" s="46" t="str">
        <f>IFERROR(VLOOKUP($A820,Equipos!$C$2:$M$967,8,FALSE()),"")</f>
        <v>Vismo PVM-2703K</v>
      </c>
      <c r="G820" s="46" t="s">
        <v>316</v>
      </c>
      <c r="H820" s="46"/>
      <c r="I820" s="46"/>
      <c r="J820" s="46" t="s">
        <v>297</v>
      </c>
      <c r="K820" s="46" t="str">
        <f>IFERROR(VLOOKUP($J820,Catálogos!$M$4:$N$17,2,FALSE()),"")</f>
        <v>Mantención Preventiva Realizada</v>
      </c>
      <c r="L820" s="46"/>
      <c r="M820" s="46"/>
      <c r="N820" s="46"/>
      <c r="O820" s="46"/>
      <c r="P820" s="46"/>
      <c r="Q820" s="46"/>
    </row>
    <row r="821" spans="1:17" hidden="1" x14ac:dyDescent="0.25">
      <c r="A821" s="47" t="s">
        <v>808</v>
      </c>
      <c r="B821" s="46" t="str">
        <f>IFERROR(VLOOKUP($A821,Equipos!$C$2:$M$967,2,FALSE()),"")</f>
        <v>Monitor Multiparámetros</v>
      </c>
      <c r="C821" s="46" t="str">
        <f>IFERROR(VLOOKUP($A821,Equipos!$C$2:$M$967,9,FALSE()),"")</f>
        <v>0107083.</v>
      </c>
      <c r="D821" s="46" t="str">
        <f>IFERROR(VLOOKUP($A821,Equipos!$C$2:$M$967,3,FALSE()),"")</f>
        <v>Urgencia Infantil</v>
      </c>
      <c r="E821" s="46" t="str">
        <f>IFERROR(VLOOKUP($A821,Equipos!$C$2:$M$967,7,FALSE()),"")</f>
        <v xml:space="preserve">Nihon Kohden </v>
      </c>
      <c r="F821" s="46" t="str">
        <f>IFERROR(VLOOKUP($A821,Equipos!$C$2:$M$967,8,FALSE()),"")</f>
        <v>Vismo PVM-2703K</v>
      </c>
      <c r="G821" s="46" t="s">
        <v>316</v>
      </c>
      <c r="H821" s="46"/>
      <c r="I821" s="46"/>
      <c r="J821" s="46" t="s">
        <v>297</v>
      </c>
      <c r="K821" s="46" t="str">
        <f>IFERROR(VLOOKUP($J821,Catálogos!$M$4:$N$17,2,FALSE()),"")</f>
        <v>Mantención Preventiva Realizada</v>
      </c>
      <c r="L821" s="46"/>
      <c r="M821" s="46"/>
      <c r="N821" s="46"/>
      <c r="O821" s="46"/>
      <c r="P821" s="46"/>
      <c r="Q821" s="46"/>
    </row>
    <row r="822" spans="1:17" hidden="1" x14ac:dyDescent="0.25">
      <c r="A822" s="47" t="s">
        <v>809</v>
      </c>
      <c r="B822" s="46" t="str">
        <f>IFERROR(VLOOKUP($A822,Equipos!$C$2:$M$967,2,FALSE()),"")</f>
        <v>Monitor Multiparámetros</v>
      </c>
      <c r="C822" s="46" t="str">
        <f>IFERROR(VLOOKUP($A822,Equipos!$C$2:$M$967,9,FALSE()),"")</f>
        <v>0107101.</v>
      </c>
      <c r="D822" s="46" t="str">
        <f>IFERROR(VLOOKUP($A822,Equipos!$C$2:$M$967,3,FALSE()),"")</f>
        <v>Urgencia Infantil</v>
      </c>
      <c r="E822" s="46" t="str">
        <f>IFERROR(VLOOKUP($A822,Equipos!$C$2:$M$967,7,FALSE()),"")</f>
        <v xml:space="preserve">Nihon Kohden </v>
      </c>
      <c r="F822" s="46" t="str">
        <f>IFERROR(VLOOKUP($A822,Equipos!$C$2:$M$967,8,FALSE()),"")</f>
        <v>Vismo PVM-2703K</v>
      </c>
      <c r="G822" s="46" t="s">
        <v>316</v>
      </c>
      <c r="H822" s="46"/>
      <c r="I822" s="46"/>
      <c r="J822" s="46" t="s">
        <v>297</v>
      </c>
      <c r="K822" s="46" t="str">
        <f>IFERROR(VLOOKUP($J822,Catálogos!$M$4:$N$17,2,FALSE()),"")</f>
        <v>Mantención Preventiva Realizada</v>
      </c>
      <c r="L822" s="46"/>
      <c r="M822" s="46"/>
      <c r="N822" s="46"/>
      <c r="O822" s="46"/>
      <c r="P822" s="46"/>
      <c r="Q822" s="46"/>
    </row>
    <row r="823" spans="1:17" hidden="1" x14ac:dyDescent="0.25">
      <c r="A823" s="47" t="s">
        <v>810</v>
      </c>
      <c r="B823" s="46" t="str">
        <f>IFERROR(VLOOKUP($A823,Equipos!$C$2:$M$967,2,FALSE()),"")</f>
        <v>Monitor Multiparámetros</v>
      </c>
      <c r="C823" s="46" t="str">
        <f>IFERROR(VLOOKUP($A823,Equipos!$C$2:$M$967,9,FALSE()),"")</f>
        <v>0107093.</v>
      </c>
      <c r="D823" s="46" t="str">
        <f>IFERROR(VLOOKUP($A823,Equipos!$C$2:$M$967,3,FALSE()),"")</f>
        <v>Urgencia Infantil</v>
      </c>
      <c r="E823" s="46" t="str">
        <f>IFERROR(VLOOKUP($A823,Equipos!$C$2:$M$967,7,FALSE()),"")</f>
        <v xml:space="preserve">Nihon Kohden </v>
      </c>
      <c r="F823" s="46" t="str">
        <f>IFERROR(VLOOKUP($A823,Equipos!$C$2:$M$967,8,FALSE()),"")</f>
        <v>Vismo PVM-2703K</v>
      </c>
      <c r="G823" s="46" t="s">
        <v>316</v>
      </c>
      <c r="H823" s="46"/>
      <c r="I823" s="46"/>
      <c r="J823" s="46" t="s">
        <v>297</v>
      </c>
      <c r="K823" s="46" t="str">
        <f>IFERROR(VLOOKUP($J823,Catálogos!$M$4:$N$17,2,FALSE()),"")</f>
        <v>Mantención Preventiva Realizada</v>
      </c>
      <c r="L823" s="46"/>
      <c r="M823" s="46"/>
      <c r="N823" s="46"/>
      <c r="O823" s="46"/>
      <c r="P823" s="46"/>
      <c r="Q823" s="46"/>
    </row>
    <row r="824" spans="1:17" hidden="1" x14ac:dyDescent="0.25">
      <c r="A824" s="47" t="s">
        <v>811</v>
      </c>
      <c r="B824" s="46" t="str">
        <f>IFERROR(VLOOKUP($A824,Equipos!$C$2:$M$967,2,FALSE()),"")</f>
        <v>Monitor Multiparámetros</v>
      </c>
      <c r="C824" s="46" t="str">
        <f>IFERROR(VLOOKUP($A824,Equipos!$C$2:$M$967,9,FALSE()),"")</f>
        <v>0107077.</v>
      </c>
      <c r="D824" s="46" t="str">
        <f>IFERROR(VLOOKUP($A824,Equipos!$C$2:$M$967,3,FALSE()),"")</f>
        <v>Urgencia Infantil</v>
      </c>
      <c r="E824" s="46" t="str">
        <f>IFERROR(VLOOKUP($A824,Equipos!$C$2:$M$967,7,FALSE()),"")</f>
        <v xml:space="preserve">Nihon Kohden </v>
      </c>
      <c r="F824" s="46" t="str">
        <f>IFERROR(VLOOKUP($A824,Equipos!$C$2:$M$967,8,FALSE()),"")</f>
        <v>Vismo PVM-2703K</v>
      </c>
      <c r="G824" s="46" t="s">
        <v>316</v>
      </c>
      <c r="H824" s="46"/>
      <c r="I824" s="46"/>
      <c r="J824" s="46" t="s">
        <v>297</v>
      </c>
      <c r="K824" s="46" t="str">
        <f>IFERROR(VLOOKUP($J824,Catálogos!$M$4:$N$17,2,FALSE()),"")</f>
        <v>Mantención Preventiva Realizada</v>
      </c>
      <c r="L824" s="46"/>
      <c r="M824" s="46"/>
      <c r="N824" s="46"/>
      <c r="O824" s="46"/>
      <c r="P824" s="46"/>
      <c r="Q824" s="46"/>
    </row>
    <row r="825" spans="1:17" hidden="1" x14ac:dyDescent="0.25">
      <c r="A825" s="47" t="s">
        <v>812</v>
      </c>
      <c r="B825" s="46" t="str">
        <f>IFERROR(VLOOKUP($A825,Equipos!$C$2:$M$967,2,FALSE()),"")</f>
        <v>Monitor Multiparámetros</v>
      </c>
      <c r="C825" s="46" t="str">
        <f>IFERROR(VLOOKUP($A825,Equipos!$C$2:$M$967,9,FALSE()),"")</f>
        <v>CN23200081</v>
      </c>
      <c r="D825" s="46" t="str">
        <f>IFERROR(VLOOKUP($A825,Equipos!$C$2:$M$967,3,FALSE()),"")</f>
        <v>Peritoneodiálisis Adulto</v>
      </c>
      <c r="E825" s="46" t="str">
        <f>IFERROR(VLOOKUP($A825,Equipos!$C$2:$M$967,7,FALSE()),"")</f>
        <v>Philips</v>
      </c>
      <c r="F825" s="46" t="str">
        <f>IFERROR(VLOOKUP($A825,Equipos!$C$2:$M$967,8,FALSE()),"")</f>
        <v>G70</v>
      </c>
      <c r="G825" s="46" t="s">
        <v>316</v>
      </c>
      <c r="H825" s="46"/>
      <c r="I825" s="46"/>
      <c r="J825" s="46" t="s">
        <v>323</v>
      </c>
      <c r="K825" s="46" t="str">
        <f>IFERROR(VLOOKUP($J825,Catálogos!$M$4:$N$17,2,FALSE()),"")</f>
        <v>Reprogramada · No disponibilidad de horas hombre del funcionario SEC por alta carga laboral</v>
      </c>
      <c r="L825" s="46"/>
      <c r="M825" s="46"/>
      <c r="N825" s="46"/>
      <c r="O825" s="46"/>
      <c r="P825" s="46"/>
      <c r="Q825" s="46"/>
    </row>
    <row r="826" spans="1:17" hidden="1" x14ac:dyDescent="0.25">
      <c r="A826" s="47" t="s">
        <v>813</v>
      </c>
      <c r="B826" s="46" t="str">
        <f>IFERROR(VLOOKUP($A826,Equipos!$C$2:$M$967,2,FALSE()),"")</f>
        <v>Monitor Multiparámetros</v>
      </c>
      <c r="C826" s="46" t="str">
        <f>IFERROR(VLOOKUP($A826,Equipos!$C$2:$M$967,9,FALSE()),"")</f>
        <v>CN23200082</v>
      </c>
      <c r="D826" s="46" t="str">
        <f>IFERROR(VLOOKUP($A826,Equipos!$C$2:$M$967,3,FALSE()),"")</f>
        <v>Urgencia Adulto</v>
      </c>
      <c r="E826" s="46" t="str">
        <f>IFERROR(VLOOKUP($A826,Equipos!$C$2:$M$967,7,FALSE()),"")</f>
        <v>Philips</v>
      </c>
      <c r="F826" s="46" t="str">
        <f>IFERROR(VLOOKUP($A826,Equipos!$C$2:$M$967,8,FALSE()),"")</f>
        <v>G70</v>
      </c>
      <c r="G826" s="46" t="s">
        <v>316</v>
      </c>
      <c r="H826" s="46"/>
      <c r="I826" s="46"/>
      <c r="J826" s="46" t="s">
        <v>297</v>
      </c>
      <c r="K826" s="46" t="str">
        <f>IFERROR(VLOOKUP($J826,Catálogos!$M$4:$N$17,2,FALSE()),"")</f>
        <v>Mantención Preventiva Realizada</v>
      </c>
      <c r="L826" s="46"/>
      <c r="M826" s="46"/>
      <c r="N826" s="46"/>
      <c r="O826" s="46"/>
      <c r="P826" s="46"/>
      <c r="Q826" s="46"/>
    </row>
    <row r="827" spans="1:17" hidden="1" x14ac:dyDescent="0.25">
      <c r="A827" s="47" t="s">
        <v>814</v>
      </c>
      <c r="B827" s="46" t="str">
        <f>IFERROR(VLOOKUP($A827,Equipos!$C$2:$M$967,2,FALSE()),"")</f>
        <v>Monitor Multiparámetros</v>
      </c>
      <c r="C827" s="46" t="str">
        <f>IFERROR(VLOOKUP($A827,Equipos!$C$2:$M$967,9,FALSE()),"")</f>
        <v>VTSHD0109</v>
      </c>
      <c r="D827" s="46" t="str">
        <f>IFERROR(VLOOKUP($A827,Equipos!$C$2:$M$967,3,FALSE()),"")</f>
        <v>Urgencia Adulto</v>
      </c>
      <c r="E827" s="46" t="str">
        <f>IFERROR(VLOOKUP($A827,Equipos!$C$2:$M$967,7,FALSE()),"")</f>
        <v>Drager</v>
      </c>
      <c r="F827" s="46" t="str">
        <f>IFERROR(VLOOKUP($A827,Equipos!$C$2:$M$967,8,FALSE()),"")</f>
        <v>Vista 120</v>
      </c>
      <c r="G827" s="46" t="s">
        <v>316</v>
      </c>
      <c r="H827" s="46"/>
      <c r="I827" s="46"/>
      <c r="J827" s="46" t="s">
        <v>297</v>
      </c>
      <c r="K827" s="46" t="str">
        <f>IFERROR(VLOOKUP($J827,Catálogos!$M$4:$N$17,2,FALSE()),"")</f>
        <v>Mantención Preventiva Realizada</v>
      </c>
      <c r="L827" s="46"/>
      <c r="M827" s="46"/>
      <c r="N827" s="46"/>
      <c r="O827" s="46"/>
      <c r="P827" s="46"/>
      <c r="Q827" s="46"/>
    </row>
    <row r="828" spans="1:17" hidden="1" x14ac:dyDescent="0.25">
      <c r="A828" s="47" t="s">
        <v>815</v>
      </c>
      <c r="B828" s="46" t="str">
        <f>IFERROR(VLOOKUP($A828,Equipos!$C$2:$M$967,2,FALSE()),"")</f>
        <v>Monitor Multiparámetros</v>
      </c>
      <c r="C828" s="46" t="str">
        <f>IFERROR(VLOOKUP($A828,Equipos!$C$2:$M$967,9,FALSE()),"")</f>
        <v>VTSHD0102</v>
      </c>
      <c r="D828" s="46" t="str">
        <f>IFERROR(VLOOKUP($A828,Equipos!$C$2:$M$967,3,FALSE()),"")</f>
        <v>Neurocirugía</v>
      </c>
      <c r="E828" s="46" t="str">
        <f>IFERROR(VLOOKUP($A828,Equipos!$C$2:$M$967,7,FALSE()),"")</f>
        <v>Drager</v>
      </c>
      <c r="F828" s="46" t="str">
        <f>IFERROR(VLOOKUP($A828,Equipos!$C$2:$M$967,8,FALSE()),"")</f>
        <v>Vista 120</v>
      </c>
      <c r="G828" s="46" t="s">
        <v>316</v>
      </c>
      <c r="H828" s="46"/>
      <c r="I828" s="46"/>
      <c r="J828" s="46" t="s">
        <v>323</v>
      </c>
      <c r="K828" s="46" t="str">
        <f>IFERROR(VLOOKUP($J828,Catálogos!$M$4:$N$17,2,FALSE()),"")</f>
        <v>Reprogramada · No disponibilidad de horas hombre del funcionario SEC por alta carga laboral</v>
      </c>
      <c r="L828" s="46"/>
      <c r="M828" s="46"/>
      <c r="N828" s="46"/>
      <c r="O828" s="46"/>
      <c r="P828" s="46"/>
      <c r="Q828" s="46"/>
    </row>
    <row r="829" spans="1:17" hidden="1" x14ac:dyDescent="0.25">
      <c r="A829" s="47" t="s">
        <v>815</v>
      </c>
      <c r="B829" s="46" t="str">
        <f>IFERROR(VLOOKUP($A829,Equipos!$C$2:$M$967,2,FALSE()),"")</f>
        <v>Monitor Multiparámetros</v>
      </c>
      <c r="C829" s="46" t="str">
        <f>IFERROR(VLOOKUP($A829,Equipos!$C$2:$M$967,9,FALSE()),"")</f>
        <v>VTSHD0102</v>
      </c>
      <c r="D829" s="46" t="str">
        <f>IFERROR(VLOOKUP($A829,Equipos!$C$2:$M$967,3,FALSE()),"")</f>
        <v>Neurocirugía</v>
      </c>
      <c r="E829" s="46" t="str">
        <f>IFERROR(VLOOKUP($A829,Equipos!$C$2:$M$967,7,FALSE()),"")</f>
        <v>Drager</v>
      </c>
      <c r="F829" s="46" t="str">
        <f>IFERROR(VLOOKUP($A829,Equipos!$C$2:$M$967,8,FALSE()),"")</f>
        <v>Vista 120</v>
      </c>
      <c r="G829" s="46" t="s">
        <v>331</v>
      </c>
      <c r="H829" s="46"/>
      <c r="I829" s="46"/>
      <c r="J829" s="46" t="s">
        <v>297</v>
      </c>
      <c r="K829" s="46" t="str">
        <f>IFERROR(VLOOKUP($J829,Catálogos!$M$4:$N$17,2,FALSE()),"")</f>
        <v>Mantención Preventiva Realizada</v>
      </c>
      <c r="L829" s="46"/>
      <c r="M829" s="46"/>
      <c r="N829" s="46"/>
      <c r="O829" s="46"/>
      <c r="P829" s="46"/>
      <c r="Q829" s="46"/>
    </row>
    <row r="830" spans="1:17" hidden="1" x14ac:dyDescent="0.25">
      <c r="A830" s="47" t="s">
        <v>816</v>
      </c>
      <c r="B830" s="46" t="str">
        <f>IFERROR(VLOOKUP($A830,Equipos!$C$2:$M$967,2,FALSE()),"")</f>
        <v>Monitor Multiparámetros</v>
      </c>
      <c r="C830" s="46" t="str">
        <f>IFERROR(VLOOKUP($A830,Equipos!$C$2:$M$967,9,FALSE()),"")</f>
        <v>VTSHD0101</v>
      </c>
      <c r="D830" s="46" t="str">
        <f>IFERROR(VLOOKUP($A830,Equipos!$C$2:$M$967,3,FALSE()),"")</f>
        <v>Pediatría</v>
      </c>
      <c r="E830" s="46" t="str">
        <f>IFERROR(VLOOKUP($A830,Equipos!$C$2:$M$967,7,FALSE()),"")</f>
        <v>Drager</v>
      </c>
      <c r="F830" s="46" t="str">
        <f>IFERROR(VLOOKUP($A830,Equipos!$C$2:$M$967,8,FALSE()),"")</f>
        <v>Vista 120</v>
      </c>
      <c r="G830" s="46" t="s">
        <v>335</v>
      </c>
      <c r="H830" s="46"/>
      <c r="I830" s="46"/>
      <c r="J830" s="46" t="s">
        <v>323</v>
      </c>
      <c r="K830" s="46" t="str">
        <f>IFERROR(VLOOKUP($J830,Catálogos!$M$4:$N$17,2,FALSE()),"")</f>
        <v>Reprogramada · No disponibilidad de horas hombre del funcionario SEC por alta carga laboral</v>
      </c>
      <c r="L830" s="46"/>
      <c r="M830" s="46"/>
      <c r="N830" s="46"/>
      <c r="O830" s="46"/>
      <c r="P830" s="46"/>
      <c r="Q830" s="46"/>
    </row>
    <row r="831" spans="1:17" hidden="1" x14ac:dyDescent="0.25">
      <c r="A831" s="47" t="s">
        <v>816</v>
      </c>
      <c r="B831" s="46" t="str">
        <f>IFERROR(VLOOKUP($A831,Equipos!$C$2:$M$967,2,FALSE()),"")</f>
        <v>Monitor Multiparámetros</v>
      </c>
      <c r="C831" s="46" t="str">
        <f>IFERROR(VLOOKUP($A831,Equipos!$C$2:$M$967,9,FALSE()),"")</f>
        <v>VTSHD0101</v>
      </c>
      <c r="D831" s="46" t="str">
        <f>IFERROR(VLOOKUP($A831,Equipos!$C$2:$M$967,3,FALSE()),"")</f>
        <v>Pediatría</v>
      </c>
      <c r="E831" s="46" t="str">
        <f>IFERROR(VLOOKUP($A831,Equipos!$C$2:$M$967,7,FALSE()),"")</f>
        <v>Drager</v>
      </c>
      <c r="F831" s="46" t="str">
        <f>IFERROR(VLOOKUP($A831,Equipos!$C$2:$M$967,8,FALSE()),"")</f>
        <v>Vista 120</v>
      </c>
      <c r="G831" s="46" t="s">
        <v>296</v>
      </c>
      <c r="H831" s="46"/>
      <c r="I831" s="46"/>
      <c r="J831" s="46" t="s">
        <v>297</v>
      </c>
      <c r="K831" s="46" t="str">
        <f>IFERROR(VLOOKUP($J831,Catálogos!$M$4:$N$17,2,FALSE()),"")</f>
        <v>Mantención Preventiva Realizada</v>
      </c>
      <c r="L831" s="46"/>
      <c r="M831" s="46"/>
      <c r="N831" s="46"/>
      <c r="O831" s="46"/>
      <c r="P831" s="46"/>
      <c r="Q831" s="46"/>
    </row>
    <row r="832" spans="1:17" hidden="1" x14ac:dyDescent="0.25">
      <c r="A832" s="47" t="s">
        <v>817</v>
      </c>
      <c r="B832" s="46" t="str">
        <f>IFERROR(VLOOKUP($A832,Equipos!$C$2:$M$967,2,FALSE()),"")</f>
        <v>Monitor Multiparámetros</v>
      </c>
      <c r="C832" s="46" t="str">
        <f>IFERROR(VLOOKUP($A832,Equipos!$C$2:$M$967,9,FALSE()),"")</f>
        <v>VTSHD0089</v>
      </c>
      <c r="D832" s="46" t="str">
        <f>IFERROR(VLOOKUP($A832,Equipos!$C$2:$M$967,3,FALSE()),"")</f>
        <v>Neurocirugía</v>
      </c>
      <c r="E832" s="46" t="str">
        <f>IFERROR(VLOOKUP($A832,Equipos!$C$2:$M$967,7,FALSE()),"")</f>
        <v>Drager</v>
      </c>
      <c r="F832" s="46" t="str">
        <f>IFERROR(VLOOKUP($A832,Equipos!$C$2:$M$967,8,FALSE()),"")</f>
        <v>Vista 120</v>
      </c>
      <c r="G832" s="46" t="s">
        <v>316</v>
      </c>
      <c r="H832" s="46"/>
      <c r="I832" s="46"/>
      <c r="J832" s="46" t="s">
        <v>323</v>
      </c>
      <c r="K832" s="46" t="str">
        <f>IFERROR(VLOOKUP($J832,Catálogos!$M$4:$N$17,2,FALSE()),"")</f>
        <v>Reprogramada · No disponibilidad de horas hombre del funcionario SEC por alta carga laboral</v>
      </c>
      <c r="L832" s="46"/>
      <c r="M832" s="46"/>
      <c r="N832" s="46"/>
      <c r="O832" s="46"/>
      <c r="P832" s="46"/>
      <c r="Q832" s="46"/>
    </row>
    <row r="833" spans="1:17" hidden="1" x14ac:dyDescent="0.25">
      <c r="A833" s="47" t="s">
        <v>817</v>
      </c>
      <c r="B833" s="46" t="str">
        <f>IFERROR(VLOOKUP($A833,Equipos!$C$2:$M$967,2,FALSE()),"")</f>
        <v>Monitor Multiparámetros</v>
      </c>
      <c r="C833" s="46" t="str">
        <f>IFERROR(VLOOKUP($A833,Equipos!$C$2:$M$967,9,FALSE()),"")</f>
        <v>VTSHD0089</v>
      </c>
      <c r="D833" s="46" t="str">
        <f>IFERROR(VLOOKUP($A833,Equipos!$C$2:$M$967,3,FALSE()),"")</f>
        <v>Neurocirugía</v>
      </c>
      <c r="E833" s="46" t="str">
        <f>IFERROR(VLOOKUP($A833,Equipos!$C$2:$M$967,7,FALSE()),"")</f>
        <v>Drager</v>
      </c>
      <c r="F833" s="46" t="str">
        <f>IFERROR(VLOOKUP($A833,Equipos!$C$2:$M$967,8,FALSE()),"")</f>
        <v>Vista 120</v>
      </c>
      <c r="G833" s="46" t="s">
        <v>331</v>
      </c>
      <c r="H833" s="46"/>
      <c r="I833" s="46"/>
      <c r="J833" s="46" t="s">
        <v>297</v>
      </c>
      <c r="K833" s="46" t="str">
        <f>IFERROR(VLOOKUP($J833,Catálogos!$M$4:$N$17,2,FALSE()),"")</f>
        <v>Mantención Preventiva Realizada</v>
      </c>
      <c r="L833" s="46"/>
      <c r="M833" s="46"/>
      <c r="N833" s="46"/>
      <c r="O833" s="46"/>
      <c r="P833" s="46"/>
      <c r="Q833" s="46"/>
    </row>
    <row r="834" spans="1:17" hidden="1" x14ac:dyDescent="0.25">
      <c r="A834" s="47" t="s">
        <v>818</v>
      </c>
      <c r="B834" s="46" t="str">
        <f>IFERROR(VLOOKUP($A834,Equipos!$C$2:$M$967,2,FALSE()),"")</f>
        <v>Monitor Multiparámetros</v>
      </c>
      <c r="C834" s="46" t="str">
        <f>IFERROR(VLOOKUP($A834,Equipos!$C$2:$M$967,9,FALSE()),"")</f>
        <v>VTSHD0103</v>
      </c>
      <c r="D834" s="46" t="str">
        <f>IFERROR(VLOOKUP($A834,Equipos!$C$2:$M$967,3,FALSE()),"")</f>
        <v>Pediatría</v>
      </c>
      <c r="E834" s="46" t="str">
        <f>IFERROR(VLOOKUP($A834,Equipos!$C$2:$M$967,7,FALSE()),"")</f>
        <v>Drager</v>
      </c>
      <c r="F834" s="46" t="str">
        <f>IFERROR(VLOOKUP($A834,Equipos!$C$2:$M$967,8,FALSE()),"")</f>
        <v>Vista 120</v>
      </c>
      <c r="G834" s="46" t="s">
        <v>335</v>
      </c>
      <c r="H834" s="46"/>
      <c r="I834" s="46"/>
      <c r="J834" s="46" t="s">
        <v>323</v>
      </c>
      <c r="K834" s="46" t="str">
        <f>IFERROR(VLOOKUP($J834,Catálogos!$M$4:$N$17,2,FALSE()),"")</f>
        <v>Reprogramada · No disponibilidad de horas hombre del funcionario SEC por alta carga laboral</v>
      </c>
      <c r="L834" s="46"/>
      <c r="M834" s="46"/>
      <c r="N834" s="46"/>
      <c r="O834" s="46"/>
      <c r="P834" s="46"/>
      <c r="Q834" s="46"/>
    </row>
    <row r="835" spans="1:17" hidden="1" x14ac:dyDescent="0.25">
      <c r="A835" s="47" t="s">
        <v>818</v>
      </c>
      <c r="B835" s="46" t="str">
        <f>IFERROR(VLOOKUP($A835,Equipos!$C$2:$M$967,2,FALSE()),"")</f>
        <v>Monitor Multiparámetros</v>
      </c>
      <c r="C835" s="46" t="str">
        <f>IFERROR(VLOOKUP($A835,Equipos!$C$2:$M$967,9,FALSE()),"")</f>
        <v>VTSHD0103</v>
      </c>
      <c r="D835" s="46" t="str">
        <f>IFERROR(VLOOKUP($A835,Equipos!$C$2:$M$967,3,FALSE()),"")</f>
        <v>Pediatría</v>
      </c>
      <c r="E835" s="46" t="str">
        <f>IFERROR(VLOOKUP($A835,Equipos!$C$2:$M$967,7,FALSE()),"")</f>
        <v>Drager</v>
      </c>
      <c r="F835" s="46" t="str">
        <f>IFERROR(VLOOKUP($A835,Equipos!$C$2:$M$967,8,FALSE()),"")</f>
        <v>Vista 120</v>
      </c>
      <c r="G835" s="46" t="s">
        <v>296</v>
      </c>
      <c r="H835" s="46"/>
      <c r="I835" s="46"/>
      <c r="J835" s="46" t="s">
        <v>297</v>
      </c>
      <c r="K835" s="46" t="str">
        <f>IFERROR(VLOOKUP($J835,Catálogos!$M$4:$N$17,2,FALSE()),"")</f>
        <v>Mantención Preventiva Realizada</v>
      </c>
      <c r="L835" s="46"/>
      <c r="M835" s="46"/>
      <c r="N835" s="46"/>
      <c r="O835" s="46"/>
      <c r="P835" s="46"/>
      <c r="Q835" s="46"/>
    </row>
    <row r="836" spans="1:17" hidden="1" x14ac:dyDescent="0.25">
      <c r="A836" s="47" t="s">
        <v>819</v>
      </c>
      <c r="B836" s="46" t="str">
        <f>IFERROR(VLOOKUP($A836,Equipos!$C$2:$M$967,2,FALSE()),"")</f>
        <v>Monitor Multiparámetros</v>
      </c>
      <c r="C836" s="46" t="str">
        <f>IFERROR(VLOOKUP($A836,Equipos!$C$2:$M$967,9,FALSE()),"")</f>
        <v>VTSHD0068</v>
      </c>
      <c r="D836" s="46" t="str">
        <f>IFERROR(VLOOKUP($A836,Equipos!$C$2:$M$967,3,FALSE()),"")</f>
        <v>Urgencia Adulto (Prestado a Cirugía Adulto)</v>
      </c>
      <c r="E836" s="46" t="str">
        <f>IFERROR(VLOOKUP($A836,Equipos!$C$2:$M$967,7,FALSE()),"")</f>
        <v>Drager</v>
      </c>
      <c r="F836" s="46" t="str">
        <f>IFERROR(VLOOKUP($A836,Equipos!$C$2:$M$967,8,FALSE()),"")</f>
        <v>Vista 120</v>
      </c>
      <c r="G836" s="46" t="s">
        <v>298</v>
      </c>
      <c r="H836" s="46"/>
      <c r="I836" s="46"/>
      <c r="J836" s="46" t="s">
        <v>297</v>
      </c>
      <c r="K836" s="46" t="str">
        <f>IFERROR(VLOOKUP($J836,Catálogos!$M$4:$N$17,2,FALSE()),"")</f>
        <v>Mantención Preventiva Realizada</v>
      </c>
      <c r="L836" s="46"/>
      <c r="M836" s="46"/>
      <c r="N836" s="46"/>
      <c r="O836" s="46"/>
      <c r="P836" s="46"/>
      <c r="Q836" s="46"/>
    </row>
    <row r="837" spans="1:17" hidden="1" x14ac:dyDescent="0.25">
      <c r="A837" s="47" t="s">
        <v>820</v>
      </c>
      <c r="B837" s="46" t="str">
        <f>IFERROR(VLOOKUP($A837,Equipos!$C$2:$M$967,2,FALSE()),"")</f>
        <v>Monitor Multiparámetros</v>
      </c>
      <c r="C837" s="46" t="str">
        <f>IFERROR(VLOOKUP($A837,Equipos!$C$2:$M$967,9,FALSE()),"")</f>
        <v>VTSHD0090</v>
      </c>
      <c r="D837" s="46" t="str">
        <f>IFERROR(VLOOKUP($A837,Equipos!$C$2:$M$967,3,FALSE()),"")</f>
        <v>Cirugía Adulto</v>
      </c>
      <c r="E837" s="46" t="str">
        <f>IFERROR(VLOOKUP($A837,Equipos!$C$2:$M$967,7,FALSE()),"")</f>
        <v>Drager</v>
      </c>
      <c r="F837" s="46" t="str">
        <f>IFERROR(VLOOKUP($A837,Equipos!$C$2:$M$967,8,FALSE()),"")</f>
        <v>Vista 120</v>
      </c>
      <c r="G837" s="46" t="s">
        <v>298</v>
      </c>
      <c r="H837" s="46"/>
      <c r="I837" s="46"/>
      <c r="J837" s="46" t="s">
        <v>297</v>
      </c>
      <c r="K837" s="46" t="str">
        <f>IFERROR(VLOOKUP($J837,Catálogos!$M$4:$N$17,2,FALSE()),"")</f>
        <v>Mantención Preventiva Realizada</v>
      </c>
      <c r="L837" s="46"/>
      <c r="M837" s="46"/>
      <c r="N837" s="46"/>
      <c r="O837" s="46"/>
      <c r="P837" s="46"/>
      <c r="Q837" s="46"/>
    </row>
    <row r="838" spans="1:17" hidden="1" x14ac:dyDescent="0.25">
      <c r="A838" s="47" t="s">
        <v>821</v>
      </c>
      <c r="B838" s="46" t="str">
        <f>IFERROR(VLOOKUP($A838,Equipos!$C$2:$M$967,2,FALSE()),"")</f>
        <v>Monitor Multiparámetros</v>
      </c>
      <c r="C838" s="46" t="str">
        <f>IFERROR(VLOOKUP($A838,Equipos!$C$2:$M$967,9,FALSE()),"")</f>
        <v>VTSHD0065</v>
      </c>
      <c r="D838" s="46" t="str">
        <f>IFERROR(VLOOKUP($A838,Equipos!$C$2:$M$967,3,FALSE()),"")</f>
        <v>Medicina</v>
      </c>
      <c r="E838" s="46" t="str">
        <f>IFERROR(VLOOKUP($A838,Equipos!$C$2:$M$967,7,FALSE()),"")</f>
        <v>Drager</v>
      </c>
      <c r="F838" s="46" t="str">
        <f>IFERROR(VLOOKUP($A838,Equipos!$C$2:$M$967,8,FALSE()),"")</f>
        <v>Vista 120</v>
      </c>
      <c r="G838" s="46" t="s">
        <v>296</v>
      </c>
      <c r="H838" s="46"/>
      <c r="I838" s="46"/>
      <c r="J838" s="46" t="s">
        <v>297</v>
      </c>
      <c r="K838" s="46" t="str">
        <f>IFERROR(VLOOKUP($J838,Catálogos!$M$4:$N$17,2,FALSE()),"")</f>
        <v>Mantención Preventiva Realizada</v>
      </c>
      <c r="L838" s="46"/>
      <c r="M838" s="46"/>
      <c r="N838" s="46"/>
      <c r="O838" s="46"/>
      <c r="P838" s="46"/>
      <c r="Q838" s="46"/>
    </row>
    <row r="839" spans="1:17" hidden="1" x14ac:dyDescent="0.25">
      <c r="A839" s="47" t="s">
        <v>822</v>
      </c>
      <c r="B839" s="46" t="str">
        <f>IFERROR(VLOOKUP($A839,Equipos!$C$2:$M$967,2,FALSE()),"")</f>
        <v>Monitor Multiparámetros</v>
      </c>
      <c r="C839" s="46" t="str">
        <f>IFERROR(VLOOKUP($A839,Equipos!$C$2:$M$967,9,FALSE()),"")</f>
        <v>VTSHD0051</v>
      </c>
      <c r="D839" s="46" t="str">
        <f>IFERROR(VLOOKUP($A839,Equipos!$C$2:$M$967,3,FALSE()),"")</f>
        <v>Quimioterapia Ambulatoria Adulto</v>
      </c>
      <c r="E839" s="46" t="str">
        <f>IFERROR(VLOOKUP($A839,Equipos!$C$2:$M$967,7,FALSE()),"")</f>
        <v>Drager</v>
      </c>
      <c r="F839" s="46" t="str">
        <f>IFERROR(VLOOKUP($A839,Equipos!$C$2:$M$967,8,FALSE()),"")</f>
        <v>Vista 120</v>
      </c>
      <c r="G839" s="46" t="s">
        <v>316</v>
      </c>
      <c r="H839" s="46"/>
      <c r="I839" s="46"/>
      <c r="J839" s="46" t="s">
        <v>297</v>
      </c>
      <c r="K839" s="46" t="str">
        <f>IFERROR(VLOOKUP($J839,Catálogos!$M$4:$N$17,2,FALSE()),"")</f>
        <v>Mantención Preventiva Realizada</v>
      </c>
      <c r="L839" s="46"/>
      <c r="M839" s="46"/>
      <c r="N839" s="46"/>
      <c r="O839" s="46"/>
      <c r="P839" s="46"/>
      <c r="Q839" s="46"/>
    </row>
    <row r="840" spans="1:17" hidden="1" x14ac:dyDescent="0.25">
      <c r="A840" s="47" t="s">
        <v>823</v>
      </c>
      <c r="B840" s="46" t="str">
        <f>IFERROR(VLOOKUP($A840,Equipos!$C$2:$M$967,2,FALSE()),"")</f>
        <v>Monitor Multiparámetros</v>
      </c>
      <c r="C840" s="46" t="str">
        <f>IFERROR(VLOOKUP($A840,Equipos!$C$2:$M$967,9,FALSE()),"")</f>
        <v>VTSHD0072</v>
      </c>
      <c r="D840" s="46" t="str">
        <f>IFERROR(VLOOKUP($A840,Equipos!$C$2:$M$967,3,FALSE()),"")</f>
        <v>Medicina</v>
      </c>
      <c r="E840" s="46" t="str">
        <f>IFERROR(VLOOKUP($A840,Equipos!$C$2:$M$967,7,FALSE()),"")</f>
        <v>Drager</v>
      </c>
      <c r="F840" s="46" t="str">
        <f>IFERROR(VLOOKUP($A840,Equipos!$C$2:$M$967,8,FALSE()),"")</f>
        <v>Vista 120</v>
      </c>
      <c r="G840" s="46" t="s">
        <v>296</v>
      </c>
      <c r="H840" s="46"/>
      <c r="I840" s="46"/>
      <c r="J840" s="46" t="s">
        <v>297</v>
      </c>
      <c r="K840" s="46" t="str">
        <f>IFERROR(VLOOKUP($J840,Catálogos!$M$4:$N$17,2,FALSE()),"")</f>
        <v>Mantención Preventiva Realizada</v>
      </c>
      <c r="L840" s="46"/>
      <c r="M840" s="46"/>
      <c r="N840" s="46"/>
      <c r="O840" s="46"/>
      <c r="P840" s="46"/>
      <c r="Q840" s="46"/>
    </row>
    <row r="841" spans="1:17" hidden="1" x14ac:dyDescent="0.25">
      <c r="A841" s="47" t="s">
        <v>824</v>
      </c>
      <c r="B841" s="46" t="str">
        <f>IFERROR(VLOOKUP($A841,Equipos!$C$2:$M$967,2,FALSE()),"")</f>
        <v>Monitor Multiparámetros</v>
      </c>
      <c r="C841" s="46" t="str">
        <f>IFERROR(VLOOKUP($A841,Equipos!$C$2:$M$967,9,FALSE()),"")</f>
        <v>VTSHD0070</v>
      </c>
      <c r="D841" s="46" t="str">
        <f>IFERROR(VLOOKUP($A841,Equipos!$C$2:$M$967,3,FALSE()),"")</f>
        <v>Medicina</v>
      </c>
      <c r="E841" s="46" t="str">
        <f>IFERROR(VLOOKUP($A841,Equipos!$C$2:$M$967,7,FALSE()),"")</f>
        <v>Drager</v>
      </c>
      <c r="F841" s="46" t="str">
        <f>IFERROR(VLOOKUP($A841,Equipos!$C$2:$M$967,8,FALSE()),"")</f>
        <v>Vista 120</v>
      </c>
      <c r="G841" s="46" t="s">
        <v>296</v>
      </c>
      <c r="H841" s="46"/>
      <c r="I841" s="46"/>
      <c r="J841" s="46" t="s">
        <v>297</v>
      </c>
      <c r="K841" s="46" t="str">
        <f>IFERROR(VLOOKUP($J841,Catálogos!$M$4:$N$17,2,FALSE()),"")</f>
        <v>Mantención Preventiva Realizada</v>
      </c>
      <c r="L841" s="46"/>
      <c r="M841" s="46"/>
      <c r="N841" s="46"/>
      <c r="O841" s="46"/>
      <c r="P841" s="46"/>
      <c r="Q841" s="46"/>
    </row>
    <row r="842" spans="1:17" hidden="1" x14ac:dyDescent="0.25">
      <c r="A842" s="47" t="s">
        <v>825</v>
      </c>
      <c r="B842" s="46" t="str">
        <f>IFERROR(VLOOKUP($A842,Equipos!$C$2:$M$967,2,FALSE()),"")</f>
        <v>Monitor Multiparámetros</v>
      </c>
      <c r="C842" s="46" t="str">
        <f>IFERROR(VLOOKUP($A842,Equipos!$C$2:$M$967,9,FALSE()),"")</f>
        <v>VTSHD0106</v>
      </c>
      <c r="D842" s="46" t="str">
        <f>IFERROR(VLOOKUP($A842,Equipos!$C$2:$M$967,3,FALSE()),"")</f>
        <v>Medicina</v>
      </c>
      <c r="E842" s="46" t="str">
        <f>IFERROR(VLOOKUP($A842,Equipos!$C$2:$M$967,7,FALSE()),"")</f>
        <v>Drager</v>
      </c>
      <c r="F842" s="46" t="str">
        <f>IFERROR(VLOOKUP($A842,Equipos!$C$2:$M$967,8,FALSE()),"")</f>
        <v>Vista 120</v>
      </c>
      <c r="G842" s="46" t="s">
        <v>296</v>
      </c>
      <c r="H842" s="46"/>
      <c r="I842" s="46"/>
      <c r="J842" s="46" t="s">
        <v>297</v>
      </c>
      <c r="K842" s="46" t="str">
        <f>IFERROR(VLOOKUP($J842,Catálogos!$M$4:$N$17,2,FALSE()),"")</f>
        <v>Mantención Preventiva Realizada</v>
      </c>
      <c r="L842" s="46"/>
      <c r="M842" s="46"/>
      <c r="N842" s="46"/>
      <c r="O842" s="46"/>
      <c r="P842" s="46"/>
      <c r="Q842" s="46"/>
    </row>
    <row r="843" spans="1:17" hidden="1" x14ac:dyDescent="0.25">
      <c r="A843" s="47" t="s">
        <v>826</v>
      </c>
      <c r="B843" s="46" t="str">
        <f>IFERROR(VLOOKUP($A843,Equipos!$C$2:$M$967,2,FALSE()),"")</f>
        <v>Monitor Multiparámetros</v>
      </c>
      <c r="C843" s="46" t="str">
        <f>IFERROR(VLOOKUP($A843,Equipos!$C$2:$M$967,9,FALSE()),"")</f>
        <v>VTSHD0107</v>
      </c>
      <c r="D843" s="46" t="str">
        <f>IFERROR(VLOOKUP($A843,Equipos!$C$2:$M$967,3,FALSE()),"")</f>
        <v>Neurocirugía</v>
      </c>
      <c r="E843" s="46" t="str">
        <f>IFERROR(VLOOKUP($A843,Equipos!$C$2:$M$967,7,FALSE()),"")</f>
        <v>Drager</v>
      </c>
      <c r="F843" s="46" t="str">
        <f>IFERROR(VLOOKUP($A843,Equipos!$C$2:$M$967,8,FALSE()),"")</f>
        <v>Vista 120</v>
      </c>
      <c r="G843" s="46" t="s">
        <v>316</v>
      </c>
      <c r="H843" s="46"/>
      <c r="I843" s="46"/>
      <c r="J843" s="46" t="s">
        <v>323</v>
      </c>
      <c r="K843" s="46" t="str">
        <f>IFERROR(VLOOKUP($J843,Catálogos!$M$4:$N$17,2,FALSE()),"")</f>
        <v>Reprogramada · No disponibilidad de horas hombre del funcionario SEC por alta carga laboral</v>
      </c>
      <c r="L843" s="46"/>
      <c r="M843" s="46"/>
      <c r="N843" s="46"/>
      <c r="O843" s="46"/>
      <c r="P843" s="46"/>
      <c r="Q843" s="46"/>
    </row>
    <row r="844" spans="1:17" hidden="1" x14ac:dyDescent="0.25">
      <c r="A844" s="47" t="s">
        <v>826</v>
      </c>
      <c r="B844" s="46" t="str">
        <f>IFERROR(VLOOKUP($A844,Equipos!$C$2:$M$967,2,FALSE()),"")</f>
        <v>Monitor Multiparámetros</v>
      </c>
      <c r="C844" s="46" t="str">
        <f>IFERROR(VLOOKUP($A844,Equipos!$C$2:$M$967,9,FALSE()),"")</f>
        <v>VTSHD0107</v>
      </c>
      <c r="D844" s="46" t="str">
        <f>IFERROR(VLOOKUP($A844,Equipos!$C$2:$M$967,3,FALSE()),"")</f>
        <v>Neurocirugía</v>
      </c>
      <c r="E844" s="46" t="str">
        <f>IFERROR(VLOOKUP($A844,Equipos!$C$2:$M$967,7,FALSE()),"")</f>
        <v>Drager</v>
      </c>
      <c r="F844" s="46" t="str">
        <f>IFERROR(VLOOKUP($A844,Equipos!$C$2:$M$967,8,FALSE()),"")</f>
        <v>Vista 120</v>
      </c>
      <c r="G844" s="46" t="s">
        <v>331</v>
      </c>
      <c r="H844" s="46"/>
      <c r="I844" s="46"/>
      <c r="J844" s="46" t="s">
        <v>297</v>
      </c>
      <c r="K844" s="46" t="str">
        <f>IFERROR(VLOOKUP($J844,Catálogos!$M$4:$N$17,2,FALSE()),"")</f>
        <v>Mantención Preventiva Realizada</v>
      </c>
      <c r="L844" s="46"/>
      <c r="M844" s="46"/>
      <c r="N844" s="46"/>
      <c r="O844" s="46"/>
      <c r="P844" s="46"/>
      <c r="Q844" s="46"/>
    </row>
    <row r="845" spans="1:17" hidden="1" x14ac:dyDescent="0.25">
      <c r="A845" s="47" t="s">
        <v>827</v>
      </c>
      <c r="B845" s="46" t="str">
        <f>IFERROR(VLOOKUP($A845,Equipos!$C$2:$M$967,2,FALSE()),"")</f>
        <v>Monitor Multiparámetros</v>
      </c>
      <c r="C845" s="46" t="str">
        <f>IFERROR(VLOOKUP($A845,Equipos!$C$2:$M$967,9,FALSE()),"")</f>
        <v>VTSHD0096</v>
      </c>
      <c r="D845" s="46" t="str">
        <f>IFERROR(VLOOKUP($A845,Equipos!$C$2:$M$967,3,FALSE()),"")</f>
        <v>Cirugía Adulto</v>
      </c>
      <c r="E845" s="46" t="str">
        <f>IFERROR(VLOOKUP($A845,Equipos!$C$2:$M$967,7,FALSE()),"")</f>
        <v>Drager</v>
      </c>
      <c r="F845" s="46" t="str">
        <f>IFERROR(VLOOKUP($A845,Equipos!$C$2:$M$967,8,FALSE()),"")</f>
        <v>Vista 120</v>
      </c>
      <c r="G845" s="46" t="s">
        <v>298</v>
      </c>
      <c r="H845" s="46"/>
      <c r="I845" s="46"/>
      <c r="J845" s="46" t="s">
        <v>297</v>
      </c>
      <c r="K845" s="46" t="str">
        <f>IFERROR(VLOOKUP($J845,Catálogos!$M$4:$N$17,2,FALSE()),"")</f>
        <v>Mantención Preventiva Realizada</v>
      </c>
      <c r="L845" s="46"/>
      <c r="M845" s="46"/>
      <c r="N845" s="46"/>
      <c r="O845" s="46"/>
      <c r="P845" s="46"/>
      <c r="Q845" s="46"/>
    </row>
    <row r="846" spans="1:17" hidden="1" x14ac:dyDescent="0.25">
      <c r="A846" s="47" t="s">
        <v>828</v>
      </c>
      <c r="B846" s="46" t="str">
        <f>IFERROR(VLOOKUP($A846,Equipos!$C$2:$M$967,2,FALSE()),"")</f>
        <v>Monitor Multiparámetros</v>
      </c>
      <c r="C846" s="46" t="str">
        <f>IFERROR(VLOOKUP($A846,Equipos!$C$2:$M$967,9,FALSE()),"")</f>
        <v>VTSHD0094</v>
      </c>
      <c r="D846" s="46" t="str">
        <f>IFERROR(VLOOKUP($A846,Equipos!$C$2:$M$967,3,FALSE()),"")</f>
        <v>Medicina</v>
      </c>
      <c r="E846" s="46" t="str">
        <f>IFERROR(VLOOKUP($A846,Equipos!$C$2:$M$967,7,FALSE()),"")</f>
        <v>Drager</v>
      </c>
      <c r="F846" s="46" t="str">
        <f>IFERROR(VLOOKUP($A846,Equipos!$C$2:$M$967,8,FALSE()),"")</f>
        <v>Vista 120</v>
      </c>
      <c r="G846" s="46" t="s">
        <v>296</v>
      </c>
      <c r="H846" s="46"/>
      <c r="I846" s="46"/>
      <c r="J846" s="46" t="s">
        <v>297</v>
      </c>
      <c r="K846" s="46" t="str">
        <f>IFERROR(VLOOKUP($J846,Catálogos!$M$4:$N$17,2,FALSE()),"")</f>
        <v>Mantención Preventiva Realizada</v>
      </c>
      <c r="L846" s="46"/>
      <c r="M846" s="46"/>
      <c r="N846" s="46"/>
      <c r="O846" s="46"/>
      <c r="P846" s="46"/>
      <c r="Q846" s="46"/>
    </row>
    <row r="847" spans="1:17" hidden="1" x14ac:dyDescent="0.25">
      <c r="A847" s="47" t="s">
        <v>829</v>
      </c>
      <c r="B847" s="46" t="str">
        <f>IFERROR(VLOOKUP($A847,Equipos!$C$2:$M$967,2,FALSE()),"")</f>
        <v>Monitor Multiparámetros</v>
      </c>
      <c r="C847" s="46" t="str">
        <f>IFERROR(VLOOKUP($A847,Equipos!$C$2:$M$967,9,FALSE()),"")</f>
        <v>VTSHD0111</v>
      </c>
      <c r="D847" s="46" t="str">
        <f>IFERROR(VLOOKUP($A847,Equipos!$C$2:$M$967,3,FALSE()),"")</f>
        <v>Neurocirugía</v>
      </c>
      <c r="E847" s="46" t="str">
        <f>IFERROR(VLOOKUP($A847,Equipos!$C$2:$M$967,7,FALSE()),"")</f>
        <v>Drager</v>
      </c>
      <c r="F847" s="46" t="str">
        <f>IFERROR(VLOOKUP($A847,Equipos!$C$2:$M$967,8,FALSE()),"")</f>
        <v>Vista 120</v>
      </c>
      <c r="G847" s="46" t="s">
        <v>316</v>
      </c>
      <c r="H847" s="46"/>
      <c r="I847" s="46"/>
      <c r="J847" s="46" t="s">
        <v>323</v>
      </c>
      <c r="K847" s="46" t="str">
        <f>IFERROR(VLOOKUP($J847,Catálogos!$M$4:$N$17,2,FALSE()),"")</f>
        <v>Reprogramada · No disponibilidad de horas hombre del funcionario SEC por alta carga laboral</v>
      </c>
      <c r="L847" s="46"/>
      <c r="M847" s="46"/>
      <c r="N847" s="46"/>
      <c r="O847" s="46"/>
      <c r="P847" s="46"/>
      <c r="Q847" s="46"/>
    </row>
    <row r="848" spans="1:17" hidden="1" x14ac:dyDescent="0.25">
      <c r="A848" s="47" t="s">
        <v>829</v>
      </c>
      <c r="B848" s="46" t="str">
        <f>IFERROR(VLOOKUP($A848,Equipos!$C$2:$M$967,2,FALSE()),"")</f>
        <v>Monitor Multiparámetros</v>
      </c>
      <c r="C848" s="46" t="str">
        <f>IFERROR(VLOOKUP($A848,Equipos!$C$2:$M$967,9,FALSE()),"")</f>
        <v>VTSHD0111</v>
      </c>
      <c r="D848" s="46" t="str">
        <f>IFERROR(VLOOKUP($A848,Equipos!$C$2:$M$967,3,FALSE()),"")</f>
        <v>Neurocirugía</v>
      </c>
      <c r="E848" s="46" t="str">
        <f>IFERROR(VLOOKUP($A848,Equipos!$C$2:$M$967,7,FALSE()),"")</f>
        <v>Drager</v>
      </c>
      <c r="F848" s="46" t="str">
        <f>IFERROR(VLOOKUP($A848,Equipos!$C$2:$M$967,8,FALSE()),"")</f>
        <v>Vista 120</v>
      </c>
      <c r="G848" s="46" t="s">
        <v>331</v>
      </c>
      <c r="H848" s="46"/>
      <c r="I848" s="46"/>
      <c r="J848" s="46" t="s">
        <v>297</v>
      </c>
      <c r="K848" s="46" t="str">
        <f>IFERROR(VLOOKUP($J848,Catálogos!$M$4:$N$17,2,FALSE()),"")</f>
        <v>Mantención Preventiva Realizada</v>
      </c>
      <c r="L848" s="46"/>
      <c r="M848" s="46"/>
      <c r="N848" s="46"/>
      <c r="O848" s="46"/>
      <c r="P848" s="46"/>
      <c r="Q848" s="46"/>
    </row>
    <row r="849" spans="1:17" hidden="1" x14ac:dyDescent="0.25">
      <c r="A849" s="47" t="s">
        <v>830</v>
      </c>
      <c r="B849" s="46" t="str">
        <f>IFERROR(VLOOKUP($A849,Equipos!$C$2:$M$967,2,FALSE()),"")</f>
        <v>Monitor Multiparámetros</v>
      </c>
      <c r="C849" s="46" t="str">
        <f>IFERROR(VLOOKUP($A849,Equipos!$C$2:$M$967,9,FALSE()),"")</f>
        <v>DE351C1469</v>
      </c>
      <c r="D849" s="46" t="str">
        <f>IFERROR(VLOOKUP($A849,Equipos!$C$2:$M$967,3,FALSE()),"")</f>
        <v>Pabellones Gineco-Obstétricos</v>
      </c>
      <c r="E849" s="46" t="str">
        <f>IFERROR(VLOOKUP($A849,Equipos!$C$2:$M$967,7,FALSE()),"")</f>
        <v>Philips</v>
      </c>
      <c r="F849" s="46" t="str">
        <f>IFERROR(VLOOKUP($A849,Equipos!$C$2:$M$967,8,FALSE()),"")</f>
        <v>MX450</v>
      </c>
      <c r="G849" s="46" t="s">
        <v>298</v>
      </c>
      <c r="H849" s="46"/>
      <c r="I849" s="46"/>
      <c r="J849" s="46" t="s">
        <v>297</v>
      </c>
      <c r="K849" s="46" t="str">
        <f>IFERROR(VLOOKUP($J849,Catálogos!$M$4:$N$17,2,FALSE()),"")</f>
        <v>Mantención Preventiva Realizada</v>
      </c>
      <c r="L849" s="46"/>
      <c r="M849" s="46"/>
      <c r="N849" s="46"/>
      <c r="O849" s="46"/>
      <c r="P849" s="46"/>
      <c r="Q849" s="46"/>
    </row>
    <row r="850" spans="1:17" hidden="1" x14ac:dyDescent="0.25">
      <c r="A850" s="47" t="s">
        <v>831</v>
      </c>
      <c r="B850" s="46" t="str">
        <f>IFERROR(VLOOKUP($A850,Equipos!$C$2:$M$967,2,FALSE()),"")</f>
        <v>Monitor Multiparámetros</v>
      </c>
      <c r="C850" s="46" t="str">
        <f>IFERROR(VLOOKUP($A850,Equipos!$C$2:$M$967,9,FALSE()),"")</f>
        <v>VTSHD0066</v>
      </c>
      <c r="D850" s="46" t="str">
        <f>IFERROR(VLOOKUP($A850,Equipos!$C$2:$M$967,3,FALSE()),"")</f>
        <v>Neurocirugía</v>
      </c>
      <c r="E850" s="46" t="str">
        <f>IFERROR(VLOOKUP($A850,Equipos!$C$2:$M$967,7,FALSE()),"")</f>
        <v>Drager</v>
      </c>
      <c r="F850" s="46" t="str">
        <f>IFERROR(VLOOKUP($A850,Equipos!$C$2:$M$967,8,FALSE()),"")</f>
        <v>Vista 120</v>
      </c>
      <c r="G850" s="46" t="s">
        <v>316</v>
      </c>
      <c r="H850" s="46"/>
      <c r="I850" s="46"/>
      <c r="J850" s="46" t="s">
        <v>323</v>
      </c>
      <c r="K850" s="46" t="str">
        <f>IFERROR(VLOOKUP($J850,Catálogos!$M$4:$N$17,2,FALSE()),"")</f>
        <v>Reprogramada · No disponibilidad de horas hombre del funcionario SEC por alta carga laboral</v>
      </c>
      <c r="L850" s="46"/>
      <c r="M850" s="46"/>
      <c r="N850" s="46"/>
      <c r="O850" s="46"/>
      <c r="P850" s="46"/>
      <c r="Q850" s="46"/>
    </row>
    <row r="851" spans="1:17" hidden="1" x14ac:dyDescent="0.25">
      <c r="A851" s="47" t="s">
        <v>831</v>
      </c>
      <c r="B851" s="46" t="str">
        <f>IFERROR(VLOOKUP($A851,Equipos!$C$2:$M$967,2,FALSE()),"")</f>
        <v>Monitor Multiparámetros</v>
      </c>
      <c r="C851" s="46" t="str">
        <f>IFERROR(VLOOKUP($A851,Equipos!$C$2:$M$967,9,FALSE()),"")</f>
        <v>VTSHD0066</v>
      </c>
      <c r="D851" s="46" t="str">
        <f>IFERROR(VLOOKUP($A851,Equipos!$C$2:$M$967,3,FALSE()),"")</f>
        <v>Neurocirugía</v>
      </c>
      <c r="E851" s="46" t="str">
        <f>IFERROR(VLOOKUP($A851,Equipos!$C$2:$M$967,7,FALSE()),"")</f>
        <v>Drager</v>
      </c>
      <c r="F851" s="46" t="str">
        <f>IFERROR(VLOOKUP($A851,Equipos!$C$2:$M$967,8,FALSE()),"")</f>
        <v>Vista 120</v>
      </c>
      <c r="G851" s="46" t="s">
        <v>331</v>
      </c>
      <c r="H851" s="46"/>
      <c r="I851" s="46"/>
      <c r="J851" s="46" t="s">
        <v>297</v>
      </c>
      <c r="K851" s="46" t="str">
        <f>IFERROR(VLOOKUP($J851,Catálogos!$M$4:$N$17,2,FALSE()),"")</f>
        <v>Mantención Preventiva Realizada</v>
      </c>
      <c r="L851" s="46"/>
      <c r="M851" s="46"/>
      <c r="N851" s="46"/>
      <c r="O851" s="46"/>
      <c r="P851" s="46"/>
      <c r="Q851" s="46"/>
    </row>
    <row r="852" spans="1:17" hidden="1" x14ac:dyDescent="0.25">
      <c r="A852" s="47" t="s">
        <v>832</v>
      </c>
      <c r="B852" s="46" t="str">
        <f>IFERROR(VLOOKUP($A852,Equipos!$C$2:$M$967,2,FALSE()),"")</f>
        <v>Monitor Multiparámetros</v>
      </c>
      <c r="C852" s="46" t="str">
        <f>IFERROR(VLOOKUP($A852,Equipos!$C$2:$M$967,9,FALSE()),"")</f>
        <v>VTSHD0099</v>
      </c>
      <c r="D852" s="46" t="str">
        <f>IFERROR(VLOOKUP($A852,Equipos!$C$2:$M$967,3,FALSE()),"")</f>
        <v>Pediatría</v>
      </c>
      <c r="E852" s="46" t="str">
        <f>IFERROR(VLOOKUP($A852,Equipos!$C$2:$M$967,7,FALSE()),"")</f>
        <v>Drager</v>
      </c>
      <c r="F852" s="46" t="str">
        <f>IFERROR(VLOOKUP($A852,Equipos!$C$2:$M$967,8,FALSE()),"")</f>
        <v>Vista 120</v>
      </c>
      <c r="G852" s="46" t="s">
        <v>335</v>
      </c>
      <c r="H852" s="46"/>
      <c r="I852" s="46"/>
      <c r="J852" s="46" t="s">
        <v>323</v>
      </c>
      <c r="K852" s="46" t="str">
        <f>IFERROR(VLOOKUP($J852,Catálogos!$M$4:$N$17,2,FALSE()),"")</f>
        <v>Reprogramada · No disponibilidad de horas hombre del funcionario SEC por alta carga laboral</v>
      </c>
      <c r="L852" s="46"/>
      <c r="M852" s="46"/>
      <c r="N852" s="46"/>
      <c r="O852" s="46"/>
      <c r="P852" s="46"/>
      <c r="Q852" s="46"/>
    </row>
    <row r="853" spans="1:17" hidden="1" x14ac:dyDescent="0.25">
      <c r="A853" s="47" t="s">
        <v>832</v>
      </c>
      <c r="B853" s="46" t="str">
        <f>IFERROR(VLOOKUP($A853,Equipos!$C$2:$M$967,2,FALSE()),"")</f>
        <v>Monitor Multiparámetros</v>
      </c>
      <c r="C853" s="46" t="str">
        <f>IFERROR(VLOOKUP($A853,Equipos!$C$2:$M$967,9,FALSE()),"")</f>
        <v>VTSHD0099</v>
      </c>
      <c r="D853" s="46" t="str">
        <f>IFERROR(VLOOKUP($A853,Equipos!$C$2:$M$967,3,FALSE()),"")</f>
        <v>Pediatría</v>
      </c>
      <c r="E853" s="46" t="str">
        <f>IFERROR(VLOOKUP($A853,Equipos!$C$2:$M$967,7,FALSE()),"")</f>
        <v>Drager</v>
      </c>
      <c r="F853" s="46" t="str">
        <f>IFERROR(VLOOKUP($A853,Equipos!$C$2:$M$967,8,FALSE()),"")</f>
        <v>Vista 120</v>
      </c>
      <c r="G853" s="46" t="s">
        <v>296</v>
      </c>
      <c r="H853" s="46"/>
      <c r="I853" s="46"/>
      <c r="J853" s="46" t="s">
        <v>297</v>
      </c>
      <c r="K853" s="46" t="str">
        <f>IFERROR(VLOOKUP($J853,Catálogos!$M$4:$N$17,2,FALSE()),"")</f>
        <v>Mantención Preventiva Realizada</v>
      </c>
      <c r="L853" s="46"/>
      <c r="M853" s="46"/>
      <c r="N853" s="46"/>
      <c r="O853" s="46"/>
      <c r="P853" s="46"/>
      <c r="Q853" s="46"/>
    </row>
    <row r="854" spans="1:17" hidden="1" x14ac:dyDescent="0.25">
      <c r="A854" s="47" t="s">
        <v>833</v>
      </c>
      <c r="B854" s="46" t="str">
        <f>IFERROR(VLOOKUP($A854,Equipos!$C$2:$M$967,2,FALSE()),"")</f>
        <v>Monitor Multiparámetros</v>
      </c>
      <c r="C854" s="46" t="str">
        <f>IFERROR(VLOOKUP($A854,Equipos!$C$2:$M$967,9,FALSE()),"")</f>
        <v>VQSHD0069</v>
      </c>
      <c r="D854" s="46" t="str">
        <f>IFERROR(VLOOKUP($A854,Equipos!$C$2:$M$967,3,FALSE()),"")</f>
        <v>Neonatología</v>
      </c>
      <c r="E854" s="46" t="str">
        <f>IFERROR(VLOOKUP($A854,Equipos!$C$2:$M$967,7,FALSE()),"")</f>
        <v>Drager</v>
      </c>
      <c r="F854" s="46" t="str">
        <f>IFERROR(VLOOKUP($A854,Equipos!$C$2:$M$967,8,FALSE()),"")</f>
        <v>Vista 120</v>
      </c>
      <c r="G854" s="46" t="s">
        <v>335</v>
      </c>
      <c r="H854" s="46"/>
      <c r="I854" s="46"/>
      <c r="J854" s="46" t="s">
        <v>323</v>
      </c>
      <c r="K854" s="46" t="str">
        <f>IFERROR(VLOOKUP($J854,Catálogos!$M$4:$N$17,2,FALSE()),"")</f>
        <v>Reprogramada · No disponibilidad de horas hombre del funcionario SEC por alta carga laboral</v>
      </c>
      <c r="L854" s="46"/>
      <c r="M854" s="46"/>
      <c r="N854" s="46"/>
      <c r="O854" s="46"/>
      <c r="P854" s="46"/>
      <c r="Q854" s="46"/>
    </row>
    <row r="855" spans="1:17" hidden="1" x14ac:dyDescent="0.25">
      <c r="A855" s="47" t="s">
        <v>833</v>
      </c>
      <c r="B855" s="46" t="str">
        <f>IFERROR(VLOOKUP($A855,Equipos!$C$2:$M$967,2,FALSE()),"")</f>
        <v>Monitor Multiparámetros</v>
      </c>
      <c r="C855" s="46" t="str">
        <f>IFERROR(VLOOKUP($A855,Equipos!$C$2:$M$967,9,FALSE()),"")</f>
        <v>VQSHD0069</v>
      </c>
      <c r="D855" s="46" t="str">
        <f>IFERROR(VLOOKUP($A855,Equipos!$C$2:$M$967,3,FALSE()),"")</f>
        <v>Neonatología</v>
      </c>
      <c r="E855" s="46" t="str">
        <f>IFERROR(VLOOKUP($A855,Equipos!$C$2:$M$967,7,FALSE()),"")</f>
        <v>Drager</v>
      </c>
      <c r="F855" s="46" t="str">
        <f>IFERROR(VLOOKUP($A855,Equipos!$C$2:$M$967,8,FALSE()),"")</f>
        <v>Vista 120</v>
      </c>
      <c r="G855" s="46" t="s">
        <v>296</v>
      </c>
      <c r="H855" s="46"/>
      <c r="I855" s="46"/>
      <c r="J855" s="46" t="s">
        <v>297</v>
      </c>
      <c r="K855" s="46" t="str">
        <f>IFERROR(VLOOKUP($J855,Catálogos!$M$4:$N$17,2,FALSE()),"")</f>
        <v>Mantención Preventiva Realizada</v>
      </c>
      <c r="L855" s="46"/>
      <c r="M855" s="46"/>
      <c r="N855" s="46"/>
      <c r="O855" s="46"/>
      <c r="P855" s="46"/>
      <c r="Q855" s="46"/>
    </row>
    <row r="856" spans="1:17" hidden="1" x14ac:dyDescent="0.25">
      <c r="A856" s="47" t="s">
        <v>834</v>
      </c>
      <c r="B856" s="46" t="str">
        <f>IFERROR(VLOOKUP($A856,Equipos!$C$2:$M$967,2,FALSE()),"")</f>
        <v>Monitor Multiparámetros</v>
      </c>
      <c r="C856" s="46" t="str">
        <f>IFERROR(VLOOKUP($A856,Equipos!$C$2:$M$967,9,FALSE()),"")</f>
        <v>VQSHD0088</v>
      </c>
      <c r="D856" s="46" t="str">
        <f>IFERROR(VLOOKUP($A856,Equipos!$C$2:$M$967,3,FALSE()),"")</f>
        <v>Neonatología</v>
      </c>
      <c r="E856" s="46" t="str">
        <f>IFERROR(VLOOKUP($A856,Equipos!$C$2:$M$967,7,FALSE()),"")</f>
        <v>Drager</v>
      </c>
      <c r="F856" s="46" t="str">
        <f>IFERROR(VLOOKUP($A856,Equipos!$C$2:$M$967,8,FALSE()),"")</f>
        <v>Vista 120</v>
      </c>
      <c r="G856" s="46" t="s">
        <v>335</v>
      </c>
      <c r="H856" s="46"/>
      <c r="I856" s="46"/>
      <c r="J856" s="46" t="s">
        <v>323</v>
      </c>
      <c r="K856" s="46" t="str">
        <f>IFERROR(VLOOKUP($J856,Catálogos!$M$4:$N$17,2,FALSE()),"")</f>
        <v>Reprogramada · No disponibilidad de horas hombre del funcionario SEC por alta carga laboral</v>
      </c>
      <c r="L856" s="46"/>
      <c r="M856" s="46"/>
      <c r="N856" s="46"/>
      <c r="O856" s="46"/>
      <c r="P856" s="46"/>
      <c r="Q856" s="46"/>
    </row>
    <row r="857" spans="1:17" hidden="1" x14ac:dyDescent="0.25">
      <c r="A857" s="47" t="s">
        <v>834</v>
      </c>
      <c r="B857" s="46" t="str">
        <f>IFERROR(VLOOKUP($A857,Equipos!$C$2:$M$967,2,FALSE()),"")</f>
        <v>Monitor Multiparámetros</v>
      </c>
      <c r="C857" s="46" t="str">
        <f>IFERROR(VLOOKUP($A857,Equipos!$C$2:$M$967,9,FALSE()),"")</f>
        <v>VQSHD0088</v>
      </c>
      <c r="D857" s="46" t="str">
        <f>IFERROR(VLOOKUP($A857,Equipos!$C$2:$M$967,3,FALSE()),"")</f>
        <v>Neonatología</v>
      </c>
      <c r="E857" s="46" t="str">
        <f>IFERROR(VLOOKUP($A857,Equipos!$C$2:$M$967,7,FALSE()),"")</f>
        <v>Drager</v>
      </c>
      <c r="F857" s="46" t="str">
        <f>IFERROR(VLOOKUP($A857,Equipos!$C$2:$M$967,8,FALSE()),"")</f>
        <v>Vista 120</v>
      </c>
      <c r="G857" s="46" t="s">
        <v>296</v>
      </c>
      <c r="H857" s="46"/>
      <c r="I857" s="46"/>
      <c r="J857" s="46" t="s">
        <v>297</v>
      </c>
      <c r="K857" s="46" t="str">
        <f>IFERROR(VLOOKUP($J857,Catálogos!$M$4:$N$17,2,FALSE()),"")</f>
        <v>Mantención Preventiva Realizada</v>
      </c>
      <c r="L857" s="46"/>
      <c r="M857" s="46"/>
      <c r="N857" s="46"/>
      <c r="O857" s="46"/>
      <c r="P857" s="46"/>
      <c r="Q857" s="46"/>
    </row>
    <row r="858" spans="1:17" hidden="1" x14ac:dyDescent="0.25">
      <c r="A858" s="47" t="s">
        <v>835</v>
      </c>
      <c r="B858" s="46" t="str">
        <f>IFERROR(VLOOKUP($A858,Equipos!$C$2:$M$967,2,FALSE()),"")</f>
        <v>Monitor Multiparámetros</v>
      </c>
      <c r="C858" s="46" t="str">
        <f>IFERROR(VLOOKUP($A858,Equipos!$C$2:$M$967,9,FALSE()),"")</f>
        <v>VQSHD0103</v>
      </c>
      <c r="D858" s="46" t="str">
        <f>IFERROR(VLOOKUP($A858,Equipos!$C$2:$M$967,3,FALSE()),"")</f>
        <v>Neonatología</v>
      </c>
      <c r="E858" s="46" t="str">
        <f>IFERROR(VLOOKUP($A858,Equipos!$C$2:$M$967,7,FALSE()),"")</f>
        <v>Drager</v>
      </c>
      <c r="F858" s="46" t="str">
        <f>IFERROR(VLOOKUP($A858,Equipos!$C$2:$M$967,8,FALSE()),"")</f>
        <v>Vista 120</v>
      </c>
      <c r="G858" s="46" t="s">
        <v>335</v>
      </c>
      <c r="H858" s="46"/>
      <c r="I858" s="46"/>
      <c r="J858" s="46" t="s">
        <v>323</v>
      </c>
      <c r="K858" s="46" t="str">
        <f>IFERROR(VLOOKUP($J858,Catálogos!$M$4:$N$17,2,FALSE()),"")</f>
        <v>Reprogramada · No disponibilidad de horas hombre del funcionario SEC por alta carga laboral</v>
      </c>
      <c r="L858" s="46"/>
      <c r="M858" s="46"/>
      <c r="N858" s="46"/>
      <c r="O858" s="46"/>
      <c r="P858" s="46"/>
      <c r="Q858" s="46"/>
    </row>
    <row r="859" spans="1:17" hidden="1" x14ac:dyDescent="0.25">
      <c r="A859" s="47" t="s">
        <v>835</v>
      </c>
      <c r="B859" s="46" t="str">
        <f>IFERROR(VLOOKUP($A859,Equipos!$C$2:$M$967,2,FALSE()),"")</f>
        <v>Monitor Multiparámetros</v>
      </c>
      <c r="C859" s="46" t="str">
        <f>IFERROR(VLOOKUP($A859,Equipos!$C$2:$M$967,9,FALSE()),"")</f>
        <v>VQSHD0103</v>
      </c>
      <c r="D859" s="46" t="str">
        <f>IFERROR(VLOOKUP($A859,Equipos!$C$2:$M$967,3,FALSE()),"")</f>
        <v>Neonatología</v>
      </c>
      <c r="E859" s="46" t="str">
        <f>IFERROR(VLOOKUP($A859,Equipos!$C$2:$M$967,7,FALSE()),"")</f>
        <v>Drager</v>
      </c>
      <c r="F859" s="46" t="str">
        <f>IFERROR(VLOOKUP($A859,Equipos!$C$2:$M$967,8,FALSE()),"")</f>
        <v>Vista 120</v>
      </c>
      <c r="G859" s="46" t="s">
        <v>296</v>
      </c>
      <c r="H859" s="46"/>
      <c r="I859" s="46"/>
      <c r="J859" s="46" t="s">
        <v>297</v>
      </c>
      <c r="K859" s="46" t="str">
        <f>IFERROR(VLOOKUP($J859,Catálogos!$M$4:$N$17,2,FALSE()),"")</f>
        <v>Mantención Preventiva Realizada</v>
      </c>
      <c r="L859" s="46"/>
      <c r="M859" s="46"/>
      <c r="N859" s="46"/>
      <c r="O859" s="46"/>
      <c r="P859" s="46"/>
      <c r="Q859" s="46"/>
    </row>
    <row r="860" spans="1:17" hidden="1" x14ac:dyDescent="0.25">
      <c r="A860" s="47" t="s">
        <v>836</v>
      </c>
      <c r="B860" s="46" t="str">
        <f>IFERROR(VLOOKUP($A860,Equipos!$C$2:$M$967,2,FALSE()),"")</f>
        <v>Monitor Multiparámetros</v>
      </c>
      <c r="C860" s="46" t="str">
        <f>IFERROR(VLOOKUP($A860,Equipos!$C$2:$M$967,9,FALSE()),"")</f>
        <v>VQSHD0120</v>
      </c>
      <c r="D860" s="46" t="str">
        <f>IFERROR(VLOOKUP($A860,Equipos!$C$2:$M$967,3,FALSE()),"")</f>
        <v>Neonatología</v>
      </c>
      <c r="E860" s="46" t="str">
        <f>IFERROR(VLOOKUP($A860,Equipos!$C$2:$M$967,7,FALSE()),"")</f>
        <v>Drager</v>
      </c>
      <c r="F860" s="46" t="str">
        <f>IFERROR(VLOOKUP($A860,Equipos!$C$2:$M$967,8,FALSE()),"")</f>
        <v>Vista 120</v>
      </c>
      <c r="G860" s="46" t="s">
        <v>335</v>
      </c>
      <c r="H860" s="46"/>
      <c r="I860" s="46"/>
      <c r="J860" s="46" t="s">
        <v>323</v>
      </c>
      <c r="K860" s="46" t="str">
        <f>IFERROR(VLOOKUP($J860,Catálogos!$M$4:$N$17,2,FALSE()),"")</f>
        <v>Reprogramada · No disponibilidad de horas hombre del funcionario SEC por alta carga laboral</v>
      </c>
      <c r="L860" s="46"/>
      <c r="M860" s="46"/>
      <c r="N860" s="46"/>
      <c r="O860" s="46"/>
      <c r="P860" s="46"/>
      <c r="Q860" s="46"/>
    </row>
    <row r="861" spans="1:17" hidden="1" x14ac:dyDescent="0.25">
      <c r="A861" s="47" t="s">
        <v>836</v>
      </c>
      <c r="B861" s="46" t="str">
        <f>IFERROR(VLOOKUP($A861,Equipos!$C$2:$M$967,2,FALSE()),"")</f>
        <v>Monitor Multiparámetros</v>
      </c>
      <c r="C861" s="46" t="str">
        <f>IFERROR(VLOOKUP($A861,Equipos!$C$2:$M$967,9,FALSE()),"")</f>
        <v>VQSHD0120</v>
      </c>
      <c r="D861" s="46" t="str">
        <f>IFERROR(VLOOKUP($A861,Equipos!$C$2:$M$967,3,FALSE()),"")</f>
        <v>Neonatología</v>
      </c>
      <c r="E861" s="46" t="str">
        <f>IFERROR(VLOOKUP($A861,Equipos!$C$2:$M$967,7,FALSE()),"")</f>
        <v>Drager</v>
      </c>
      <c r="F861" s="46" t="str">
        <f>IFERROR(VLOOKUP($A861,Equipos!$C$2:$M$967,8,FALSE()),"")</f>
        <v>Vista 120</v>
      </c>
      <c r="G861" s="46" t="s">
        <v>296</v>
      </c>
      <c r="H861" s="46"/>
      <c r="I861" s="46"/>
      <c r="J861" s="46" t="s">
        <v>297</v>
      </c>
      <c r="K861" s="46" t="str">
        <f>IFERROR(VLOOKUP($J861,Catálogos!$M$4:$N$17,2,FALSE()),"")</f>
        <v>Mantención Preventiva Realizada</v>
      </c>
      <c r="L861" s="46"/>
      <c r="M861" s="46"/>
      <c r="N861" s="46"/>
      <c r="O861" s="46"/>
      <c r="P861" s="46"/>
      <c r="Q861" s="46"/>
    </row>
    <row r="862" spans="1:17" hidden="1" x14ac:dyDescent="0.25">
      <c r="A862" s="47" t="s">
        <v>837</v>
      </c>
      <c r="B862" s="46" t="str">
        <f>IFERROR(VLOOKUP($A862,Equipos!$C$2:$M$967,2,FALSE()),"")</f>
        <v>Monitor Multiparámetros</v>
      </c>
      <c r="C862" s="46" t="str">
        <f>IFERROR(VLOOKUP($A862,Equipos!$C$2:$M$967,9,FALSE()),"")</f>
        <v>VQSHD0122</v>
      </c>
      <c r="D862" s="46" t="str">
        <f>IFERROR(VLOOKUP($A862,Equipos!$C$2:$M$967,3,FALSE()),"")</f>
        <v>Neonatología</v>
      </c>
      <c r="E862" s="46" t="str">
        <f>IFERROR(VLOOKUP($A862,Equipos!$C$2:$M$967,7,FALSE()),"")</f>
        <v>Drager</v>
      </c>
      <c r="F862" s="46" t="str">
        <f>IFERROR(VLOOKUP($A862,Equipos!$C$2:$M$967,8,FALSE()),"")</f>
        <v>Vista 120</v>
      </c>
      <c r="G862" s="46" t="s">
        <v>335</v>
      </c>
      <c r="H862" s="46"/>
      <c r="I862" s="46"/>
      <c r="J862" s="46" t="s">
        <v>323</v>
      </c>
      <c r="K862" s="46" t="str">
        <f>IFERROR(VLOOKUP($J862,Catálogos!$M$4:$N$17,2,FALSE()),"")</f>
        <v>Reprogramada · No disponibilidad de horas hombre del funcionario SEC por alta carga laboral</v>
      </c>
      <c r="L862" s="46"/>
      <c r="M862" s="46"/>
      <c r="N862" s="46"/>
      <c r="O862" s="46"/>
      <c r="P862" s="46"/>
      <c r="Q862" s="46"/>
    </row>
    <row r="863" spans="1:17" hidden="1" x14ac:dyDescent="0.25">
      <c r="A863" s="47" t="s">
        <v>837</v>
      </c>
      <c r="B863" s="46" t="str">
        <f>IFERROR(VLOOKUP($A863,Equipos!$C$2:$M$967,2,FALSE()),"")</f>
        <v>Monitor Multiparámetros</v>
      </c>
      <c r="C863" s="46" t="str">
        <f>IFERROR(VLOOKUP($A863,Equipos!$C$2:$M$967,9,FALSE()),"")</f>
        <v>VQSHD0122</v>
      </c>
      <c r="D863" s="46" t="str">
        <f>IFERROR(VLOOKUP($A863,Equipos!$C$2:$M$967,3,FALSE()),"")</f>
        <v>Neonatología</v>
      </c>
      <c r="E863" s="46" t="str">
        <f>IFERROR(VLOOKUP($A863,Equipos!$C$2:$M$967,7,FALSE()),"")</f>
        <v>Drager</v>
      </c>
      <c r="F863" s="46" t="str">
        <f>IFERROR(VLOOKUP($A863,Equipos!$C$2:$M$967,8,FALSE()),"")</f>
        <v>Vista 120</v>
      </c>
      <c r="G863" s="46" t="s">
        <v>296</v>
      </c>
      <c r="H863" s="46"/>
      <c r="I863" s="46"/>
      <c r="J863" s="46" t="s">
        <v>297</v>
      </c>
      <c r="K863" s="46" t="str">
        <f>IFERROR(VLOOKUP($J863,Catálogos!$M$4:$N$17,2,FALSE()),"")</f>
        <v>Mantención Preventiva Realizada</v>
      </c>
      <c r="L863" s="46"/>
      <c r="M863" s="46"/>
      <c r="N863" s="46"/>
      <c r="O863" s="46"/>
      <c r="P863" s="46"/>
      <c r="Q863" s="46"/>
    </row>
    <row r="864" spans="1:17" hidden="1" x14ac:dyDescent="0.25">
      <c r="A864" s="47" t="s">
        <v>838</v>
      </c>
      <c r="B864" s="46" t="str">
        <f>IFERROR(VLOOKUP($A864,Equipos!$C$2:$M$967,2,FALSE()),"")</f>
        <v>Monitor Multiparámetros</v>
      </c>
      <c r="C864" s="46" t="str">
        <f>IFERROR(VLOOKUP($A864,Equipos!$C$2:$M$967,9,FALSE()),"")</f>
        <v>VQSHD0124</v>
      </c>
      <c r="D864" s="46" t="str">
        <f>IFERROR(VLOOKUP($A864,Equipos!$C$2:$M$967,3,FALSE()),"")</f>
        <v>Neonatología</v>
      </c>
      <c r="E864" s="46" t="str">
        <f>IFERROR(VLOOKUP($A864,Equipos!$C$2:$M$967,7,FALSE()),"")</f>
        <v>Drager</v>
      </c>
      <c r="F864" s="46" t="str">
        <f>IFERROR(VLOOKUP($A864,Equipos!$C$2:$M$967,8,FALSE()),"")</f>
        <v>Vista 120</v>
      </c>
      <c r="G864" s="46" t="s">
        <v>335</v>
      </c>
      <c r="H864" s="46"/>
      <c r="I864" s="46"/>
      <c r="J864" s="46" t="s">
        <v>323</v>
      </c>
      <c r="K864" s="46" t="str">
        <f>IFERROR(VLOOKUP($J864,Catálogos!$M$4:$N$17,2,FALSE()),"")</f>
        <v>Reprogramada · No disponibilidad de horas hombre del funcionario SEC por alta carga laboral</v>
      </c>
      <c r="L864" s="46"/>
      <c r="M864" s="46"/>
      <c r="N864" s="46"/>
      <c r="O864" s="46"/>
      <c r="P864" s="46"/>
      <c r="Q864" s="46"/>
    </row>
    <row r="865" spans="1:17" hidden="1" x14ac:dyDescent="0.25">
      <c r="A865" s="47" t="s">
        <v>838</v>
      </c>
      <c r="B865" s="46" t="str">
        <f>IFERROR(VLOOKUP($A865,Equipos!$C$2:$M$967,2,FALSE()),"")</f>
        <v>Monitor Multiparámetros</v>
      </c>
      <c r="C865" s="46" t="str">
        <f>IFERROR(VLOOKUP($A865,Equipos!$C$2:$M$967,9,FALSE()),"")</f>
        <v>VQSHD0124</v>
      </c>
      <c r="D865" s="46" t="str">
        <f>IFERROR(VLOOKUP($A865,Equipos!$C$2:$M$967,3,FALSE()),"")</f>
        <v>Neonatología</v>
      </c>
      <c r="E865" s="46" t="str">
        <f>IFERROR(VLOOKUP($A865,Equipos!$C$2:$M$967,7,FALSE()),"")</f>
        <v>Drager</v>
      </c>
      <c r="F865" s="46" t="str">
        <f>IFERROR(VLOOKUP($A865,Equipos!$C$2:$M$967,8,FALSE()),"")</f>
        <v>Vista 120</v>
      </c>
      <c r="G865" s="46" t="s">
        <v>296</v>
      </c>
      <c r="H865" s="46"/>
      <c r="I865" s="46"/>
      <c r="J865" s="46" t="s">
        <v>297</v>
      </c>
      <c r="K865" s="46" t="str">
        <f>IFERROR(VLOOKUP($J865,Catálogos!$M$4:$N$17,2,FALSE()),"")</f>
        <v>Mantención Preventiva Realizada</v>
      </c>
      <c r="L865" s="46"/>
      <c r="M865" s="46"/>
      <c r="N865" s="46"/>
      <c r="O865" s="46"/>
      <c r="P865" s="46"/>
      <c r="Q865" s="46"/>
    </row>
    <row r="866" spans="1:17" hidden="1" x14ac:dyDescent="0.25">
      <c r="A866" s="47" t="s">
        <v>839</v>
      </c>
      <c r="B866" s="46" t="str">
        <f>IFERROR(VLOOKUP($A866,Equipos!$C$2:$M$967,2,FALSE()),"")</f>
        <v>Monitor Multiparámetros</v>
      </c>
      <c r="C866" s="46" t="str">
        <f>IFERROR(VLOOKUP($A866,Equipos!$C$2:$M$967,9,FALSE()),"")</f>
        <v>VQSHD0127</v>
      </c>
      <c r="D866" s="46" t="str">
        <f>IFERROR(VLOOKUP($A866,Equipos!$C$2:$M$967,3,FALSE()),"")</f>
        <v>Neonatología</v>
      </c>
      <c r="E866" s="46" t="str">
        <f>IFERROR(VLOOKUP($A866,Equipos!$C$2:$M$967,7,FALSE()),"")</f>
        <v>Drager</v>
      </c>
      <c r="F866" s="46" t="str">
        <f>IFERROR(VLOOKUP($A866,Equipos!$C$2:$M$967,8,FALSE()),"")</f>
        <v>Vista 120</v>
      </c>
      <c r="G866" s="46" t="s">
        <v>335</v>
      </c>
      <c r="H866" s="46"/>
      <c r="I866" s="46"/>
      <c r="J866" s="46" t="s">
        <v>323</v>
      </c>
      <c r="K866" s="46" t="str">
        <f>IFERROR(VLOOKUP($J866,Catálogos!$M$4:$N$17,2,FALSE()),"")</f>
        <v>Reprogramada · No disponibilidad de horas hombre del funcionario SEC por alta carga laboral</v>
      </c>
      <c r="L866" s="46"/>
      <c r="M866" s="46"/>
      <c r="N866" s="46"/>
      <c r="O866" s="46"/>
      <c r="P866" s="46"/>
      <c r="Q866" s="46"/>
    </row>
    <row r="867" spans="1:17" hidden="1" x14ac:dyDescent="0.25">
      <c r="A867" s="47" t="s">
        <v>839</v>
      </c>
      <c r="B867" s="46" t="str">
        <f>IFERROR(VLOOKUP($A867,Equipos!$C$2:$M$967,2,FALSE()),"")</f>
        <v>Monitor Multiparámetros</v>
      </c>
      <c r="C867" s="46" t="str">
        <f>IFERROR(VLOOKUP($A867,Equipos!$C$2:$M$967,9,FALSE()),"")</f>
        <v>VQSHD0127</v>
      </c>
      <c r="D867" s="46" t="str">
        <f>IFERROR(VLOOKUP($A867,Equipos!$C$2:$M$967,3,FALSE()),"")</f>
        <v>Neonatología</v>
      </c>
      <c r="E867" s="46" t="str">
        <f>IFERROR(VLOOKUP($A867,Equipos!$C$2:$M$967,7,FALSE()),"")</f>
        <v>Drager</v>
      </c>
      <c r="F867" s="46" t="str">
        <f>IFERROR(VLOOKUP($A867,Equipos!$C$2:$M$967,8,FALSE()),"")</f>
        <v>Vista 120</v>
      </c>
      <c r="G867" s="46" t="s">
        <v>296</v>
      </c>
      <c r="H867" s="46"/>
      <c r="I867" s="46"/>
      <c r="J867" s="46" t="s">
        <v>297</v>
      </c>
      <c r="K867" s="46" t="str">
        <f>IFERROR(VLOOKUP($J867,Catálogos!$M$4:$N$17,2,FALSE()),"")</f>
        <v>Mantención Preventiva Realizada</v>
      </c>
      <c r="L867" s="46"/>
      <c r="M867" s="46"/>
      <c r="N867" s="46"/>
      <c r="O867" s="46"/>
      <c r="P867" s="46"/>
      <c r="Q867" s="46"/>
    </row>
    <row r="868" spans="1:17" hidden="1" x14ac:dyDescent="0.25">
      <c r="A868" s="47" t="s">
        <v>840</v>
      </c>
      <c r="B868" s="46" t="str">
        <f>IFERROR(VLOOKUP($A868,Equipos!$C$2:$M$967,2,FALSE()),"")</f>
        <v>Monitor Multiparámetros</v>
      </c>
      <c r="C868" s="46" t="str">
        <f>IFERROR(VLOOKUP($A868,Equipos!$C$2:$M$967,9,FALSE()),"")</f>
        <v>VQSHD0130</v>
      </c>
      <c r="D868" s="46" t="str">
        <f>IFERROR(VLOOKUP($A868,Equipos!$C$2:$M$967,3,FALSE()),"")</f>
        <v>Neonatología</v>
      </c>
      <c r="E868" s="46" t="str">
        <f>IFERROR(VLOOKUP($A868,Equipos!$C$2:$M$967,7,FALSE()),"")</f>
        <v>Drager</v>
      </c>
      <c r="F868" s="46" t="str">
        <f>IFERROR(VLOOKUP($A868,Equipos!$C$2:$M$967,8,FALSE()),"")</f>
        <v>Vista 120</v>
      </c>
      <c r="G868" s="46" t="s">
        <v>335</v>
      </c>
      <c r="H868" s="46"/>
      <c r="I868" s="46"/>
      <c r="J868" s="46" t="s">
        <v>323</v>
      </c>
      <c r="K868" s="46" t="str">
        <f>IFERROR(VLOOKUP($J868,Catálogos!$M$4:$N$17,2,FALSE()),"")</f>
        <v>Reprogramada · No disponibilidad de horas hombre del funcionario SEC por alta carga laboral</v>
      </c>
      <c r="L868" s="46"/>
      <c r="M868" s="46"/>
      <c r="N868" s="46"/>
      <c r="O868" s="46"/>
      <c r="P868" s="46"/>
      <c r="Q868" s="46"/>
    </row>
    <row r="869" spans="1:17" hidden="1" x14ac:dyDescent="0.25">
      <c r="A869" s="47" t="s">
        <v>840</v>
      </c>
      <c r="B869" s="46" t="str">
        <f>IFERROR(VLOOKUP($A869,Equipos!$C$2:$M$967,2,FALSE()),"")</f>
        <v>Monitor Multiparámetros</v>
      </c>
      <c r="C869" s="46" t="str">
        <f>IFERROR(VLOOKUP($A869,Equipos!$C$2:$M$967,9,FALSE()),"")</f>
        <v>VQSHD0130</v>
      </c>
      <c r="D869" s="46" t="str">
        <f>IFERROR(VLOOKUP($A869,Equipos!$C$2:$M$967,3,FALSE()),"")</f>
        <v>Neonatología</v>
      </c>
      <c r="E869" s="46" t="str">
        <f>IFERROR(VLOOKUP($A869,Equipos!$C$2:$M$967,7,FALSE()),"")</f>
        <v>Drager</v>
      </c>
      <c r="F869" s="46" t="str">
        <f>IFERROR(VLOOKUP($A869,Equipos!$C$2:$M$967,8,FALSE()),"")</f>
        <v>Vista 120</v>
      </c>
      <c r="G869" s="46" t="s">
        <v>296</v>
      </c>
      <c r="H869" s="46"/>
      <c r="I869" s="46"/>
      <c r="J869" s="46" t="s">
        <v>297</v>
      </c>
      <c r="K869" s="46" t="str">
        <f>IFERROR(VLOOKUP($J869,Catálogos!$M$4:$N$17,2,FALSE()),"")</f>
        <v>Mantención Preventiva Realizada</v>
      </c>
      <c r="L869" s="46"/>
      <c r="M869" s="46"/>
      <c r="N869" s="46"/>
      <c r="O869" s="46"/>
      <c r="P869" s="46"/>
      <c r="Q869" s="46"/>
    </row>
    <row r="870" spans="1:17" hidden="1" x14ac:dyDescent="0.25">
      <c r="A870" s="47" t="s">
        <v>841</v>
      </c>
      <c r="B870" s="46" t="str">
        <f>IFERROR(VLOOKUP($A870,Equipos!$C$2:$M$967,2,FALSE()),"")</f>
        <v>Monitor Multiparámetros</v>
      </c>
      <c r="C870" s="46" t="str">
        <f>IFERROR(VLOOKUP($A870,Equipos!$C$2:$M$967,9,FALSE()),"")</f>
        <v>VQSHD0133</v>
      </c>
      <c r="D870" s="46" t="str">
        <f>IFERROR(VLOOKUP($A870,Equipos!$C$2:$M$967,3,FALSE()),"")</f>
        <v>Neonatología</v>
      </c>
      <c r="E870" s="46" t="str">
        <f>IFERROR(VLOOKUP($A870,Equipos!$C$2:$M$967,7,FALSE()),"")</f>
        <v>Drager</v>
      </c>
      <c r="F870" s="46" t="str">
        <f>IFERROR(VLOOKUP($A870,Equipos!$C$2:$M$967,8,FALSE()),"")</f>
        <v>Vista 120</v>
      </c>
      <c r="G870" s="46" t="s">
        <v>335</v>
      </c>
      <c r="H870" s="46"/>
      <c r="I870" s="46"/>
      <c r="J870" s="46" t="s">
        <v>323</v>
      </c>
      <c r="K870" s="46" t="str">
        <f>IFERROR(VLOOKUP($J870,Catálogos!$M$4:$N$17,2,FALSE()),"")</f>
        <v>Reprogramada · No disponibilidad de horas hombre del funcionario SEC por alta carga laboral</v>
      </c>
      <c r="L870" s="46"/>
      <c r="M870" s="46"/>
      <c r="N870" s="46"/>
      <c r="O870" s="46"/>
      <c r="P870" s="46"/>
      <c r="Q870" s="46"/>
    </row>
    <row r="871" spans="1:17" hidden="1" x14ac:dyDescent="0.25">
      <c r="A871" s="47" t="s">
        <v>841</v>
      </c>
      <c r="B871" s="46" t="str">
        <f>IFERROR(VLOOKUP($A871,Equipos!$C$2:$M$967,2,FALSE()),"")</f>
        <v>Monitor Multiparámetros</v>
      </c>
      <c r="C871" s="46" t="str">
        <f>IFERROR(VLOOKUP($A871,Equipos!$C$2:$M$967,9,FALSE()),"")</f>
        <v>VQSHD0133</v>
      </c>
      <c r="D871" s="46" t="str">
        <f>IFERROR(VLOOKUP($A871,Equipos!$C$2:$M$967,3,FALSE()),"")</f>
        <v>Neonatología</v>
      </c>
      <c r="E871" s="46" t="str">
        <f>IFERROR(VLOOKUP($A871,Equipos!$C$2:$M$967,7,FALSE()),"")</f>
        <v>Drager</v>
      </c>
      <c r="F871" s="46" t="str">
        <f>IFERROR(VLOOKUP($A871,Equipos!$C$2:$M$967,8,FALSE()),"")</f>
        <v>Vista 120</v>
      </c>
      <c r="G871" s="46" t="s">
        <v>296</v>
      </c>
      <c r="H871" s="46"/>
      <c r="I871" s="46"/>
      <c r="J871" s="46" t="s">
        <v>297</v>
      </c>
      <c r="K871" s="46" t="str">
        <f>IFERROR(VLOOKUP($J871,Catálogos!$M$4:$N$17,2,FALSE()),"")</f>
        <v>Mantención Preventiva Realizada</v>
      </c>
      <c r="L871" s="46"/>
      <c r="M871" s="46"/>
      <c r="N871" s="46"/>
      <c r="O871" s="46"/>
      <c r="P871" s="46"/>
      <c r="Q871" s="46"/>
    </row>
    <row r="872" spans="1:17" hidden="1" x14ac:dyDescent="0.25">
      <c r="A872" s="47" t="s">
        <v>842</v>
      </c>
      <c r="B872" s="46" t="str">
        <f>IFERROR(VLOOKUP($A872,Equipos!$C$2:$M$967,2,FALSE()),"")</f>
        <v>Monitor Multiparámetros</v>
      </c>
      <c r="C872" s="46" t="str">
        <f>IFERROR(VLOOKUP($A872,Equipos!$C$2:$M$967,9,FALSE()),"")</f>
        <v>VQSHD0146</v>
      </c>
      <c r="D872" s="46" t="str">
        <f>IFERROR(VLOOKUP($A872,Equipos!$C$2:$M$967,3,FALSE()),"")</f>
        <v>Neonatología</v>
      </c>
      <c r="E872" s="46" t="str">
        <f>IFERROR(VLOOKUP($A872,Equipos!$C$2:$M$967,7,FALSE()),"")</f>
        <v>Drager</v>
      </c>
      <c r="F872" s="46" t="str">
        <f>IFERROR(VLOOKUP($A872,Equipos!$C$2:$M$967,8,FALSE()),"")</f>
        <v>Vista 120</v>
      </c>
      <c r="G872" s="46" t="s">
        <v>335</v>
      </c>
      <c r="H872" s="46"/>
      <c r="I872" s="46"/>
      <c r="J872" s="46" t="s">
        <v>323</v>
      </c>
      <c r="K872" s="46" t="str">
        <f>IFERROR(VLOOKUP($J872,Catálogos!$M$4:$N$17,2,FALSE()),"")</f>
        <v>Reprogramada · No disponibilidad de horas hombre del funcionario SEC por alta carga laboral</v>
      </c>
      <c r="L872" s="46"/>
      <c r="M872" s="46"/>
      <c r="N872" s="46"/>
      <c r="O872" s="46"/>
      <c r="P872" s="46"/>
      <c r="Q872" s="46"/>
    </row>
    <row r="873" spans="1:17" hidden="1" x14ac:dyDescent="0.25">
      <c r="A873" s="47" t="s">
        <v>842</v>
      </c>
      <c r="B873" s="46" t="str">
        <f>IFERROR(VLOOKUP($A873,Equipos!$C$2:$M$967,2,FALSE()),"")</f>
        <v>Monitor Multiparámetros</v>
      </c>
      <c r="C873" s="46" t="str">
        <f>IFERROR(VLOOKUP($A873,Equipos!$C$2:$M$967,9,FALSE()),"")</f>
        <v>VQSHD0146</v>
      </c>
      <c r="D873" s="46" t="str">
        <f>IFERROR(VLOOKUP($A873,Equipos!$C$2:$M$967,3,FALSE()),"")</f>
        <v>Neonatología</v>
      </c>
      <c r="E873" s="46" t="str">
        <f>IFERROR(VLOOKUP($A873,Equipos!$C$2:$M$967,7,FALSE()),"")</f>
        <v>Drager</v>
      </c>
      <c r="F873" s="46" t="str">
        <f>IFERROR(VLOOKUP($A873,Equipos!$C$2:$M$967,8,FALSE()),"")</f>
        <v>Vista 120</v>
      </c>
      <c r="G873" s="46" t="s">
        <v>296</v>
      </c>
      <c r="H873" s="46"/>
      <c r="I873" s="46"/>
      <c r="J873" s="46" t="s">
        <v>297</v>
      </c>
      <c r="K873" s="46" t="str">
        <f>IFERROR(VLOOKUP($J873,Catálogos!$M$4:$N$17,2,FALSE()),"")</f>
        <v>Mantención Preventiva Realizada</v>
      </c>
      <c r="L873" s="46"/>
      <c r="M873" s="46"/>
      <c r="N873" s="46"/>
      <c r="O873" s="46"/>
      <c r="P873" s="46"/>
      <c r="Q873" s="46"/>
    </row>
    <row r="874" spans="1:17" hidden="1" x14ac:dyDescent="0.25">
      <c r="A874" s="47" t="s">
        <v>843</v>
      </c>
      <c r="B874" s="46" t="str">
        <f>IFERROR(VLOOKUP($A874,Equipos!$C$2:$M$967,2,FALSE()),"")</f>
        <v>Monitor Multiparámetros</v>
      </c>
      <c r="C874" s="46" t="str">
        <f>IFERROR(VLOOKUP($A874,Equipos!$C$2:$M$967,9,FALSE()),"")</f>
        <v>VQSHD0152</v>
      </c>
      <c r="D874" s="46" t="str">
        <f>IFERROR(VLOOKUP($A874,Equipos!$C$2:$M$967,3,FALSE()),"")</f>
        <v>Neonatología</v>
      </c>
      <c r="E874" s="46" t="str">
        <f>IFERROR(VLOOKUP($A874,Equipos!$C$2:$M$967,7,FALSE()),"")</f>
        <v>Drager</v>
      </c>
      <c r="F874" s="46" t="str">
        <f>IFERROR(VLOOKUP($A874,Equipos!$C$2:$M$967,8,FALSE()),"")</f>
        <v>Vista 120</v>
      </c>
      <c r="G874" s="46" t="s">
        <v>335</v>
      </c>
      <c r="H874" s="46"/>
      <c r="I874" s="46"/>
      <c r="J874" s="46" t="s">
        <v>323</v>
      </c>
      <c r="K874" s="46" t="str">
        <f>IFERROR(VLOOKUP($J874,Catálogos!$M$4:$N$17,2,FALSE()),"")</f>
        <v>Reprogramada · No disponibilidad de horas hombre del funcionario SEC por alta carga laboral</v>
      </c>
      <c r="L874" s="46"/>
      <c r="M874" s="46"/>
      <c r="N874" s="46"/>
      <c r="O874" s="46"/>
      <c r="P874" s="46"/>
      <c r="Q874" s="46"/>
    </row>
    <row r="875" spans="1:17" hidden="1" x14ac:dyDescent="0.25">
      <c r="A875" s="47" t="s">
        <v>843</v>
      </c>
      <c r="B875" s="46" t="str">
        <f>IFERROR(VLOOKUP($A875,Equipos!$C$2:$M$967,2,FALSE()),"")</f>
        <v>Monitor Multiparámetros</v>
      </c>
      <c r="C875" s="46" t="str">
        <f>IFERROR(VLOOKUP($A875,Equipos!$C$2:$M$967,9,FALSE()),"")</f>
        <v>VQSHD0152</v>
      </c>
      <c r="D875" s="46" t="str">
        <f>IFERROR(VLOOKUP($A875,Equipos!$C$2:$M$967,3,FALSE()),"")</f>
        <v>Neonatología</v>
      </c>
      <c r="E875" s="46" t="str">
        <f>IFERROR(VLOOKUP($A875,Equipos!$C$2:$M$967,7,FALSE()),"")</f>
        <v>Drager</v>
      </c>
      <c r="F875" s="46" t="str">
        <f>IFERROR(VLOOKUP($A875,Equipos!$C$2:$M$967,8,FALSE()),"")</f>
        <v>Vista 120</v>
      </c>
      <c r="G875" s="46" t="s">
        <v>296</v>
      </c>
      <c r="H875" s="46"/>
      <c r="I875" s="46"/>
      <c r="J875" s="46" t="s">
        <v>297</v>
      </c>
      <c r="K875" s="46" t="str">
        <f>IFERROR(VLOOKUP($J875,Catálogos!$M$4:$N$17,2,FALSE()),"")</f>
        <v>Mantención Preventiva Realizada</v>
      </c>
      <c r="L875" s="46"/>
      <c r="M875" s="46"/>
      <c r="N875" s="46"/>
      <c r="O875" s="46"/>
      <c r="P875" s="46"/>
      <c r="Q875" s="46"/>
    </row>
    <row r="876" spans="1:17" hidden="1" x14ac:dyDescent="0.25">
      <c r="A876" s="47" t="s">
        <v>844</v>
      </c>
      <c r="B876" s="46" t="str">
        <f>IFERROR(VLOOKUP($A876,Equipos!$C$2:$M$967,2,FALSE()),"")</f>
        <v>Monitor Multiparámetros</v>
      </c>
      <c r="C876" s="46" t="str">
        <f>IFERROR(VLOOKUP($A876,Equipos!$C$2:$M$967,9,FALSE()),"")</f>
        <v>VQSHD0154</v>
      </c>
      <c r="D876" s="46" t="str">
        <f>IFERROR(VLOOKUP($A876,Equipos!$C$2:$M$967,3,FALSE()),"")</f>
        <v>Neonatología</v>
      </c>
      <c r="E876" s="46" t="str">
        <f>IFERROR(VLOOKUP($A876,Equipos!$C$2:$M$967,7,FALSE()),"")</f>
        <v>Drager</v>
      </c>
      <c r="F876" s="46" t="str">
        <f>IFERROR(VLOOKUP($A876,Equipos!$C$2:$M$967,8,FALSE()),"")</f>
        <v>Vista 120</v>
      </c>
      <c r="G876" s="46" t="s">
        <v>335</v>
      </c>
      <c r="H876" s="46"/>
      <c r="I876" s="46"/>
      <c r="J876" s="46" t="s">
        <v>323</v>
      </c>
      <c r="K876" s="46" t="str">
        <f>IFERROR(VLOOKUP($J876,Catálogos!$M$4:$N$17,2,FALSE()),"")</f>
        <v>Reprogramada · No disponibilidad de horas hombre del funcionario SEC por alta carga laboral</v>
      </c>
      <c r="L876" s="46"/>
      <c r="M876" s="46"/>
      <c r="N876" s="46"/>
      <c r="O876" s="46"/>
      <c r="P876" s="46"/>
      <c r="Q876" s="46"/>
    </row>
    <row r="877" spans="1:17" hidden="1" x14ac:dyDescent="0.25">
      <c r="A877" s="47" t="s">
        <v>844</v>
      </c>
      <c r="B877" s="46" t="str">
        <f>IFERROR(VLOOKUP($A877,Equipos!$C$2:$M$967,2,FALSE()),"")</f>
        <v>Monitor Multiparámetros</v>
      </c>
      <c r="C877" s="46" t="str">
        <f>IFERROR(VLOOKUP($A877,Equipos!$C$2:$M$967,9,FALSE()),"")</f>
        <v>VQSHD0154</v>
      </c>
      <c r="D877" s="46" t="str">
        <f>IFERROR(VLOOKUP($A877,Equipos!$C$2:$M$967,3,FALSE()),"")</f>
        <v>Neonatología</v>
      </c>
      <c r="E877" s="46" t="str">
        <f>IFERROR(VLOOKUP($A877,Equipos!$C$2:$M$967,7,FALSE()),"")</f>
        <v>Drager</v>
      </c>
      <c r="F877" s="46" t="str">
        <f>IFERROR(VLOOKUP($A877,Equipos!$C$2:$M$967,8,FALSE()),"")</f>
        <v>Vista 120</v>
      </c>
      <c r="G877" s="46" t="s">
        <v>296</v>
      </c>
      <c r="H877" s="46"/>
      <c r="I877" s="46"/>
      <c r="J877" s="46" t="s">
        <v>297</v>
      </c>
      <c r="K877" s="46" t="str">
        <f>IFERROR(VLOOKUP($J877,Catálogos!$M$4:$N$17,2,FALSE()),"")</f>
        <v>Mantención Preventiva Realizada</v>
      </c>
      <c r="L877" s="46"/>
      <c r="M877" s="46"/>
      <c r="N877" s="46"/>
      <c r="O877" s="46"/>
      <c r="P877" s="46"/>
      <c r="Q877" s="46"/>
    </row>
    <row r="878" spans="1:17" hidden="1" x14ac:dyDescent="0.25">
      <c r="A878" s="47" t="s">
        <v>845</v>
      </c>
      <c r="B878" s="46" t="str">
        <f>IFERROR(VLOOKUP($A878,Equipos!$C$2:$M$967,2,FALSE()),"")</f>
        <v>Monitor Multiparámetros</v>
      </c>
      <c r="C878" s="46" t="str">
        <f>IFERROR(VLOOKUP($A878,Equipos!$C$2:$M$967,9,FALSE()),"")</f>
        <v>VQSHD0158</v>
      </c>
      <c r="D878" s="46" t="str">
        <f>IFERROR(VLOOKUP($A878,Equipos!$C$2:$M$967,3,FALSE()),"")</f>
        <v>Neonatología</v>
      </c>
      <c r="E878" s="46" t="str">
        <f>IFERROR(VLOOKUP($A878,Equipos!$C$2:$M$967,7,FALSE()),"")</f>
        <v>Drager</v>
      </c>
      <c r="F878" s="46" t="str">
        <f>IFERROR(VLOOKUP($A878,Equipos!$C$2:$M$967,8,FALSE()),"")</f>
        <v>Vista 120</v>
      </c>
      <c r="G878" s="46" t="s">
        <v>335</v>
      </c>
      <c r="H878" s="46"/>
      <c r="I878" s="46"/>
      <c r="J878" s="46" t="s">
        <v>323</v>
      </c>
      <c r="K878" s="46" t="str">
        <f>IFERROR(VLOOKUP($J878,Catálogos!$M$4:$N$17,2,FALSE()),"")</f>
        <v>Reprogramada · No disponibilidad de horas hombre del funcionario SEC por alta carga laboral</v>
      </c>
      <c r="L878" s="46"/>
      <c r="M878" s="46"/>
      <c r="N878" s="46"/>
      <c r="O878" s="46"/>
      <c r="P878" s="46"/>
      <c r="Q878" s="46"/>
    </row>
    <row r="879" spans="1:17" hidden="1" x14ac:dyDescent="0.25">
      <c r="A879" s="47" t="s">
        <v>845</v>
      </c>
      <c r="B879" s="46" t="str">
        <f>IFERROR(VLOOKUP($A879,Equipos!$C$2:$M$967,2,FALSE()),"")</f>
        <v>Monitor Multiparámetros</v>
      </c>
      <c r="C879" s="46" t="str">
        <f>IFERROR(VLOOKUP($A879,Equipos!$C$2:$M$967,9,FALSE()),"")</f>
        <v>VQSHD0158</v>
      </c>
      <c r="D879" s="46" t="str">
        <f>IFERROR(VLOOKUP($A879,Equipos!$C$2:$M$967,3,FALSE()),"")</f>
        <v>Neonatología</v>
      </c>
      <c r="E879" s="46" t="str">
        <f>IFERROR(VLOOKUP($A879,Equipos!$C$2:$M$967,7,FALSE()),"")</f>
        <v>Drager</v>
      </c>
      <c r="F879" s="46" t="str">
        <f>IFERROR(VLOOKUP($A879,Equipos!$C$2:$M$967,8,FALSE()),"")</f>
        <v>Vista 120</v>
      </c>
      <c r="G879" s="46" t="s">
        <v>296</v>
      </c>
      <c r="H879" s="46"/>
      <c r="I879" s="46"/>
      <c r="J879" s="46" t="s">
        <v>297</v>
      </c>
      <c r="K879" s="46" t="str">
        <f>IFERROR(VLOOKUP($J879,Catálogos!$M$4:$N$17,2,FALSE()),"")</f>
        <v>Mantención Preventiva Realizada</v>
      </c>
      <c r="L879" s="46"/>
      <c r="M879" s="46"/>
      <c r="N879" s="46"/>
      <c r="O879" s="46"/>
      <c r="P879" s="46"/>
      <c r="Q879" s="46"/>
    </row>
    <row r="880" spans="1:17" hidden="1" x14ac:dyDescent="0.25">
      <c r="A880" s="47" t="s">
        <v>846</v>
      </c>
      <c r="B880" s="46" t="str">
        <f>IFERROR(VLOOKUP($A880,Equipos!$C$2:$M$967,2,FALSE()),"")</f>
        <v>Monitor Multiparámetros</v>
      </c>
      <c r="C880" s="46" t="str">
        <f>IFERROR(VLOOKUP($A880,Equipos!$C$2:$M$967,9,FALSE()),"")</f>
        <v>VQSHD0160</v>
      </c>
      <c r="D880" s="46" t="str">
        <f>IFERROR(VLOOKUP($A880,Equipos!$C$2:$M$967,3,FALSE()),"")</f>
        <v>Neonatología</v>
      </c>
      <c r="E880" s="46" t="str">
        <f>IFERROR(VLOOKUP($A880,Equipos!$C$2:$M$967,7,FALSE()),"")</f>
        <v>Drager</v>
      </c>
      <c r="F880" s="46" t="str">
        <f>IFERROR(VLOOKUP($A880,Equipos!$C$2:$M$967,8,FALSE()),"")</f>
        <v>Vista 120</v>
      </c>
      <c r="G880" s="46" t="s">
        <v>335</v>
      </c>
      <c r="H880" s="46"/>
      <c r="I880" s="46"/>
      <c r="J880" s="46" t="s">
        <v>323</v>
      </c>
      <c r="K880" s="46" t="str">
        <f>IFERROR(VLOOKUP($J880,Catálogos!$M$4:$N$17,2,FALSE()),"")</f>
        <v>Reprogramada · No disponibilidad de horas hombre del funcionario SEC por alta carga laboral</v>
      </c>
      <c r="L880" s="46"/>
      <c r="M880" s="46"/>
      <c r="N880" s="46"/>
      <c r="O880" s="46"/>
      <c r="P880" s="46"/>
      <c r="Q880" s="46"/>
    </row>
    <row r="881" spans="1:17" hidden="1" x14ac:dyDescent="0.25">
      <c r="A881" s="47" t="s">
        <v>846</v>
      </c>
      <c r="B881" s="46" t="str">
        <f>IFERROR(VLOOKUP($A881,Equipos!$C$2:$M$967,2,FALSE()),"")</f>
        <v>Monitor Multiparámetros</v>
      </c>
      <c r="C881" s="46" t="str">
        <f>IFERROR(VLOOKUP($A881,Equipos!$C$2:$M$967,9,FALSE()),"")</f>
        <v>VQSHD0160</v>
      </c>
      <c r="D881" s="46" t="str">
        <f>IFERROR(VLOOKUP($A881,Equipos!$C$2:$M$967,3,FALSE()),"")</f>
        <v>Neonatología</v>
      </c>
      <c r="E881" s="46" t="str">
        <f>IFERROR(VLOOKUP($A881,Equipos!$C$2:$M$967,7,FALSE()),"")</f>
        <v>Drager</v>
      </c>
      <c r="F881" s="46" t="str">
        <f>IFERROR(VLOOKUP($A881,Equipos!$C$2:$M$967,8,FALSE()),"")</f>
        <v>Vista 120</v>
      </c>
      <c r="G881" s="46" t="s">
        <v>296</v>
      </c>
      <c r="H881" s="46"/>
      <c r="I881" s="46"/>
      <c r="J881" s="46" t="s">
        <v>297</v>
      </c>
      <c r="K881" s="46" t="str">
        <f>IFERROR(VLOOKUP($J881,Catálogos!$M$4:$N$17,2,FALSE()),"")</f>
        <v>Mantención Preventiva Realizada</v>
      </c>
      <c r="L881" s="46"/>
      <c r="M881" s="46"/>
      <c r="N881" s="46"/>
      <c r="O881" s="46"/>
      <c r="P881" s="46"/>
      <c r="Q881" s="46"/>
    </row>
    <row r="882" spans="1:17" hidden="1" x14ac:dyDescent="0.25">
      <c r="A882" s="47" t="s">
        <v>847</v>
      </c>
      <c r="B882" s="46" t="str">
        <f>IFERROR(VLOOKUP($A882,Equipos!$C$2:$M$967,2,FALSE()),"")</f>
        <v>Monitor Multiparámetros</v>
      </c>
      <c r="C882" s="46" t="str">
        <f>IFERROR(VLOOKUP($A882,Equipos!$C$2:$M$967,9,FALSE()),"")</f>
        <v>VQSHD0166</v>
      </c>
      <c r="D882" s="46" t="str">
        <f>IFERROR(VLOOKUP($A882,Equipos!$C$2:$M$967,3,FALSE()),"")</f>
        <v>Neonatología</v>
      </c>
      <c r="E882" s="46" t="str">
        <f>IFERROR(VLOOKUP($A882,Equipos!$C$2:$M$967,7,FALSE()),"")</f>
        <v>Drager</v>
      </c>
      <c r="F882" s="46" t="str">
        <f>IFERROR(VLOOKUP($A882,Equipos!$C$2:$M$967,8,FALSE()),"")</f>
        <v>Vista 120</v>
      </c>
      <c r="G882" s="46" t="s">
        <v>335</v>
      </c>
      <c r="H882" s="46"/>
      <c r="I882" s="46"/>
      <c r="J882" s="46" t="s">
        <v>323</v>
      </c>
      <c r="K882" s="46" t="str">
        <f>IFERROR(VLOOKUP($J882,Catálogos!$M$4:$N$17,2,FALSE()),"")</f>
        <v>Reprogramada · No disponibilidad de horas hombre del funcionario SEC por alta carga laboral</v>
      </c>
      <c r="L882" s="46"/>
      <c r="M882" s="46"/>
      <c r="N882" s="46"/>
      <c r="O882" s="46"/>
      <c r="P882" s="46"/>
      <c r="Q882" s="46"/>
    </row>
    <row r="883" spans="1:17" hidden="1" x14ac:dyDescent="0.25">
      <c r="A883" s="47" t="s">
        <v>847</v>
      </c>
      <c r="B883" s="46" t="str">
        <f>IFERROR(VLOOKUP($A883,Equipos!$C$2:$M$967,2,FALSE()),"")</f>
        <v>Monitor Multiparámetros</v>
      </c>
      <c r="C883" s="46" t="str">
        <f>IFERROR(VLOOKUP($A883,Equipos!$C$2:$M$967,9,FALSE()),"")</f>
        <v>VQSHD0166</v>
      </c>
      <c r="D883" s="46" t="str">
        <f>IFERROR(VLOOKUP($A883,Equipos!$C$2:$M$967,3,FALSE()),"")</f>
        <v>Neonatología</v>
      </c>
      <c r="E883" s="46" t="str">
        <f>IFERROR(VLOOKUP($A883,Equipos!$C$2:$M$967,7,FALSE()),"")</f>
        <v>Drager</v>
      </c>
      <c r="F883" s="46" t="str">
        <f>IFERROR(VLOOKUP($A883,Equipos!$C$2:$M$967,8,FALSE()),"")</f>
        <v>Vista 120</v>
      </c>
      <c r="G883" s="46" t="s">
        <v>296</v>
      </c>
      <c r="H883" s="46"/>
      <c r="I883" s="46"/>
      <c r="J883" s="46" t="s">
        <v>297</v>
      </c>
      <c r="K883" s="46" t="str">
        <f>IFERROR(VLOOKUP($J883,Catálogos!$M$4:$N$17,2,FALSE()),"")</f>
        <v>Mantención Preventiva Realizada</v>
      </c>
      <c r="L883" s="46"/>
      <c r="M883" s="46"/>
      <c r="N883" s="46"/>
      <c r="O883" s="46"/>
      <c r="P883" s="46"/>
      <c r="Q883" s="46"/>
    </row>
    <row r="884" spans="1:17" hidden="1" x14ac:dyDescent="0.25">
      <c r="A884" s="47" t="s">
        <v>848</v>
      </c>
      <c r="B884" s="46" t="str">
        <f>IFERROR(VLOOKUP($A884,Equipos!$C$2:$M$967,2,FALSE()),"")</f>
        <v>Monitor Multiparámetros</v>
      </c>
      <c r="C884" s="46" t="str">
        <f>IFERROR(VLOOKUP($A884,Equipos!$C$2:$M$967,9,FALSE()),"")</f>
        <v>VQSHD0169</v>
      </c>
      <c r="D884" s="46" t="str">
        <f>IFERROR(VLOOKUP($A884,Equipos!$C$2:$M$967,3,FALSE()),"")</f>
        <v>Neonatología</v>
      </c>
      <c r="E884" s="46" t="str">
        <f>IFERROR(VLOOKUP($A884,Equipos!$C$2:$M$967,7,FALSE()),"")</f>
        <v>Drager</v>
      </c>
      <c r="F884" s="46" t="str">
        <f>IFERROR(VLOOKUP($A884,Equipos!$C$2:$M$967,8,FALSE()),"")</f>
        <v>Vista 120</v>
      </c>
      <c r="G884" s="46" t="s">
        <v>335</v>
      </c>
      <c r="H884" s="46"/>
      <c r="I884" s="46"/>
      <c r="J884" s="46" t="s">
        <v>323</v>
      </c>
      <c r="K884" s="46" t="str">
        <f>IFERROR(VLOOKUP($J884,Catálogos!$M$4:$N$17,2,FALSE()),"")</f>
        <v>Reprogramada · No disponibilidad de horas hombre del funcionario SEC por alta carga laboral</v>
      </c>
      <c r="L884" s="46"/>
      <c r="M884" s="46"/>
      <c r="N884" s="46"/>
      <c r="O884" s="46"/>
      <c r="P884" s="46"/>
      <c r="Q884" s="46"/>
    </row>
    <row r="885" spans="1:17" hidden="1" x14ac:dyDescent="0.25">
      <c r="A885" s="47" t="s">
        <v>848</v>
      </c>
      <c r="B885" s="46" t="str">
        <f>IFERROR(VLOOKUP($A885,Equipos!$C$2:$M$967,2,FALSE()),"")</f>
        <v>Monitor Multiparámetros</v>
      </c>
      <c r="C885" s="46" t="str">
        <f>IFERROR(VLOOKUP($A885,Equipos!$C$2:$M$967,9,FALSE()),"")</f>
        <v>VQSHD0169</v>
      </c>
      <c r="D885" s="46" t="str">
        <f>IFERROR(VLOOKUP($A885,Equipos!$C$2:$M$967,3,FALSE()),"")</f>
        <v>Neonatología</v>
      </c>
      <c r="E885" s="46" t="str">
        <f>IFERROR(VLOOKUP($A885,Equipos!$C$2:$M$967,7,FALSE()),"")</f>
        <v>Drager</v>
      </c>
      <c r="F885" s="46" t="str">
        <f>IFERROR(VLOOKUP($A885,Equipos!$C$2:$M$967,8,FALSE()),"")</f>
        <v>Vista 120</v>
      </c>
      <c r="G885" s="46" t="s">
        <v>296</v>
      </c>
      <c r="H885" s="46"/>
      <c r="I885" s="46"/>
      <c r="J885" s="46" t="s">
        <v>297</v>
      </c>
      <c r="K885" s="46" t="str">
        <f>IFERROR(VLOOKUP($J885,Catálogos!$M$4:$N$17,2,FALSE()),"")</f>
        <v>Mantención Preventiva Realizada</v>
      </c>
      <c r="L885" s="46"/>
      <c r="M885" s="46"/>
      <c r="N885" s="46"/>
      <c r="O885" s="46"/>
      <c r="P885" s="46"/>
      <c r="Q885" s="46"/>
    </row>
    <row r="886" spans="1:17" hidden="1" x14ac:dyDescent="0.25">
      <c r="A886" s="47" t="s">
        <v>849</v>
      </c>
      <c r="B886" s="46" t="str">
        <f>IFERROR(VLOOKUP($A886,Equipos!$C$2:$M$967,2,FALSE()),"")</f>
        <v>Monitor Multiparámetros</v>
      </c>
      <c r="C886" s="46" t="str">
        <f>IFERROR(VLOOKUP($A886,Equipos!$C$2:$M$967,9,FALSE()),"")</f>
        <v>VQSHD0170</v>
      </c>
      <c r="D886" s="46" t="str">
        <f>IFERROR(VLOOKUP($A886,Equipos!$C$2:$M$967,3,FALSE()),"")</f>
        <v>Neonatología</v>
      </c>
      <c r="E886" s="46" t="str">
        <f>IFERROR(VLOOKUP($A886,Equipos!$C$2:$M$967,7,FALSE()),"")</f>
        <v>Drager</v>
      </c>
      <c r="F886" s="46" t="str">
        <f>IFERROR(VLOOKUP($A886,Equipos!$C$2:$M$967,8,FALSE()),"")</f>
        <v>Vista 120</v>
      </c>
      <c r="G886" s="46" t="s">
        <v>335</v>
      </c>
      <c r="H886" s="46"/>
      <c r="I886" s="46"/>
      <c r="J886" s="46" t="s">
        <v>323</v>
      </c>
      <c r="K886" s="46" t="str">
        <f>IFERROR(VLOOKUP($J886,Catálogos!$M$4:$N$17,2,FALSE()),"")</f>
        <v>Reprogramada · No disponibilidad de horas hombre del funcionario SEC por alta carga laboral</v>
      </c>
      <c r="L886" s="46"/>
      <c r="M886" s="46"/>
      <c r="N886" s="46"/>
      <c r="O886" s="46"/>
      <c r="P886" s="46"/>
      <c r="Q886" s="46"/>
    </row>
    <row r="887" spans="1:17" hidden="1" x14ac:dyDescent="0.25">
      <c r="A887" s="47" t="s">
        <v>849</v>
      </c>
      <c r="B887" s="46" t="str">
        <f>IFERROR(VLOOKUP($A887,Equipos!$C$2:$M$967,2,FALSE()),"")</f>
        <v>Monitor Multiparámetros</v>
      </c>
      <c r="C887" s="46" t="str">
        <f>IFERROR(VLOOKUP($A887,Equipos!$C$2:$M$967,9,FALSE()),"")</f>
        <v>VQSHD0170</v>
      </c>
      <c r="D887" s="46" t="str">
        <f>IFERROR(VLOOKUP($A887,Equipos!$C$2:$M$967,3,FALSE()),"")</f>
        <v>Neonatología</v>
      </c>
      <c r="E887" s="46" t="str">
        <f>IFERROR(VLOOKUP($A887,Equipos!$C$2:$M$967,7,FALSE()),"")</f>
        <v>Drager</v>
      </c>
      <c r="F887" s="46" t="str">
        <f>IFERROR(VLOOKUP($A887,Equipos!$C$2:$M$967,8,FALSE()),"")</f>
        <v>Vista 120</v>
      </c>
      <c r="G887" s="46" t="s">
        <v>296</v>
      </c>
      <c r="H887" s="46"/>
      <c r="I887" s="46"/>
      <c r="J887" s="46" t="s">
        <v>297</v>
      </c>
      <c r="K887" s="46" t="str">
        <f>IFERROR(VLOOKUP($J887,Catálogos!$M$4:$N$17,2,FALSE()),"")</f>
        <v>Mantención Preventiva Realizada</v>
      </c>
      <c r="L887" s="46"/>
      <c r="M887" s="46"/>
      <c r="N887" s="46"/>
      <c r="O887" s="46"/>
      <c r="P887" s="46"/>
      <c r="Q887" s="46"/>
    </row>
    <row r="888" spans="1:17" hidden="1" x14ac:dyDescent="0.25">
      <c r="A888" s="47" t="s">
        <v>850</v>
      </c>
      <c r="B888" s="46" t="str">
        <f>IFERROR(VLOOKUP($A888,Equipos!$C$2:$M$967,2,FALSE()),"")</f>
        <v>Monitor Multiparámetros</v>
      </c>
      <c r="C888" s="46" t="str">
        <f>IFERROR(VLOOKUP($A888,Equipos!$C$2:$M$967,9,FALSE()),"")</f>
        <v>VQSHD0171</v>
      </c>
      <c r="D888" s="46" t="str">
        <f>IFERROR(VLOOKUP($A888,Equipos!$C$2:$M$967,3,FALSE()),"")</f>
        <v>Neonatología</v>
      </c>
      <c r="E888" s="46" t="str">
        <f>IFERROR(VLOOKUP($A888,Equipos!$C$2:$M$967,7,FALSE()),"")</f>
        <v>Drager</v>
      </c>
      <c r="F888" s="46" t="str">
        <f>IFERROR(VLOOKUP($A888,Equipos!$C$2:$M$967,8,FALSE()),"")</f>
        <v>Vista 120</v>
      </c>
      <c r="G888" s="46" t="s">
        <v>335</v>
      </c>
      <c r="H888" s="46"/>
      <c r="I888" s="46"/>
      <c r="J888" s="46" t="s">
        <v>323</v>
      </c>
      <c r="K888" s="46" t="str">
        <f>IFERROR(VLOOKUP($J888,Catálogos!$M$4:$N$17,2,FALSE()),"")</f>
        <v>Reprogramada · No disponibilidad de horas hombre del funcionario SEC por alta carga laboral</v>
      </c>
      <c r="L888" s="46"/>
      <c r="M888" s="46"/>
      <c r="N888" s="46"/>
      <c r="O888" s="46"/>
      <c r="P888" s="46"/>
      <c r="Q888" s="46"/>
    </row>
    <row r="889" spans="1:17" hidden="1" x14ac:dyDescent="0.25">
      <c r="A889" s="47" t="s">
        <v>850</v>
      </c>
      <c r="B889" s="46" t="str">
        <f>IFERROR(VLOOKUP($A889,Equipos!$C$2:$M$967,2,FALSE()),"")</f>
        <v>Monitor Multiparámetros</v>
      </c>
      <c r="C889" s="46" t="str">
        <f>IFERROR(VLOOKUP($A889,Equipos!$C$2:$M$967,9,FALSE()),"")</f>
        <v>VQSHD0171</v>
      </c>
      <c r="D889" s="46" t="str">
        <f>IFERROR(VLOOKUP($A889,Equipos!$C$2:$M$967,3,FALSE()),"")</f>
        <v>Neonatología</v>
      </c>
      <c r="E889" s="46" t="str">
        <f>IFERROR(VLOOKUP($A889,Equipos!$C$2:$M$967,7,FALSE()),"")</f>
        <v>Drager</v>
      </c>
      <c r="F889" s="46" t="str">
        <f>IFERROR(VLOOKUP($A889,Equipos!$C$2:$M$967,8,FALSE()),"")</f>
        <v>Vista 120</v>
      </c>
      <c r="G889" s="46" t="s">
        <v>296</v>
      </c>
      <c r="H889" s="46"/>
      <c r="I889" s="46"/>
      <c r="J889" s="46" t="s">
        <v>297</v>
      </c>
      <c r="K889" s="46" t="str">
        <f>IFERROR(VLOOKUP($J889,Catálogos!$M$4:$N$17,2,FALSE()),"")</f>
        <v>Mantención Preventiva Realizada</v>
      </c>
      <c r="L889" s="46"/>
      <c r="M889" s="46"/>
      <c r="N889" s="46"/>
      <c r="O889" s="46"/>
      <c r="P889" s="46"/>
      <c r="Q889" s="46"/>
    </row>
    <row r="890" spans="1:17" hidden="1" x14ac:dyDescent="0.25">
      <c r="A890" s="47" t="s">
        <v>851</v>
      </c>
      <c r="B890" s="46" t="str">
        <f>IFERROR(VLOOKUP($A890,Equipos!$C$2:$M$967,2,FALSE()),"")</f>
        <v>Monitor Multiparámetros</v>
      </c>
      <c r="C890" s="46" t="str">
        <f>IFERROR(VLOOKUP($A890,Equipos!$C$2:$M$967,9,FALSE()),"")</f>
        <v>VQSHD0173</v>
      </c>
      <c r="D890" s="46" t="str">
        <f>IFERROR(VLOOKUP($A890,Equipos!$C$2:$M$967,3,FALSE()),"")</f>
        <v>Neonatología</v>
      </c>
      <c r="E890" s="46" t="str">
        <f>IFERROR(VLOOKUP($A890,Equipos!$C$2:$M$967,7,FALSE()),"")</f>
        <v>Drager</v>
      </c>
      <c r="F890" s="46" t="str">
        <f>IFERROR(VLOOKUP($A890,Equipos!$C$2:$M$967,8,FALSE()),"")</f>
        <v>Vista 120</v>
      </c>
      <c r="G890" s="46" t="s">
        <v>335</v>
      </c>
      <c r="H890" s="46"/>
      <c r="I890" s="46"/>
      <c r="J890" s="46" t="s">
        <v>323</v>
      </c>
      <c r="K890" s="46" t="str">
        <f>IFERROR(VLOOKUP($J890,Catálogos!$M$4:$N$17,2,FALSE()),"")</f>
        <v>Reprogramada · No disponibilidad de horas hombre del funcionario SEC por alta carga laboral</v>
      </c>
      <c r="L890" s="46"/>
      <c r="M890" s="46"/>
      <c r="N890" s="46"/>
      <c r="O890" s="46"/>
      <c r="P890" s="46"/>
      <c r="Q890" s="46"/>
    </row>
    <row r="891" spans="1:17" hidden="1" x14ac:dyDescent="0.25">
      <c r="A891" s="47" t="s">
        <v>851</v>
      </c>
      <c r="B891" s="46" t="str">
        <f>IFERROR(VLOOKUP($A891,Equipos!$C$2:$M$967,2,FALSE()),"")</f>
        <v>Monitor Multiparámetros</v>
      </c>
      <c r="C891" s="46" t="str">
        <f>IFERROR(VLOOKUP($A891,Equipos!$C$2:$M$967,9,FALSE()),"")</f>
        <v>VQSHD0173</v>
      </c>
      <c r="D891" s="46" t="str">
        <f>IFERROR(VLOOKUP($A891,Equipos!$C$2:$M$967,3,FALSE()),"")</f>
        <v>Neonatología</v>
      </c>
      <c r="E891" s="46" t="str">
        <f>IFERROR(VLOOKUP($A891,Equipos!$C$2:$M$967,7,FALSE()),"")</f>
        <v>Drager</v>
      </c>
      <c r="F891" s="46" t="str">
        <f>IFERROR(VLOOKUP($A891,Equipos!$C$2:$M$967,8,FALSE()),"")</f>
        <v>Vista 120</v>
      </c>
      <c r="G891" s="46" t="s">
        <v>296</v>
      </c>
      <c r="H891" s="46"/>
      <c r="I891" s="46"/>
      <c r="J891" s="46" t="s">
        <v>297</v>
      </c>
      <c r="K891" s="46" t="str">
        <f>IFERROR(VLOOKUP($J891,Catálogos!$M$4:$N$17,2,FALSE()),"")</f>
        <v>Mantención Preventiva Realizada</v>
      </c>
      <c r="L891" s="46"/>
      <c r="M891" s="46"/>
      <c r="N891" s="46"/>
      <c r="O891" s="46"/>
      <c r="P891" s="46"/>
      <c r="Q891" s="46"/>
    </row>
    <row r="892" spans="1:17" hidden="1" x14ac:dyDescent="0.25">
      <c r="A892" s="47" t="s">
        <v>852</v>
      </c>
      <c r="B892" s="46" t="str">
        <f>IFERROR(VLOOKUP($A892,Equipos!$C$2:$M$967,2,FALSE()),"")</f>
        <v>Monitor Multiparámetros</v>
      </c>
      <c r="C892" s="46" t="str">
        <f>IFERROR(VLOOKUP($A892,Equipos!$C$2:$M$967,9,FALSE()),"")</f>
        <v>VQSHD0174</v>
      </c>
      <c r="D892" s="46" t="str">
        <f>IFERROR(VLOOKUP($A892,Equipos!$C$2:$M$967,3,FALSE()),"")</f>
        <v>Neonatología</v>
      </c>
      <c r="E892" s="46" t="str">
        <f>IFERROR(VLOOKUP($A892,Equipos!$C$2:$M$967,7,FALSE()),"")</f>
        <v>Drager</v>
      </c>
      <c r="F892" s="46" t="str">
        <f>IFERROR(VLOOKUP($A892,Equipos!$C$2:$M$967,8,FALSE()),"")</f>
        <v>Vista 120</v>
      </c>
      <c r="G892" s="46" t="s">
        <v>335</v>
      </c>
      <c r="H892" s="46"/>
      <c r="I892" s="46"/>
      <c r="J892" s="46" t="s">
        <v>323</v>
      </c>
      <c r="K892" s="46" t="str">
        <f>IFERROR(VLOOKUP($J892,Catálogos!$M$4:$N$17,2,FALSE()),"")</f>
        <v>Reprogramada · No disponibilidad de horas hombre del funcionario SEC por alta carga laboral</v>
      </c>
      <c r="L892" s="46"/>
      <c r="M892" s="46"/>
      <c r="N892" s="46"/>
      <c r="O892" s="46"/>
      <c r="P892" s="46"/>
      <c r="Q892" s="46"/>
    </row>
    <row r="893" spans="1:17" hidden="1" x14ac:dyDescent="0.25">
      <c r="A893" s="47" t="s">
        <v>852</v>
      </c>
      <c r="B893" s="46" t="str">
        <f>IFERROR(VLOOKUP($A893,Equipos!$C$2:$M$967,2,FALSE()),"")</f>
        <v>Monitor Multiparámetros</v>
      </c>
      <c r="C893" s="46" t="str">
        <f>IFERROR(VLOOKUP($A893,Equipos!$C$2:$M$967,9,FALSE()),"")</f>
        <v>VQSHD0174</v>
      </c>
      <c r="D893" s="46" t="str">
        <f>IFERROR(VLOOKUP($A893,Equipos!$C$2:$M$967,3,FALSE()),"")</f>
        <v>Neonatología</v>
      </c>
      <c r="E893" s="46" t="str">
        <f>IFERROR(VLOOKUP($A893,Equipos!$C$2:$M$967,7,FALSE()),"")</f>
        <v>Drager</v>
      </c>
      <c r="F893" s="46" t="str">
        <f>IFERROR(VLOOKUP($A893,Equipos!$C$2:$M$967,8,FALSE()),"")</f>
        <v>Vista 120</v>
      </c>
      <c r="G893" s="46" t="s">
        <v>296</v>
      </c>
      <c r="H893" s="46"/>
      <c r="I893" s="46"/>
      <c r="J893" s="46" t="s">
        <v>297</v>
      </c>
      <c r="K893" s="46" t="str">
        <f>IFERROR(VLOOKUP($J893,Catálogos!$M$4:$N$17,2,FALSE()),"")</f>
        <v>Mantención Preventiva Realizada</v>
      </c>
      <c r="L893" s="46"/>
      <c r="M893" s="46"/>
      <c r="N893" s="46"/>
      <c r="O893" s="46"/>
      <c r="P893" s="46"/>
      <c r="Q893" s="46"/>
    </row>
    <row r="894" spans="1:17" hidden="1" x14ac:dyDescent="0.25">
      <c r="A894" s="47" t="s">
        <v>853</v>
      </c>
      <c r="B894" s="46" t="str">
        <f>IFERROR(VLOOKUP($A894,Equipos!$C$2:$M$967,2,FALSE()),"")</f>
        <v>Monitor Multiparámetros</v>
      </c>
      <c r="C894" s="46" t="str">
        <f>IFERROR(VLOOKUP($A894,Equipos!$C$2:$M$967,9,FALSE()),"")</f>
        <v>VQSHD0194</v>
      </c>
      <c r="D894" s="46" t="str">
        <f>IFERROR(VLOOKUP($A894,Equipos!$C$2:$M$967,3,FALSE()),"")</f>
        <v>Neonatología</v>
      </c>
      <c r="E894" s="46" t="str">
        <f>IFERROR(VLOOKUP($A894,Equipos!$C$2:$M$967,7,FALSE()),"")</f>
        <v>Drager</v>
      </c>
      <c r="F894" s="46" t="str">
        <f>IFERROR(VLOOKUP($A894,Equipos!$C$2:$M$967,8,FALSE()),"")</f>
        <v>Vista 120</v>
      </c>
      <c r="G894" s="46" t="s">
        <v>335</v>
      </c>
      <c r="H894" s="46"/>
      <c r="I894" s="46"/>
      <c r="J894" s="46" t="s">
        <v>323</v>
      </c>
      <c r="K894" s="46" t="str">
        <f>IFERROR(VLOOKUP($J894,Catálogos!$M$4:$N$17,2,FALSE()),"")</f>
        <v>Reprogramada · No disponibilidad de horas hombre del funcionario SEC por alta carga laboral</v>
      </c>
      <c r="L894" s="46"/>
      <c r="M894" s="46"/>
      <c r="N894" s="46"/>
      <c r="O894" s="46"/>
      <c r="P894" s="46"/>
      <c r="Q894" s="46"/>
    </row>
    <row r="895" spans="1:17" hidden="1" x14ac:dyDescent="0.25">
      <c r="A895" s="47" t="s">
        <v>853</v>
      </c>
      <c r="B895" s="46" t="str">
        <f>IFERROR(VLOOKUP($A895,Equipos!$C$2:$M$967,2,FALSE()),"")</f>
        <v>Monitor Multiparámetros</v>
      </c>
      <c r="C895" s="46" t="str">
        <f>IFERROR(VLOOKUP($A895,Equipos!$C$2:$M$967,9,FALSE()),"")</f>
        <v>VQSHD0194</v>
      </c>
      <c r="D895" s="46" t="str">
        <f>IFERROR(VLOOKUP($A895,Equipos!$C$2:$M$967,3,FALSE()),"")</f>
        <v>Neonatología</v>
      </c>
      <c r="E895" s="46" t="str">
        <f>IFERROR(VLOOKUP($A895,Equipos!$C$2:$M$967,7,FALSE()),"")</f>
        <v>Drager</v>
      </c>
      <c r="F895" s="46" t="str">
        <f>IFERROR(VLOOKUP($A895,Equipos!$C$2:$M$967,8,FALSE()),"")</f>
        <v>Vista 120</v>
      </c>
      <c r="G895" s="46" t="s">
        <v>296</v>
      </c>
      <c r="H895" s="46"/>
      <c r="I895" s="46"/>
      <c r="J895" s="46" t="s">
        <v>297</v>
      </c>
      <c r="K895" s="46" t="str">
        <f>IFERROR(VLOOKUP($J895,Catálogos!$M$4:$N$17,2,FALSE()),"")</f>
        <v>Mantención Preventiva Realizada</v>
      </c>
      <c r="L895" s="46"/>
      <c r="M895" s="46"/>
      <c r="N895" s="46"/>
      <c r="O895" s="46"/>
      <c r="P895" s="46"/>
      <c r="Q895" s="46"/>
    </row>
    <row r="896" spans="1:17" hidden="1" x14ac:dyDescent="0.25">
      <c r="A896" s="47" t="s">
        <v>854</v>
      </c>
      <c r="B896" s="46" t="str">
        <f>IFERROR(VLOOKUP($A896,Equipos!$C$2:$M$967,2,FALSE()),"")</f>
        <v>Monitor Multiparámetros</v>
      </c>
      <c r="C896" s="46" t="str">
        <f>IFERROR(VLOOKUP($A896,Equipos!$C$2:$M$967,9,FALSE()),"")</f>
        <v>VQSHD0197</v>
      </c>
      <c r="D896" s="46" t="str">
        <f>IFERROR(VLOOKUP($A896,Equipos!$C$2:$M$967,3,FALSE()),"")</f>
        <v>Neonatología</v>
      </c>
      <c r="E896" s="46" t="str">
        <f>IFERROR(VLOOKUP($A896,Equipos!$C$2:$M$967,7,FALSE()),"")</f>
        <v>Drager</v>
      </c>
      <c r="F896" s="46" t="str">
        <f>IFERROR(VLOOKUP($A896,Equipos!$C$2:$M$967,8,FALSE()),"")</f>
        <v>Vista 120</v>
      </c>
      <c r="G896" s="46" t="s">
        <v>335</v>
      </c>
      <c r="H896" s="46"/>
      <c r="I896" s="46"/>
      <c r="J896" s="46" t="s">
        <v>323</v>
      </c>
      <c r="K896" s="46" t="str">
        <f>IFERROR(VLOOKUP($J896,Catálogos!$M$4:$N$17,2,FALSE()),"")</f>
        <v>Reprogramada · No disponibilidad de horas hombre del funcionario SEC por alta carga laboral</v>
      </c>
      <c r="L896" s="46"/>
      <c r="M896" s="46"/>
      <c r="N896" s="46"/>
      <c r="O896" s="46"/>
      <c r="P896" s="46"/>
      <c r="Q896" s="46"/>
    </row>
    <row r="897" spans="1:17" hidden="1" x14ac:dyDescent="0.25">
      <c r="A897" s="47" t="s">
        <v>854</v>
      </c>
      <c r="B897" s="46" t="str">
        <f>IFERROR(VLOOKUP($A897,Equipos!$C$2:$M$967,2,FALSE()),"")</f>
        <v>Monitor Multiparámetros</v>
      </c>
      <c r="C897" s="46" t="str">
        <f>IFERROR(VLOOKUP($A897,Equipos!$C$2:$M$967,9,FALSE()),"")</f>
        <v>VQSHD0197</v>
      </c>
      <c r="D897" s="46" t="str">
        <f>IFERROR(VLOOKUP($A897,Equipos!$C$2:$M$967,3,FALSE()),"")</f>
        <v>Neonatología</v>
      </c>
      <c r="E897" s="46" t="str">
        <f>IFERROR(VLOOKUP($A897,Equipos!$C$2:$M$967,7,FALSE()),"")</f>
        <v>Drager</v>
      </c>
      <c r="F897" s="46" t="str">
        <f>IFERROR(VLOOKUP($A897,Equipos!$C$2:$M$967,8,FALSE()),"")</f>
        <v>Vista 120</v>
      </c>
      <c r="G897" s="46" t="s">
        <v>296</v>
      </c>
      <c r="H897" s="46"/>
      <c r="I897" s="46"/>
      <c r="J897" s="46" t="s">
        <v>297</v>
      </c>
      <c r="K897" s="46" t="str">
        <f>IFERROR(VLOOKUP($J897,Catálogos!$M$4:$N$17,2,FALSE()),"")</f>
        <v>Mantención Preventiva Realizada</v>
      </c>
      <c r="L897" s="46"/>
      <c r="M897" s="46"/>
      <c r="N897" s="46"/>
      <c r="O897" s="46"/>
      <c r="P897" s="46"/>
      <c r="Q897" s="46"/>
    </row>
    <row r="898" spans="1:17" hidden="1" x14ac:dyDescent="0.25">
      <c r="A898" s="47" t="s">
        <v>855</v>
      </c>
      <c r="B898" s="46" t="str">
        <f>IFERROR(VLOOKUP($A898,Equipos!$C$2:$M$967,2,FALSE()),"")</f>
        <v>Monitor Multiparámetros</v>
      </c>
      <c r="C898" s="46" t="str">
        <f>IFERROR(VLOOKUP($A898,Equipos!$C$2:$M$967,9,FALSE()),"")</f>
        <v>VQSHD0226</v>
      </c>
      <c r="D898" s="46" t="str">
        <f>IFERROR(VLOOKUP($A898,Equipos!$C$2:$M$967,3,FALSE()),"")</f>
        <v>Neonatología</v>
      </c>
      <c r="E898" s="46" t="str">
        <f>IFERROR(VLOOKUP($A898,Equipos!$C$2:$M$967,7,FALSE()),"")</f>
        <v>Drager</v>
      </c>
      <c r="F898" s="46" t="str">
        <f>IFERROR(VLOOKUP($A898,Equipos!$C$2:$M$967,8,FALSE()),"")</f>
        <v>Vista 120</v>
      </c>
      <c r="G898" s="46" t="s">
        <v>335</v>
      </c>
      <c r="H898" s="46"/>
      <c r="I898" s="46"/>
      <c r="J898" s="46" t="s">
        <v>323</v>
      </c>
      <c r="K898" s="46" t="str">
        <f>IFERROR(VLOOKUP($J898,Catálogos!$M$4:$N$17,2,FALSE()),"")</f>
        <v>Reprogramada · No disponibilidad de horas hombre del funcionario SEC por alta carga laboral</v>
      </c>
      <c r="L898" s="46"/>
      <c r="M898" s="46"/>
      <c r="N898" s="46"/>
      <c r="O898" s="46"/>
      <c r="P898" s="46"/>
      <c r="Q898" s="46"/>
    </row>
    <row r="899" spans="1:17" hidden="1" x14ac:dyDescent="0.25">
      <c r="A899" s="47" t="s">
        <v>855</v>
      </c>
      <c r="B899" s="46" t="str">
        <f>IFERROR(VLOOKUP($A899,Equipos!$C$2:$M$967,2,FALSE()),"")</f>
        <v>Monitor Multiparámetros</v>
      </c>
      <c r="C899" s="46" t="str">
        <f>IFERROR(VLOOKUP($A899,Equipos!$C$2:$M$967,9,FALSE()),"")</f>
        <v>VQSHD0226</v>
      </c>
      <c r="D899" s="46" t="str">
        <f>IFERROR(VLOOKUP($A899,Equipos!$C$2:$M$967,3,FALSE()),"")</f>
        <v>Neonatología</v>
      </c>
      <c r="E899" s="46" t="str">
        <f>IFERROR(VLOOKUP($A899,Equipos!$C$2:$M$967,7,FALSE()),"")</f>
        <v>Drager</v>
      </c>
      <c r="F899" s="46" t="str">
        <f>IFERROR(VLOOKUP($A899,Equipos!$C$2:$M$967,8,FALSE()),"")</f>
        <v>Vista 120</v>
      </c>
      <c r="G899" s="46" t="s">
        <v>296</v>
      </c>
      <c r="H899" s="46"/>
      <c r="I899" s="46"/>
      <c r="J899" s="46" t="s">
        <v>297</v>
      </c>
      <c r="K899" s="46" t="str">
        <f>IFERROR(VLOOKUP($J899,Catálogos!$M$4:$N$17,2,FALSE()),"")</f>
        <v>Mantención Preventiva Realizada</v>
      </c>
      <c r="L899" s="46"/>
      <c r="M899" s="46"/>
      <c r="N899" s="46"/>
      <c r="O899" s="46"/>
      <c r="P899" s="46"/>
      <c r="Q899" s="46"/>
    </row>
    <row r="900" spans="1:17" hidden="1" x14ac:dyDescent="0.25">
      <c r="A900" s="47" t="s">
        <v>856</v>
      </c>
      <c r="B900" s="46" t="str">
        <f>IFERROR(VLOOKUP($A900,Equipos!$C$2:$M$967,2,FALSE()),"")</f>
        <v>Monitor Multiparámetros</v>
      </c>
      <c r="C900" s="46" t="str">
        <f>IFERROR(VLOOKUP($A900,Equipos!$C$2:$M$967,9,FALSE()),"")</f>
        <v>VQSHD0233</v>
      </c>
      <c r="D900" s="46" t="str">
        <f>IFERROR(VLOOKUP($A900,Equipos!$C$2:$M$967,3,FALSE()),"")</f>
        <v>Neonatología</v>
      </c>
      <c r="E900" s="46" t="str">
        <f>IFERROR(VLOOKUP($A900,Equipos!$C$2:$M$967,7,FALSE()),"")</f>
        <v>Drager</v>
      </c>
      <c r="F900" s="46" t="str">
        <f>IFERROR(VLOOKUP($A900,Equipos!$C$2:$M$967,8,FALSE()),"")</f>
        <v>Vista 120</v>
      </c>
      <c r="G900" s="46" t="s">
        <v>335</v>
      </c>
      <c r="H900" s="46"/>
      <c r="I900" s="46"/>
      <c r="J900" s="46" t="s">
        <v>323</v>
      </c>
      <c r="K900" s="46" t="str">
        <f>IFERROR(VLOOKUP($J900,Catálogos!$M$4:$N$17,2,FALSE()),"")</f>
        <v>Reprogramada · No disponibilidad de horas hombre del funcionario SEC por alta carga laboral</v>
      </c>
      <c r="L900" s="46"/>
      <c r="M900" s="46"/>
      <c r="N900" s="46"/>
      <c r="O900" s="46"/>
      <c r="P900" s="46"/>
      <c r="Q900" s="46"/>
    </row>
    <row r="901" spans="1:17" hidden="1" x14ac:dyDescent="0.25">
      <c r="A901" s="47" t="s">
        <v>856</v>
      </c>
      <c r="B901" s="46" t="str">
        <f>IFERROR(VLOOKUP($A901,Equipos!$C$2:$M$967,2,FALSE()),"")</f>
        <v>Monitor Multiparámetros</v>
      </c>
      <c r="C901" s="46" t="str">
        <f>IFERROR(VLOOKUP($A901,Equipos!$C$2:$M$967,9,FALSE()),"")</f>
        <v>VQSHD0233</v>
      </c>
      <c r="D901" s="46" t="str">
        <f>IFERROR(VLOOKUP($A901,Equipos!$C$2:$M$967,3,FALSE()),"")</f>
        <v>Neonatología</v>
      </c>
      <c r="E901" s="46" t="str">
        <f>IFERROR(VLOOKUP($A901,Equipos!$C$2:$M$967,7,FALSE()),"")</f>
        <v>Drager</v>
      </c>
      <c r="F901" s="46" t="str">
        <f>IFERROR(VLOOKUP($A901,Equipos!$C$2:$M$967,8,FALSE()),"")</f>
        <v>Vista 120</v>
      </c>
      <c r="G901" s="46" t="s">
        <v>296</v>
      </c>
      <c r="H901" s="46"/>
      <c r="I901" s="46"/>
      <c r="J901" s="46" t="s">
        <v>297</v>
      </c>
      <c r="K901" s="46" t="str">
        <f>IFERROR(VLOOKUP($J901,Catálogos!$M$4:$N$17,2,FALSE()),"")</f>
        <v>Mantención Preventiva Realizada</v>
      </c>
      <c r="L901" s="46"/>
      <c r="M901" s="46"/>
      <c r="N901" s="46"/>
      <c r="O901" s="46"/>
      <c r="P901" s="46"/>
      <c r="Q901" s="46"/>
    </row>
    <row r="902" spans="1:17" hidden="1" x14ac:dyDescent="0.25">
      <c r="A902" s="47" t="s">
        <v>857</v>
      </c>
      <c r="B902" s="46" t="str">
        <f>IFERROR(VLOOKUP($A902,Equipos!$C$2:$M$967,2,FALSE()),"")</f>
        <v>Monitor Multiparámetros</v>
      </c>
      <c r="C902" s="46" t="str">
        <f>IFERROR(VLOOKUP($A902,Equipos!$C$2:$M$967,9,FALSE()),"")</f>
        <v>VQSHD0234</v>
      </c>
      <c r="D902" s="46" t="str">
        <f>IFERROR(VLOOKUP($A902,Equipos!$C$2:$M$967,3,FALSE()),"")</f>
        <v>Neonatología</v>
      </c>
      <c r="E902" s="46" t="str">
        <f>IFERROR(VLOOKUP($A902,Equipos!$C$2:$M$967,7,FALSE()),"")</f>
        <v>Drager</v>
      </c>
      <c r="F902" s="46" t="str">
        <f>IFERROR(VLOOKUP($A902,Equipos!$C$2:$M$967,8,FALSE()),"")</f>
        <v>Vista 120</v>
      </c>
      <c r="G902" s="46" t="s">
        <v>335</v>
      </c>
      <c r="H902" s="46"/>
      <c r="I902" s="46"/>
      <c r="J902" s="46" t="s">
        <v>323</v>
      </c>
      <c r="K902" s="46" t="str">
        <f>IFERROR(VLOOKUP($J902,Catálogos!$M$4:$N$17,2,FALSE()),"")</f>
        <v>Reprogramada · No disponibilidad de horas hombre del funcionario SEC por alta carga laboral</v>
      </c>
      <c r="L902" s="46"/>
      <c r="M902" s="46"/>
      <c r="N902" s="46"/>
      <c r="O902" s="46"/>
      <c r="P902" s="46"/>
      <c r="Q902" s="46"/>
    </row>
    <row r="903" spans="1:17" hidden="1" x14ac:dyDescent="0.25">
      <c r="A903" s="47" t="s">
        <v>857</v>
      </c>
      <c r="B903" s="46" t="str">
        <f>IFERROR(VLOOKUP($A903,Equipos!$C$2:$M$967,2,FALSE()),"")</f>
        <v>Monitor Multiparámetros</v>
      </c>
      <c r="C903" s="46" t="str">
        <f>IFERROR(VLOOKUP($A903,Equipos!$C$2:$M$967,9,FALSE()),"")</f>
        <v>VQSHD0234</v>
      </c>
      <c r="D903" s="46" t="str">
        <f>IFERROR(VLOOKUP($A903,Equipos!$C$2:$M$967,3,FALSE()),"")</f>
        <v>Neonatología</v>
      </c>
      <c r="E903" s="46" t="str">
        <f>IFERROR(VLOOKUP($A903,Equipos!$C$2:$M$967,7,FALSE()),"")</f>
        <v>Drager</v>
      </c>
      <c r="F903" s="46" t="str">
        <f>IFERROR(VLOOKUP($A903,Equipos!$C$2:$M$967,8,FALSE()),"")</f>
        <v>Vista 120</v>
      </c>
      <c r="G903" s="46" t="s">
        <v>296</v>
      </c>
      <c r="H903" s="46"/>
      <c r="I903" s="46"/>
      <c r="J903" s="46" t="s">
        <v>297</v>
      </c>
      <c r="K903" s="46" t="str">
        <f>IFERROR(VLOOKUP($J903,Catálogos!$M$4:$N$17,2,FALSE()),"")</f>
        <v>Mantención Preventiva Realizada</v>
      </c>
      <c r="L903" s="46"/>
      <c r="M903" s="46"/>
      <c r="N903" s="46"/>
      <c r="O903" s="46"/>
      <c r="P903" s="46"/>
      <c r="Q903" s="46"/>
    </row>
    <row r="904" spans="1:17" hidden="1" x14ac:dyDescent="0.25">
      <c r="A904" s="47" t="s">
        <v>858</v>
      </c>
      <c r="B904" s="46" t="str">
        <f>IFERROR(VLOOKUP($A904,Equipos!$C$2:$M$967,2,FALSE()),"")</f>
        <v>Monitor Multiparámetros</v>
      </c>
      <c r="C904" s="46" t="str">
        <f>IFERROR(VLOOKUP($A904,Equipos!$C$2:$M$967,9,FALSE()),"")</f>
        <v>VTSHD0021</v>
      </c>
      <c r="D904" s="46" t="str">
        <f>IFERROR(VLOOKUP($A904,Equipos!$C$2:$M$967,3,FALSE()),"")</f>
        <v>UPC Cardiovascular (Prestado a Medicina)</v>
      </c>
      <c r="E904" s="46" t="str">
        <f>IFERROR(VLOOKUP($A904,Equipos!$C$2:$M$967,7,FALSE()),"")</f>
        <v>Drager</v>
      </c>
      <c r="F904" s="46" t="str">
        <f>IFERROR(VLOOKUP($A904,Equipos!$C$2:$M$967,8,FALSE()),"")</f>
        <v>Vista 120</v>
      </c>
      <c r="G904" s="46" t="s">
        <v>296</v>
      </c>
      <c r="H904" s="46"/>
      <c r="I904" s="46"/>
      <c r="J904" s="46" t="s">
        <v>297</v>
      </c>
      <c r="K904" s="46" t="str">
        <f>IFERROR(VLOOKUP($J904,Catálogos!$M$4:$N$17,2,FALSE()),"")</f>
        <v>Mantención Preventiva Realizada</v>
      </c>
      <c r="L904" s="46"/>
      <c r="M904" s="46"/>
      <c r="N904" s="46"/>
      <c r="O904" s="46"/>
      <c r="P904" s="46"/>
      <c r="Q904" s="46"/>
    </row>
    <row r="905" spans="1:17" hidden="1" x14ac:dyDescent="0.25">
      <c r="A905" s="47" t="s">
        <v>859</v>
      </c>
      <c r="B905" s="46" t="str">
        <f>IFERROR(VLOOKUP($A905,Equipos!$C$2:$M$967,2,FALSE()),"")</f>
        <v>Monitor Multiparámetros</v>
      </c>
      <c r="C905" s="46" t="str">
        <f>IFERROR(VLOOKUP($A905,Equipos!$C$2:$M$967,9,FALSE()),"")</f>
        <v>VTSHN0089</v>
      </c>
      <c r="D905" s="46" t="str">
        <f>IFERROR(VLOOKUP($A905,Equipos!$C$2:$M$967,3,FALSE()),"")</f>
        <v>Pabellones Gineco-Obstétricos</v>
      </c>
      <c r="E905" s="46" t="str">
        <f>IFERROR(VLOOKUP($A905,Equipos!$C$2:$M$967,7,FALSE()),"")</f>
        <v>Drager</v>
      </c>
      <c r="F905" s="46" t="str">
        <f>IFERROR(VLOOKUP($A905,Equipos!$C$2:$M$967,8,FALSE()),"")</f>
        <v>Vista 120</v>
      </c>
      <c r="G905" s="46" t="s">
        <v>298</v>
      </c>
      <c r="H905" s="46"/>
      <c r="I905" s="46"/>
      <c r="J905" s="46" t="s">
        <v>297</v>
      </c>
      <c r="K905" s="46" t="str">
        <f>IFERROR(VLOOKUP($J905,Catálogos!$M$4:$N$17,2,FALSE()),"")</f>
        <v>Mantención Preventiva Realizada</v>
      </c>
      <c r="L905" s="46"/>
      <c r="M905" s="46"/>
      <c r="N905" s="46"/>
      <c r="O905" s="46"/>
      <c r="P905" s="46"/>
      <c r="Q905" s="46"/>
    </row>
    <row r="906" spans="1:17" hidden="1" x14ac:dyDescent="0.25">
      <c r="A906" s="47" t="s">
        <v>860</v>
      </c>
      <c r="B906" s="46" t="str">
        <f>IFERROR(VLOOKUP($A906,Equipos!$C$2:$M$967,2,FALSE()),"")</f>
        <v>Monitor Multiparámetros</v>
      </c>
      <c r="C906" s="46" t="str">
        <f>IFERROR(VLOOKUP($A906,Equipos!$C$2:$M$967,9,FALSE()),"")</f>
        <v>5495188658</v>
      </c>
      <c r="D906" s="46" t="str">
        <f>IFERROR(VLOOKUP($A906,Equipos!$C$2:$M$967,3,FALSE()),"")</f>
        <v>Pabellones Gineco-Obstétricos</v>
      </c>
      <c r="E906" s="46" t="str">
        <f>IFERROR(VLOOKUP($A906,Equipos!$C$2:$M$967,7,FALSE()),"")</f>
        <v>Drager</v>
      </c>
      <c r="F906" s="46" t="str">
        <f>IFERROR(VLOOKUP($A906,Equipos!$C$2:$M$967,8,FALSE()),"")</f>
        <v>Infinity Kappa</v>
      </c>
      <c r="G906" s="46" t="s">
        <v>298</v>
      </c>
      <c r="H906" s="46"/>
      <c r="I906" s="46"/>
      <c r="J906" s="46" t="s">
        <v>297</v>
      </c>
      <c r="K906" s="46" t="str">
        <f>IFERROR(VLOOKUP($J906,Catálogos!$M$4:$N$17,2,FALSE()),"")</f>
        <v>Mantención Preventiva Realizada</v>
      </c>
      <c r="L906" s="46"/>
      <c r="M906" s="46"/>
      <c r="N906" s="46"/>
      <c r="O906" s="46"/>
      <c r="P906" s="46"/>
      <c r="Q906" s="46"/>
    </row>
    <row r="907" spans="1:17" hidden="1" x14ac:dyDescent="0.25">
      <c r="A907" s="47" t="s">
        <v>861</v>
      </c>
      <c r="B907" s="46" t="str">
        <f>IFERROR(VLOOKUP($A907,Equipos!$C$2:$M$967,2,FALSE()),"")</f>
        <v>Monitor Multiparámetros</v>
      </c>
      <c r="C907" s="46" t="str">
        <f>IFERROR(VLOOKUP($A907,Equipos!$C$2:$M$967,9,FALSE()),"")</f>
        <v>01117.</v>
      </c>
      <c r="D907" s="46" t="str">
        <f>IFERROR(VLOOKUP($A907,Equipos!$C$2:$M$967,3,FALSE()),"")</f>
        <v>SAMU</v>
      </c>
      <c r="E907" s="46" t="str">
        <f>IFERROR(VLOOKUP($A907,Equipos!$C$2:$M$967,7,FALSE()),"")</f>
        <v xml:space="preserve">Nihon Kohden </v>
      </c>
      <c r="F907" s="46" t="str">
        <f>IFERROR(VLOOKUP($A907,Equipos!$C$2:$M$967,8,FALSE()),"")</f>
        <v>BSM-6301K</v>
      </c>
      <c r="G907" s="46" t="s">
        <v>331</v>
      </c>
      <c r="H907" s="46"/>
      <c r="I907" s="46"/>
      <c r="J907" s="46" t="s">
        <v>784</v>
      </c>
      <c r="K907" s="46" t="str">
        <f>IFERROR(VLOOKUP($J907,Catálogos!$M$4:$N$17,2,FALSE()),"")</f>
        <v>No Ubicable</v>
      </c>
      <c r="L907" s="46"/>
      <c r="M907" s="46"/>
      <c r="N907" s="46"/>
      <c r="O907" s="46"/>
      <c r="P907" s="46"/>
      <c r="Q907" s="46"/>
    </row>
    <row r="908" spans="1:17" hidden="1" x14ac:dyDescent="0.25">
      <c r="A908" s="47" t="s">
        <v>861</v>
      </c>
      <c r="B908" s="46" t="str">
        <f>IFERROR(VLOOKUP($A908,Equipos!$C$2:$M$967,2,FALSE()),"")</f>
        <v>Monitor Multiparámetros</v>
      </c>
      <c r="C908" s="46" t="str">
        <f>IFERROR(VLOOKUP($A908,Equipos!$C$2:$M$967,9,FALSE()),"")</f>
        <v>01117.</v>
      </c>
      <c r="D908" s="46" t="str">
        <f>IFERROR(VLOOKUP($A908,Equipos!$C$2:$M$967,3,FALSE()),"")</f>
        <v>SAMU</v>
      </c>
      <c r="E908" s="46" t="str">
        <f>IFERROR(VLOOKUP($A908,Equipos!$C$2:$M$967,7,FALSE()),"")</f>
        <v xml:space="preserve">Nihon Kohden </v>
      </c>
      <c r="F908" s="46" t="str">
        <f>IFERROR(VLOOKUP($A908,Equipos!$C$2:$M$967,8,FALSE()),"")</f>
        <v>BSM-6301K</v>
      </c>
      <c r="G908" s="46" t="s">
        <v>298</v>
      </c>
      <c r="H908" s="46"/>
      <c r="I908" s="46"/>
      <c r="J908" s="46" t="s">
        <v>297</v>
      </c>
      <c r="K908" s="46" t="str">
        <f>IFERROR(VLOOKUP($J908,Catálogos!$M$4:$N$17,2,FALSE()),"")</f>
        <v>Mantención Preventiva Realizada</v>
      </c>
      <c r="L908" s="46"/>
      <c r="M908" s="46"/>
      <c r="N908" s="46"/>
      <c r="O908" s="46"/>
      <c r="P908" s="46"/>
      <c r="Q908" s="46"/>
    </row>
    <row r="909" spans="1:17" hidden="1" x14ac:dyDescent="0.25">
      <c r="A909" s="47" t="s">
        <v>862</v>
      </c>
      <c r="B909" s="46" t="str">
        <f>IFERROR(VLOOKUP($A909,Equipos!$C$2:$M$967,2,FALSE()),"")</f>
        <v>Monitor Multiparámetros</v>
      </c>
      <c r="C909" s="46" t="str">
        <f>IFERROR(VLOOKUP($A909,Equipos!$C$2:$M$967,9,FALSE()),"")</f>
        <v>6007939163</v>
      </c>
      <c r="D909" s="46" t="str">
        <f>IFERROR(VLOOKUP($A909,Equipos!$C$2:$M$967,3,FALSE()),"")</f>
        <v>UPC Cardiovascular</v>
      </c>
      <c r="E909" s="46" t="str">
        <f>IFERROR(VLOOKUP($A909,Equipos!$C$2:$M$967,7,FALSE()),"")</f>
        <v>Drager</v>
      </c>
      <c r="F909" s="46" t="str">
        <f>IFERROR(VLOOKUP($A909,Equipos!$C$2:$M$967,8,FALSE()),"")</f>
        <v>Infinity Delta</v>
      </c>
      <c r="G909" s="46" t="s">
        <v>335</v>
      </c>
      <c r="H909" s="46"/>
      <c r="I909" s="46"/>
      <c r="J909" s="46" t="s">
        <v>315</v>
      </c>
      <c r="K909" s="46" t="str">
        <f>IFERROR(VLOOKUP($J909,Catálogos!$M$4:$N$17,2,FALSE()),"")</f>
        <v>Reprogramada · Ausencia justificada del funcionario SEC superior a 15 días</v>
      </c>
      <c r="L909" s="46"/>
      <c r="M909" s="46"/>
      <c r="N909" s="46"/>
      <c r="O909" s="46"/>
      <c r="P909" s="46"/>
      <c r="Q909" s="46"/>
    </row>
    <row r="910" spans="1:17" hidden="1" x14ac:dyDescent="0.25">
      <c r="A910" s="47" t="s">
        <v>862</v>
      </c>
      <c r="B910" s="46" t="str">
        <f>IFERROR(VLOOKUP($A910,Equipos!$C$2:$M$967,2,FALSE()),"")</f>
        <v>Monitor Multiparámetros</v>
      </c>
      <c r="C910" s="46" t="str">
        <f>IFERROR(VLOOKUP($A910,Equipos!$C$2:$M$967,9,FALSE()),"")</f>
        <v>6007939163</v>
      </c>
      <c r="D910" s="46" t="str">
        <f>IFERROR(VLOOKUP($A910,Equipos!$C$2:$M$967,3,FALSE()),"")</f>
        <v>UPC Cardiovascular</v>
      </c>
      <c r="E910" s="46" t="str">
        <f>IFERROR(VLOOKUP($A910,Equipos!$C$2:$M$967,7,FALSE()),"")</f>
        <v>Drager</v>
      </c>
      <c r="F910" s="46" t="str">
        <f>IFERROR(VLOOKUP($A910,Equipos!$C$2:$M$967,8,FALSE()),"")</f>
        <v>Infinity Delta</v>
      </c>
      <c r="G910" s="46" t="s">
        <v>296</v>
      </c>
      <c r="H910" s="46"/>
      <c r="I910" s="46"/>
      <c r="J910" s="46" t="s">
        <v>297</v>
      </c>
      <c r="K910" s="46" t="str">
        <f>IFERROR(VLOOKUP($J910,Catálogos!$M$4:$N$17,2,FALSE()),"")</f>
        <v>Mantención Preventiva Realizada</v>
      </c>
      <c r="L910" s="46"/>
      <c r="M910" s="46"/>
      <c r="N910" s="46"/>
      <c r="O910" s="46"/>
      <c r="P910" s="46"/>
      <c r="Q910" s="46"/>
    </row>
    <row r="911" spans="1:17" hidden="1" x14ac:dyDescent="0.25">
      <c r="A911" s="47" t="s">
        <v>863</v>
      </c>
      <c r="B911" s="46" t="str">
        <f>IFERROR(VLOOKUP($A911,Equipos!$C$2:$M$967,2,FALSE()),"")</f>
        <v>Monitor Multiparámetros</v>
      </c>
      <c r="C911" s="46" t="str">
        <f>IFERROR(VLOOKUP($A911,Equipos!$C$2:$M$967,9,FALSE()),"")</f>
        <v>5495339950</v>
      </c>
      <c r="D911" s="46" t="str">
        <f>IFERROR(VLOOKUP($A911,Equipos!$C$2:$M$967,3,FALSE()),"")</f>
        <v>UPC Cardiovascular</v>
      </c>
      <c r="E911" s="46" t="str">
        <f>IFERROR(VLOOKUP($A911,Equipos!$C$2:$M$967,7,FALSE()),"")</f>
        <v>Drager</v>
      </c>
      <c r="F911" s="46" t="str">
        <f>IFERROR(VLOOKUP($A911,Equipos!$C$2:$M$967,8,FALSE()),"")</f>
        <v>Infinity Kappa</v>
      </c>
      <c r="G911" s="46" t="s">
        <v>335</v>
      </c>
      <c r="H911" s="46"/>
      <c r="I911" s="46"/>
      <c r="J911" s="46" t="s">
        <v>315</v>
      </c>
      <c r="K911" s="46" t="str">
        <f>IFERROR(VLOOKUP($J911,Catálogos!$M$4:$N$17,2,FALSE()),"")</f>
        <v>Reprogramada · Ausencia justificada del funcionario SEC superior a 15 días</v>
      </c>
      <c r="L911" s="46"/>
      <c r="M911" s="46"/>
      <c r="N911" s="46"/>
      <c r="O911" s="46"/>
      <c r="P911" s="46"/>
      <c r="Q911" s="46"/>
    </row>
    <row r="912" spans="1:17" hidden="1" x14ac:dyDescent="0.25">
      <c r="A912" s="47" t="s">
        <v>863</v>
      </c>
      <c r="B912" s="46" t="str">
        <f>IFERROR(VLOOKUP($A912,Equipos!$C$2:$M$967,2,FALSE()),"")</f>
        <v>Monitor Multiparámetros</v>
      </c>
      <c r="C912" s="46" t="str">
        <f>IFERROR(VLOOKUP($A912,Equipos!$C$2:$M$967,9,FALSE()),"")</f>
        <v>5495339950</v>
      </c>
      <c r="D912" s="46" t="str">
        <f>IFERROR(VLOOKUP($A912,Equipos!$C$2:$M$967,3,FALSE()),"")</f>
        <v>UPC Cardiovascular</v>
      </c>
      <c r="E912" s="46" t="str">
        <f>IFERROR(VLOOKUP($A912,Equipos!$C$2:$M$967,7,FALSE()),"")</f>
        <v>Drager</v>
      </c>
      <c r="F912" s="46" t="str">
        <f>IFERROR(VLOOKUP($A912,Equipos!$C$2:$M$967,8,FALSE()),"")</f>
        <v>Infinity Kappa</v>
      </c>
      <c r="G912" s="46" t="s">
        <v>296</v>
      </c>
      <c r="H912" s="46"/>
      <c r="I912" s="46"/>
      <c r="J912" s="46" t="s">
        <v>297</v>
      </c>
      <c r="K912" s="46" t="str">
        <f>IFERROR(VLOOKUP($J912,Catálogos!$M$4:$N$17,2,FALSE()),"")</f>
        <v>Mantención Preventiva Realizada</v>
      </c>
      <c r="L912" s="46"/>
      <c r="M912" s="46"/>
      <c r="N912" s="46"/>
      <c r="O912" s="46"/>
      <c r="P912" s="46"/>
      <c r="Q912" s="46"/>
    </row>
    <row r="913" spans="1:17" hidden="1" x14ac:dyDescent="0.25">
      <c r="A913" s="47" t="s">
        <v>864</v>
      </c>
      <c r="B913" s="46" t="str">
        <f>IFERROR(VLOOKUP($A913,Equipos!$C$2:$M$967,2,FALSE()),"")</f>
        <v>Monitor Multiparámetros</v>
      </c>
      <c r="C913" s="46" t="str">
        <f>IFERROR(VLOOKUP($A913,Equipos!$C$2:$M$967,9,FALSE()),"")</f>
        <v>111450</v>
      </c>
      <c r="D913" s="46" t="str">
        <f>IFERROR(VLOOKUP($A913,Equipos!$C$2:$M$967,3,FALSE()),"")</f>
        <v>Pabellón CMA</v>
      </c>
      <c r="E913" s="46" t="str">
        <f>IFERROR(VLOOKUP($A913,Equipos!$C$2:$M$967,7,FALSE()),"")</f>
        <v xml:space="preserve">Nihon Kohden </v>
      </c>
      <c r="F913" s="46" t="str">
        <f>IFERROR(VLOOKUP($A913,Equipos!$C$2:$M$967,8,FALSE()),"")</f>
        <v>PVM-2701</v>
      </c>
      <c r="G913" s="46" t="s">
        <v>298</v>
      </c>
      <c r="H913" s="46"/>
      <c r="I913" s="46"/>
      <c r="J913" s="46" t="s">
        <v>297</v>
      </c>
      <c r="K913" s="46" t="str">
        <f>IFERROR(VLOOKUP($J913,Catálogos!$M$4:$N$17,2,FALSE()),"")</f>
        <v>Mantención Preventiva Realizada</v>
      </c>
      <c r="L913" s="46"/>
      <c r="M913" s="46"/>
      <c r="N913" s="46"/>
      <c r="O913" s="46"/>
      <c r="P913" s="46"/>
      <c r="Q913" s="46"/>
    </row>
    <row r="914" spans="1:17" hidden="1" x14ac:dyDescent="0.25">
      <c r="A914" s="47" t="s">
        <v>865</v>
      </c>
      <c r="B914" s="46" t="str">
        <f>IFERROR(VLOOKUP($A914,Equipos!$C$2:$M$967,2,FALSE()),"")</f>
        <v>Monitor Multiparámetros</v>
      </c>
      <c r="C914" s="46" t="str">
        <f>IFERROR(VLOOKUP($A914,Equipos!$C$2:$M$967,9,FALSE()),"")</f>
        <v>111456</v>
      </c>
      <c r="D914" s="46" t="str">
        <f>IFERROR(VLOOKUP($A914,Equipos!$C$2:$M$967,3,FALSE()),"")</f>
        <v>Pabellón CMA</v>
      </c>
      <c r="E914" s="46" t="str">
        <f>IFERROR(VLOOKUP($A914,Equipos!$C$2:$M$967,7,FALSE()),"")</f>
        <v xml:space="preserve">Nihon Kohden </v>
      </c>
      <c r="F914" s="46" t="str">
        <f>IFERROR(VLOOKUP($A914,Equipos!$C$2:$M$967,8,FALSE()),"")</f>
        <v>PVM-2701</v>
      </c>
      <c r="G914" s="46" t="s">
        <v>298</v>
      </c>
      <c r="H914" s="46"/>
      <c r="I914" s="46"/>
      <c r="J914" s="46" t="s">
        <v>297</v>
      </c>
      <c r="K914" s="46" t="str">
        <f>IFERROR(VLOOKUP($J914,Catálogos!$M$4:$N$17,2,FALSE()),"")</f>
        <v>Mantención Preventiva Realizada</v>
      </c>
      <c r="L914" s="46"/>
      <c r="M914" s="46"/>
      <c r="N914" s="46"/>
      <c r="O914" s="46"/>
      <c r="P914" s="46"/>
      <c r="Q914" s="46"/>
    </row>
    <row r="915" spans="1:17" hidden="1" x14ac:dyDescent="0.25">
      <c r="A915" s="47" t="s">
        <v>866</v>
      </c>
      <c r="B915" s="46" t="str">
        <f>IFERROR(VLOOKUP($A915,Equipos!$C$2:$M$967,2,FALSE()),"")</f>
        <v>Monitor Multiparámetros</v>
      </c>
      <c r="C915" s="46" t="str">
        <f>IFERROR(VLOOKUP($A915,Equipos!$C$2:$M$967,9,FALSE()),"")</f>
        <v>5495318955</v>
      </c>
      <c r="D915" s="46" t="str">
        <f>IFERROR(VLOOKUP($A915,Equipos!$C$2:$M$967,3,FALSE()),"")</f>
        <v>UPC Adulto (Prestado a UPC 3er piso)</v>
      </c>
      <c r="E915" s="46" t="str">
        <f>IFERROR(VLOOKUP($A915,Equipos!$C$2:$M$967,7,FALSE()),"")</f>
        <v>Drager</v>
      </c>
      <c r="F915" s="46" t="str">
        <f>IFERROR(VLOOKUP($A915,Equipos!$C$2:$M$967,8,FALSE()),"")</f>
        <v>Infinity Kappa</v>
      </c>
      <c r="G915" s="46" t="s">
        <v>298</v>
      </c>
      <c r="H915" s="46"/>
      <c r="I915" s="46"/>
      <c r="J915" s="46" t="s">
        <v>297</v>
      </c>
      <c r="K915" s="46" t="str">
        <f>IFERROR(VLOOKUP($J915,Catálogos!$M$4:$N$17,2,FALSE()),"")</f>
        <v>Mantención Preventiva Realizada</v>
      </c>
      <c r="L915" s="46"/>
      <c r="M915" s="46"/>
      <c r="N915" s="46"/>
      <c r="O915" s="46"/>
      <c r="P915" s="46"/>
      <c r="Q915" s="46"/>
    </row>
    <row r="916" spans="1:17" hidden="1" x14ac:dyDescent="0.25">
      <c r="A916" s="47" t="s">
        <v>867</v>
      </c>
      <c r="B916" s="46" t="str">
        <f>IFERROR(VLOOKUP($A916,Equipos!$C$2:$M$967,2,FALSE()),"")</f>
        <v>Monitor Multiparámetros</v>
      </c>
      <c r="C916" s="46" t="str">
        <f>IFERROR(VLOOKUP($A916,Equipos!$C$2:$M$967,9,FALSE()),"")</f>
        <v>5493736846</v>
      </c>
      <c r="D916" s="46" t="str">
        <f>IFERROR(VLOOKUP($A916,Equipos!$C$2:$M$967,3,FALSE()),"")</f>
        <v>Cardiología</v>
      </c>
      <c r="E916" s="46" t="str">
        <f>IFERROR(VLOOKUP($A916,Equipos!$C$2:$M$967,7,FALSE()),"")</f>
        <v>Drager</v>
      </c>
      <c r="F916" s="46" t="str">
        <f>IFERROR(VLOOKUP($A916,Equipos!$C$2:$M$967,8,FALSE()),"")</f>
        <v>Infinity Kappa</v>
      </c>
      <c r="G916" s="46" t="s">
        <v>296</v>
      </c>
      <c r="H916" s="46"/>
      <c r="I916" s="46"/>
      <c r="J916" s="46" t="s">
        <v>315</v>
      </c>
      <c r="K916" s="46" t="str">
        <f>IFERROR(VLOOKUP($J916,Catálogos!$M$4:$N$17,2,FALSE()),"")</f>
        <v>Reprogramada · Ausencia justificada del funcionario SEC superior a 15 días</v>
      </c>
      <c r="L916" s="46"/>
      <c r="M916" s="46"/>
      <c r="N916" s="46"/>
      <c r="O916" s="46"/>
      <c r="P916" s="46"/>
      <c r="Q916" s="46"/>
    </row>
    <row r="917" spans="1:17" hidden="1" x14ac:dyDescent="0.25">
      <c r="A917" s="47" t="s">
        <v>867</v>
      </c>
      <c r="B917" s="46" t="str">
        <f>IFERROR(VLOOKUP($A917,Equipos!$C$2:$M$967,2,FALSE()),"")</f>
        <v>Monitor Multiparámetros</v>
      </c>
      <c r="C917" s="46" t="str">
        <f>IFERROR(VLOOKUP($A917,Equipos!$C$2:$M$967,9,FALSE()),"")</f>
        <v>5493736846</v>
      </c>
      <c r="D917" s="46" t="str">
        <f>IFERROR(VLOOKUP($A917,Equipos!$C$2:$M$967,3,FALSE()),"")</f>
        <v>Cardiología</v>
      </c>
      <c r="E917" s="46" t="str">
        <f>IFERROR(VLOOKUP($A917,Equipos!$C$2:$M$967,7,FALSE()),"")</f>
        <v>Drager</v>
      </c>
      <c r="F917" s="46" t="str">
        <f>IFERROR(VLOOKUP($A917,Equipos!$C$2:$M$967,8,FALSE()),"")</f>
        <v>Infinity Kappa</v>
      </c>
      <c r="G917" s="46" t="s">
        <v>316</v>
      </c>
      <c r="H917" s="46"/>
      <c r="I917" s="46"/>
      <c r="J917" s="46" t="s">
        <v>297</v>
      </c>
      <c r="K917" s="46" t="str">
        <f>IFERROR(VLOOKUP($J917,Catálogos!$M$4:$N$17,2,FALSE()),"")</f>
        <v>Mantención Preventiva Realizada</v>
      </c>
      <c r="L917" s="46"/>
      <c r="M917" s="46"/>
      <c r="N917" s="46"/>
      <c r="O917" s="46"/>
      <c r="P917" s="46"/>
      <c r="Q917" s="46"/>
    </row>
    <row r="918" spans="1:17" hidden="1" x14ac:dyDescent="0.25">
      <c r="A918" s="47" t="s">
        <v>868</v>
      </c>
      <c r="B918" s="46" t="str">
        <f>IFERROR(VLOOKUP($A918,Equipos!$C$2:$M$967,2,FALSE()),"")</f>
        <v>Monitor Multiparámetros</v>
      </c>
      <c r="C918" s="46" t="str">
        <f>IFERROR(VLOOKUP($A918,Equipos!$C$2:$M$967,9,FALSE()),"")</f>
        <v>DE351C1465</v>
      </c>
      <c r="D918" s="46" t="str">
        <f>IFERROR(VLOOKUP($A918,Equipos!$C$2:$M$967,3,FALSE()),"")</f>
        <v>Pabellones Gineco-Obstétricos</v>
      </c>
      <c r="E918" s="46" t="str">
        <f>IFERROR(VLOOKUP($A918,Equipos!$C$2:$M$967,7,FALSE()),"")</f>
        <v>Philips</v>
      </c>
      <c r="F918" s="46" t="str">
        <f>IFERROR(VLOOKUP($A918,Equipos!$C$2:$M$967,8,FALSE()),"")</f>
        <v>MX450</v>
      </c>
      <c r="G918" s="46" t="s">
        <v>298</v>
      </c>
      <c r="H918" s="46"/>
      <c r="I918" s="46"/>
      <c r="J918" s="46" t="s">
        <v>297</v>
      </c>
      <c r="K918" s="46" t="str">
        <f>IFERROR(VLOOKUP($J918,Catálogos!$M$4:$N$17,2,FALSE()),"")</f>
        <v>Mantención Preventiva Realizada</v>
      </c>
      <c r="L918" s="46"/>
      <c r="M918" s="46"/>
      <c r="N918" s="46"/>
      <c r="O918" s="46"/>
      <c r="P918" s="46"/>
      <c r="Q918" s="46"/>
    </row>
    <row r="919" spans="1:17" hidden="1" x14ac:dyDescent="0.25">
      <c r="A919" s="47" t="s">
        <v>869</v>
      </c>
      <c r="B919" s="46" t="str">
        <f>IFERROR(VLOOKUP($A919,Equipos!$C$2:$M$967,2,FALSE()),"")</f>
        <v>Oxímetro de Pulso</v>
      </c>
      <c r="C919" s="46" t="str">
        <f>IFERROR(VLOOKUP($A919,Equipos!$C$2:$M$967,9,FALSE()),"")</f>
        <v>225548</v>
      </c>
      <c r="D919" s="46" t="str">
        <f>IFERROR(VLOOKUP($A919,Equipos!$C$2:$M$967,3,FALSE()),"")</f>
        <v>Neonatología</v>
      </c>
      <c r="E919" s="46" t="str">
        <f>IFERROR(VLOOKUP($A919,Equipos!$C$2:$M$967,7,FALSE()),"")</f>
        <v>Masimo</v>
      </c>
      <c r="F919" s="46" t="str">
        <f>IFERROR(VLOOKUP($A919,Equipos!$C$2:$M$967,8,FALSE()),"")</f>
        <v>R7</v>
      </c>
      <c r="G919" s="46" t="s">
        <v>335</v>
      </c>
      <c r="H919" s="46"/>
      <c r="I919" s="46"/>
      <c r="J919" s="46" t="s">
        <v>297</v>
      </c>
      <c r="K919" s="46" t="str">
        <f>IFERROR(VLOOKUP($J919,Catálogos!$M$4:$N$17,2,FALSE()),"")</f>
        <v>Mantención Preventiva Realizada</v>
      </c>
      <c r="L919" s="46"/>
      <c r="M919" s="46"/>
      <c r="N919" s="46"/>
      <c r="O919" s="46"/>
      <c r="P919" s="46"/>
      <c r="Q919" s="46"/>
    </row>
    <row r="920" spans="1:17" hidden="1" x14ac:dyDescent="0.25">
      <c r="A920" s="47" t="s">
        <v>870</v>
      </c>
      <c r="B920" s="46" t="str">
        <f>IFERROR(VLOOKUP($A920,Equipos!$C$2:$M$967,2,FALSE()),"")</f>
        <v>Oxímetro de Pulso</v>
      </c>
      <c r="C920" s="46" t="str">
        <f>IFERROR(VLOOKUP($A920,Equipos!$C$2:$M$967,9,FALSE()),"")</f>
        <v>225507</v>
      </c>
      <c r="D920" s="46" t="str">
        <f>IFERROR(VLOOKUP($A920,Equipos!$C$2:$M$967,3,FALSE()),"")</f>
        <v>Neonatología</v>
      </c>
      <c r="E920" s="46" t="str">
        <f>IFERROR(VLOOKUP($A920,Equipos!$C$2:$M$967,7,FALSE()),"")</f>
        <v>Masimo</v>
      </c>
      <c r="F920" s="46" t="str">
        <f>IFERROR(VLOOKUP($A920,Equipos!$C$2:$M$967,8,FALSE()),"")</f>
        <v>R7</v>
      </c>
      <c r="G920" s="46" t="s">
        <v>335</v>
      </c>
      <c r="H920" s="46"/>
      <c r="I920" s="46"/>
      <c r="J920" s="46" t="s">
        <v>297</v>
      </c>
      <c r="K920" s="46" t="str">
        <f>IFERROR(VLOOKUP($J920,Catálogos!$M$4:$N$17,2,FALSE()),"")</f>
        <v>Mantención Preventiva Realizada</v>
      </c>
      <c r="L920" s="46"/>
      <c r="M920" s="46"/>
      <c r="N920" s="46"/>
      <c r="O920" s="46"/>
      <c r="P920" s="46"/>
      <c r="Q920" s="46"/>
    </row>
    <row r="921" spans="1:17" hidden="1" x14ac:dyDescent="0.25">
      <c r="A921" s="47" t="s">
        <v>871</v>
      </c>
      <c r="B921" s="46" t="str">
        <f>IFERROR(VLOOKUP($A921,Equipos!$C$2:$M$967,2,FALSE()),"")</f>
        <v>Monitor Multiparámetros</v>
      </c>
      <c r="C921" s="46" t="str">
        <f>IFERROR(VLOOKUP($A921,Equipos!$C$2:$M$967,9,FALSE()),"")</f>
        <v>5495286953</v>
      </c>
      <c r="D921" s="46" t="str">
        <f>IFERROR(VLOOKUP($A921,Equipos!$C$2:$M$967,3,FALSE()),"")</f>
        <v>UPC Adulto</v>
      </c>
      <c r="E921" s="46" t="str">
        <f>IFERROR(VLOOKUP($A921,Equipos!$C$2:$M$967,7,FALSE()),"")</f>
        <v>Drager</v>
      </c>
      <c r="F921" s="46" t="str">
        <f>IFERROR(VLOOKUP($A921,Equipos!$C$2:$M$967,8,FALSE()),"")</f>
        <v xml:space="preserve">Infinity Kappa </v>
      </c>
      <c r="G921" s="46" t="s">
        <v>335</v>
      </c>
      <c r="H921" s="46"/>
      <c r="I921" s="46"/>
      <c r="J921" s="46" t="s">
        <v>476</v>
      </c>
      <c r="K921" s="46" t="str">
        <f>IFERROR(VLOOKUP($J921,Catálogos!$M$4:$N$17,2,FALSE()),"")</f>
        <v>No Realizada</v>
      </c>
      <c r="L921" s="46"/>
      <c r="M921" s="46"/>
      <c r="N921" s="46"/>
      <c r="O921" s="46"/>
      <c r="P921" s="46"/>
      <c r="Q921" s="46"/>
    </row>
    <row r="922" spans="1:17" hidden="1" x14ac:dyDescent="0.25">
      <c r="A922" s="47" t="s">
        <v>871</v>
      </c>
      <c r="B922" s="46" t="str">
        <f>IFERROR(VLOOKUP($A922,Equipos!$C$2:$M$967,2,FALSE()),"")</f>
        <v>Monitor Multiparámetros</v>
      </c>
      <c r="C922" s="46" t="str">
        <f>IFERROR(VLOOKUP($A922,Equipos!$C$2:$M$967,9,FALSE()),"")</f>
        <v>5495286953</v>
      </c>
      <c r="D922" s="46" t="str">
        <f>IFERROR(VLOOKUP($A922,Equipos!$C$2:$M$967,3,FALSE()),"")</f>
        <v>UPC Adulto</v>
      </c>
      <c r="E922" s="46" t="str">
        <f>IFERROR(VLOOKUP($A922,Equipos!$C$2:$M$967,7,FALSE()),"")</f>
        <v>Drager</v>
      </c>
      <c r="F922" s="46" t="str">
        <f>IFERROR(VLOOKUP($A922,Equipos!$C$2:$M$967,8,FALSE()),"")</f>
        <v xml:space="preserve">Infinity Kappa </v>
      </c>
      <c r="G922" s="46" t="s">
        <v>331</v>
      </c>
      <c r="H922" s="46"/>
      <c r="I922" s="46"/>
      <c r="J922" s="46" t="s">
        <v>278</v>
      </c>
      <c r="K922" s="46" t="str">
        <f>IFERROR(VLOOKUP($J922,Catálogos!$M$4:$N$17,2,FALSE()),"")</f>
        <v>Reprogramada · Equipo en servicio técnico</v>
      </c>
      <c r="L922" s="46"/>
      <c r="M922" s="46"/>
      <c r="N922" s="46"/>
      <c r="O922" s="46"/>
      <c r="P922" s="46"/>
      <c r="Q922" s="46"/>
    </row>
    <row r="923" spans="1:17" hidden="1" x14ac:dyDescent="0.25">
      <c r="A923" s="47" t="s">
        <v>872</v>
      </c>
      <c r="B923" s="46" t="str">
        <f>IFERROR(VLOOKUP($A923,Equipos!$C$2:$M$967,2,FALSE()),"")</f>
        <v>Monitor Multiparámetros</v>
      </c>
      <c r="C923" s="46" t="str">
        <f>IFERROR(VLOOKUP($A923,Equipos!$C$2:$M$967,9,FALSE()),"")</f>
        <v>5495290066</v>
      </c>
      <c r="D923" s="46" t="str">
        <f>IFERROR(VLOOKUP($A923,Equipos!$C$2:$M$967,3,FALSE()),"")</f>
        <v>UPC Adulto</v>
      </c>
      <c r="E923" s="46" t="str">
        <f>IFERROR(VLOOKUP($A923,Equipos!$C$2:$M$967,7,FALSE()),"")</f>
        <v>Drager</v>
      </c>
      <c r="F923" s="46" t="str">
        <f>IFERROR(VLOOKUP($A923,Equipos!$C$2:$M$967,8,FALSE()),"")</f>
        <v xml:space="preserve">Infinity Kappa </v>
      </c>
      <c r="G923" s="46" t="s">
        <v>331</v>
      </c>
      <c r="H923" s="46"/>
      <c r="I923" s="46"/>
      <c r="J923" s="46" t="s">
        <v>323</v>
      </c>
      <c r="K923" s="46" t="str">
        <f>IFERROR(VLOOKUP($J923,Catálogos!$M$4:$N$17,2,FALSE()),"")</f>
        <v>Reprogramada · No disponibilidad de horas hombre del funcionario SEC por alta carga laboral</v>
      </c>
      <c r="L923" s="46"/>
      <c r="M923" s="46"/>
      <c r="N923" s="46"/>
      <c r="O923" s="46"/>
      <c r="P923" s="46"/>
      <c r="Q923" s="46"/>
    </row>
    <row r="924" spans="1:17" hidden="1" x14ac:dyDescent="0.25">
      <c r="A924" s="47" t="s">
        <v>872</v>
      </c>
      <c r="B924" s="46" t="str">
        <f>IFERROR(VLOOKUP($A924,Equipos!$C$2:$M$967,2,FALSE()),"")</f>
        <v>Monitor Multiparámetros</v>
      </c>
      <c r="C924" s="46" t="str">
        <f>IFERROR(VLOOKUP($A924,Equipos!$C$2:$M$967,9,FALSE()),"")</f>
        <v>5495290066</v>
      </c>
      <c r="D924" s="46" t="str">
        <f>IFERROR(VLOOKUP($A924,Equipos!$C$2:$M$967,3,FALSE()),"")</f>
        <v>UPC Adulto</v>
      </c>
      <c r="E924" s="46" t="str">
        <f>IFERROR(VLOOKUP($A924,Equipos!$C$2:$M$967,7,FALSE()),"")</f>
        <v>Drager</v>
      </c>
      <c r="F924" s="46" t="str">
        <f>IFERROR(VLOOKUP($A924,Equipos!$C$2:$M$967,8,FALSE()),"")</f>
        <v xml:space="preserve">Infinity Kappa </v>
      </c>
      <c r="G924" s="46" t="s">
        <v>298</v>
      </c>
      <c r="H924" s="46"/>
      <c r="I924" s="46"/>
      <c r="J924" s="46" t="s">
        <v>297</v>
      </c>
      <c r="K924" s="46" t="str">
        <f>IFERROR(VLOOKUP($J924,Catálogos!$M$4:$N$17,2,FALSE()),"")</f>
        <v>Mantención Preventiva Realizada</v>
      </c>
      <c r="L924" s="46"/>
      <c r="M924" s="46"/>
      <c r="N924" s="46"/>
      <c r="O924" s="46"/>
      <c r="P924" s="46"/>
      <c r="Q924" s="46"/>
    </row>
    <row r="925" spans="1:17" hidden="1" x14ac:dyDescent="0.25">
      <c r="A925" s="47" t="s">
        <v>873</v>
      </c>
      <c r="B925" s="46" t="str">
        <f>IFERROR(VLOOKUP($A925,Equipos!$C$2:$M$967,2,FALSE()),"")</f>
        <v>Monitor Multiparámetros</v>
      </c>
      <c r="C925" s="46" t="str">
        <f>IFERROR(VLOOKUP($A925,Equipos!$C$2:$M$967,9,FALSE()),"")</f>
        <v>5495302268</v>
      </c>
      <c r="D925" s="46" t="str">
        <f>IFERROR(VLOOKUP($A925,Equipos!$C$2:$M$967,3,FALSE()),"")</f>
        <v>UPC Adulto</v>
      </c>
      <c r="E925" s="46" t="str">
        <f>IFERROR(VLOOKUP($A925,Equipos!$C$2:$M$967,7,FALSE()),"")</f>
        <v>Drager</v>
      </c>
      <c r="F925" s="46" t="str">
        <f>IFERROR(VLOOKUP($A925,Equipos!$C$2:$M$967,8,FALSE()),"")</f>
        <v xml:space="preserve">Infinity Kappa </v>
      </c>
      <c r="G925" s="46" t="s">
        <v>335</v>
      </c>
      <c r="H925" s="46"/>
      <c r="I925" s="46"/>
      <c r="J925" s="46" t="s">
        <v>476</v>
      </c>
      <c r="K925" s="46" t="str">
        <f>IFERROR(VLOOKUP($J925,Catálogos!$M$4:$N$17,2,FALSE()),"")</f>
        <v>No Realizada</v>
      </c>
      <c r="L925" s="46"/>
      <c r="M925" s="46"/>
      <c r="N925" s="46"/>
      <c r="O925" s="46"/>
      <c r="P925" s="46"/>
      <c r="Q925" s="46"/>
    </row>
    <row r="926" spans="1:17" hidden="1" x14ac:dyDescent="0.25">
      <c r="A926" s="47" t="s">
        <v>873</v>
      </c>
      <c r="B926" s="46" t="str">
        <f>IFERROR(VLOOKUP($A926,Equipos!$C$2:$M$967,2,FALSE()),"")</f>
        <v>Monitor Multiparámetros</v>
      </c>
      <c r="C926" s="46" t="str">
        <f>IFERROR(VLOOKUP($A926,Equipos!$C$2:$M$967,9,FALSE()),"")</f>
        <v>5495302268</v>
      </c>
      <c r="D926" s="46" t="str">
        <f>IFERROR(VLOOKUP($A926,Equipos!$C$2:$M$967,3,FALSE()),"")</f>
        <v>UPC Adulto</v>
      </c>
      <c r="E926" s="46" t="str">
        <f>IFERROR(VLOOKUP($A926,Equipos!$C$2:$M$967,7,FALSE()),"")</f>
        <v>Drager</v>
      </c>
      <c r="F926" s="46" t="str">
        <f>IFERROR(VLOOKUP($A926,Equipos!$C$2:$M$967,8,FALSE()),"")</f>
        <v xml:space="preserve">Infinity Kappa </v>
      </c>
      <c r="G926" s="46" t="s">
        <v>331</v>
      </c>
      <c r="H926" s="46"/>
      <c r="I926" s="46"/>
      <c r="J926" s="46" t="s">
        <v>278</v>
      </c>
      <c r="K926" s="46" t="str">
        <f>IFERROR(VLOOKUP($J926,Catálogos!$M$4:$N$17,2,FALSE()),"")</f>
        <v>Reprogramada · Equipo en servicio técnico</v>
      </c>
      <c r="L926" s="46"/>
      <c r="M926" s="46"/>
      <c r="N926" s="46"/>
      <c r="O926" s="46"/>
      <c r="P926" s="46"/>
      <c r="Q926" s="46"/>
    </row>
    <row r="927" spans="1:17" hidden="1" x14ac:dyDescent="0.25">
      <c r="A927" s="47" t="s">
        <v>874</v>
      </c>
      <c r="B927" s="46" t="str">
        <f>IFERROR(VLOOKUP($A927,Equipos!$C$2:$M$967,2,FALSE()),"")</f>
        <v>Monitor Multiparámetros</v>
      </c>
      <c r="C927" s="46" t="str">
        <f>IFERROR(VLOOKUP($A927,Equipos!$C$2:$M$967,9,FALSE()),"")</f>
        <v>5495305167</v>
      </c>
      <c r="D927" s="46" t="str">
        <f>IFERROR(VLOOKUP($A927,Equipos!$C$2:$M$967,3,FALSE()),"")</f>
        <v>UPC Adulto</v>
      </c>
      <c r="E927" s="46" t="str">
        <f>IFERROR(VLOOKUP($A927,Equipos!$C$2:$M$967,7,FALSE()),"")</f>
        <v>Drager</v>
      </c>
      <c r="F927" s="46" t="str">
        <f>IFERROR(VLOOKUP($A927,Equipos!$C$2:$M$967,8,FALSE()),"")</f>
        <v xml:space="preserve">Infinity Kappa </v>
      </c>
      <c r="G927" s="46" t="s">
        <v>331</v>
      </c>
      <c r="H927" s="46"/>
      <c r="I927" s="46"/>
      <c r="J927" s="46" t="s">
        <v>297</v>
      </c>
      <c r="K927" s="46" t="str">
        <f>IFERROR(VLOOKUP($J927,Catálogos!$M$4:$N$17,2,FALSE()),"")</f>
        <v>Mantención Preventiva Realizada</v>
      </c>
      <c r="L927" s="46"/>
      <c r="M927" s="46"/>
      <c r="N927" s="46"/>
      <c r="O927" s="46"/>
      <c r="P927" s="46"/>
      <c r="Q927" s="46"/>
    </row>
    <row r="928" spans="1:17" hidden="1" x14ac:dyDescent="0.25">
      <c r="A928" s="47" t="s">
        <v>875</v>
      </c>
      <c r="B928" s="46" t="str">
        <f>IFERROR(VLOOKUP($A928,Equipos!$C$2:$M$967,2,FALSE()),"")</f>
        <v>Monitor Multiparámetros</v>
      </c>
      <c r="C928" s="46" t="str">
        <f>IFERROR(VLOOKUP($A928,Equipos!$C$2:$M$967,9,FALSE()),"")</f>
        <v>5495307067</v>
      </c>
      <c r="D928" s="46" t="str">
        <f>IFERROR(VLOOKUP($A928,Equipos!$C$2:$M$967,3,FALSE()),"")</f>
        <v>UPC Adulto</v>
      </c>
      <c r="E928" s="46" t="str">
        <f>IFERROR(VLOOKUP($A928,Equipos!$C$2:$M$967,7,FALSE()),"")</f>
        <v>Drager</v>
      </c>
      <c r="F928" s="46" t="str">
        <f>IFERROR(VLOOKUP($A928,Equipos!$C$2:$M$967,8,FALSE()),"")</f>
        <v xml:space="preserve">Infinity Kappa </v>
      </c>
      <c r="G928" s="46" t="s">
        <v>331</v>
      </c>
      <c r="H928" s="46"/>
      <c r="I928" s="46"/>
      <c r="J928" s="46" t="s">
        <v>323</v>
      </c>
      <c r="K928" s="46" t="str">
        <f>IFERROR(VLOOKUP($J928,Catálogos!$M$4:$N$17,2,FALSE()),"")</f>
        <v>Reprogramada · No disponibilidad de horas hombre del funcionario SEC por alta carga laboral</v>
      </c>
      <c r="L928" s="46"/>
      <c r="M928" s="46"/>
      <c r="N928" s="46"/>
      <c r="O928" s="46"/>
      <c r="P928" s="46"/>
      <c r="Q928" s="46"/>
    </row>
    <row r="929" spans="1:17" hidden="1" x14ac:dyDescent="0.25">
      <c r="A929" s="47" t="s">
        <v>875</v>
      </c>
      <c r="B929" s="46" t="str">
        <f>IFERROR(VLOOKUP($A929,Equipos!$C$2:$M$967,2,FALSE()),"")</f>
        <v>Monitor Multiparámetros</v>
      </c>
      <c r="C929" s="46" t="str">
        <f>IFERROR(VLOOKUP($A929,Equipos!$C$2:$M$967,9,FALSE()),"")</f>
        <v>5495307067</v>
      </c>
      <c r="D929" s="46" t="str">
        <f>IFERROR(VLOOKUP($A929,Equipos!$C$2:$M$967,3,FALSE()),"")</f>
        <v>UPC Adulto</v>
      </c>
      <c r="E929" s="46" t="str">
        <f>IFERROR(VLOOKUP($A929,Equipos!$C$2:$M$967,7,FALSE()),"")</f>
        <v>Drager</v>
      </c>
      <c r="F929" s="46" t="str">
        <f>IFERROR(VLOOKUP($A929,Equipos!$C$2:$M$967,8,FALSE()),"")</f>
        <v xml:space="preserve">Infinity Kappa </v>
      </c>
      <c r="G929" s="46" t="s">
        <v>298</v>
      </c>
      <c r="H929" s="46"/>
      <c r="I929" s="46"/>
      <c r="J929" s="46" t="s">
        <v>297</v>
      </c>
      <c r="K929" s="46" t="str">
        <f>IFERROR(VLOOKUP($J929,Catálogos!$M$4:$N$17,2,FALSE()),"")</f>
        <v>Mantención Preventiva Realizada</v>
      </c>
      <c r="L929" s="46"/>
      <c r="M929" s="46"/>
      <c r="N929" s="46"/>
      <c r="O929" s="46"/>
      <c r="P929" s="46"/>
      <c r="Q929" s="46"/>
    </row>
    <row r="930" spans="1:17" hidden="1" x14ac:dyDescent="0.25">
      <c r="A930" s="47" t="s">
        <v>876</v>
      </c>
      <c r="B930" s="46" t="str">
        <f>IFERROR(VLOOKUP($A930,Equipos!$C$2:$M$967,2,FALSE()),"")</f>
        <v>Monitor Multiparámetros</v>
      </c>
      <c r="C930" s="46" t="str">
        <f>IFERROR(VLOOKUP($A930,Equipos!$C$2:$M$967,9,FALSE()),"")</f>
        <v>5495307263</v>
      </c>
      <c r="D930" s="46" t="str">
        <f>IFERROR(VLOOKUP($A930,Equipos!$C$2:$M$967,3,FALSE()),"")</f>
        <v>UPC Adulto</v>
      </c>
      <c r="E930" s="46" t="str">
        <f>IFERROR(VLOOKUP($A930,Equipos!$C$2:$M$967,7,FALSE()),"")</f>
        <v>Drager</v>
      </c>
      <c r="F930" s="46" t="str">
        <f>IFERROR(VLOOKUP($A930,Equipos!$C$2:$M$967,8,FALSE()),"")</f>
        <v xml:space="preserve">Infinity Kappa </v>
      </c>
      <c r="G930" s="46" t="s">
        <v>331</v>
      </c>
      <c r="H930" s="46"/>
      <c r="I930" s="46"/>
      <c r="J930" s="46" t="s">
        <v>297</v>
      </c>
      <c r="K930" s="46" t="str">
        <f>IFERROR(VLOOKUP($J930,Catálogos!$M$4:$N$17,2,FALSE()),"")</f>
        <v>Mantención Preventiva Realizada</v>
      </c>
      <c r="L930" s="46"/>
      <c r="M930" s="46"/>
      <c r="N930" s="46"/>
      <c r="O930" s="46"/>
      <c r="P930" s="46"/>
      <c r="Q930" s="46"/>
    </row>
    <row r="931" spans="1:17" hidden="1" x14ac:dyDescent="0.25">
      <c r="A931" s="47" t="s">
        <v>877</v>
      </c>
      <c r="B931" s="46" t="str">
        <f>IFERROR(VLOOKUP($A931,Equipos!$C$2:$M$967,2,FALSE()),"")</f>
        <v>Monitor Multiparámetros</v>
      </c>
      <c r="C931" s="46" t="str">
        <f>IFERROR(VLOOKUP($A931,Equipos!$C$2:$M$967,9,FALSE()),"")</f>
        <v>5495307762</v>
      </c>
      <c r="D931" s="46" t="str">
        <f>IFERROR(VLOOKUP($A931,Equipos!$C$2:$M$967,3,FALSE()),"")</f>
        <v>UPC Adulto</v>
      </c>
      <c r="E931" s="46" t="str">
        <f>IFERROR(VLOOKUP($A931,Equipos!$C$2:$M$967,7,FALSE()),"")</f>
        <v>Drager</v>
      </c>
      <c r="F931" s="46" t="str">
        <f>IFERROR(VLOOKUP($A931,Equipos!$C$2:$M$967,8,FALSE()),"")</f>
        <v xml:space="preserve">Infinity Kappa </v>
      </c>
      <c r="G931" s="46" t="s">
        <v>331</v>
      </c>
      <c r="H931" s="46"/>
      <c r="I931" s="46"/>
      <c r="J931" s="46" t="s">
        <v>297</v>
      </c>
      <c r="K931" s="46" t="str">
        <f>IFERROR(VLOOKUP($J931,Catálogos!$M$4:$N$17,2,FALSE()),"")</f>
        <v>Mantención Preventiva Realizada</v>
      </c>
      <c r="L931" s="46"/>
      <c r="M931" s="46"/>
      <c r="N931" s="46"/>
      <c r="O931" s="46"/>
      <c r="P931" s="46"/>
      <c r="Q931" s="46"/>
    </row>
    <row r="932" spans="1:17" hidden="1" x14ac:dyDescent="0.25">
      <c r="A932" s="47" t="s">
        <v>878</v>
      </c>
      <c r="B932" s="46" t="str">
        <f>IFERROR(VLOOKUP($A932,Equipos!$C$2:$M$967,2,FALSE()),"")</f>
        <v>Monitor Multiparámetros</v>
      </c>
      <c r="C932" s="46" t="str">
        <f>IFERROR(VLOOKUP($A932,Equipos!$C$2:$M$967,9,FALSE()),"")</f>
        <v>5495310865</v>
      </c>
      <c r="D932" s="46" t="str">
        <f>IFERROR(VLOOKUP($A932,Equipos!$C$2:$M$967,3,FALSE()),"")</f>
        <v>UPC Adulto</v>
      </c>
      <c r="E932" s="46" t="str">
        <f>IFERROR(VLOOKUP($A932,Equipos!$C$2:$M$967,7,FALSE()),"")</f>
        <v>Drager</v>
      </c>
      <c r="F932" s="46" t="str">
        <f>IFERROR(VLOOKUP($A932,Equipos!$C$2:$M$967,8,FALSE()),"")</f>
        <v xml:space="preserve">Infinity Kappa </v>
      </c>
      <c r="G932" s="46" t="s">
        <v>331</v>
      </c>
      <c r="H932" s="46"/>
      <c r="I932" s="46"/>
      <c r="J932" s="46" t="s">
        <v>297</v>
      </c>
      <c r="K932" s="46" t="str">
        <f>IFERROR(VLOOKUP($J932,Catálogos!$M$4:$N$17,2,FALSE()),"")</f>
        <v>Mantención Preventiva Realizada</v>
      </c>
      <c r="L932" s="46"/>
      <c r="M932" s="46"/>
      <c r="N932" s="46"/>
      <c r="O932" s="46"/>
      <c r="P932" s="46"/>
      <c r="Q932" s="46"/>
    </row>
    <row r="933" spans="1:17" hidden="1" x14ac:dyDescent="0.25">
      <c r="A933" s="47" t="s">
        <v>879</v>
      </c>
      <c r="B933" s="46" t="str">
        <f>IFERROR(VLOOKUP($A933,Equipos!$C$2:$M$967,2,FALSE()),"")</f>
        <v>Monitor Multiparámetros</v>
      </c>
      <c r="C933" s="46" t="str">
        <f>IFERROR(VLOOKUP($A933,Equipos!$C$2:$M$967,9,FALSE()),"")</f>
        <v>5495311962</v>
      </c>
      <c r="D933" s="46" t="str">
        <f>IFERROR(VLOOKUP($A933,Equipos!$C$2:$M$967,3,FALSE()),"")</f>
        <v>UPC Adulto</v>
      </c>
      <c r="E933" s="46" t="str">
        <f>IFERROR(VLOOKUP($A933,Equipos!$C$2:$M$967,7,FALSE()),"")</f>
        <v>Drager</v>
      </c>
      <c r="F933" s="46" t="str">
        <f>IFERROR(VLOOKUP($A933,Equipos!$C$2:$M$967,8,FALSE()),"")</f>
        <v xml:space="preserve">Infinity Kappa </v>
      </c>
      <c r="G933" s="46" t="s">
        <v>331</v>
      </c>
      <c r="H933" s="46"/>
      <c r="I933" s="46"/>
      <c r="J933" s="46" t="s">
        <v>297</v>
      </c>
      <c r="K933" s="46" t="str">
        <f>IFERROR(VLOOKUP($J933,Catálogos!$M$4:$N$17,2,FALSE()),"")</f>
        <v>Mantención Preventiva Realizada</v>
      </c>
      <c r="L933" s="46"/>
      <c r="M933" s="46"/>
      <c r="N933" s="46"/>
      <c r="O933" s="46"/>
      <c r="P933" s="46"/>
      <c r="Q933" s="46"/>
    </row>
    <row r="934" spans="1:17" hidden="1" x14ac:dyDescent="0.25">
      <c r="A934" s="47" t="s">
        <v>880</v>
      </c>
      <c r="B934" s="46" t="str">
        <f>IFERROR(VLOOKUP($A934,Equipos!$C$2:$M$967,2,FALSE()),"")</f>
        <v>Monitor Multiparámetros</v>
      </c>
      <c r="C934" s="46" t="str">
        <f>IFERROR(VLOOKUP($A934,Equipos!$C$2:$M$967,9,FALSE()),"")</f>
        <v>5495313461</v>
      </c>
      <c r="D934" s="46" t="str">
        <f>IFERROR(VLOOKUP($A934,Equipos!$C$2:$M$967,3,FALSE()),"")</f>
        <v>UPC Adulto</v>
      </c>
      <c r="E934" s="46" t="str">
        <f>IFERROR(VLOOKUP($A934,Equipos!$C$2:$M$967,7,FALSE()),"")</f>
        <v>Drager</v>
      </c>
      <c r="F934" s="46" t="str">
        <f>IFERROR(VLOOKUP($A934,Equipos!$C$2:$M$967,8,FALSE()),"")</f>
        <v xml:space="preserve">Infinity Kappa </v>
      </c>
      <c r="G934" s="46" t="s">
        <v>331</v>
      </c>
      <c r="H934" s="46"/>
      <c r="I934" s="46"/>
      <c r="J934" s="46" t="s">
        <v>323</v>
      </c>
      <c r="K934" s="46" t="str">
        <f>IFERROR(VLOOKUP($J934,Catálogos!$M$4:$N$17,2,FALSE()),"")</f>
        <v>Reprogramada · No disponibilidad de horas hombre del funcionario SEC por alta carga laboral</v>
      </c>
      <c r="L934" s="46"/>
      <c r="M934" s="46"/>
      <c r="N934" s="46"/>
      <c r="O934" s="46"/>
      <c r="P934" s="46"/>
      <c r="Q934" s="46"/>
    </row>
    <row r="935" spans="1:17" hidden="1" x14ac:dyDescent="0.25">
      <c r="A935" s="47" t="s">
        <v>880</v>
      </c>
      <c r="B935" s="46" t="str">
        <f>IFERROR(VLOOKUP($A935,Equipos!$C$2:$M$967,2,FALSE()),"")</f>
        <v>Monitor Multiparámetros</v>
      </c>
      <c r="C935" s="46" t="str">
        <f>IFERROR(VLOOKUP($A935,Equipos!$C$2:$M$967,9,FALSE()),"")</f>
        <v>5495313461</v>
      </c>
      <c r="D935" s="46" t="str">
        <f>IFERROR(VLOOKUP($A935,Equipos!$C$2:$M$967,3,FALSE()),"")</f>
        <v>UPC Adulto</v>
      </c>
      <c r="E935" s="46" t="str">
        <f>IFERROR(VLOOKUP($A935,Equipos!$C$2:$M$967,7,FALSE()),"")</f>
        <v>Drager</v>
      </c>
      <c r="F935" s="46" t="str">
        <f>IFERROR(VLOOKUP($A935,Equipos!$C$2:$M$967,8,FALSE()),"")</f>
        <v xml:space="preserve">Infinity Kappa </v>
      </c>
      <c r="G935" s="46" t="s">
        <v>298</v>
      </c>
      <c r="H935" s="46"/>
      <c r="I935" s="46"/>
      <c r="J935" s="46" t="s">
        <v>297</v>
      </c>
      <c r="K935" s="46" t="str">
        <f>IFERROR(VLOOKUP($J935,Catálogos!$M$4:$N$17,2,FALSE()),"")</f>
        <v>Mantención Preventiva Realizada</v>
      </c>
      <c r="L935" s="46"/>
      <c r="M935" s="46"/>
      <c r="N935" s="46"/>
      <c r="O935" s="46"/>
      <c r="P935" s="46"/>
      <c r="Q935" s="46"/>
    </row>
    <row r="936" spans="1:17" hidden="1" x14ac:dyDescent="0.25">
      <c r="A936" s="47" t="s">
        <v>881</v>
      </c>
      <c r="B936" s="46" t="str">
        <f>IFERROR(VLOOKUP($A936,Equipos!$C$2:$M$967,2,FALSE()),"")</f>
        <v>Monitor Multiparámetros</v>
      </c>
      <c r="C936" s="46" t="str">
        <f>IFERROR(VLOOKUP($A936,Equipos!$C$2:$M$967,9,FALSE()),"")</f>
        <v>5495313764</v>
      </c>
      <c r="D936" s="46" t="str">
        <f>IFERROR(VLOOKUP($A936,Equipos!$C$2:$M$967,3,FALSE()),"")</f>
        <v>UPC Adulto</v>
      </c>
      <c r="E936" s="46" t="str">
        <f>IFERROR(VLOOKUP($A936,Equipos!$C$2:$M$967,7,FALSE()),"")</f>
        <v>Drager</v>
      </c>
      <c r="F936" s="46" t="str">
        <f>IFERROR(VLOOKUP($A936,Equipos!$C$2:$M$967,8,FALSE()),"")</f>
        <v xml:space="preserve">Infinity Kappa </v>
      </c>
      <c r="G936" s="46" t="s">
        <v>331</v>
      </c>
      <c r="H936" s="46"/>
      <c r="I936" s="46"/>
      <c r="J936" s="46" t="s">
        <v>297</v>
      </c>
      <c r="K936" s="46" t="str">
        <f>IFERROR(VLOOKUP($J936,Catálogos!$M$4:$N$17,2,FALSE()),"")</f>
        <v>Mantención Preventiva Realizada</v>
      </c>
      <c r="L936" s="46"/>
      <c r="M936" s="46"/>
      <c r="N936" s="46"/>
      <c r="O936" s="46"/>
      <c r="P936" s="46"/>
      <c r="Q936" s="46"/>
    </row>
    <row r="937" spans="1:17" hidden="1" x14ac:dyDescent="0.25">
      <c r="A937" s="47" t="s">
        <v>882</v>
      </c>
      <c r="B937" s="46" t="str">
        <f>IFERROR(VLOOKUP($A937,Equipos!$C$2:$M$967,2,FALSE()),"")</f>
        <v>Monitor Multiparámetros</v>
      </c>
      <c r="C937" s="46" t="str">
        <f>IFERROR(VLOOKUP($A937,Equipos!$C$2:$M$967,9,FALSE()),"")</f>
        <v>TM3M0264</v>
      </c>
      <c r="D937" s="46" t="str">
        <f>IFERROR(VLOOKUP($A937,Equipos!$C$2:$M$967,3,FALSE()),"")</f>
        <v>Imagenología</v>
      </c>
      <c r="E937" s="46" t="str">
        <f>IFERROR(VLOOKUP($A937,Equipos!$C$2:$M$967,7,FALSE()),"")</f>
        <v>Tesla</v>
      </c>
      <c r="F937" s="46" t="str">
        <f>IFERROR(VLOOKUP($A937,Equipos!$C$2:$M$967,8,FALSE()),"")</f>
        <v>M3</v>
      </c>
      <c r="G937" s="46" t="s">
        <v>296</v>
      </c>
      <c r="H937" s="46"/>
      <c r="I937" s="46"/>
      <c r="J937" s="46" t="s">
        <v>277</v>
      </c>
      <c r="K937" s="46" t="str">
        <f>IFERROR(VLOOKUP($J937,Catálogos!$M$4:$N$17,2,FALSE()),"")</f>
        <v>Reprogramada · Equipo no operativo, a la espera de repuestos o accesorios</v>
      </c>
      <c r="L937" s="46"/>
      <c r="M937" s="46"/>
      <c r="N937" s="46"/>
      <c r="O937" s="46"/>
      <c r="P937" s="46"/>
      <c r="Q937" s="46"/>
    </row>
    <row r="938" spans="1:17" hidden="1" x14ac:dyDescent="0.25">
      <c r="A938" s="47" t="s">
        <v>882</v>
      </c>
      <c r="B938" s="46" t="str">
        <f>IFERROR(VLOOKUP($A938,Equipos!$C$2:$M$967,2,FALSE()),"")</f>
        <v>Monitor Multiparámetros</v>
      </c>
      <c r="C938" s="46" t="str">
        <f>IFERROR(VLOOKUP($A938,Equipos!$C$2:$M$967,9,FALSE()),"")</f>
        <v>TM3M0264</v>
      </c>
      <c r="D938" s="46" t="str">
        <f>IFERROR(VLOOKUP($A938,Equipos!$C$2:$M$967,3,FALSE()),"")</f>
        <v>Imagenología</v>
      </c>
      <c r="E938" s="46" t="str">
        <f>IFERROR(VLOOKUP($A938,Equipos!$C$2:$M$967,7,FALSE()),"")</f>
        <v>Tesla</v>
      </c>
      <c r="F938" s="46" t="str">
        <f>IFERROR(VLOOKUP($A938,Equipos!$C$2:$M$967,8,FALSE()),"")</f>
        <v>M3</v>
      </c>
      <c r="G938" s="46" t="s">
        <v>316</v>
      </c>
      <c r="H938" s="46"/>
      <c r="I938" s="46"/>
      <c r="J938" s="46" t="s">
        <v>297</v>
      </c>
      <c r="K938" s="46" t="str">
        <f>IFERROR(VLOOKUP($J938,Catálogos!$M$4:$N$17,2,FALSE()),"")</f>
        <v>Mantención Preventiva Realizada</v>
      </c>
      <c r="L938" s="46"/>
      <c r="M938" s="46"/>
      <c r="N938" s="46"/>
      <c r="O938" s="46"/>
      <c r="P938" s="46"/>
      <c r="Q938" s="46"/>
    </row>
    <row r="939" spans="1:17" hidden="1" x14ac:dyDescent="0.25">
      <c r="A939" s="47" t="s">
        <v>883</v>
      </c>
      <c r="B939" s="46" t="str">
        <f>IFERROR(VLOOKUP($A939,Equipos!$C$2:$M$967,2,FALSE()),"")</f>
        <v>Monitor Multiparámetros</v>
      </c>
      <c r="C939" s="46" t="str">
        <f>IFERROR(VLOOKUP($A939,Equipos!$C$2:$M$967,9,FALSE()),"")</f>
        <v>5495319063</v>
      </c>
      <c r="D939" s="46" t="str">
        <f>IFERROR(VLOOKUP($A939,Equipos!$C$2:$M$967,3,FALSE()),"")</f>
        <v>UPC Adulto</v>
      </c>
      <c r="E939" s="46" t="str">
        <f>IFERROR(VLOOKUP($A939,Equipos!$C$2:$M$967,7,FALSE()),"")</f>
        <v>Drager</v>
      </c>
      <c r="F939" s="46" t="str">
        <f>IFERROR(VLOOKUP($A939,Equipos!$C$2:$M$967,8,FALSE()),"")</f>
        <v xml:space="preserve">Infinity Kappa </v>
      </c>
      <c r="G939" s="46" t="s">
        <v>331</v>
      </c>
      <c r="H939" s="46"/>
      <c r="I939" s="46"/>
      <c r="J939" s="46" t="s">
        <v>297</v>
      </c>
      <c r="K939" s="46" t="str">
        <f>IFERROR(VLOOKUP($J939,Catálogos!$M$4:$N$17,2,FALSE()),"")</f>
        <v>Mantención Preventiva Realizada</v>
      </c>
      <c r="L939" s="46"/>
      <c r="M939" s="46"/>
      <c r="N939" s="46"/>
      <c r="O939" s="46"/>
      <c r="P939" s="46"/>
      <c r="Q939" s="46"/>
    </row>
    <row r="940" spans="1:17" hidden="1" x14ac:dyDescent="0.25">
      <c r="A940" s="47" t="s">
        <v>884</v>
      </c>
      <c r="B940" s="46" t="str">
        <f>IFERROR(VLOOKUP($A940,Equipos!$C$2:$M$967,2,FALSE()),"")</f>
        <v>Monitor Multiparámetros</v>
      </c>
      <c r="C940" s="46" t="str">
        <f>IFERROR(VLOOKUP($A940,Equipos!$C$2:$M$967,9,FALSE()),"")</f>
        <v>5495320364</v>
      </c>
      <c r="D940" s="46" t="str">
        <f>IFERROR(VLOOKUP($A940,Equipos!$C$2:$M$967,3,FALSE()),"")</f>
        <v>UPC Adulto</v>
      </c>
      <c r="E940" s="46" t="str">
        <f>IFERROR(VLOOKUP($A940,Equipos!$C$2:$M$967,7,FALSE()),"")</f>
        <v>Drager</v>
      </c>
      <c r="F940" s="46" t="str">
        <f>IFERROR(VLOOKUP($A940,Equipos!$C$2:$M$967,8,FALSE()),"")</f>
        <v xml:space="preserve">Infinity Kappa </v>
      </c>
      <c r="G940" s="46" t="s">
        <v>331</v>
      </c>
      <c r="H940" s="46"/>
      <c r="I940" s="46"/>
      <c r="J940" s="46" t="s">
        <v>297</v>
      </c>
      <c r="K940" s="46" t="str">
        <f>IFERROR(VLOOKUP($J940,Catálogos!$M$4:$N$17,2,FALSE()),"")</f>
        <v>Mantención Preventiva Realizada</v>
      </c>
      <c r="L940" s="46"/>
      <c r="M940" s="46"/>
      <c r="N940" s="46"/>
      <c r="O940" s="46"/>
      <c r="P940" s="46"/>
      <c r="Q940" s="46"/>
    </row>
    <row r="941" spans="1:17" hidden="1" x14ac:dyDescent="0.25">
      <c r="A941" s="47" t="s">
        <v>885</v>
      </c>
      <c r="B941" s="46" t="str">
        <f>IFERROR(VLOOKUP($A941,Equipos!$C$2:$M$967,2,FALSE()),"")</f>
        <v>Monitor Multiparámetros</v>
      </c>
      <c r="C941" s="46" t="str">
        <f>IFERROR(VLOOKUP($A941,Equipos!$C$2:$M$967,9,FALSE()),"")</f>
        <v>5495321363</v>
      </c>
      <c r="D941" s="46" t="str">
        <f>IFERROR(VLOOKUP($A941,Equipos!$C$2:$M$967,3,FALSE()),"")</f>
        <v>UPC Adulto (Prestado a UPC 3er piso)</v>
      </c>
      <c r="E941" s="46" t="str">
        <f>IFERROR(VLOOKUP($A941,Equipos!$C$2:$M$967,7,FALSE()),"")</f>
        <v>Drager</v>
      </c>
      <c r="F941" s="46" t="str">
        <f>IFERROR(VLOOKUP($A941,Equipos!$C$2:$M$967,8,FALSE()),"")</f>
        <v xml:space="preserve">Infinity Kappa </v>
      </c>
      <c r="G941" s="46" t="s">
        <v>298</v>
      </c>
      <c r="H941" s="46"/>
      <c r="I941" s="46"/>
      <c r="J941" s="46" t="s">
        <v>297</v>
      </c>
      <c r="K941" s="46" t="str">
        <f>IFERROR(VLOOKUP($J941,Catálogos!$M$4:$N$17,2,FALSE()),"")</f>
        <v>Mantención Preventiva Realizada</v>
      </c>
      <c r="L941" s="46"/>
      <c r="M941" s="46"/>
      <c r="N941" s="46"/>
      <c r="O941" s="46"/>
      <c r="P941" s="46"/>
      <c r="Q941" s="46"/>
    </row>
    <row r="942" spans="1:17" hidden="1" x14ac:dyDescent="0.25">
      <c r="A942" s="47" t="s">
        <v>886</v>
      </c>
      <c r="B942" s="46" t="str">
        <f>IFERROR(VLOOKUP($A942,Equipos!$C$2:$M$967,2,FALSE()),"")</f>
        <v>Monitor Multiparámetros</v>
      </c>
      <c r="C942" s="46" t="str">
        <f>IFERROR(VLOOKUP($A942,Equipos!$C$2:$M$967,9,FALSE()),"")</f>
        <v>5495322460</v>
      </c>
      <c r="D942" s="46" t="str">
        <f>IFERROR(VLOOKUP($A942,Equipos!$C$2:$M$967,3,FALSE()),"")</f>
        <v>UPC Adulto</v>
      </c>
      <c r="E942" s="46" t="str">
        <f>IFERROR(VLOOKUP($A942,Equipos!$C$2:$M$967,7,FALSE()),"")</f>
        <v>Drager</v>
      </c>
      <c r="F942" s="46" t="str">
        <f>IFERROR(VLOOKUP($A942,Equipos!$C$2:$M$967,8,FALSE()),"")</f>
        <v xml:space="preserve">Infinity Kappa </v>
      </c>
      <c r="G942" s="46" t="s">
        <v>331</v>
      </c>
      <c r="H942" s="46"/>
      <c r="I942" s="46"/>
      <c r="J942" s="46" t="s">
        <v>297</v>
      </c>
      <c r="K942" s="46" t="str">
        <f>IFERROR(VLOOKUP($J942,Catálogos!$M$4:$N$17,2,FALSE()),"")</f>
        <v>Mantención Preventiva Realizada</v>
      </c>
      <c r="L942" s="46"/>
      <c r="M942" s="46"/>
      <c r="N942" s="46"/>
      <c r="O942" s="46"/>
      <c r="P942" s="46"/>
      <c r="Q942" s="46"/>
    </row>
    <row r="943" spans="1:17" hidden="1" x14ac:dyDescent="0.25">
      <c r="A943" s="47" t="s">
        <v>887</v>
      </c>
      <c r="B943" s="46" t="str">
        <f>IFERROR(VLOOKUP($A943,Equipos!$C$2:$M$967,2,FALSE()),"")</f>
        <v>Monitor Multiparámetros</v>
      </c>
      <c r="C943" s="46" t="str">
        <f>IFERROR(VLOOKUP($A943,Equipos!$C$2:$M$967,9,FALSE()),"")</f>
        <v>5495323165</v>
      </c>
      <c r="D943" s="46" t="str">
        <f>IFERROR(VLOOKUP($A943,Equipos!$C$2:$M$967,3,FALSE()),"")</f>
        <v>UPC Adulto</v>
      </c>
      <c r="E943" s="46" t="str">
        <f>IFERROR(VLOOKUP($A943,Equipos!$C$2:$M$967,7,FALSE()),"")</f>
        <v>Drager</v>
      </c>
      <c r="F943" s="46" t="str">
        <f>IFERROR(VLOOKUP($A943,Equipos!$C$2:$M$967,8,FALSE()),"")</f>
        <v xml:space="preserve">Infinity Kappa </v>
      </c>
      <c r="G943" s="46" t="s">
        <v>331</v>
      </c>
      <c r="H943" s="46"/>
      <c r="I943" s="46"/>
      <c r="J943" s="46" t="s">
        <v>297</v>
      </c>
      <c r="K943" s="46" t="str">
        <f>IFERROR(VLOOKUP($J943,Catálogos!$M$4:$N$17,2,FALSE()),"")</f>
        <v>Mantención Preventiva Realizada</v>
      </c>
      <c r="L943" s="46"/>
      <c r="M943" s="46"/>
      <c r="N943" s="46"/>
      <c r="O943" s="46"/>
      <c r="P943" s="46"/>
      <c r="Q943" s="46"/>
    </row>
    <row r="944" spans="1:17" hidden="1" x14ac:dyDescent="0.25">
      <c r="A944" s="47" t="s">
        <v>888</v>
      </c>
      <c r="B944" s="46" t="str">
        <f>IFERROR(VLOOKUP($A944,Equipos!$C$2:$M$967,2,FALSE()),"")</f>
        <v>Monitor Multiparámetros</v>
      </c>
      <c r="C944" s="46" t="str">
        <f>IFERROR(VLOOKUP($A944,Equipos!$C$2:$M$967,9,FALSE()),"")</f>
        <v>5495324164</v>
      </c>
      <c r="D944" s="46" t="str">
        <f>IFERROR(VLOOKUP($A944,Equipos!$C$2:$M$967,3,FALSE()),"")</f>
        <v>UPC Adulto</v>
      </c>
      <c r="E944" s="46" t="str">
        <f>IFERROR(VLOOKUP($A944,Equipos!$C$2:$M$967,7,FALSE()),"")</f>
        <v>Drager</v>
      </c>
      <c r="F944" s="46" t="str">
        <f>IFERROR(VLOOKUP($A944,Equipos!$C$2:$M$967,8,FALSE()),"")</f>
        <v xml:space="preserve">Infinity Kappa </v>
      </c>
      <c r="G944" s="46" t="s">
        <v>331</v>
      </c>
      <c r="H944" s="46"/>
      <c r="I944" s="46"/>
      <c r="J944" s="46" t="s">
        <v>297</v>
      </c>
      <c r="K944" s="46" t="str">
        <f>IFERROR(VLOOKUP($J944,Catálogos!$M$4:$N$17,2,FALSE()),"")</f>
        <v>Mantención Preventiva Realizada</v>
      </c>
      <c r="L944" s="46"/>
      <c r="M944" s="46"/>
      <c r="N944" s="46"/>
      <c r="O944" s="46"/>
      <c r="P944" s="46"/>
      <c r="Q944" s="46"/>
    </row>
    <row r="945" spans="1:17" hidden="1" x14ac:dyDescent="0.25">
      <c r="A945" s="47" t="s">
        <v>889</v>
      </c>
      <c r="B945" s="46" t="str">
        <f>IFERROR(VLOOKUP($A945,Equipos!$C$2:$M$967,2,FALSE()),"")</f>
        <v>Monitor Multiparámetros</v>
      </c>
      <c r="C945" s="46" t="str">
        <f>IFERROR(VLOOKUP($A945,Equipos!$C$2:$M$967,9,FALSE()),"")</f>
        <v>5495324458</v>
      </c>
      <c r="D945" s="46" t="str">
        <f>IFERROR(VLOOKUP($A945,Equipos!$C$2:$M$967,3,FALSE()),"")</f>
        <v>UPC Adulto</v>
      </c>
      <c r="E945" s="46" t="str">
        <f>IFERROR(VLOOKUP($A945,Equipos!$C$2:$M$967,7,FALSE()),"")</f>
        <v>Drager</v>
      </c>
      <c r="F945" s="46" t="str">
        <f>IFERROR(VLOOKUP($A945,Equipos!$C$2:$M$967,8,FALSE()),"")</f>
        <v xml:space="preserve">Infinity Kappa </v>
      </c>
      <c r="G945" s="46" t="s">
        <v>331</v>
      </c>
      <c r="H945" s="46"/>
      <c r="I945" s="46"/>
      <c r="J945" s="46" t="s">
        <v>297</v>
      </c>
      <c r="K945" s="46" t="str">
        <f>IFERROR(VLOOKUP($J945,Catálogos!$M$4:$N$17,2,FALSE()),"")</f>
        <v>Mantención Preventiva Realizada</v>
      </c>
      <c r="L945" s="46"/>
      <c r="M945" s="46"/>
      <c r="N945" s="46"/>
      <c r="O945" s="46"/>
      <c r="P945" s="46"/>
      <c r="Q945" s="46"/>
    </row>
    <row r="946" spans="1:17" hidden="1" x14ac:dyDescent="0.25">
      <c r="A946" s="47" t="s">
        <v>890</v>
      </c>
      <c r="B946" s="46" t="str">
        <f>IFERROR(VLOOKUP($A946,Equipos!$C$2:$M$967,2,FALSE()),"")</f>
        <v>Monitor Multiparámetros</v>
      </c>
      <c r="C946" s="46" t="str">
        <f>IFERROR(VLOOKUP($A946,Equipos!$C$2:$M$967,9,FALSE()),"")</f>
        <v>5495324565</v>
      </c>
      <c r="D946" s="46" t="str">
        <f>IFERROR(VLOOKUP($A946,Equipos!$C$2:$M$967,3,FALSE()),"")</f>
        <v>UPC Adulto</v>
      </c>
      <c r="E946" s="46" t="str">
        <f>IFERROR(VLOOKUP($A946,Equipos!$C$2:$M$967,7,FALSE()),"")</f>
        <v>Drager</v>
      </c>
      <c r="F946" s="46" t="str">
        <f>IFERROR(VLOOKUP($A946,Equipos!$C$2:$M$967,8,FALSE()),"")</f>
        <v xml:space="preserve">Infinity Kappa </v>
      </c>
      <c r="G946" s="46" t="s">
        <v>331</v>
      </c>
      <c r="H946" s="46"/>
      <c r="I946" s="46"/>
      <c r="J946" s="46" t="s">
        <v>297</v>
      </c>
      <c r="K946" s="46" t="str">
        <f>IFERROR(VLOOKUP($J946,Catálogos!$M$4:$N$17,2,FALSE()),"")</f>
        <v>Mantención Preventiva Realizada</v>
      </c>
      <c r="L946" s="46"/>
      <c r="M946" s="46"/>
      <c r="N946" s="46"/>
      <c r="O946" s="46"/>
      <c r="P946" s="46"/>
      <c r="Q946" s="46"/>
    </row>
    <row r="947" spans="1:17" hidden="1" x14ac:dyDescent="0.25">
      <c r="A947" s="47" t="s">
        <v>891</v>
      </c>
      <c r="B947" s="46" t="str">
        <f>IFERROR(VLOOKUP($A947,Equipos!$C$2:$M$967,2,FALSE()),"")</f>
        <v>Monitor Multiparámetros</v>
      </c>
      <c r="C947" s="46" t="str">
        <f>IFERROR(VLOOKUP($A947,Equipos!$C$2:$M$967,9,FALSE()),"")</f>
        <v>5495326456</v>
      </c>
      <c r="D947" s="46" t="str">
        <f>IFERROR(VLOOKUP($A947,Equipos!$C$2:$M$967,3,FALSE()),"")</f>
        <v>UPC Adulto</v>
      </c>
      <c r="E947" s="46" t="str">
        <f>IFERROR(VLOOKUP($A947,Equipos!$C$2:$M$967,7,FALSE()),"")</f>
        <v>Drager</v>
      </c>
      <c r="F947" s="46" t="str">
        <f>IFERROR(VLOOKUP($A947,Equipos!$C$2:$M$967,8,FALSE()),"")</f>
        <v xml:space="preserve">Infinity Kappa </v>
      </c>
      <c r="G947" s="46" t="s">
        <v>331</v>
      </c>
      <c r="H947" s="46"/>
      <c r="I947" s="46"/>
      <c r="J947" s="46" t="s">
        <v>297</v>
      </c>
      <c r="K947" s="46" t="str">
        <f>IFERROR(VLOOKUP($J947,Catálogos!$M$4:$N$17,2,FALSE()),"")</f>
        <v>Mantención Preventiva Realizada</v>
      </c>
      <c r="L947" s="46"/>
      <c r="M947" s="46"/>
      <c r="N947" s="46"/>
      <c r="O947" s="46"/>
      <c r="P947" s="46"/>
      <c r="Q947" s="46"/>
    </row>
    <row r="948" spans="1:17" hidden="1" x14ac:dyDescent="0.25">
      <c r="A948" s="47" t="s">
        <v>892</v>
      </c>
      <c r="B948" s="46" t="str">
        <f>IFERROR(VLOOKUP($A948,Equipos!$C$2:$M$967,2,FALSE()),"")</f>
        <v>Monitor Multiparámetros</v>
      </c>
      <c r="C948" s="46" t="str">
        <f>IFERROR(VLOOKUP($A948,Equipos!$C$2:$M$967,9,FALSE()),"")</f>
        <v>5495192163</v>
      </c>
      <c r="D948" s="46" t="str">
        <f>IFERROR(VLOOKUP($A948,Equipos!$C$2:$M$967,3,FALSE()),"")</f>
        <v>Pabellón Quirúrgico</v>
      </c>
      <c r="E948" s="46" t="str">
        <f>IFERROR(VLOOKUP($A948,Equipos!$C$2:$M$967,7,FALSE()),"")</f>
        <v>Drager</v>
      </c>
      <c r="F948" s="46" t="str">
        <f>IFERROR(VLOOKUP($A948,Equipos!$C$2:$M$967,8,FALSE()),"")</f>
        <v>Infinity Kappa</v>
      </c>
      <c r="G948" s="46" t="s">
        <v>331</v>
      </c>
      <c r="H948" s="46"/>
      <c r="I948" s="46"/>
      <c r="J948" s="46" t="s">
        <v>297</v>
      </c>
      <c r="K948" s="46" t="str">
        <f>IFERROR(VLOOKUP($J948,Catálogos!$M$4:$N$17,2,FALSE()),"")</f>
        <v>Mantención Preventiva Realizada</v>
      </c>
      <c r="L948" s="46"/>
      <c r="M948" s="46"/>
      <c r="N948" s="46"/>
      <c r="O948" s="46"/>
      <c r="P948" s="46"/>
      <c r="Q948" s="46"/>
    </row>
    <row r="949" spans="1:17" hidden="1" x14ac:dyDescent="0.25">
      <c r="A949" s="47" t="s">
        <v>893</v>
      </c>
      <c r="B949" s="46" t="str">
        <f>IFERROR(VLOOKUP($A949,Equipos!$C$2:$M$967,2,FALSE()),"")</f>
        <v>Monitor Multiparámetros</v>
      </c>
      <c r="C949" s="46" t="str">
        <f>IFERROR(VLOOKUP($A949,Equipos!$C$2:$M$967,9,FALSE()),"")</f>
        <v>5495196658</v>
      </c>
      <c r="D949" s="46" t="str">
        <f>IFERROR(VLOOKUP($A949,Equipos!$C$2:$M$967,3,FALSE()),"")</f>
        <v>Pabellón Quirúrgico (Prestado a Imagenología)</v>
      </c>
      <c r="E949" s="46" t="str">
        <f>IFERROR(VLOOKUP($A949,Equipos!$C$2:$M$967,7,FALSE()),"")</f>
        <v>Drager</v>
      </c>
      <c r="F949" s="46" t="str">
        <f>IFERROR(VLOOKUP($A949,Equipos!$C$2:$M$967,8,FALSE()),"")</f>
        <v>Infinity Kappa</v>
      </c>
      <c r="G949" s="46" t="s">
        <v>331</v>
      </c>
      <c r="H949" s="46"/>
      <c r="I949" s="46"/>
      <c r="J949" s="46" t="s">
        <v>297</v>
      </c>
      <c r="K949" s="46" t="str">
        <f>IFERROR(VLOOKUP($J949,Catálogos!$M$4:$N$17,2,FALSE()),"")</f>
        <v>Mantención Preventiva Realizada</v>
      </c>
      <c r="L949" s="46"/>
      <c r="M949" s="46"/>
      <c r="N949" s="46"/>
      <c r="O949" s="46"/>
      <c r="P949" s="46"/>
      <c r="Q949" s="46"/>
    </row>
    <row r="950" spans="1:17" hidden="1" x14ac:dyDescent="0.25">
      <c r="A950" s="47" t="s">
        <v>894</v>
      </c>
      <c r="B950" s="46" t="str">
        <f>IFERROR(VLOOKUP($A950,Equipos!$C$2:$M$967,2,FALSE()),"")</f>
        <v>Monitor Multiparámetros</v>
      </c>
      <c r="C950" s="46" t="str">
        <f>IFERROR(VLOOKUP($A950,Equipos!$C$2:$M$967,9,FALSE()),"")</f>
        <v>260123-M15803660005</v>
      </c>
      <c r="D950" s="46" t="str">
        <f>IFERROR(VLOOKUP($A950,Equipos!$C$2:$M$967,3,FALSE()),"")</f>
        <v>Pediatría</v>
      </c>
      <c r="E950" s="46" t="str">
        <f>IFERROR(VLOOKUP($A950,Equipos!$C$2:$M$967,7,FALSE()),"")</f>
        <v>EDAN</v>
      </c>
      <c r="F950" s="46" t="str">
        <f>IFERROR(VLOOKUP($A950,Equipos!$C$2:$M$967,8,FALSE()),"")</f>
        <v>IM50</v>
      </c>
      <c r="G950" s="46" t="s">
        <v>335</v>
      </c>
      <c r="H950" s="46"/>
      <c r="I950" s="46"/>
      <c r="J950" s="46" t="s">
        <v>323</v>
      </c>
      <c r="K950" s="46" t="str">
        <f>IFERROR(VLOOKUP($J950,Catálogos!$M$4:$N$17,2,FALSE()),"")</f>
        <v>Reprogramada · No disponibilidad de horas hombre del funcionario SEC por alta carga laboral</v>
      </c>
      <c r="L950" s="46"/>
      <c r="M950" s="46"/>
      <c r="N950" s="46"/>
      <c r="O950" s="46"/>
      <c r="P950" s="46"/>
      <c r="Q950" s="46"/>
    </row>
    <row r="951" spans="1:17" hidden="1" x14ac:dyDescent="0.25">
      <c r="A951" s="47" t="s">
        <v>894</v>
      </c>
      <c r="B951" s="46" t="str">
        <f>IFERROR(VLOOKUP($A951,Equipos!$C$2:$M$967,2,FALSE()),"")</f>
        <v>Monitor Multiparámetros</v>
      </c>
      <c r="C951" s="46" t="str">
        <f>IFERROR(VLOOKUP($A951,Equipos!$C$2:$M$967,9,FALSE()),"")</f>
        <v>260123-M15803660005</v>
      </c>
      <c r="D951" s="46" t="str">
        <f>IFERROR(VLOOKUP($A951,Equipos!$C$2:$M$967,3,FALSE()),"")</f>
        <v>Pediatría</v>
      </c>
      <c r="E951" s="46" t="str">
        <f>IFERROR(VLOOKUP($A951,Equipos!$C$2:$M$967,7,FALSE()),"")</f>
        <v>EDAN</v>
      </c>
      <c r="F951" s="46" t="str">
        <f>IFERROR(VLOOKUP($A951,Equipos!$C$2:$M$967,8,FALSE()),"")</f>
        <v>IM50</v>
      </c>
      <c r="G951" s="46" t="s">
        <v>296</v>
      </c>
      <c r="H951" s="46"/>
      <c r="I951" s="46"/>
      <c r="J951" s="46" t="s">
        <v>297</v>
      </c>
      <c r="K951" s="46" t="str">
        <f>IFERROR(VLOOKUP($J951,Catálogos!$M$4:$N$17,2,FALSE()),"")</f>
        <v>Mantención Preventiva Realizada</v>
      </c>
      <c r="L951" s="46"/>
      <c r="M951" s="46"/>
      <c r="N951" s="46"/>
      <c r="O951" s="46"/>
      <c r="P951" s="46"/>
      <c r="Q951" s="46"/>
    </row>
    <row r="952" spans="1:17" hidden="1" x14ac:dyDescent="0.25">
      <c r="A952" s="47" t="s">
        <v>895</v>
      </c>
      <c r="B952" s="46" t="str">
        <f>IFERROR(VLOOKUP($A952,Equipos!$C$2:$M$967,2,FALSE()),"")</f>
        <v>Monitor Multiparámetros</v>
      </c>
      <c r="C952" s="46" t="str">
        <f>IFERROR(VLOOKUP($A952,Equipos!$C$2:$M$967,9,FALSE()),"")</f>
        <v>3648</v>
      </c>
      <c r="D952" s="46" t="str">
        <f>IFERROR(VLOOKUP($A952,Equipos!$C$2:$M$967,3,FALSE()),"")</f>
        <v>Quimioterapia Ambulatoria Adulto</v>
      </c>
      <c r="E952" s="46" t="str">
        <f>IFERROR(VLOOKUP($A952,Equipos!$C$2:$M$967,7,FALSE()),"")</f>
        <v xml:space="preserve">Nihon Kohden </v>
      </c>
      <c r="F952" s="46" t="str">
        <f>IFERROR(VLOOKUP($A952,Equipos!$C$2:$M$967,8,FALSE()),"")</f>
        <v>BSM-2351K</v>
      </c>
      <c r="G952" s="46" t="s">
        <v>316</v>
      </c>
      <c r="H952" s="46"/>
      <c r="I952" s="46"/>
      <c r="J952" s="46" t="s">
        <v>323</v>
      </c>
      <c r="K952" s="46" t="str">
        <f>IFERROR(VLOOKUP($J952,Catálogos!$M$4:$N$17,2,FALSE()),"")</f>
        <v>Reprogramada · No disponibilidad de horas hombre del funcionario SEC por alta carga laboral</v>
      </c>
      <c r="L952" s="46"/>
      <c r="M952" s="46"/>
      <c r="N952" s="46"/>
      <c r="O952" s="46"/>
      <c r="P952" s="46"/>
      <c r="Q952" s="46"/>
    </row>
    <row r="953" spans="1:17" hidden="1" x14ac:dyDescent="0.25">
      <c r="A953" s="47" t="s">
        <v>895</v>
      </c>
      <c r="B953" s="46" t="str">
        <f>IFERROR(VLOOKUP($A953,Equipos!$C$2:$M$967,2,FALSE()),"")</f>
        <v>Monitor Multiparámetros</v>
      </c>
      <c r="C953" s="46" t="str">
        <f>IFERROR(VLOOKUP($A953,Equipos!$C$2:$M$967,9,FALSE()),"")</f>
        <v>3648</v>
      </c>
      <c r="D953" s="46" t="str">
        <f>IFERROR(VLOOKUP($A953,Equipos!$C$2:$M$967,3,FALSE()),"")</f>
        <v>Quimioterapia Ambulatoria Adulto</v>
      </c>
      <c r="E953" s="46" t="str">
        <f>IFERROR(VLOOKUP($A953,Equipos!$C$2:$M$967,7,FALSE()),"")</f>
        <v xml:space="preserve">Nihon Kohden </v>
      </c>
      <c r="F953" s="46" t="str">
        <f>IFERROR(VLOOKUP($A953,Equipos!$C$2:$M$967,8,FALSE()),"")</f>
        <v>BSM-2351K</v>
      </c>
      <c r="G953" s="46" t="s">
        <v>331</v>
      </c>
      <c r="H953" s="46"/>
      <c r="I953" s="46"/>
      <c r="J953" s="46" t="s">
        <v>297</v>
      </c>
      <c r="K953" s="46" t="str">
        <f>IFERROR(VLOOKUP($J953,Catálogos!$M$4:$N$17,2,FALSE()),"")</f>
        <v>Mantención Preventiva Realizada</v>
      </c>
      <c r="L953" s="46"/>
      <c r="M953" s="46"/>
      <c r="N953" s="46"/>
      <c r="O953" s="46"/>
      <c r="P953" s="46"/>
      <c r="Q953" s="46"/>
    </row>
    <row r="954" spans="1:17" hidden="1" x14ac:dyDescent="0.25">
      <c r="A954" s="47" t="s">
        <v>896</v>
      </c>
      <c r="B954" s="46" t="str">
        <f>IFERROR(VLOOKUP($A954,Equipos!$C$2:$M$967,2,FALSE()),"")</f>
        <v>Monitor Multiparámetros</v>
      </c>
      <c r="C954" s="46" t="str">
        <f>IFERROR(VLOOKUP($A954,Equipos!$C$2:$M$967,9,FALSE()),"")</f>
        <v>V2SFF0044</v>
      </c>
      <c r="D954" s="46" t="str">
        <f>IFERROR(VLOOKUP($A954,Equipos!$C$2:$M$967,3,FALSE()),"")</f>
        <v>Cardiología (Prestado a Medicina cardiovascular)</v>
      </c>
      <c r="E954" s="46" t="str">
        <f>IFERROR(VLOOKUP($A954,Equipos!$C$2:$M$967,7,FALSE()),"")</f>
        <v>Drager</v>
      </c>
      <c r="F954" s="46" t="str">
        <f>IFERROR(VLOOKUP($A954,Equipos!$C$2:$M$967,8,FALSE()),"")</f>
        <v>Vista 120</v>
      </c>
      <c r="G954" s="46" t="s">
        <v>296</v>
      </c>
      <c r="H954" s="46"/>
      <c r="I954" s="46"/>
      <c r="J954" s="46" t="s">
        <v>315</v>
      </c>
      <c r="K954" s="46" t="str">
        <f>IFERROR(VLOOKUP($J954,Catálogos!$M$4:$N$17,2,FALSE()),"")</f>
        <v>Reprogramada · Ausencia justificada del funcionario SEC superior a 15 días</v>
      </c>
      <c r="L954" s="46"/>
      <c r="M954" s="46"/>
      <c r="N954" s="46"/>
      <c r="O954" s="46"/>
      <c r="P954" s="46"/>
      <c r="Q954" s="46"/>
    </row>
    <row r="955" spans="1:17" hidden="1" x14ac:dyDescent="0.25">
      <c r="A955" s="47" t="s">
        <v>896</v>
      </c>
      <c r="B955" s="46" t="str">
        <f>IFERROR(VLOOKUP($A955,Equipos!$C$2:$M$967,2,FALSE()),"")</f>
        <v>Monitor Multiparámetros</v>
      </c>
      <c r="C955" s="46" t="str">
        <f>IFERROR(VLOOKUP($A955,Equipos!$C$2:$M$967,9,FALSE()),"")</f>
        <v>V2SFF0044</v>
      </c>
      <c r="D955" s="46" t="str">
        <f>IFERROR(VLOOKUP($A955,Equipos!$C$2:$M$967,3,FALSE()),"")</f>
        <v>Cardiología (Prestado a Medicina cardiovascular)</v>
      </c>
      <c r="E955" s="46" t="str">
        <f>IFERROR(VLOOKUP($A955,Equipos!$C$2:$M$967,7,FALSE()),"")</f>
        <v>Drager</v>
      </c>
      <c r="F955" s="46" t="str">
        <f>IFERROR(VLOOKUP($A955,Equipos!$C$2:$M$967,8,FALSE()),"")</f>
        <v>Vista 120</v>
      </c>
      <c r="G955" s="46" t="s">
        <v>316</v>
      </c>
      <c r="H955" s="46"/>
      <c r="I955" s="46"/>
      <c r="J955" s="46" t="s">
        <v>297</v>
      </c>
      <c r="K955" s="46" t="str">
        <f>IFERROR(VLOOKUP($J955,Catálogos!$M$4:$N$17,2,FALSE()),"")</f>
        <v>Mantención Preventiva Realizada</v>
      </c>
      <c r="L955" s="46"/>
      <c r="M955" s="46"/>
      <c r="N955" s="46"/>
      <c r="O955" s="46"/>
      <c r="P955" s="46"/>
      <c r="Q955" s="46"/>
    </row>
    <row r="956" spans="1:17" hidden="1" x14ac:dyDescent="0.25">
      <c r="A956" s="47" t="s">
        <v>897</v>
      </c>
      <c r="B956" s="46" t="str">
        <f>IFERROR(VLOOKUP($A956,Equipos!$C$2:$M$967,2,FALSE()),"")</f>
        <v>Monitor Multiparámetros</v>
      </c>
      <c r="C956" s="46" t="str">
        <f>IFERROR(VLOOKUP($A956,Equipos!$C$2:$M$967,9,FALSE()),"")</f>
        <v>V1SHL0116</v>
      </c>
      <c r="D956" s="46" t="str">
        <f>IFERROR(VLOOKUP($A956,Equipos!$C$2:$M$967,3,FALSE()),"")</f>
        <v>Cardiología (Prestado a Medicina cardiovascular)</v>
      </c>
      <c r="E956" s="46" t="str">
        <f>IFERROR(VLOOKUP($A956,Equipos!$C$2:$M$967,7,FALSE()),"")</f>
        <v>Drager</v>
      </c>
      <c r="F956" s="46" t="str">
        <f>IFERROR(VLOOKUP($A956,Equipos!$C$2:$M$967,8,FALSE()),"")</f>
        <v>Vista 120</v>
      </c>
      <c r="G956" s="46" t="s">
        <v>296</v>
      </c>
      <c r="H956" s="46"/>
      <c r="I956" s="46"/>
      <c r="J956" s="46" t="s">
        <v>315</v>
      </c>
      <c r="K956" s="46" t="str">
        <f>IFERROR(VLOOKUP($J956,Catálogos!$M$4:$N$17,2,FALSE()),"")</f>
        <v>Reprogramada · Ausencia justificada del funcionario SEC superior a 15 días</v>
      </c>
      <c r="L956" s="46"/>
      <c r="M956" s="46"/>
      <c r="N956" s="46"/>
      <c r="O956" s="46"/>
      <c r="P956" s="46"/>
      <c r="Q956" s="46"/>
    </row>
    <row r="957" spans="1:17" hidden="1" x14ac:dyDescent="0.25">
      <c r="A957" s="47" t="s">
        <v>897</v>
      </c>
      <c r="B957" s="46" t="str">
        <f>IFERROR(VLOOKUP($A957,Equipos!$C$2:$M$967,2,FALSE()),"")</f>
        <v>Monitor Multiparámetros</v>
      </c>
      <c r="C957" s="46" t="str">
        <f>IFERROR(VLOOKUP($A957,Equipos!$C$2:$M$967,9,FALSE()),"")</f>
        <v>V1SHL0116</v>
      </c>
      <c r="D957" s="46" t="str">
        <f>IFERROR(VLOOKUP($A957,Equipos!$C$2:$M$967,3,FALSE()),"")</f>
        <v>Cardiología (Prestado a Medicina cardiovascular)</v>
      </c>
      <c r="E957" s="46" t="str">
        <f>IFERROR(VLOOKUP($A957,Equipos!$C$2:$M$967,7,FALSE()),"")</f>
        <v>Drager</v>
      </c>
      <c r="F957" s="46" t="str">
        <f>IFERROR(VLOOKUP($A957,Equipos!$C$2:$M$967,8,FALSE()),"")</f>
        <v>Vista 120</v>
      </c>
      <c r="G957" s="46" t="s">
        <v>316</v>
      </c>
      <c r="H957" s="46"/>
      <c r="I957" s="46"/>
      <c r="J957" s="46" t="s">
        <v>297</v>
      </c>
      <c r="K957" s="46" t="str">
        <f>IFERROR(VLOOKUP($J957,Catálogos!$M$4:$N$17,2,FALSE()),"")</f>
        <v>Mantención Preventiva Realizada</v>
      </c>
      <c r="L957" s="46"/>
      <c r="M957" s="46"/>
      <c r="N957" s="46"/>
      <c r="O957" s="46"/>
      <c r="P957" s="46"/>
      <c r="Q957" s="46"/>
    </row>
    <row r="958" spans="1:17" hidden="1" x14ac:dyDescent="0.25">
      <c r="A958" s="47" t="s">
        <v>898</v>
      </c>
      <c r="B958" s="46" t="str">
        <f>IFERROR(VLOOKUP($A958,Equipos!$C$2:$M$967,2,FALSE()),"")</f>
        <v>Monitor Multiparámetros</v>
      </c>
      <c r="C958" s="46" t="str">
        <f>IFERROR(VLOOKUP($A958,Equipos!$C$2:$M$967,9,FALSE()),"")</f>
        <v>VQSHF0100</v>
      </c>
      <c r="D958" s="46" t="str">
        <f>IFERROR(VLOOKUP($A958,Equipos!$C$2:$M$967,3,FALSE()),"")</f>
        <v>Electrofisiología</v>
      </c>
      <c r="E958" s="46" t="str">
        <f>IFERROR(VLOOKUP($A958,Equipos!$C$2:$M$967,7,FALSE()),"")</f>
        <v>Drager</v>
      </c>
      <c r="F958" s="46" t="str">
        <f>IFERROR(VLOOKUP($A958,Equipos!$C$2:$M$967,8,FALSE()),"")</f>
        <v>Vista 120</v>
      </c>
      <c r="G958" s="46" t="s">
        <v>316</v>
      </c>
      <c r="H958" s="46"/>
      <c r="I958" s="46"/>
      <c r="J958" s="46" t="s">
        <v>323</v>
      </c>
      <c r="K958" s="46" t="str">
        <f>IFERROR(VLOOKUP($J958,Catálogos!$M$4:$N$17,2,FALSE()),"")</f>
        <v>Reprogramada · No disponibilidad de horas hombre del funcionario SEC por alta carga laboral</v>
      </c>
      <c r="L958" s="46"/>
      <c r="M958" s="46"/>
      <c r="N958" s="46"/>
      <c r="O958" s="46"/>
      <c r="P958" s="46"/>
      <c r="Q958" s="46"/>
    </row>
    <row r="959" spans="1:17" hidden="1" x14ac:dyDescent="0.25">
      <c r="A959" s="47" t="s">
        <v>898</v>
      </c>
      <c r="B959" s="46" t="str">
        <f>IFERROR(VLOOKUP($A959,Equipos!$C$2:$M$967,2,FALSE()),"")</f>
        <v>Monitor Multiparámetros</v>
      </c>
      <c r="C959" s="46" t="str">
        <f>IFERROR(VLOOKUP($A959,Equipos!$C$2:$M$967,9,FALSE()),"")</f>
        <v>VQSHF0100</v>
      </c>
      <c r="D959" s="46" t="str">
        <f>IFERROR(VLOOKUP($A959,Equipos!$C$2:$M$967,3,FALSE()),"")</f>
        <v>Electrofisiología</v>
      </c>
      <c r="E959" s="46" t="str">
        <f>IFERROR(VLOOKUP($A959,Equipos!$C$2:$M$967,7,FALSE()),"")</f>
        <v>Drager</v>
      </c>
      <c r="F959" s="46" t="str">
        <f>IFERROR(VLOOKUP($A959,Equipos!$C$2:$M$967,8,FALSE()),"")</f>
        <v>Vista 120</v>
      </c>
      <c r="G959" s="46" t="s">
        <v>331</v>
      </c>
      <c r="H959" s="46"/>
      <c r="I959" s="46"/>
      <c r="J959" s="46" t="s">
        <v>297</v>
      </c>
      <c r="K959" s="46" t="str">
        <f>IFERROR(VLOOKUP($J959,Catálogos!$M$4:$N$17,2,FALSE()),"")</f>
        <v>Mantención Preventiva Realizada</v>
      </c>
      <c r="L959" s="46"/>
      <c r="M959" s="46"/>
      <c r="N959" s="46"/>
      <c r="O959" s="46"/>
      <c r="P959" s="46"/>
      <c r="Q959" s="46"/>
    </row>
    <row r="960" spans="1:17" hidden="1" x14ac:dyDescent="0.25">
      <c r="A960" s="47" t="s">
        <v>899</v>
      </c>
      <c r="B960" s="46" t="str">
        <f>IFERROR(VLOOKUP($A960,Equipos!$C$2:$M$967,2,FALSE()),"")</f>
        <v>Monitor Multiparámetros</v>
      </c>
      <c r="C960" s="46" t="str">
        <f>IFERROR(VLOOKUP($A960,Equipos!$C$2:$M$967,9,FALSE()),"")</f>
        <v>DE35137548</v>
      </c>
      <c r="D960" s="46" t="str">
        <f>IFERROR(VLOOKUP($A960,Equipos!$C$2:$M$967,3,FALSE()),"")</f>
        <v>Neonatología</v>
      </c>
      <c r="E960" s="46" t="str">
        <f>IFERROR(VLOOKUP($A960,Equipos!$C$2:$M$967,7,FALSE()),"")</f>
        <v>Philips</v>
      </c>
      <c r="F960" s="46" t="str">
        <f>IFERROR(VLOOKUP($A960,Equipos!$C$2:$M$967,8,FALSE()),"")</f>
        <v>MX500</v>
      </c>
      <c r="G960" s="46" t="s">
        <v>335</v>
      </c>
      <c r="H960" s="46"/>
      <c r="I960" s="46"/>
      <c r="J960" s="46" t="s">
        <v>297</v>
      </c>
      <c r="K960" s="46" t="str">
        <f>IFERROR(VLOOKUP($J960,Catálogos!$M$4:$N$17,2,FALSE()),"")</f>
        <v>Mantención Preventiva Realizada</v>
      </c>
      <c r="L960" s="46"/>
      <c r="M960" s="46"/>
      <c r="N960" s="46"/>
      <c r="O960" s="46"/>
      <c r="P960" s="46"/>
      <c r="Q960" s="46"/>
    </row>
    <row r="961" spans="1:17" hidden="1" x14ac:dyDescent="0.25">
      <c r="A961" s="47" t="s">
        <v>900</v>
      </c>
      <c r="B961" s="46" t="str">
        <f>IFERROR(VLOOKUP($A961,Equipos!$C$2:$M$967,2,FALSE()),"")</f>
        <v>Monitor Multiparámetros</v>
      </c>
      <c r="C961" s="46" t="str">
        <f>IFERROR(VLOOKUP($A961,Equipos!$C$2:$M$967,9,FALSE()),"")</f>
        <v>DE351C1289</v>
      </c>
      <c r="D961" s="46" t="str">
        <f>IFERROR(VLOOKUP($A961,Equipos!$C$2:$M$967,3,FALSE()),"")</f>
        <v>Pabellones Gineco-Obstétricos</v>
      </c>
      <c r="E961" s="46" t="str">
        <f>IFERROR(VLOOKUP($A961,Equipos!$C$2:$M$967,7,FALSE()),"")</f>
        <v>Philips</v>
      </c>
      <c r="F961" s="46" t="str">
        <f>IFERROR(VLOOKUP($A961,Equipos!$C$2:$M$967,8,FALSE()),"")</f>
        <v>MX450</v>
      </c>
      <c r="G961" s="46" t="s">
        <v>298</v>
      </c>
      <c r="H961" s="46"/>
      <c r="I961" s="46"/>
      <c r="J961" s="46" t="s">
        <v>297</v>
      </c>
      <c r="K961" s="46" t="str">
        <f>IFERROR(VLOOKUP($J961,Catálogos!$M$4:$N$17,2,FALSE()),"")</f>
        <v>Mantención Preventiva Realizada</v>
      </c>
      <c r="L961" s="46"/>
      <c r="M961" s="46"/>
      <c r="N961" s="46"/>
      <c r="O961" s="46"/>
      <c r="P961" s="46"/>
      <c r="Q961" s="46"/>
    </row>
    <row r="962" spans="1:17" hidden="1" x14ac:dyDescent="0.25">
      <c r="A962" s="47" t="s">
        <v>901</v>
      </c>
      <c r="B962" s="46" t="str">
        <f>IFERROR(VLOOKUP($A962,Equipos!$C$2:$M$967,2,FALSE()),"")</f>
        <v>Monitor Multiparámetros</v>
      </c>
      <c r="C962" s="46" t="str">
        <f>IFERROR(VLOOKUP($A962,Equipos!$C$2:$M$967,9,FALSE()),"")</f>
        <v>DE351C1464</v>
      </c>
      <c r="D962" s="46" t="str">
        <f>IFERROR(VLOOKUP($A962,Equipos!$C$2:$M$967,3,FALSE()),"")</f>
        <v>Pabellones Gineco-Obstétricos</v>
      </c>
      <c r="E962" s="46" t="str">
        <f>IFERROR(VLOOKUP($A962,Equipos!$C$2:$M$967,7,FALSE()),"")</f>
        <v>Philips</v>
      </c>
      <c r="F962" s="46" t="str">
        <f>IFERROR(VLOOKUP($A962,Equipos!$C$2:$M$967,8,FALSE()),"")</f>
        <v>MX450</v>
      </c>
      <c r="G962" s="46" t="s">
        <v>298</v>
      </c>
      <c r="H962" s="46"/>
      <c r="I962" s="46"/>
      <c r="J962" s="46" t="s">
        <v>297</v>
      </c>
      <c r="K962" s="46" t="str">
        <f>IFERROR(VLOOKUP($J962,Catálogos!$M$4:$N$17,2,FALSE()),"")</f>
        <v>Mantención Preventiva Realizada</v>
      </c>
      <c r="L962" s="46"/>
      <c r="M962" s="46"/>
      <c r="N962" s="46"/>
      <c r="O962" s="46"/>
      <c r="P962" s="46"/>
      <c r="Q962" s="46"/>
    </row>
    <row r="963" spans="1:17" hidden="1" x14ac:dyDescent="0.25">
      <c r="A963" s="47" t="s">
        <v>902</v>
      </c>
      <c r="B963" s="46" t="str">
        <f>IFERROR(VLOOKUP($A963,Equipos!$C$2:$M$967,2,FALSE()),"")</f>
        <v>Monitor Multiparámetros</v>
      </c>
      <c r="C963" s="46" t="str">
        <f>IFERROR(VLOOKUP($A963,Equipos!$C$2:$M$967,9,FALSE()),"")</f>
        <v>DE351C1468</v>
      </c>
      <c r="D963" s="46" t="str">
        <f>IFERROR(VLOOKUP($A963,Equipos!$C$2:$M$967,3,FALSE()),"")</f>
        <v>Pabellones Gineco-Obstétricos</v>
      </c>
      <c r="E963" s="46" t="str">
        <f>IFERROR(VLOOKUP($A963,Equipos!$C$2:$M$967,7,FALSE()),"")</f>
        <v>Philips</v>
      </c>
      <c r="F963" s="46" t="str">
        <f>IFERROR(VLOOKUP($A963,Equipos!$C$2:$M$967,8,FALSE()),"")</f>
        <v>MX450</v>
      </c>
      <c r="G963" s="46" t="s">
        <v>298</v>
      </c>
      <c r="H963" s="46"/>
      <c r="I963" s="46"/>
      <c r="J963" s="46" t="s">
        <v>297</v>
      </c>
      <c r="K963" s="46" t="str">
        <f>IFERROR(VLOOKUP($J963,Catálogos!$M$4:$N$17,2,FALSE()),"")</f>
        <v>Mantención Preventiva Realizada</v>
      </c>
      <c r="L963" s="46"/>
      <c r="M963" s="46"/>
      <c r="N963" s="46"/>
      <c r="O963" s="46"/>
      <c r="P963" s="46"/>
      <c r="Q963" s="46"/>
    </row>
    <row r="964" spans="1:17" hidden="1" x14ac:dyDescent="0.25">
      <c r="A964" s="47" t="s">
        <v>903</v>
      </c>
      <c r="B964" s="46" t="str">
        <f>IFERROR(VLOOKUP($A964,Equipos!$C$2:$M$967,2,FALSE()),"")</f>
        <v>Monitor Multiparámetros</v>
      </c>
      <c r="C964" s="46" t="str">
        <f>IFERROR(VLOOKUP($A964,Equipos!$C$2:$M$967,9,FALSE()),"")</f>
        <v>DE351C1471</v>
      </c>
      <c r="D964" s="46" t="str">
        <f>IFERROR(VLOOKUP($A964,Equipos!$C$2:$M$967,3,FALSE()),"")</f>
        <v>Pabellones Gineco-Obstétricos</v>
      </c>
      <c r="E964" s="46" t="str">
        <f>IFERROR(VLOOKUP($A964,Equipos!$C$2:$M$967,7,FALSE()),"")</f>
        <v>Philips</v>
      </c>
      <c r="F964" s="46" t="str">
        <f>IFERROR(VLOOKUP($A964,Equipos!$C$2:$M$967,8,FALSE()),"")</f>
        <v>MX450</v>
      </c>
      <c r="G964" s="46" t="s">
        <v>298</v>
      </c>
      <c r="H964" s="46"/>
      <c r="I964" s="46"/>
      <c r="J964" s="46" t="s">
        <v>297</v>
      </c>
      <c r="K964" s="46" t="str">
        <f>IFERROR(VLOOKUP($J964,Catálogos!$M$4:$N$17,2,FALSE()),"")</f>
        <v>Mantención Preventiva Realizada</v>
      </c>
      <c r="L964" s="46"/>
      <c r="M964" s="46"/>
      <c r="N964" s="46"/>
      <c r="O964" s="46"/>
      <c r="P964" s="46"/>
      <c r="Q964" s="46"/>
    </row>
    <row r="965" spans="1:17" hidden="1" x14ac:dyDescent="0.25">
      <c r="A965" s="47" t="s">
        <v>904</v>
      </c>
      <c r="B965" s="46" t="str">
        <f>IFERROR(VLOOKUP($A965,Equipos!$C$2:$M$967,2,FALSE()),"")</f>
        <v>Monitor Multiparámetros</v>
      </c>
      <c r="C965" s="46" t="str">
        <f>IFERROR(VLOOKUP($A965,Equipos!$C$2:$M$967,9,FALSE()),"")</f>
        <v>DE351C1466</v>
      </c>
      <c r="D965" s="46" t="str">
        <f>IFERROR(VLOOKUP($A965,Equipos!$C$2:$M$967,3,FALSE()),"")</f>
        <v>Pabellones Gineco-Obstétricos</v>
      </c>
      <c r="E965" s="46" t="str">
        <f>IFERROR(VLOOKUP($A965,Equipos!$C$2:$M$967,7,FALSE()),"")</f>
        <v>Philips</v>
      </c>
      <c r="F965" s="46" t="str">
        <f>IFERROR(VLOOKUP($A965,Equipos!$C$2:$M$967,8,FALSE()),"")</f>
        <v>MX450</v>
      </c>
      <c r="G965" s="46" t="s">
        <v>298</v>
      </c>
      <c r="H965" s="46" t="s">
        <v>460</v>
      </c>
      <c r="I965" s="46"/>
      <c r="J965" s="46" t="s">
        <v>297</v>
      </c>
      <c r="K965" s="46" t="str">
        <f>IFERROR(VLOOKUP($J965,Catálogos!$M$4:$N$17,2,FALSE()),"")</f>
        <v>Mantención Preventiva Realizada</v>
      </c>
      <c r="L965" s="48">
        <v>46169</v>
      </c>
      <c r="M965" s="46" t="s">
        <v>513</v>
      </c>
      <c r="N965" s="46" t="s">
        <v>905</v>
      </c>
      <c r="O965" s="46"/>
      <c r="P965" s="46"/>
      <c r="Q965" s="46"/>
    </row>
    <row r="966" spans="1:17" hidden="1" x14ac:dyDescent="0.25">
      <c r="A966" s="47" t="s">
        <v>906</v>
      </c>
      <c r="B966" s="46" t="str">
        <f>IFERROR(VLOOKUP($A966,Equipos!$C$2:$M$967,2,FALSE()),"")</f>
        <v>Monitor Multiparámetros</v>
      </c>
      <c r="C966" s="46" t="str">
        <f>IFERROR(VLOOKUP($A966,Equipos!$C$2:$M$967,9,FALSE()),"")</f>
        <v>5495671163</v>
      </c>
      <c r="D966" s="46" t="str">
        <f>IFERROR(VLOOKUP($A966,Equipos!$C$2:$M$967,3,FALSE()),"")</f>
        <v>Pabellones Gineco-Obstétricos</v>
      </c>
      <c r="E966" s="46" t="str">
        <f>IFERROR(VLOOKUP($A966,Equipos!$C$2:$M$967,7,FALSE()),"")</f>
        <v>Drager</v>
      </c>
      <c r="F966" s="46" t="str">
        <f>IFERROR(VLOOKUP($A966,Equipos!$C$2:$M$967,8,FALSE()),"")</f>
        <v>Infinity Kappa</v>
      </c>
      <c r="G966" s="46" t="s">
        <v>298</v>
      </c>
      <c r="H966" s="46"/>
      <c r="I966" s="46"/>
      <c r="J966" s="46" t="s">
        <v>277</v>
      </c>
      <c r="K966" s="46" t="str">
        <f>IFERROR(VLOOKUP($J966,Catálogos!$M$4:$N$17,2,FALSE()),"")</f>
        <v>Reprogramada · Equipo no operativo, a la espera de repuestos o accesorios</v>
      </c>
      <c r="L966" s="46"/>
      <c r="M966" s="46"/>
      <c r="N966" s="46"/>
      <c r="O966" s="46"/>
      <c r="P966" s="46"/>
      <c r="Q966" s="46"/>
    </row>
    <row r="967" spans="1:17" hidden="1" x14ac:dyDescent="0.25">
      <c r="A967" s="47" t="s">
        <v>907</v>
      </c>
      <c r="B967" s="46" t="str">
        <f>IFERROR(VLOOKUP($A967,Equipos!$C$2:$M$967,2,FALSE()),"")</f>
        <v>Monitor Multiparámetros</v>
      </c>
      <c r="C967" s="46" t="str">
        <f>IFERROR(VLOOKUP($A967,Equipos!$C$2:$M$967,9,FALSE()),"")</f>
        <v>DE671E0395</v>
      </c>
      <c r="D967" s="46" t="str">
        <f>IFERROR(VLOOKUP($A967,Equipos!$C$2:$M$967,3,FALSE()),"")</f>
        <v>Neonatología</v>
      </c>
      <c r="E967" s="46" t="str">
        <f>IFERROR(VLOOKUP($A967,Equipos!$C$2:$M$967,7,FALSE()),"")</f>
        <v>Philips</v>
      </c>
      <c r="F967" s="46" t="str">
        <f>IFERROR(VLOOKUP($A967,Equipos!$C$2:$M$967,8,FALSE()),"")</f>
        <v>Intellivue MX550</v>
      </c>
      <c r="G967" s="46" t="s">
        <v>335</v>
      </c>
      <c r="H967" s="46"/>
      <c r="I967" s="46"/>
      <c r="J967" s="46" t="s">
        <v>297</v>
      </c>
      <c r="K967" s="46" t="str">
        <f>IFERROR(VLOOKUP($J967,Catálogos!$M$4:$N$17,2,FALSE()),"")</f>
        <v>Mantención Preventiva Realizada</v>
      </c>
      <c r="L967" s="46"/>
      <c r="M967" s="46"/>
      <c r="N967" s="46"/>
      <c r="O967" s="46"/>
      <c r="P967" s="46"/>
      <c r="Q967" s="46"/>
    </row>
    <row r="968" spans="1:17" hidden="1" x14ac:dyDescent="0.25">
      <c r="A968" s="47" t="s">
        <v>908</v>
      </c>
      <c r="B968" s="46" t="str">
        <f>IFERROR(VLOOKUP($A968,Equipos!$C$2:$M$967,2,FALSE()),"")</f>
        <v>Monitor Multiparámetros</v>
      </c>
      <c r="C968" s="46" t="str">
        <f>IFERROR(VLOOKUP($A968,Equipos!$C$2:$M$967,9,FALSE()),"")</f>
        <v>DE671E0396</v>
      </c>
      <c r="D968" s="46" t="str">
        <f>IFERROR(VLOOKUP($A968,Equipos!$C$2:$M$967,3,FALSE()),"")</f>
        <v>Neonatología</v>
      </c>
      <c r="E968" s="46" t="str">
        <f>IFERROR(VLOOKUP($A968,Equipos!$C$2:$M$967,7,FALSE()),"")</f>
        <v>Philips</v>
      </c>
      <c r="F968" s="46" t="str">
        <f>IFERROR(VLOOKUP($A968,Equipos!$C$2:$M$967,8,FALSE()),"")</f>
        <v>Intellivue MX550</v>
      </c>
      <c r="G968" s="46" t="s">
        <v>335</v>
      </c>
      <c r="H968" s="46"/>
      <c r="I968" s="46"/>
      <c r="J968" s="46" t="s">
        <v>323</v>
      </c>
      <c r="K968" s="46" t="str">
        <f>IFERROR(VLOOKUP($J968,Catálogos!$M$4:$N$17,2,FALSE()),"")</f>
        <v>Reprogramada · No disponibilidad de horas hombre del funcionario SEC por alta carga laboral</v>
      </c>
      <c r="L968" s="46"/>
      <c r="M968" s="46"/>
      <c r="N968" s="46"/>
      <c r="O968" s="46"/>
      <c r="P968" s="46"/>
      <c r="Q968" s="46"/>
    </row>
    <row r="969" spans="1:17" hidden="1" x14ac:dyDescent="0.25">
      <c r="A969" s="47" t="s">
        <v>908</v>
      </c>
      <c r="B969" s="46" t="str">
        <f>IFERROR(VLOOKUP($A969,Equipos!$C$2:$M$967,2,FALSE()),"")</f>
        <v>Monitor Multiparámetros</v>
      </c>
      <c r="C969" s="46" t="str">
        <f>IFERROR(VLOOKUP($A969,Equipos!$C$2:$M$967,9,FALSE()),"")</f>
        <v>DE671E0396</v>
      </c>
      <c r="D969" s="46" t="str">
        <f>IFERROR(VLOOKUP($A969,Equipos!$C$2:$M$967,3,FALSE()),"")</f>
        <v>Neonatología</v>
      </c>
      <c r="E969" s="46" t="str">
        <f>IFERROR(VLOOKUP($A969,Equipos!$C$2:$M$967,7,FALSE()),"")</f>
        <v>Philips</v>
      </c>
      <c r="F969" s="46" t="str">
        <f>IFERROR(VLOOKUP($A969,Equipos!$C$2:$M$967,8,FALSE()),"")</f>
        <v>Intellivue MX550</v>
      </c>
      <c r="G969" s="46" t="s">
        <v>296</v>
      </c>
      <c r="H969" s="46"/>
      <c r="I969" s="46"/>
      <c r="J969" s="46" t="s">
        <v>297</v>
      </c>
      <c r="K969" s="46" t="str">
        <f>IFERROR(VLOOKUP($J969,Catálogos!$M$4:$N$17,2,FALSE()),"")</f>
        <v>Mantención Preventiva Realizada</v>
      </c>
      <c r="L969" s="46"/>
      <c r="M969" s="46"/>
      <c r="N969" s="46"/>
      <c r="O969" s="46"/>
      <c r="P969" s="46"/>
      <c r="Q969" s="46"/>
    </row>
    <row r="970" spans="1:17" hidden="1" x14ac:dyDescent="0.25">
      <c r="A970" s="47" t="s">
        <v>909</v>
      </c>
      <c r="B970" s="46" t="str">
        <f>IFERROR(VLOOKUP($A970,Equipos!$C$2:$M$967,2,FALSE()),"")</f>
        <v>Monitor Multiparámetros</v>
      </c>
      <c r="C970" s="46" t="str">
        <f>IFERROR(VLOOKUP($A970,Equipos!$C$2:$M$967,9,FALSE()),"")</f>
        <v>DE671E0397</v>
      </c>
      <c r="D970" s="46" t="str">
        <f>IFERROR(VLOOKUP($A970,Equipos!$C$2:$M$967,3,FALSE()),"")</f>
        <v>Neonatología</v>
      </c>
      <c r="E970" s="46" t="str">
        <f>IFERROR(VLOOKUP($A970,Equipos!$C$2:$M$967,7,FALSE()),"")</f>
        <v>Philips</v>
      </c>
      <c r="F970" s="46" t="str">
        <f>IFERROR(VLOOKUP($A970,Equipos!$C$2:$M$967,8,FALSE()),"")</f>
        <v>Intellivue MX550</v>
      </c>
      <c r="G970" s="46" t="s">
        <v>335</v>
      </c>
      <c r="H970" s="46"/>
      <c r="I970" s="46"/>
      <c r="J970" s="46" t="s">
        <v>297</v>
      </c>
      <c r="K970" s="46" t="str">
        <f>IFERROR(VLOOKUP($J970,Catálogos!$M$4:$N$17,2,FALSE()),"")</f>
        <v>Mantención Preventiva Realizada</v>
      </c>
      <c r="L970" s="46"/>
      <c r="M970" s="46"/>
      <c r="N970" s="46"/>
      <c r="O970" s="46"/>
      <c r="P970" s="46"/>
      <c r="Q970" s="46"/>
    </row>
    <row r="971" spans="1:17" hidden="1" x14ac:dyDescent="0.25">
      <c r="A971" s="47" t="s">
        <v>910</v>
      </c>
      <c r="B971" s="46" t="str">
        <f>IFERROR(VLOOKUP($A971,Equipos!$C$2:$M$967,2,FALSE()),"")</f>
        <v>Monitor Multiparámetros</v>
      </c>
      <c r="C971" s="46" t="str">
        <f>IFERROR(VLOOKUP($A971,Equipos!$C$2:$M$967,9,FALSE()),"")</f>
        <v>DE671E0398</v>
      </c>
      <c r="D971" s="46" t="str">
        <f>IFERROR(VLOOKUP($A971,Equipos!$C$2:$M$967,3,FALSE()),"")</f>
        <v>Neonatología</v>
      </c>
      <c r="E971" s="46" t="str">
        <f>IFERROR(VLOOKUP($A971,Equipos!$C$2:$M$967,7,FALSE()),"")</f>
        <v>Philips</v>
      </c>
      <c r="F971" s="46" t="str">
        <f>IFERROR(VLOOKUP($A971,Equipos!$C$2:$M$967,8,FALSE()),"")</f>
        <v>Intellivue MX550</v>
      </c>
      <c r="G971" s="46" t="s">
        <v>335</v>
      </c>
      <c r="H971" s="46"/>
      <c r="I971" s="46"/>
      <c r="J971" s="46" t="s">
        <v>297</v>
      </c>
      <c r="K971" s="46" t="str">
        <f>IFERROR(VLOOKUP($J971,Catálogos!$M$4:$N$17,2,FALSE()),"")</f>
        <v>Mantención Preventiva Realizada</v>
      </c>
      <c r="L971" s="46"/>
      <c r="M971" s="46"/>
      <c r="N971" s="46"/>
      <c r="O971" s="46"/>
      <c r="P971" s="46"/>
      <c r="Q971" s="46"/>
    </row>
    <row r="972" spans="1:17" hidden="1" x14ac:dyDescent="0.25">
      <c r="A972" s="47" t="s">
        <v>911</v>
      </c>
      <c r="B972" s="46" t="str">
        <f>IFERROR(VLOOKUP($A972,Equipos!$C$2:$M$967,2,FALSE()),"")</f>
        <v>Monitor Multiparámetros</v>
      </c>
      <c r="C972" s="46" t="str">
        <f>IFERROR(VLOOKUP($A972,Equipos!$C$2:$M$967,9,FALSE()),"")</f>
        <v>DE671E0399</v>
      </c>
      <c r="D972" s="46" t="str">
        <f>IFERROR(VLOOKUP($A972,Equipos!$C$2:$M$967,3,FALSE()),"")</f>
        <v>Neonatología</v>
      </c>
      <c r="E972" s="46" t="str">
        <f>IFERROR(VLOOKUP($A972,Equipos!$C$2:$M$967,7,FALSE()),"")</f>
        <v>Philips</v>
      </c>
      <c r="F972" s="46" t="str">
        <f>IFERROR(VLOOKUP($A972,Equipos!$C$2:$M$967,8,FALSE()),"")</f>
        <v>Intellivue MX550</v>
      </c>
      <c r="G972" s="46" t="s">
        <v>335</v>
      </c>
      <c r="H972" s="46"/>
      <c r="I972" s="46"/>
      <c r="J972" s="46" t="s">
        <v>297</v>
      </c>
      <c r="K972" s="46" t="str">
        <f>IFERROR(VLOOKUP($J972,Catálogos!$M$4:$N$17,2,FALSE()),"")</f>
        <v>Mantención Preventiva Realizada</v>
      </c>
      <c r="L972" s="46"/>
      <c r="M972" s="46"/>
      <c r="N972" s="46"/>
      <c r="O972" s="46"/>
      <c r="P972" s="46"/>
      <c r="Q972" s="46"/>
    </row>
    <row r="973" spans="1:17" hidden="1" x14ac:dyDescent="0.25">
      <c r="A973" s="47" t="s">
        <v>912</v>
      </c>
      <c r="B973" s="46" t="str">
        <f>IFERROR(VLOOKUP($A973,Equipos!$C$2:$M$967,2,FALSE()),"")</f>
        <v>Monitor Multiparámetros</v>
      </c>
      <c r="C973" s="46" t="str">
        <f>IFERROR(VLOOKUP($A973,Equipos!$C$2:$M$967,9,FALSE()),"")</f>
        <v>DE671E0401</v>
      </c>
      <c r="D973" s="46" t="str">
        <f>IFERROR(VLOOKUP($A973,Equipos!$C$2:$M$967,3,FALSE()),"")</f>
        <v>Neonatología</v>
      </c>
      <c r="E973" s="46" t="str">
        <f>IFERROR(VLOOKUP($A973,Equipos!$C$2:$M$967,7,FALSE()),"")</f>
        <v>Philips</v>
      </c>
      <c r="F973" s="46" t="str">
        <f>IFERROR(VLOOKUP($A973,Equipos!$C$2:$M$967,8,FALSE()),"")</f>
        <v>Intellivue MX550</v>
      </c>
      <c r="G973" s="46" t="s">
        <v>335</v>
      </c>
      <c r="H973" s="46"/>
      <c r="I973" s="46"/>
      <c r="J973" s="46" t="s">
        <v>297</v>
      </c>
      <c r="K973" s="46" t="str">
        <f>IFERROR(VLOOKUP($J973,Catálogos!$M$4:$N$17,2,FALSE()),"")</f>
        <v>Mantención Preventiva Realizada</v>
      </c>
      <c r="L973" s="46"/>
      <c r="M973" s="46"/>
      <c r="N973" s="46"/>
      <c r="O973" s="46"/>
      <c r="P973" s="46"/>
      <c r="Q973" s="46"/>
    </row>
    <row r="974" spans="1:17" hidden="1" x14ac:dyDescent="0.25">
      <c r="A974" s="47" t="s">
        <v>913</v>
      </c>
      <c r="B974" s="46" t="str">
        <f>IFERROR(VLOOKUP($A974,Equipos!$C$2:$M$967,2,FALSE()),"")</f>
        <v>Monitor Multiparámetros</v>
      </c>
      <c r="C974" s="46" t="str">
        <f>IFERROR(VLOOKUP($A974,Equipos!$C$2:$M$967,9,FALSE()),"")</f>
        <v>DE671E0403</v>
      </c>
      <c r="D974" s="46" t="str">
        <f>IFERROR(VLOOKUP($A974,Equipos!$C$2:$M$967,3,FALSE()),"")</f>
        <v>Neonatología</v>
      </c>
      <c r="E974" s="46" t="str">
        <f>IFERROR(VLOOKUP($A974,Equipos!$C$2:$M$967,7,FALSE()),"")</f>
        <v>Philips</v>
      </c>
      <c r="F974" s="46" t="str">
        <f>IFERROR(VLOOKUP($A974,Equipos!$C$2:$M$967,8,FALSE()),"")</f>
        <v>Intellivue MX550</v>
      </c>
      <c r="G974" s="46" t="s">
        <v>335</v>
      </c>
      <c r="H974" s="46"/>
      <c r="I974" s="46"/>
      <c r="J974" s="46" t="s">
        <v>297</v>
      </c>
      <c r="K974" s="46" t="str">
        <f>IFERROR(VLOOKUP($J974,Catálogos!$M$4:$N$17,2,FALSE()),"")</f>
        <v>Mantención Preventiva Realizada</v>
      </c>
      <c r="L974" s="46"/>
      <c r="M974" s="46"/>
      <c r="N974" s="46"/>
      <c r="O974" s="46"/>
      <c r="P974" s="46"/>
      <c r="Q974" s="46"/>
    </row>
    <row r="975" spans="1:17" hidden="1" x14ac:dyDescent="0.25">
      <c r="A975" s="47" t="s">
        <v>914</v>
      </c>
      <c r="B975" s="46" t="str">
        <f>IFERROR(VLOOKUP($A975,Equipos!$C$2:$M$967,2,FALSE()),"")</f>
        <v>Monitor Multiparámetros</v>
      </c>
      <c r="C975" s="46" t="str">
        <f>IFERROR(VLOOKUP($A975,Equipos!$C$2:$M$967,9,FALSE()),"")</f>
        <v>DE671E0404</v>
      </c>
      <c r="D975" s="46" t="str">
        <f>IFERROR(VLOOKUP($A975,Equipos!$C$2:$M$967,3,FALSE()),"")</f>
        <v>Neonatología</v>
      </c>
      <c r="E975" s="46" t="str">
        <f>IFERROR(VLOOKUP($A975,Equipos!$C$2:$M$967,7,FALSE()),"")</f>
        <v>Philips</v>
      </c>
      <c r="F975" s="46" t="str">
        <f>IFERROR(VLOOKUP($A975,Equipos!$C$2:$M$967,8,FALSE()),"")</f>
        <v>Intellivue MX550</v>
      </c>
      <c r="G975" s="46" t="s">
        <v>335</v>
      </c>
      <c r="H975" s="46"/>
      <c r="I975" s="46"/>
      <c r="J975" s="46" t="s">
        <v>323</v>
      </c>
      <c r="K975" s="46" t="str">
        <f>IFERROR(VLOOKUP($J975,Catálogos!$M$4:$N$17,2,FALSE()),"")</f>
        <v>Reprogramada · No disponibilidad de horas hombre del funcionario SEC por alta carga laboral</v>
      </c>
      <c r="L975" s="46"/>
      <c r="M975" s="46"/>
      <c r="N975" s="46"/>
      <c r="O975" s="46"/>
      <c r="P975" s="46"/>
      <c r="Q975" s="46"/>
    </row>
    <row r="976" spans="1:17" hidden="1" x14ac:dyDescent="0.25">
      <c r="A976" s="47" t="s">
        <v>914</v>
      </c>
      <c r="B976" s="46" t="str">
        <f>IFERROR(VLOOKUP($A976,Equipos!$C$2:$M$967,2,FALSE()),"")</f>
        <v>Monitor Multiparámetros</v>
      </c>
      <c r="C976" s="46" t="str">
        <f>IFERROR(VLOOKUP($A976,Equipos!$C$2:$M$967,9,FALSE()),"")</f>
        <v>DE671E0404</v>
      </c>
      <c r="D976" s="46" t="str">
        <f>IFERROR(VLOOKUP($A976,Equipos!$C$2:$M$967,3,FALSE()),"")</f>
        <v>Neonatología</v>
      </c>
      <c r="E976" s="46" t="str">
        <f>IFERROR(VLOOKUP($A976,Equipos!$C$2:$M$967,7,FALSE()),"")</f>
        <v>Philips</v>
      </c>
      <c r="F976" s="46" t="str">
        <f>IFERROR(VLOOKUP($A976,Equipos!$C$2:$M$967,8,FALSE()),"")</f>
        <v>Intellivue MX550</v>
      </c>
      <c r="G976" s="46" t="s">
        <v>296</v>
      </c>
      <c r="H976" s="46"/>
      <c r="I976" s="46"/>
      <c r="J976" s="46" t="s">
        <v>297</v>
      </c>
      <c r="K976" s="46" t="str">
        <f>IFERROR(VLOOKUP($J976,Catálogos!$M$4:$N$17,2,FALSE()),"")</f>
        <v>Mantención Preventiva Realizada</v>
      </c>
      <c r="L976" s="46"/>
      <c r="M976" s="46"/>
      <c r="N976" s="46"/>
      <c r="O976" s="46"/>
      <c r="P976" s="46"/>
      <c r="Q976" s="46"/>
    </row>
    <row r="977" spans="1:17" hidden="1" x14ac:dyDescent="0.25">
      <c r="A977" s="47" t="s">
        <v>915</v>
      </c>
      <c r="B977" s="46" t="str">
        <f>IFERROR(VLOOKUP($A977,Equipos!$C$2:$M$967,2,FALSE()),"")</f>
        <v>Monitor Multiparámetros</v>
      </c>
      <c r="C977" s="46" t="str">
        <f>IFERROR(VLOOKUP($A977,Equipos!$C$2:$M$967,9,FALSE()),"")</f>
        <v>DE671E0405</v>
      </c>
      <c r="D977" s="46" t="str">
        <f>IFERROR(VLOOKUP($A977,Equipos!$C$2:$M$967,3,FALSE()),"")</f>
        <v>Neonatología</v>
      </c>
      <c r="E977" s="46" t="str">
        <f>IFERROR(VLOOKUP($A977,Equipos!$C$2:$M$967,7,FALSE()),"")</f>
        <v>Philips</v>
      </c>
      <c r="F977" s="46" t="str">
        <f>IFERROR(VLOOKUP($A977,Equipos!$C$2:$M$967,8,FALSE()),"")</f>
        <v>Intellivue MX550</v>
      </c>
      <c r="G977" s="46" t="s">
        <v>335</v>
      </c>
      <c r="H977" s="46"/>
      <c r="I977" s="46"/>
      <c r="J977" s="46" t="s">
        <v>297</v>
      </c>
      <c r="K977" s="46" t="str">
        <f>IFERROR(VLOOKUP($J977,Catálogos!$M$4:$N$17,2,FALSE()),"")</f>
        <v>Mantención Preventiva Realizada</v>
      </c>
      <c r="L977" s="46"/>
      <c r="M977" s="46"/>
      <c r="N977" s="46"/>
      <c r="O977" s="46"/>
      <c r="P977" s="46"/>
      <c r="Q977" s="46"/>
    </row>
    <row r="978" spans="1:17" hidden="1" x14ac:dyDescent="0.25">
      <c r="A978" s="47" t="s">
        <v>916</v>
      </c>
      <c r="B978" s="46" t="str">
        <f>IFERROR(VLOOKUP($A978,Equipos!$C$2:$M$967,2,FALSE()),"")</f>
        <v>Monitor Multiparámetros</v>
      </c>
      <c r="C978" s="46" t="str">
        <f>IFERROR(VLOOKUP($A978,Equipos!$C$2:$M$967,9,FALSE()),"")</f>
        <v>DE671E0406</v>
      </c>
      <c r="D978" s="46" t="str">
        <f>IFERROR(VLOOKUP($A978,Equipos!$C$2:$M$967,3,FALSE()),"")</f>
        <v>Neonatología</v>
      </c>
      <c r="E978" s="46" t="str">
        <f>IFERROR(VLOOKUP($A978,Equipos!$C$2:$M$967,7,FALSE()),"")</f>
        <v>Philips</v>
      </c>
      <c r="F978" s="46" t="str">
        <f>IFERROR(VLOOKUP($A978,Equipos!$C$2:$M$967,8,FALSE()),"")</f>
        <v>Intellivue MX550</v>
      </c>
      <c r="G978" s="46" t="s">
        <v>335</v>
      </c>
      <c r="H978" s="46"/>
      <c r="I978" s="46"/>
      <c r="J978" s="46" t="s">
        <v>323</v>
      </c>
      <c r="K978" s="46" t="str">
        <f>IFERROR(VLOOKUP($J978,Catálogos!$M$4:$N$17,2,FALSE()),"")</f>
        <v>Reprogramada · No disponibilidad de horas hombre del funcionario SEC por alta carga laboral</v>
      </c>
      <c r="L978" s="46"/>
      <c r="M978" s="46"/>
      <c r="N978" s="46"/>
      <c r="O978" s="46"/>
      <c r="P978" s="46"/>
      <c r="Q978" s="46"/>
    </row>
    <row r="979" spans="1:17" hidden="1" x14ac:dyDescent="0.25">
      <c r="A979" s="47" t="s">
        <v>916</v>
      </c>
      <c r="B979" s="46" t="str">
        <f>IFERROR(VLOOKUP($A979,Equipos!$C$2:$M$967,2,FALSE()),"")</f>
        <v>Monitor Multiparámetros</v>
      </c>
      <c r="C979" s="46" t="str">
        <f>IFERROR(VLOOKUP($A979,Equipos!$C$2:$M$967,9,FALSE()),"")</f>
        <v>DE671E0406</v>
      </c>
      <c r="D979" s="46" t="str">
        <f>IFERROR(VLOOKUP($A979,Equipos!$C$2:$M$967,3,FALSE()),"")</f>
        <v>Neonatología</v>
      </c>
      <c r="E979" s="46" t="str">
        <f>IFERROR(VLOOKUP($A979,Equipos!$C$2:$M$967,7,FALSE()),"")</f>
        <v>Philips</v>
      </c>
      <c r="F979" s="46" t="str">
        <f>IFERROR(VLOOKUP($A979,Equipos!$C$2:$M$967,8,FALSE()),"")</f>
        <v>Intellivue MX550</v>
      </c>
      <c r="G979" s="46" t="s">
        <v>296</v>
      </c>
      <c r="H979" s="46"/>
      <c r="I979" s="46"/>
      <c r="J979" s="46" t="s">
        <v>297</v>
      </c>
      <c r="K979" s="46" t="str">
        <f>IFERROR(VLOOKUP($J979,Catálogos!$M$4:$N$17,2,FALSE()),"")</f>
        <v>Mantención Preventiva Realizada</v>
      </c>
      <c r="L979" s="46"/>
      <c r="M979" s="46"/>
      <c r="N979" s="46"/>
      <c r="O979" s="46"/>
      <c r="P979" s="46"/>
      <c r="Q979" s="46"/>
    </row>
    <row r="980" spans="1:17" hidden="1" x14ac:dyDescent="0.25">
      <c r="A980" s="47" t="s">
        <v>917</v>
      </c>
      <c r="B980" s="46" t="str">
        <f>IFERROR(VLOOKUP($A980,Equipos!$C$2:$M$967,2,FALSE()),"")</f>
        <v>Monitor Multiparámetros</v>
      </c>
      <c r="C980" s="46" t="str">
        <f>IFERROR(VLOOKUP($A980,Equipos!$C$2:$M$967,9,FALSE()),"")</f>
        <v>DE671E0407</v>
      </c>
      <c r="D980" s="46" t="str">
        <f>IFERROR(VLOOKUP($A980,Equipos!$C$2:$M$967,3,FALSE()),"")</f>
        <v>Neonatología</v>
      </c>
      <c r="E980" s="46" t="str">
        <f>IFERROR(VLOOKUP($A980,Equipos!$C$2:$M$967,7,FALSE()),"")</f>
        <v>Philips</v>
      </c>
      <c r="F980" s="46" t="str">
        <f>IFERROR(VLOOKUP($A980,Equipos!$C$2:$M$967,8,FALSE()),"")</f>
        <v>Intellivue MX550</v>
      </c>
      <c r="G980" s="46" t="s">
        <v>335</v>
      </c>
      <c r="H980" s="46"/>
      <c r="I980" s="46"/>
      <c r="J980" s="46" t="s">
        <v>297</v>
      </c>
      <c r="K980" s="46" t="str">
        <f>IFERROR(VLOOKUP($J980,Catálogos!$M$4:$N$17,2,FALSE()),"")</f>
        <v>Mantención Preventiva Realizada</v>
      </c>
      <c r="L980" s="46"/>
      <c r="M980" s="46"/>
      <c r="N980" s="46"/>
      <c r="O980" s="46"/>
      <c r="P980" s="46"/>
      <c r="Q980" s="46"/>
    </row>
    <row r="981" spans="1:17" hidden="1" x14ac:dyDescent="0.25">
      <c r="A981" s="47" t="s">
        <v>918</v>
      </c>
      <c r="B981" s="46" t="str">
        <f>IFERROR(VLOOKUP($A981,Equipos!$C$2:$M$967,2,FALSE()),"")</f>
        <v>Monitor Multiparámetros</v>
      </c>
      <c r="C981" s="46" t="str">
        <f>IFERROR(VLOOKUP($A981,Equipos!$C$2:$M$967,9,FALSE()),"")</f>
        <v>DE671E0408</v>
      </c>
      <c r="D981" s="46" t="str">
        <f>IFERROR(VLOOKUP($A981,Equipos!$C$2:$M$967,3,FALSE()),"")</f>
        <v>Neonatología</v>
      </c>
      <c r="E981" s="46" t="str">
        <f>IFERROR(VLOOKUP($A981,Equipos!$C$2:$M$967,7,FALSE()),"")</f>
        <v>Philips</v>
      </c>
      <c r="F981" s="46" t="str">
        <f>IFERROR(VLOOKUP($A981,Equipos!$C$2:$M$967,8,FALSE()),"")</f>
        <v>Intellivue MX550</v>
      </c>
      <c r="G981" s="46" t="s">
        <v>335</v>
      </c>
      <c r="H981" s="46"/>
      <c r="I981" s="46"/>
      <c r="J981" s="46" t="s">
        <v>297</v>
      </c>
      <c r="K981" s="46" t="str">
        <f>IFERROR(VLOOKUP($J981,Catálogos!$M$4:$N$17,2,FALSE()),"")</f>
        <v>Mantención Preventiva Realizada</v>
      </c>
      <c r="L981" s="46"/>
      <c r="M981" s="46"/>
      <c r="N981" s="46"/>
      <c r="O981" s="46"/>
      <c r="P981" s="46"/>
      <c r="Q981" s="46"/>
    </row>
    <row r="982" spans="1:17" hidden="1" x14ac:dyDescent="0.25">
      <c r="A982" s="47" t="s">
        <v>919</v>
      </c>
      <c r="B982" s="46" t="str">
        <f>IFERROR(VLOOKUP($A982,Equipos!$C$2:$M$967,2,FALSE()),"")</f>
        <v>Monitor Multiparámetros</v>
      </c>
      <c r="C982" s="46" t="str">
        <f>IFERROR(VLOOKUP($A982,Equipos!$C$2:$M$967,9,FALSE()),"")</f>
        <v>DE671E0409</v>
      </c>
      <c r="D982" s="46" t="str">
        <f>IFERROR(VLOOKUP($A982,Equipos!$C$2:$M$967,3,FALSE()),"")</f>
        <v>Neonatología</v>
      </c>
      <c r="E982" s="46" t="str">
        <f>IFERROR(VLOOKUP($A982,Equipos!$C$2:$M$967,7,FALSE()),"")</f>
        <v>Philips</v>
      </c>
      <c r="F982" s="46" t="str">
        <f>IFERROR(VLOOKUP($A982,Equipos!$C$2:$M$967,8,FALSE()),"")</f>
        <v>Intellivue MX550</v>
      </c>
      <c r="G982" s="46" t="s">
        <v>335</v>
      </c>
      <c r="H982" s="46"/>
      <c r="I982" s="46"/>
      <c r="J982" s="46" t="s">
        <v>297</v>
      </c>
      <c r="K982" s="46" t="str">
        <f>IFERROR(VLOOKUP($J982,Catálogos!$M$4:$N$17,2,FALSE()),"")</f>
        <v>Mantención Preventiva Realizada</v>
      </c>
      <c r="L982" s="46"/>
      <c r="M982" s="46"/>
      <c r="N982" s="46"/>
      <c r="O982" s="46"/>
      <c r="P982" s="46"/>
      <c r="Q982" s="46"/>
    </row>
    <row r="983" spans="1:17" hidden="1" x14ac:dyDescent="0.25">
      <c r="A983" s="47" t="s">
        <v>920</v>
      </c>
      <c r="B983" s="46" t="str">
        <f>IFERROR(VLOOKUP($A983,Equipos!$C$2:$M$967,2,FALSE()),"")</f>
        <v>Monitor Multiparámetros</v>
      </c>
      <c r="C983" s="46" t="str">
        <f>IFERROR(VLOOKUP($A983,Equipos!$C$2:$M$967,9,FALSE()),"")</f>
        <v>DE671E0410</v>
      </c>
      <c r="D983" s="46" t="str">
        <f>IFERROR(VLOOKUP($A983,Equipos!$C$2:$M$967,3,FALSE()),"")</f>
        <v>Neonatología</v>
      </c>
      <c r="E983" s="46" t="str">
        <f>IFERROR(VLOOKUP($A983,Equipos!$C$2:$M$967,7,FALSE()),"")</f>
        <v>Philips</v>
      </c>
      <c r="F983" s="46" t="str">
        <f>IFERROR(VLOOKUP($A983,Equipos!$C$2:$M$967,8,FALSE()),"")</f>
        <v>Intellivue MX550</v>
      </c>
      <c r="G983" s="46" t="s">
        <v>335</v>
      </c>
      <c r="H983" s="46"/>
      <c r="I983" s="46"/>
      <c r="J983" s="46" t="s">
        <v>297</v>
      </c>
      <c r="K983" s="46" t="str">
        <f>IFERROR(VLOOKUP($J983,Catálogos!$M$4:$N$17,2,FALSE()),"")</f>
        <v>Mantención Preventiva Realizada</v>
      </c>
      <c r="L983" s="46"/>
      <c r="M983" s="46"/>
      <c r="N983" s="46"/>
      <c r="O983" s="46"/>
      <c r="P983" s="46"/>
      <c r="Q983" s="46"/>
    </row>
    <row r="984" spans="1:17" hidden="1" x14ac:dyDescent="0.25">
      <c r="A984" s="47" t="s">
        <v>921</v>
      </c>
      <c r="B984" s="46" t="str">
        <f>IFERROR(VLOOKUP($A984,Equipos!$C$2:$M$967,2,FALSE()),"")</f>
        <v>Monitor Multiparámetros</v>
      </c>
      <c r="C984" s="46" t="str">
        <f>IFERROR(VLOOKUP($A984,Equipos!$C$2:$M$967,9,FALSE()),"")</f>
        <v>DE671E0434</v>
      </c>
      <c r="D984" s="46" t="str">
        <f>IFERROR(VLOOKUP($A984,Equipos!$C$2:$M$967,3,FALSE()),"")</f>
        <v>Neonatología</v>
      </c>
      <c r="E984" s="46" t="str">
        <f>IFERROR(VLOOKUP($A984,Equipos!$C$2:$M$967,7,FALSE()),"")</f>
        <v>Philips</v>
      </c>
      <c r="F984" s="46" t="str">
        <f>IFERROR(VLOOKUP($A984,Equipos!$C$2:$M$967,8,FALSE()),"")</f>
        <v>Intellivue MX550</v>
      </c>
      <c r="G984" s="46" t="s">
        <v>335</v>
      </c>
      <c r="H984" s="46"/>
      <c r="I984" s="46"/>
      <c r="J984" s="46" t="s">
        <v>297</v>
      </c>
      <c r="K984" s="46" t="str">
        <f>IFERROR(VLOOKUP($J984,Catálogos!$M$4:$N$17,2,FALSE()),"")</f>
        <v>Mantención Preventiva Realizada</v>
      </c>
      <c r="L984" s="46"/>
      <c r="M984" s="46"/>
      <c r="N984" s="46"/>
      <c r="O984" s="46"/>
      <c r="P984" s="46"/>
      <c r="Q984" s="46"/>
    </row>
    <row r="985" spans="1:17" hidden="1" x14ac:dyDescent="0.25">
      <c r="A985" s="47" t="s">
        <v>922</v>
      </c>
      <c r="B985" s="46" t="str">
        <f>IFERROR(VLOOKUP($A985,Equipos!$C$2:$M$967,2,FALSE()),"")</f>
        <v>Monitor Multiparámetros</v>
      </c>
      <c r="C985" s="46" t="str">
        <f>IFERROR(VLOOKUP($A985,Equipos!$C$2:$M$967,9,FALSE()),"")</f>
        <v>DE671E0435</v>
      </c>
      <c r="D985" s="46" t="str">
        <f>IFERROR(VLOOKUP($A985,Equipos!$C$2:$M$967,3,FALSE()),"")</f>
        <v>Neonatología</v>
      </c>
      <c r="E985" s="46" t="str">
        <f>IFERROR(VLOOKUP($A985,Equipos!$C$2:$M$967,7,FALSE()),"")</f>
        <v>Philips</v>
      </c>
      <c r="F985" s="46" t="str">
        <f>IFERROR(VLOOKUP($A985,Equipos!$C$2:$M$967,8,FALSE()),"")</f>
        <v>Intellivue MX550</v>
      </c>
      <c r="G985" s="46" t="s">
        <v>335</v>
      </c>
      <c r="H985" s="46"/>
      <c r="I985" s="46"/>
      <c r="J985" s="46" t="s">
        <v>297</v>
      </c>
      <c r="K985" s="46" t="str">
        <f>IFERROR(VLOOKUP($J985,Catálogos!$M$4:$N$17,2,FALSE()),"")</f>
        <v>Mantención Preventiva Realizada</v>
      </c>
      <c r="L985" s="46"/>
      <c r="M985" s="46"/>
      <c r="N985" s="46"/>
      <c r="O985" s="46"/>
      <c r="P985" s="46"/>
      <c r="Q985" s="46"/>
    </row>
    <row r="986" spans="1:17" hidden="1" x14ac:dyDescent="0.25">
      <c r="A986" s="47" t="s">
        <v>923</v>
      </c>
      <c r="B986" s="46" t="str">
        <f>IFERROR(VLOOKUP($A986,Equipos!$C$2:$M$967,2,FALSE()),"")</f>
        <v>Monitor Multiparámetros</v>
      </c>
      <c r="C986" s="46" t="str">
        <f>IFERROR(VLOOKUP($A986,Equipos!$C$2:$M$967,9,FALSE()),"")</f>
        <v>VGSLN0003</v>
      </c>
      <c r="D986" s="46" t="str">
        <f>IFERROR(VLOOKUP($A986,Equipos!$C$2:$M$967,3,FALSE()),"")</f>
        <v>Urgencia Adulto</v>
      </c>
      <c r="E986" s="46" t="str">
        <f>IFERROR(VLOOKUP($A986,Equipos!$C$2:$M$967,7,FALSE()),"")</f>
        <v>Drager</v>
      </c>
      <c r="F986" s="46" t="str">
        <f>IFERROR(VLOOKUP($A986,Equipos!$C$2:$M$967,8,FALSE()),"")</f>
        <v>Vista 120</v>
      </c>
      <c r="G986" s="46" t="s">
        <v>316</v>
      </c>
      <c r="H986" s="46"/>
      <c r="I986" s="46"/>
      <c r="J986" s="46" t="s">
        <v>297</v>
      </c>
      <c r="K986" s="46" t="str">
        <f>IFERROR(VLOOKUP($J986,Catálogos!$M$4:$N$17,2,FALSE()),"")</f>
        <v>Mantención Preventiva Realizada</v>
      </c>
      <c r="L986" s="46"/>
      <c r="M986" s="46"/>
      <c r="N986" s="46"/>
      <c r="O986" s="46"/>
      <c r="P986" s="46"/>
      <c r="Q986" s="46"/>
    </row>
    <row r="987" spans="1:17" hidden="1" x14ac:dyDescent="0.25">
      <c r="A987" s="47" t="s">
        <v>924</v>
      </c>
      <c r="B987" s="46" t="str">
        <f>IFERROR(VLOOKUP($A987,Equipos!$C$2:$M$967,2,FALSE()),"")</f>
        <v>Monitor Multiparámetros</v>
      </c>
      <c r="C987" s="46" t="str">
        <f>IFERROR(VLOOKUP($A987,Equipos!$C$2:$M$967,9,FALSE()),"")</f>
        <v>VGSLN0002</v>
      </c>
      <c r="D987" s="46" t="str">
        <f>IFERROR(VLOOKUP($A987,Equipos!$C$2:$M$967,3,FALSE()),"")</f>
        <v>Urgencia Adulto</v>
      </c>
      <c r="E987" s="46" t="str">
        <f>IFERROR(VLOOKUP($A987,Equipos!$C$2:$M$967,7,FALSE()),"")</f>
        <v>Drager</v>
      </c>
      <c r="F987" s="46" t="str">
        <f>IFERROR(VLOOKUP($A987,Equipos!$C$2:$M$967,8,FALSE()),"")</f>
        <v>Vista 120</v>
      </c>
      <c r="G987" s="46" t="s">
        <v>316</v>
      </c>
      <c r="H987" s="46"/>
      <c r="I987" s="46"/>
      <c r="J987" s="46" t="s">
        <v>297</v>
      </c>
      <c r="K987" s="46" t="str">
        <f>IFERROR(VLOOKUP($J987,Catálogos!$M$4:$N$17,2,FALSE()),"")</f>
        <v>Mantención Preventiva Realizada</v>
      </c>
      <c r="L987" s="46"/>
      <c r="M987" s="46"/>
      <c r="N987" s="46"/>
      <c r="O987" s="46"/>
      <c r="P987" s="46"/>
      <c r="Q987" s="46"/>
    </row>
    <row r="988" spans="1:17" hidden="1" x14ac:dyDescent="0.25">
      <c r="A988" s="47" t="s">
        <v>925</v>
      </c>
      <c r="B988" s="46" t="str">
        <f>IFERROR(VLOOKUP($A988,Equipos!$C$2:$M$967,2,FALSE()),"")</f>
        <v>Monitor Multiparámetros</v>
      </c>
      <c r="C988" s="46" t="str">
        <f>IFERROR(VLOOKUP($A988,Equipos!$C$2:$M$967,9,FALSE()),"")</f>
        <v>VGSLN0014</v>
      </c>
      <c r="D988" s="46" t="str">
        <f>IFERROR(VLOOKUP($A988,Equipos!$C$2:$M$967,3,FALSE()),"")</f>
        <v>Urgencia Adulto</v>
      </c>
      <c r="E988" s="46" t="str">
        <f>IFERROR(VLOOKUP($A988,Equipos!$C$2:$M$967,7,FALSE()),"")</f>
        <v>Drager</v>
      </c>
      <c r="F988" s="46" t="str">
        <f>IFERROR(VLOOKUP($A988,Equipos!$C$2:$M$967,8,FALSE()),"")</f>
        <v>Vista 120</v>
      </c>
      <c r="G988" s="46" t="s">
        <v>316</v>
      </c>
      <c r="H988" s="46"/>
      <c r="I988" s="46"/>
      <c r="J988" s="46" t="s">
        <v>297</v>
      </c>
      <c r="K988" s="46" t="str">
        <f>IFERROR(VLOOKUP($J988,Catálogos!$M$4:$N$17,2,FALSE()),"")</f>
        <v>Mantención Preventiva Realizada</v>
      </c>
      <c r="L988" s="46"/>
      <c r="M988" s="46"/>
      <c r="N988" s="46"/>
      <c r="O988" s="46"/>
      <c r="P988" s="46"/>
      <c r="Q988" s="46"/>
    </row>
    <row r="989" spans="1:17" hidden="1" x14ac:dyDescent="0.25">
      <c r="A989" s="47" t="s">
        <v>926</v>
      </c>
      <c r="B989" s="46" t="str">
        <f>IFERROR(VLOOKUP($A989,Equipos!$C$2:$M$967,2,FALSE()),"")</f>
        <v>Monitor Multiparámetros</v>
      </c>
      <c r="C989" s="46" t="str">
        <f>IFERROR(VLOOKUP($A989,Equipos!$C$2:$M$967,9,FALSE()),"")</f>
        <v>VGSLN0017</v>
      </c>
      <c r="D989" s="46" t="str">
        <f>IFERROR(VLOOKUP($A989,Equipos!$C$2:$M$967,3,FALSE()),"")</f>
        <v>Urgencia Adulto</v>
      </c>
      <c r="E989" s="46" t="str">
        <f>IFERROR(VLOOKUP($A989,Equipos!$C$2:$M$967,7,FALSE()),"")</f>
        <v>Drager</v>
      </c>
      <c r="F989" s="46" t="str">
        <f>IFERROR(VLOOKUP($A989,Equipos!$C$2:$M$967,8,FALSE()),"")</f>
        <v>Vista 120</v>
      </c>
      <c r="G989" s="46" t="s">
        <v>316</v>
      </c>
      <c r="H989" s="46"/>
      <c r="I989" s="46"/>
      <c r="J989" s="46" t="s">
        <v>297</v>
      </c>
      <c r="K989" s="46" t="str">
        <f>IFERROR(VLOOKUP($J989,Catálogos!$M$4:$N$17,2,FALSE()),"")</f>
        <v>Mantención Preventiva Realizada</v>
      </c>
      <c r="L989" s="46"/>
      <c r="M989" s="46"/>
      <c r="N989" s="46"/>
      <c r="O989" s="46"/>
      <c r="P989" s="46"/>
      <c r="Q989" s="46"/>
    </row>
    <row r="990" spans="1:17" hidden="1" x14ac:dyDescent="0.25">
      <c r="A990" s="47" t="s">
        <v>927</v>
      </c>
      <c r="B990" s="46" t="str">
        <f>IFERROR(VLOOKUP($A990,Equipos!$C$2:$M$967,2,FALSE()),"")</f>
        <v>Monitor Multiparámetros</v>
      </c>
      <c r="C990" s="46" t="str">
        <f>IFERROR(VLOOKUP($A990,Equipos!$C$2:$M$967,9,FALSE()),"")</f>
        <v>VGSLN0049</v>
      </c>
      <c r="D990" s="46" t="str">
        <f>IFERROR(VLOOKUP($A990,Equipos!$C$2:$M$967,3,FALSE()),"")</f>
        <v>Urgencia Adulto (Prestado a Pediatría)</v>
      </c>
      <c r="E990" s="46" t="str">
        <f>IFERROR(VLOOKUP($A990,Equipos!$C$2:$M$967,7,FALSE()),"")</f>
        <v>Drager</v>
      </c>
      <c r="F990" s="46" t="str">
        <f>IFERROR(VLOOKUP($A990,Equipos!$C$2:$M$967,8,FALSE()),"")</f>
        <v>Vista 120</v>
      </c>
      <c r="G990" s="46" t="s">
        <v>296</v>
      </c>
      <c r="H990" s="46"/>
      <c r="I990" s="46"/>
      <c r="J990" s="46" t="s">
        <v>323</v>
      </c>
      <c r="K990" s="46" t="str">
        <f>IFERROR(VLOOKUP($J990,Catálogos!$M$4:$N$17,2,FALSE()),"")</f>
        <v>Reprogramada · No disponibilidad de horas hombre del funcionario SEC por alta carga laboral</v>
      </c>
      <c r="L990" s="46"/>
      <c r="M990" s="46"/>
      <c r="N990" s="46"/>
      <c r="O990" s="46"/>
      <c r="P990" s="46"/>
      <c r="Q990" s="46"/>
    </row>
    <row r="991" spans="1:17" hidden="1" x14ac:dyDescent="0.25">
      <c r="A991" s="47" t="s">
        <v>927</v>
      </c>
      <c r="B991" s="46" t="str">
        <f>IFERROR(VLOOKUP($A991,Equipos!$C$2:$M$967,2,FALSE()),"")</f>
        <v>Monitor Multiparámetros</v>
      </c>
      <c r="C991" s="46" t="str">
        <f>IFERROR(VLOOKUP($A991,Equipos!$C$2:$M$967,9,FALSE()),"")</f>
        <v>VGSLN0049</v>
      </c>
      <c r="D991" s="46" t="str">
        <f>IFERROR(VLOOKUP($A991,Equipos!$C$2:$M$967,3,FALSE()),"")</f>
        <v>Urgencia Adulto (Prestado a Pediatría)</v>
      </c>
      <c r="E991" s="46" t="str">
        <f>IFERROR(VLOOKUP($A991,Equipos!$C$2:$M$967,7,FALSE()),"")</f>
        <v>Drager</v>
      </c>
      <c r="F991" s="46" t="str">
        <f>IFERROR(VLOOKUP($A991,Equipos!$C$2:$M$967,8,FALSE()),"")</f>
        <v>Vista 120</v>
      </c>
      <c r="G991" s="46" t="s">
        <v>316</v>
      </c>
      <c r="H991" s="46"/>
      <c r="I991" s="46"/>
      <c r="J991" s="46" t="s">
        <v>297</v>
      </c>
      <c r="K991" s="46" t="str">
        <f>IFERROR(VLOOKUP($J991,Catálogos!$M$4:$N$17,2,FALSE()),"")</f>
        <v>Mantención Preventiva Realizada</v>
      </c>
      <c r="L991" s="46"/>
      <c r="M991" s="46"/>
      <c r="N991" s="46"/>
      <c r="O991" s="46"/>
      <c r="P991" s="46"/>
      <c r="Q991" s="46"/>
    </row>
    <row r="992" spans="1:17" hidden="1" x14ac:dyDescent="0.25">
      <c r="A992" s="47" t="s">
        <v>928</v>
      </c>
      <c r="B992" s="46" t="str">
        <f>IFERROR(VLOOKUP($A992,Equipos!$C$2:$M$967,2,FALSE()),"")</f>
        <v>Monitor Multiparámetros</v>
      </c>
      <c r="C992" s="46" t="str">
        <f>IFERROR(VLOOKUP($A992,Equipos!$C$2:$M$967,9,FALSE()),"")</f>
        <v>VGSLN0079</v>
      </c>
      <c r="D992" s="46" t="str">
        <f>IFERROR(VLOOKUP($A992,Equipos!$C$2:$M$967,3,FALSE()),"")</f>
        <v>Urgencia Adulto</v>
      </c>
      <c r="E992" s="46" t="str">
        <f>IFERROR(VLOOKUP($A992,Equipos!$C$2:$M$967,7,FALSE()),"")</f>
        <v>Drager</v>
      </c>
      <c r="F992" s="46" t="str">
        <f>IFERROR(VLOOKUP($A992,Equipos!$C$2:$M$967,8,FALSE()),"")</f>
        <v>Vista 120</v>
      </c>
      <c r="G992" s="46" t="s">
        <v>316</v>
      </c>
      <c r="H992" s="46"/>
      <c r="I992" s="46"/>
      <c r="J992" s="46" t="s">
        <v>297</v>
      </c>
      <c r="K992" s="46" t="str">
        <f>IFERROR(VLOOKUP($J992,Catálogos!$M$4:$N$17,2,FALSE()),"")</f>
        <v>Mantención Preventiva Realizada</v>
      </c>
      <c r="L992" s="46"/>
      <c r="M992" s="46"/>
      <c r="N992" s="46"/>
      <c r="O992" s="46"/>
      <c r="P992" s="46"/>
      <c r="Q992" s="46"/>
    </row>
    <row r="993" spans="1:17" hidden="1" x14ac:dyDescent="0.25">
      <c r="A993" s="47" t="s">
        <v>929</v>
      </c>
      <c r="B993" s="46" t="str">
        <f>IFERROR(VLOOKUP($A993,Equipos!$C$2:$M$967,2,FALSE()),"")</f>
        <v>Monitor Multiparámetros</v>
      </c>
      <c r="C993" s="46" t="str">
        <f>IFERROR(VLOOKUP($A993,Equipos!$C$2:$M$967,9,FALSE()),"")</f>
        <v>5613359963</v>
      </c>
      <c r="D993" s="46" t="str">
        <f>IFERROR(VLOOKUP($A993,Equipos!$C$2:$M$967,3,FALSE()),"")</f>
        <v>Pabellón CMA</v>
      </c>
      <c r="E993" s="46" t="str">
        <f>IFERROR(VLOOKUP($A993,Equipos!$C$2:$M$967,7,FALSE()),"")</f>
        <v>Drager</v>
      </c>
      <c r="F993" s="46" t="str">
        <f>IFERROR(VLOOKUP($A993,Equipos!$C$2:$M$967,8,FALSE()),"")</f>
        <v>M540</v>
      </c>
      <c r="G993" s="46" t="s">
        <v>298</v>
      </c>
      <c r="H993" s="46"/>
      <c r="I993" s="46"/>
      <c r="J993" s="46" t="s">
        <v>297</v>
      </c>
      <c r="K993" s="46" t="str">
        <f>IFERROR(VLOOKUP($J993,Catálogos!$M$4:$N$17,2,FALSE()),"")</f>
        <v>Mantención Preventiva Realizada</v>
      </c>
      <c r="L993" s="46"/>
      <c r="M993" s="46"/>
      <c r="N993" s="46"/>
      <c r="O993" s="46"/>
      <c r="P993" s="46"/>
      <c r="Q993" s="46"/>
    </row>
    <row r="994" spans="1:17" hidden="1" x14ac:dyDescent="0.25">
      <c r="A994" s="47" t="s">
        <v>930</v>
      </c>
      <c r="B994" s="46" t="str">
        <f>IFERROR(VLOOKUP($A994,Equipos!$C$2:$M$967,2,FALSE()),"")</f>
        <v>Monitor Multiparámetros</v>
      </c>
      <c r="C994" s="46" t="str">
        <f>IFERROR(VLOOKUP($A994,Equipos!$C$2:$M$967,9,FALSE()),"")</f>
        <v>5613354870</v>
      </c>
      <c r="D994" s="46" t="str">
        <f>IFERROR(VLOOKUP($A994,Equipos!$C$2:$M$967,3,FALSE()),"")</f>
        <v>Pabellón Quirúrgico</v>
      </c>
      <c r="E994" s="46" t="str">
        <f>IFERROR(VLOOKUP($A994,Equipos!$C$2:$M$967,7,FALSE()),"")</f>
        <v>Drager</v>
      </c>
      <c r="F994" s="46" t="str">
        <f>IFERROR(VLOOKUP($A994,Equipos!$C$2:$M$967,8,FALSE()),"")</f>
        <v>M540</v>
      </c>
      <c r="G994" s="46" t="s">
        <v>331</v>
      </c>
      <c r="H994" s="46"/>
      <c r="I994" s="46"/>
      <c r="J994" s="46" t="s">
        <v>297</v>
      </c>
      <c r="K994" s="46" t="str">
        <f>IFERROR(VLOOKUP($J994,Catálogos!$M$4:$N$17,2,FALSE()),"")</f>
        <v>Mantención Preventiva Realizada</v>
      </c>
      <c r="L994" s="46"/>
      <c r="M994" s="46"/>
      <c r="N994" s="46"/>
      <c r="O994" s="46"/>
      <c r="P994" s="46"/>
      <c r="Q994" s="46"/>
    </row>
    <row r="995" spans="1:17" hidden="1" x14ac:dyDescent="0.25">
      <c r="A995" s="47" t="s">
        <v>931</v>
      </c>
      <c r="B995" s="46" t="str">
        <f>IFERROR(VLOOKUP($A995,Equipos!$C$2:$M$967,2,FALSE()),"")</f>
        <v>Monitor Multiparámetros</v>
      </c>
      <c r="C995" s="46" t="str">
        <f>IFERROR(VLOOKUP($A995,Equipos!$C$2:$M$967,9,FALSE()),"")</f>
        <v>5613360578</v>
      </c>
      <c r="D995" s="46" t="str">
        <f>IFERROR(VLOOKUP($A995,Equipos!$C$2:$M$967,3,FALSE()),"")</f>
        <v>Pabellón Quirúrgico (Prestado a Pabellón CMA)</v>
      </c>
      <c r="E995" s="46" t="str">
        <f>IFERROR(VLOOKUP($A995,Equipos!$C$2:$M$967,7,FALSE()),"")</f>
        <v>Drager</v>
      </c>
      <c r="F995" s="46" t="str">
        <f>IFERROR(VLOOKUP($A995,Equipos!$C$2:$M$967,8,FALSE()),"")</f>
        <v>M540</v>
      </c>
      <c r="G995" s="46" t="s">
        <v>331</v>
      </c>
      <c r="H995" s="46"/>
      <c r="I995" s="46"/>
      <c r="J995" s="46" t="s">
        <v>297</v>
      </c>
      <c r="K995" s="46" t="str">
        <f>IFERROR(VLOOKUP($J995,Catálogos!$M$4:$N$17,2,FALSE()),"")</f>
        <v>Mantención Preventiva Realizada</v>
      </c>
      <c r="L995" s="46"/>
      <c r="M995" s="46"/>
      <c r="N995" s="46"/>
      <c r="O995" s="46"/>
      <c r="P995" s="46"/>
      <c r="Q995" s="46"/>
    </row>
    <row r="996" spans="1:17" hidden="1" x14ac:dyDescent="0.25">
      <c r="A996" s="47" t="s">
        <v>932</v>
      </c>
      <c r="B996" s="46" t="str">
        <f>IFERROR(VLOOKUP($A996,Equipos!$C$2:$M$967,2,FALSE()),"")</f>
        <v>Monitor Multiparámetros</v>
      </c>
      <c r="C996" s="46" t="str">
        <f>IFERROR(VLOOKUP($A996,Equipos!$C$2:$M$967,9,FALSE()),"")</f>
        <v>SP318331750WA</v>
      </c>
      <c r="D996" s="46" t="str">
        <f>IFERROR(VLOOKUP($A996,Equipos!$C$2:$M$967,3,FALSE()),"")</f>
        <v>UPC Pediátrica</v>
      </c>
      <c r="E996" s="46" t="str">
        <f>IFERROR(VLOOKUP($A996,Equipos!$C$2:$M$967,7,FALSE()),"")</f>
        <v>General Electric</v>
      </c>
      <c r="F996" s="46" t="str">
        <f>IFERROR(VLOOKUP($A996,Equipos!$C$2:$M$967,8,FALSE()),"")</f>
        <v>B105</v>
      </c>
      <c r="G996" s="46" t="s">
        <v>335</v>
      </c>
      <c r="H996" s="46"/>
      <c r="I996" s="46"/>
      <c r="J996" s="46" t="s">
        <v>315</v>
      </c>
      <c r="K996" s="46" t="str">
        <f>IFERROR(VLOOKUP($J996,Catálogos!$M$4:$N$17,2,FALSE()),"")</f>
        <v>Reprogramada · Ausencia justificada del funcionario SEC superior a 15 días</v>
      </c>
      <c r="L996" s="46"/>
      <c r="M996" s="46"/>
      <c r="N996" s="46"/>
      <c r="O996" s="46"/>
      <c r="P996" s="46"/>
      <c r="Q996" s="46"/>
    </row>
    <row r="997" spans="1:17" hidden="1" x14ac:dyDescent="0.25">
      <c r="A997" s="47" t="s">
        <v>932</v>
      </c>
      <c r="B997" s="46" t="str">
        <f>IFERROR(VLOOKUP($A997,Equipos!$C$2:$M$967,2,FALSE()),"")</f>
        <v>Monitor Multiparámetros</v>
      </c>
      <c r="C997" s="46" t="str">
        <f>IFERROR(VLOOKUP($A997,Equipos!$C$2:$M$967,9,FALSE()),"")</f>
        <v>SP318331750WA</v>
      </c>
      <c r="D997" s="46" t="str">
        <f>IFERROR(VLOOKUP($A997,Equipos!$C$2:$M$967,3,FALSE()),"")</f>
        <v>UPC Pediátrica</v>
      </c>
      <c r="E997" s="46" t="str">
        <f>IFERROR(VLOOKUP($A997,Equipos!$C$2:$M$967,7,FALSE()),"")</f>
        <v>General Electric</v>
      </c>
      <c r="F997" s="46" t="str">
        <f>IFERROR(VLOOKUP($A997,Equipos!$C$2:$M$967,8,FALSE()),"")</f>
        <v>B105</v>
      </c>
      <c r="G997" s="46" t="s">
        <v>296</v>
      </c>
      <c r="H997" s="46"/>
      <c r="I997" s="46"/>
      <c r="J997" s="46" t="s">
        <v>297</v>
      </c>
      <c r="K997" s="46" t="str">
        <f>IFERROR(VLOOKUP($J997,Catálogos!$M$4:$N$17,2,FALSE()),"")</f>
        <v>Mantención Preventiva Realizada</v>
      </c>
      <c r="L997" s="46"/>
      <c r="M997" s="46"/>
      <c r="N997" s="46"/>
      <c r="O997" s="46"/>
      <c r="P997" s="46"/>
      <c r="Q997" s="46"/>
    </row>
    <row r="998" spans="1:17" hidden="1" x14ac:dyDescent="0.25">
      <c r="A998" s="47" t="s">
        <v>933</v>
      </c>
      <c r="B998" s="46" t="str">
        <f>IFERROR(VLOOKUP($A998,Equipos!$C$2:$M$967,2,FALSE()),"")</f>
        <v>Monitor Multiparámetros</v>
      </c>
      <c r="C998" s="46" t="str">
        <f>IFERROR(VLOOKUP($A998,Equipos!$C$2:$M$967,9,FALSE()),"")</f>
        <v>SP318443451WA</v>
      </c>
      <c r="D998" s="46" t="str">
        <f>IFERROR(VLOOKUP($A998,Equipos!$C$2:$M$967,3,FALSE()),"")</f>
        <v>UPC Pediátrica</v>
      </c>
      <c r="E998" s="46" t="str">
        <f>IFERROR(VLOOKUP($A998,Equipos!$C$2:$M$967,7,FALSE()),"")</f>
        <v>General Electric</v>
      </c>
      <c r="F998" s="46" t="str">
        <f>IFERROR(VLOOKUP($A998,Equipos!$C$2:$M$967,8,FALSE()),"")</f>
        <v>B105</v>
      </c>
      <c r="G998" s="46" t="s">
        <v>335</v>
      </c>
      <c r="H998" s="46"/>
      <c r="I998" s="46"/>
      <c r="J998" s="46" t="s">
        <v>278</v>
      </c>
      <c r="K998" s="46" t="str">
        <f>IFERROR(VLOOKUP($J998,Catálogos!$M$4:$N$17,2,FALSE()),"")</f>
        <v>Reprogramada · Equipo en servicio técnico</v>
      </c>
      <c r="L998" s="46"/>
      <c r="M998" s="46"/>
      <c r="N998" s="46"/>
      <c r="O998" s="46"/>
      <c r="P998" s="46"/>
      <c r="Q998" s="46"/>
    </row>
    <row r="999" spans="1:17" hidden="1" x14ac:dyDescent="0.25">
      <c r="A999" s="47" t="s">
        <v>934</v>
      </c>
      <c r="B999" s="46" t="str">
        <f>IFERROR(VLOOKUP($A999,Equipos!$C$2:$M$967,2,FALSE()),"")</f>
        <v>Monitor Multiparámetros</v>
      </c>
      <c r="C999" s="46" t="str">
        <f>IFERROR(VLOOKUP($A999,Equipos!$C$2:$M$967,9,FALSE()),"")</f>
        <v>SQE19510024SA</v>
      </c>
      <c r="D999" s="46" t="str">
        <f>IFERROR(VLOOKUP($A999,Equipos!$C$2:$M$967,3,FALSE()),"")</f>
        <v>Electrofisiología</v>
      </c>
      <c r="E999" s="46" t="str">
        <f>IFERROR(VLOOKUP($A999,Equipos!$C$2:$M$967,7,FALSE()),"")</f>
        <v>General Electric</v>
      </c>
      <c r="F999" s="46" t="str">
        <f>IFERROR(VLOOKUP($A999,Equipos!$C$2:$M$967,8,FALSE()),"")</f>
        <v>B105</v>
      </c>
      <c r="G999" s="46" t="s">
        <v>316</v>
      </c>
      <c r="H999" s="46"/>
      <c r="I999" s="46"/>
      <c r="J999" s="46" t="s">
        <v>323</v>
      </c>
      <c r="K999" s="46" t="str">
        <f>IFERROR(VLOOKUP($J999,Catálogos!$M$4:$N$17,2,FALSE()),"")</f>
        <v>Reprogramada · No disponibilidad de horas hombre del funcionario SEC por alta carga laboral</v>
      </c>
      <c r="L999" s="46"/>
      <c r="M999" s="46"/>
      <c r="N999" s="46"/>
      <c r="O999" s="46"/>
      <c r="P999" s="46"/>
      <c r="Q999" s="46"/>
    </row>
    <row r="1000" spans="1:17" hidden="1" x14ac:dyDescent="0.25">
      <c r="A1000" s="47" t="s">
        <v>934</v>
      </c>
      <c r="B1000" s="46" t="str">
        <f>IFERROR(VLOOKUP($A1000,Equipos!$C$2:$M$967,2,FALSE()),"")</f>
        <v>Monitor Multiparámetros</v>
      </c>
      <c r="C1000" s="46" t="str">
        <f>IFERROR(VLOOKUP($A1000,Equipos!$C$2:$M$967,9,FALSE()),"")</f>
        <v>SQE19510024SA</v>
      </c>
      <c r="D1000" s="46" t="str">
        <f>IFERROR(VLOOKUP($A1000,Equipos!$C$2:$M$967,3,FALSE()),"")</f>
        <v>Electrofisiología</v>
      </c>
      <c r="E1000" s="46" t="str">
        <f>IFERROR(VLOOKUP($A1000,Equipos!$C$2:$M$967,7,FALSE()),"")</f>
        <v>General Electric</v>
      </c>
      <c r="F1000" s="46" t="str">
        <f>IFERROR(VLOOKUP($A1000,Equipos!$C$2:$M$967,8,FALSE()),"")</f>
        <v>B105</v>
      </c>
      <c r="G1000" s="46" t="s">
        <v>331</v>
      </c>
      <c r="H1000" s="46"/>
      <c r="I1000" s="46"/>
      <c r="J1000" s="46" t="s">
        <v>297</v>
      </c>
      <c r="K1000" s="46" t="str">
        <f>IFERROR(VLOOKUP($J1000,Catálogos!$M$4:$N$17,2,FALSE()),"")</f>
        <v>Mantención Preventiva Realizada</v>
      </c>
      <c r="L1000" s="46"/>
      <c r="M1000" s="46"/>
      <c r="N1000" s="46"/>
      <c r="O1000" s="46"/>
      <c r="P1000" s="46"/>
      <c r="Q1000" s="46"/>
    </row>
    <row r="1001" spans="1:17" hidden="1" x14ac:dyDescent="0.25">
      <c r="A1001" s="47" t="s">
        <v>935</v>
      </c>
      <c r="B1001" s="46" t="str">
        <f>IFERROR(VLOOKUP($A1001,Equipos!$C$2:$M$967,2,FALSE()),"")</f>
        <v>Monitor Multiparámetros</v>
      </c>
      <c r="C1001" s="46" t="str">
        <f>IFERROR(VLOOKUP($A1001,Equipos!$C$2:$M$967,9,FALSE()),"")</f>
        <v>SQE19510025SA</v>
      </c>
      <c r="D1001" s="46" t="str">
        <f>IFERROR(VLOOKUP($A1001,Equipos!$C$2:$M$967,3,FALSE()),"")</f>
        <v>Cirugía Adulto</v>
      </c>
      <c r="E1001" s="46" t="str">
        <f>IFERROR(VLOOKUP($A1001,Equipos!$C$2:$M$967,7,FALSE()),"")</f>
        <v>General Electric</v>
      </c>
      <c r="F1001" s="46" t="str">
        <f>IFERROR(VLOOKUP($A1001,Equipos!$C$2:$M$967,8,FALSE()),"")</f>
        <v>B105</v>
      </c>
      <c r="G1001" s="46" t="s">
        <v>298</v>
      </c>
      <c r="H1001" s="46"/>
      <c r="I1001" s="46"/>
      <c r="J1001" s="46" t="s">
        <v>297</v>
      </c>
      <c r="K1001" s="46" t="str">
        <f>IFERROR(VLOOKUP($J1001,Catálogos!$M$4:$N$17,2,FALSE()),"")</f>
        <v>Mantención Preventiva Realizada</v>
      </c>
      <c r="L1001" s="46"/>
      <c r="M1001" s="46"/>
      <c r="N1001" s="46"/>
      <c r="O1001" s="46"/>
      <c r="P1001" s="46"/>
      <c r="Q1001" s="46"/>
    </row>
    <row r="1002" spans="1:17" hidden="1" x14ac:dyDescent="0.25">
      <c r="A1002" s="47" t="s">
        <v>936</v>
      </c>
      <c r="B1002" s="46" t="str">
        <f>IFERROR(VLOOKUP($A1002,Equipos!$C$2:$M$967,2,FALSE()),"")</f>
        <v>Monitor Multiparámetros</v>
      </c>
      <c r="C1002" s="46" t="str">
        <f>IFERROR(VLOOKUP($A1002,Equipos!$C$2:$M$967,9,FALSE()),"")</f>
        <v>SQE19510026SA</v>
      </c>
      <c r="D1002" s="46" t="str">
        <f>IFERROR(VLOOKUP($A1002,Equipos!$C$2:$M$967,3,FALSE()),"")</f>
        <v>UPC Cardiovascular</v>
      </c>
      <c r="E1002" s="46" t="str">
        <f>IFERROR(VLOOKUP($A1002,Equipos!$C$2:$M$967,7,FALSE()),"")</f>
        <v>General Electric</v>
      </c>
      <c r="F1002" s="46" t="str">
        <f>IFERROR(VLOOKUP($A1002,Equipos!$C$2:$M$967,8,FALSE()),"")</f>
        <v>B105</v>
      </c>
      <c r="G1002" s="46" t="s">
        <v>335</v>
      </c>
      <c r="H1002" s="46"/>
      <c r="I1002" s="46"/>
      <c r="J1002" s="46" t="s">
        <v>315</v>
      </c>
      <c r="K1002" s="46" t="str">
        <f>IFERROR(VLOOKUP($J1002,Catálogos!$M$4:$N$17,2,FALSE()),"")</f>
        <v>Reprogramada · Ausencia justificada del funcionario SEC superior a 15 días</v>
      </c>
      <c r="L1002" s="46"/>
      <c r="M1002" s="46"/>
      <c r="N1002" s="46"/>
      <c r="O1002" s="46"/>
      <c r="P1002" s="46"/>
      <c r="Q1002" s="46"/>
    </row>
    <row r="1003" spans="1:17" hidden="1" x14ac:dyDescent="0.25">
      <c r="A1003" s="47" t="s">
        <v>936</v>
      </c>
      <c r="B1003" s="46" t="str">
        <f>IFERROR(VLOOKUP($A1003,Equipos!$C$2:$M$967,2,FALSE()),"")</f>
        <v>Monitor Multiparámetros</v>
      </c>
      <c r="C1003" s="46" t="str">
        <f>IFERROR(VLOOKUP($A1003,Equipos!$C$2:$M$967,9,FALSE()),"")</f>
        <v>SQE19510026SA</v>
      </c>
      <c r="D1003" s="46" t="str">
        <f>IFERROR(VLOOKUP($A1003,Equipos!$C$2:$M$967,3,FALSE()),"")</f>
        <v>UPC Cardiovascular</v>
      </c>
      <c r="E1003" s="46" t="str">
        <f>IFERROR(VLOOKUP($A1003,Equipos!$C$2:$M$967,7,FALSE()),"")</f>
        <v>General Electric</v>
      </c>
      <c r="F1003" s="46" t="str">
        <f>IFERROR(VLOOKUP($A1003,Equipos!$C$2:$M$967,8,FALSE()),"")</f>
        <v>B105</v>
      </c>
      <c r="G1003" s="46" t="s">
        <v>296</v>
      </c>
      <c r="H1003" s="46"/>
      <c r="I1003" s="46"/>
      <c r="J1003" s="46" t="s">
        <v>297</v>
      </c>
      <c r="K1003" s="46" t="str">
        <f>IFERROR(VLOOKUP($J1003,Catálogos!$M$4:$N$17,2,FALSE()),"")</f>
        <v>Mantención Preventiva Realizada</v>
      </c>
      <c r="L1003" s="46"/>
      <c r="M1003" s="46"/>
      <c r="N1003" s="46"/>
      <c r="O1003" s="46"/>
      <c r="P1003" s="46"/>
      <c r="Q1003" s="46"/>
    </row>
    <row r="1004" spans="1:17" hidden="1" x14ac:dyDescent="0.25">
      <c r="A1004" s="47" t="s">
        <v>937</v>
      </c>
      <c r="B1004" s="46" t="str">
        <f>IFERROR(VLOOKUP($A1004,Equipos!$C$2:$M$967,2,FALSE()),"")</f>
        <v>Monitor Multiparámetros</v>
      </c>
      <c r="C1004" s="46" t="str">
        <f>IFERROR(VLOOKUP($A1004,Equipos!$C$2:$M$967,9,FALSE()),"")</f>
        <v>SQE19510027SA</v>
      </c>
      <c r="D1004" s="46" t="str">
        <f>IFERROR(VLOOKUP($A1004,Equipos!$C$2:$M$967,3,FALSE()),"")</f>
        <v>Cirugía Adulto</v>
      </c>
      <c r="E1004" s="46" t="str">
        <f>IFERROR(VLOOKUP($A1004,Equipos!$C$2:$M$967,7,FALSE()),"")</f>
        <v>General Electric</v>
      </c>
      <c r="F1004" s="46" t="str">
        <f>IFERROR(VLOOKUP($A1004,Equipos!$C$2:$M$967,8,FALSE()),"")</f>
        <v>B105</v>
      </c>
      <c r="G1004" s="46" t="s">
        <v>298</v>
      </c>
      <c r="H1004" s="46"/>
      <c r="I1004" s="46"/>
      <c r="J1004" s="46" t="s">
        <v>297</v>
      </c>
      <c r="K1004" s="46" t="str">
        <f>IFERROR(VLOOKUP($J1004,Catálogos!$M$4:$N$17,2,FALSE()),"")</f>
        <v>Mantención Preventiva Realizada</v>
      </c>
      <c r="L1004" s="46"/>
      <c r="M1004" s="46"/>
      <c r="N1004" s="46"/>
      <c r="O1004" s="46"/>
      <c r="P1004" s="46"/>
      <c r="Q1004" s="46"/>
    </row>
    <row r="1005" spans="1:17" hidden="1" x14ac:dyDescent="0.25">
      <c r="A1005" s="47" t="s">
        <v>938</v>
      </c>
      <c r="B1005" s="46" t="str">
        <f>IFERROR(VLOOKUP($A1005,Equipos!$C$2:$M$967,2,FALSE()),"")</f>
        <v>Monitor Multiparámetros</v>
      </c>
      <c r="C1005" s="46" t="str">
        <f>IFERROR(VLOOKUP($A1005,Equipos!$C$2:$M$967,9,FALSE()),"")</f>
        <v>SQE19510029SA</v>
      </c>
      <c r="D1005" s="46" t="str">
        <f>IFERROR(VLOOKUP($A1005,Equipos!$C$2:$M$967,3,FALSE()),"")</f>
        <v>Medicina</v>
      </c>
      <c r="E1005" s="46" t="str">
        <f>IFERROR(VLOOKUP($A1005,Equipos!$C$2:$M$967,7,FALSE()),"")</f>
        <v>General Electric</v>
      </c>
      <c r="F1005" s="46" t="str">
        <f>IFERROR(VLOOKUP($A1005,Equipos!$C$2:$M$967,8,FALSE()),"")</f>
        <v>B105</v>
      </c>
      <c r="G1005" s="46" t="s">
        <v>296</v>
      </c>
      <c r="H1005" s="46"/>
      <c r="I1005" s="46"/>
      <c r="J1005" s="46" t="s">
        <v>323</v>
      </c>
      <c r="K1005" s="46" t="str">
        <f>IFERROR(VLOOKUP($J1005,Catálogos!$M$4:$N$17,2,FALSE()),"")</f>
        <v>Reprogramada · No disponibilidad de horas hombre del funcionario SEC por alta carga laboral</v>
      </c>
      <c r="L1005" s="46"/>
      <c r="M1005" s="46"/>
      <c r="N1005" s="46"/>
      <c r="O1005" s="46"/>
      <c r="P1005" s="46"/>
      <c r="Q1005" s="46"/>
    </row>
    <row r="1006" spans="1:17" hidden="1" x14ac:dyDescent="0.25">
      <c r="A1006" s="47" t="s">
        <v>938</v>
      </c>
      <c r="B1006" s="46" t="str">
        <f>IFERROR(VLOOKUP($A1006,Equipos!$C$2:$M$967,2,FALSE()),"")</f>
        <v>Monitor Multiparámetros</v>
      </c>
      <c r="C1006" s="46" t="str">
        <f>IFERROR(VLOOKUP($A1006,Equipos!$C$2:$M$967,9,FALSE()),"")</f>
        <v>SQE19510029SA</v>
      </c>
      <c r="D1006" s="46" t="str">
        <f>IFERROR(VLOOKUP($A1006,Equipos!$C$2:$M$967,3,FALSE()),"")</f>
        <v>Medicina</v>
      </c>
      <c r="E1006" s="46" t="str">
        <f>IFERROR(VLOOKUP($A1006,Equipos!$C$2:$M$967,7,FALSE()),"")</f>
        <v>General Electric</v>
      </c>
      <c r="F1006" s="46" t="str">
        <f>IFERROR(VLOOKUP($A1006,Equipos!$C$2:$M$967,8,FALSE()),"")</f>
        <v>B105</v>
      </c>
      <c r="G1006" s="46" t="s">
        <v>316</v>
      </c>
      <c r="H1006" s="46"/>
      <c r="I1006" s="46"/>
      <c r="J1006" s="46" t="s">
        <v>297</v>
      </c>
      <c r="K1006" s="46" t="str">
        <f>IFERROR(VLOOKUP($J1006,Catálogos!$M$4:$N$17,2,FALSE()),"")</f>
        <v>Mantención Preventiva Realizada</v>
      </c>
      <c r="L1006" s="46"/>
      <c r="M1006" s="46"/>
      <c r="N1006" s="46"/>
      <c r="O1006" s="46"/>
      <c r="P1006" s="46"/>
      <c r="Q1006" s="46"/>
    </row>
    <row r="1007" spans="1:17" hidden="1" x14ac:dyDescent="0.25">
      <c r="A1007" s="47" t="s">
        <v>939</v>
      </c>
      <c r="B1007" s="46" t="str">
        <f>IFERROR(VLOOKUP($A1007,Equipos!$C$2:$M$967,2,FALSE()),"")</f>
        <v>Monitor Multiparámetros</v>
      </c>
      <c r="C1007" s="46" t="str">
        <f>IFERROR(VLOOKUP($A1007,Equipos!$C$2:$M$967,9,FALSE()),"")</f>
        <v>SQE19510030SA</v>
      </c>
      <c r="D1007" s="46" t="str">
        <f>IFERROR(VLOOKUP($A1007,Equipos!$C$2:$M$967,3,FALSE()),"")</f>
        <v>Medicina (Prestado a medicina cardiovascular)</v>
      </c>
      <c r="E1007" s="46" t="str">
        <f>IFERROR(VLOOKUP($A1007,Equipos!$C$2:$M$967,7,FALSE()),"")</f>
        <v>General Electric</v>
      </c>
      <c r="F1007" s="46" t="str">
        <f>IFERROR(VLOOKUP($A1007,Equipos!$C$2:$M$967,8,FALSE()),"")</f>
        <v>B105</v>
      </c>
      <c r="G1007" s="46" t="s">
        <v>296</v>
      </c>
      <c r="H1007" s="46"/>
      <c r="I1007" s="46"/>
      <c r="J1007" s="46" t="s">
        <v>323</v>
      </c>
      <c r="K1007" s="46" t="str">
        <f>IFERROR(VLOOKUP($J1007,Catálogos!$M$4:$N$17,2,FALSE()),"")</f>
        <v>Reprogramada · No disponibilidad de horas hombre del funcionario SEC por alta carga laboral</v>
      </c>
      <c r="L1007" s="46"/>
      <c r="M1007" s="46"/>
      <c r="N1007" s="46"/>
      <c r="O1007" s="46"/>
      <c r="P1007" s="46"/>
      <c r="Q1007" s="46"/>
    </row>
    <row r="1008" spans="1:17" hidden="1" x14ac:dyDescent="0.25">
      <c r="A1008" s="47" t="s">
        <v>939</v>
      </c>
      <c r="B1008" s="46" t="str">
        <f>IFERROR(VLOOKUP($A1008,Equipos!$C$2:$M$967,2,FALSE()),"")</f>
        <v>Monitor Multiparámetros</v>
      </c>
      <c r="C1008" s="46" t="str">
        <f>IFERROR(VLOOKUP($A1008,Equipos!$C$2:$M$967,9,FALSE()),"")</f>
        <v>SQE19510030SA</v>
      </c>
      <c r="D1008" s="46" t="str">
        <f>IFERROR(VLOOKUP($A1008,Equipos!$C$2:$M$967,3,FALSE()),"")</f>
        <v>Medicina (Prestado a medicina cardiovascular)</v>
      </c>
      <c r="E1008" s="46" t="str">
        <f>IFERROR(VLOOKUP($A1008,Equipos!$C$2:$M$967,7,FALSE()),"")</f>
        <v>General Electric</v>
      </c>
      <c r="F1008" s="46" t="str">
        <f>IFERROR(VLOOKUP($A1008,Equipos!$C$2:$M$967,8,FALSE()),"")</f>
        <v>B105</v>
      </c>
      <c r="G1008" s="46" t="s">
        <v>316</v>
      </c>
      <c r="H1008" s="46"/>
      <c r="I1008" s="46"/>
      <c r="J1008" s="46" t="s">
        <v>297</v>
      </c>
      <c r="K1008" s="46" t="str">
        <f>IFERROR(VLOOKUP($J1008,Catálogos!$M$4:$N$17,2,FALSE()),"")</f>
        <v>Mantención Preventiva Realizada</v>
      </c>
      <c r="L1008" s="46"/>
      <c r="M1008" s="46"/>
      <c r="N1008" s="46"/>
      <c r="O1008" s="46"/>
      <c r="P1008" s="46"/>
      <c r="Q1008" s="46"/>
    </row>
    <row r="1009" spans="1:17" hidden="1" x14ac:dyDescent="0.25">
      <c r="A1009" s="47" t="s">
        <v>940</v>
      </c>
      <c r="B1009" s="46" t="str">
        <f>IFERROR(VLOOKUP($A1009,Equipos!$C$2:$M$967,2,FALSE()),"")</f>
        <v>Monitor Multiparámetros</v>
      </c>
      <c r="C1009" s="46" t="str">
        <f>IFERROR(VLOOKUP($A1009,Equipos!$C$2:$M$967,9,FALSE()),"")</f>
        <v>SQE19510031SA</v>
      </c>
      <c r="D1009" s="46" t="str">
        <f>IFERROR(VLOOKUP($A1009,Equipos!$C$2:$M$967,3,FALSE()),"")</f>
        <v>Medicina</v>
      </c>
      <c r="E1009" s="46" t="str">
        <f>IFERROR(VLOOKUP($A1009,Equipos!$C$2:$M$967,7,FALSE()),"")</f>
        <v>General Electric</v>
      </c>
      <c r="F1009" s="46" t="str">
        <f>IFERROR(VLOOKUP($A1009,Equipos!$C$2:$M$967,8,FALSE()),"")</f>
        <v>B105</v>
      </c>
      <c r="G1009" s="46" t="s">
        <v>296</v>
      </c>
      <c r="H1009" s="46"/>
      <c r="I1009" s="46"/>
      <c r="J1009" s="46" t="s">
        <v>323</v>
      </c>
      <c r="K1009" s="46" t="str">
        <f>IFERROR(VLOOKUP($J1009,Catálogos!$M$4:$N$17,2,FALSE()),"")</f>
        <v>Reprogramada · No disponibilidad de horas hombre del funcionario SEC por alta carga laboral</v>
      </c>
      <c r="L1009" s="46"/>
      <c r="M1009" s="46"/>
      <c r="N1009" s="46"/>
      <c r="O1009" s="46"/>
      <c r="P1009" s="46"/>
      <c r="Q1009" s="46"/>
    </row>
    <row r="1010" spans="1:17" hidden="1" x14ac:dyDescent="0.25">
      <c r="A1010" s="47" t="s">
        <v>940</v>
      </c>
      <c r="B1010" s="46" t="str">
        <f>IFERROR(VLOOKUP($A1010,Equipos!$C$2:$M$967,2,FALSE()),"")</f>
        <v>Monitor Multiparámetros</v>
      </c>
      <c r="C1010" s="46" t="str">
        <f>IFERROR(VLOOKUP($A1010,Equipos!$C$2:$M$967,9,FALSE()),"")</f>
        <v>SQE19510031SA</v>
      </c>
      <c r="D1010" s="46" t="str">
        <f>IFERROR(VLOOKUP($A1010,Equipos!$C$2:$M$967,3,FALSE()),"")</f>
        <v>Medicina</v>
      </c>
      <c r="E1010" s="46" t="str">
        <f>IFERROR(VLOOKUP($A1010,Equipos!$C$2:$M$967,7,FALSE()),"")</f>
        <v>General Electric</v>
      </c>
      <c r="F1010" s="46" t="str">
        <f>IFERROR(VLOOKUP($A1010,Equipos!$C$2:$M$967,8,FALSE()),"")</f>
        <v>B105</v>
      </c>
      <c r="G1010" s="46" t="s">
        <v>316</v>
      </c>
      <c r="H1010" s="46"/>
      <c r="I1010" s="46"/>
      <c r="J1010" s="46" t="s">
        <v>297</v>
      </c>
      <c r="K1010" s="46" t="str">
        <f>IFERROR(VLOOKUP($J1010,Catálogos!$M$4:$N$17,2,FALSE()),"")</f>
        <v>Mantención Preventiva Realizada</v>
      </c>
      <c r="L1010" s="46"/>
      <c r="M1010" s="46"/>
      <c r="N1010" s="46"/>
      <c r="O1010" s="46"/>
      <c r="P1010" s="46"/>
      <c r="Q1010" s="46"/>
    </row>
    <row r="1011" spans="1:17" hidden="1" x14ac:dyDescent="0.25">
      <c r="A1011" s="47" t="s">
        <v>941</v>
      </c>
      <c r="B1011" s="46" t="str">
        <f>IFERROR(VLOOKUP($A1011,Equipos!$C$2:$M$967,2,FALSE()),"")</f>
        <v>Monitor Multiparámetros</v>
      </c>
      <c r="C1011" s="46" t="str">
        <f>IFERROR(VLOOKUP($A1011,Equipos!$C$2:$M$967,9,FALSE()),"")</f>
        <v>0118020.</v>
      </c>
      <c r="D1011" s="46" t="str">
        <f>IFERROR(VLOOKUP($A1011,Equipos!$C$2:$M$967,3,FALSE()),"")</f>
        <v>Medicina (Prestado a medicina cardiovascular)</v>
      </c>
      <c r="E1011" s="46" t="str">
        <f>IFERROR(VLOOKUP($A1011,Equipos!$C$2:$M$967,7,FALSE()),"")</f>
        <v xml:space="preserve">Nihon Kohden </v>
      </c>
      <c r="F1011" s="46" t="str">
        <f>IFERROR(VLOOKUP($A1011,Equipos!$C$2:$M$967,8,FALSE()),"")</f>
        <v>PVM-2703</v>
      </c>
      <c r="G1011" s="46" t="s">
        <v>296</v>
      </c>
      <c r="H1011" s="46"/>
      <c r="I1011" s="46"/>
      <c r="J1011" s="46" t="s">
        <v>323</v>
      </c>
      <c r="K1011" s="46" t="str">
        <f>IFERROR(VLOOKUP($J1011,Catálogos!$M$4:$N$17,2,FALSE()),"")</f>
        <v>Reprogramada · No disponibilidad de horas hombre del funcionario SEC por alta carga laboral</v>
      </c>
      <c r="L1011" s="46"/>
      <c r="M1011" s="46"/>
      <c r="N1011" s="46"/>
      <c r="O1011" s="46"/>
      <c r="P1011" s="46"/>
      <c r="Q1011" s="46"/>
    </row>
    <row r="1012" spans="1:17" hidden="1" x14ac:dyDescent="0.25">
      <c r="A1012" s="47" t="s">
        <v>941</v>
      </c>
      <c r="B1012" s="46" t="str">
        <f>IFERROR(VLOOKUP($A1012,Equipos!$C$2:$M$967,2,FALSE()),"")</f>
        <v>Monitor Multiparámetros</v>
      </c>
      <c r="C1012" s="46" t="str">
        <f>IFERROR(VLOOKUP($A1012,Equipos!$C$2:$M$967,9,FALSE()),"")</f>
        <v>0118020.</v>
      </c>
      <c r="D1012" s="46" t="str">
        <f>IFERROR(VLOOKUP($A1012,Equipos!$C$2:$M$967,3,FALSE()),"")</f>
        <v>Medicina (Prestado a medicina cardiovascular)</v>
      </c>
      <c r="E1012" s="46" t="str">
        <f>IFERROR(VLOOKUP($A1012,Equipos!$C$2:$M$967,7,FALSE()),"")</f>
        <v xml:space="preserve">Nihon Kohden </v>
      </c>
      <c r="F1012" s="46" t="str">
        <f>IFERROR(VLOOKUP($A1012,Equipos!$C$2:$M$967,8,FALSE()),"")</f>
        <v>PVM-2703</v>
      </c>
      <c r="G1012" s="46" t="s">
        <v>316</v>
      </c>
      <c r="H1012" s="46"/>
      <c r="I1012" s="46"/>
      <c r="J1012" s="46" t="s">
        <v>297</v>
      </c>
      <c r="K1012" s="46" t="str">
        <f>IFERROR(VLOOKUP($J1012,Catálogos!$M$4:$N$17,2,FALSE()),"")</f>
        <v>Mantención Preventiva Realizada</v>
      </c>
      <c r="L1012" s="46"/>
      <c r="M1012" s="46"/>
      <c r="N1012" s="46"/>
      <c r="O1012" s="46"/>
      <c r="P1012" s="46"/>
      <c r="Q1012" s="46"/>
    </row>
    <row r="1013" spans="1:17" hidden="1" x14ac:dyDescent="0.25">
      <c r="A1013" s="47" t="s">
        <v>942</v>
      </c>
      <c r="B1013" s="46" t="str">
        <f>IFERROR(VLOOKUP($A1013,Equipos!$C$2:$M$967,2,FALSE()),"")</f>
        <v>Monitor Multiparámetros</v>
      </c>
      <c r="C1013" s="46" t="str">
        <f>IFERROR(VLOOKUP($A1013,Equipos!$C$2:$M$967,9,FALSE()),"")</f>
        <v>0118042.</v>
      </c>
      <c r="D1013" s="46" t="str">
        <f>IFERROR(VLOOKUP($A1013,Equipos!$C$2:$M$967,3,FALSE()),"")</f>
        <v>Medicina</v>
      </c>
      <c r="E1013" s="46" t="str">
        <f>IFERROR(VLOOKUP($A1013,Equipos!$C$2:$M$967,7,FALSE()),"")</f>
        <v xml:space="preserve">Nihon Kohden </v>
      </c>
      <c r="F1013" s="46" t="str">
        <f>IFERROR(VLOOKUP($A1013,Equipos!$C$2:$M$967,8,FALSE()),"")</f>
        <v>PVM-2703</v>
      </c>
      <c r="G1013" s="46" t="s">
        <v>296</v>
      </c>
      <c r="H1013" s="46"/>
      <c r="I1013" s="46"/>
      <c r="J1013" s="46" t="s">
        <v>297</v>
      </c>
      <c r="K1013" s="46" t="str">
        <f>IFERROR(VLOOKUP($J1013,Catálogos!$M$4:$N$17,2,FALSE()),"")</f>
        <v>Mantención Preventiva Realizada</v>
      </c>
      <c r="L1013" s="46"/>
      <c r="M1013" s="46"/>
      <c r="N1013" s="46"/>
      <c r="O1013" s="46"/>
      <c r="P1013" s="46"/>
      <c r="Q1013" s="46"/>
    </row>
    <row r="1014" spans="1:17" hidden="1" x14ac:dyDescent="0.25">
      <c r="A1014" s="47" t="s">
        <v>943</v>
      </c>
      <c r="B1014" s="46" t="str">
        <f>IFERROR(VLOOKUP($A1014,Equipos!$C$2:$M$967,2,FALSE()),"")</f>
        <v>Monitor Multiparámetros</v>
      </c>
      <c r="C1014" s="46" t="str">
        <f>IFERROR(VLOOKUP($A1014,Equipos!$C$2:$M$967,9,FALSE()),"")</f>
        <v>0117935.</v>
      </c>
      <c r="D1014" s="46" t="str">
        <f>IFERROR(VLOOKUP($A1014,Equipos!$C$2:$M$967,3,FALSE()),"")</f>
        <v>Medicina</v>
      </c>
      <c r="E1014" s="46" t="str">
        <f>IFERROR(VLOOKUP($A1014,Equipos!$C$2:$M$967,7,FALSE()),"")</f>
        <v xml:space="preserve">Nihon Kohden </v>
      </c>
      <c r="F1014" s="46" t="str">
        <f>IFERROR(VLOOKUP($A1014,Equipos!$C$2:$M$967,8,FALSE()),"")</f>
        <v>PVM-2703</v>
      </c>
      <c r="G1014" s="46" t="s">
        <v>296</v>
      </c>
      <c r="H1014" s="46"/>
      <c r="I1014" s="46"/>
      <c r="J1014" s="46" t="s">
        <v>323</v>
      </c>
      <c r="K1014" s="46" t="str">
        <f>IFERROR(VLOOKUP($J1014,Catálogos!$M$4:$N$17,2,FALSE()),"")</f>
        <v>Reprogramada · No disponibilidad de horas hombre del funcionario SEC por alta carga laboral</v>
      </c>
      <c r="L1014" s="46"/>
      <c r="M1014" s="46"/>
      <c r="N1014" s="46"/>
      <c r="O1014" s="46"/>
      <c r="P1014" s="46"/>
      <c r="Q1014" s="46"/>
    </row>
    <row r="1015" spans="1:17" hidden="1" x14ac:dyDescent="0.25">
      <c r="A1015" s="47" t="s">
        <v>943</v>
      </c>
      <c r="B1015" s="46" t="str">
        <f>IFERROR(VLOOKUP($A1015,Equipos!$C$2:$M$967,2,FALSE()),"")</f>
        <v>Monitor Multiparámetros</v>
      </c>
      <c r="C1015" s="46" t="str">
        <f>IFERROR(VLOOKUP($A1015,Equipos!$C$2:$M$967,9,FALSE()),"")</f>
        <v>0117935.</v>
      </c>
      <c r="D1015" s="46" t="str">
        <f>IFERROR(VLOOKUP($A1015,Equipos!$C$2:$M$967,3,FALSE()),"")</f>
        <v>Medicina</v>
      </c>
      <c r="E1015" s="46" t="str">
        <f>IFERROR(VLOOKUP($A1015,Equipos!$C$2:$M$967,7,FALSE()),"")</f>
        <v xml:space="preserve">Nihon Kohden </v>
      </c>
      <c r="F1015" s="46" t="str">
        <f>IFERROR(VLOOKUP($A1015,Equipos!$C$2:$M$967,8,FALSE()),"")</f>
        <v>PVM-2703</v>
      </c>
      <c r="G1015" s="46" t="s">
        <v>316</v>
      </c>
      <c r="H1015" s="46"/>
      <c r="I1015" s="46"/>
      <c r="J1015" s="46" t="s">
        <v>297</v>
      </c>
      <c r="K1015" s="46" t="str">
        <f>IFERROR(VLOOKUP($J1015,Catálogos!$M$4:$N$17,2,FALSE()),"")</f>
        <v>Mantención Preventiva Realizada</v>
      </c>
      <c r="L1015" s="46"/>
      <c r="M1015" s="46"/>
      <c r="N1015" s="46"/>
      <c r="O1015" s="46"/>
      <c r="P1015" s="46"/>
      <c r="Q1015" s="46"/>
    </row>
    <row r="1016" spans="1:17" hidden="1" x14ac:dyDescent="0.25">
      <c r="A1016" s="47" t="s">
        <v>944</v>
      </c>
      <c r="B1016" s="46" t="str">
        <f>IFERROR(VLOOKUP($A1016,Equipos!$C$2:$M$967,2,FALSE()),"")</f>
        <v>Monitor Multiparámetros</v>
      </c>
      <c r="C1016" s="46" t="str">
        <f>IFERROR(VLOOKUP($A1016,Equipos!$C$2:$M$967,9,FALSE()),"")</f>
        <v>0118040.</v>
      </c>
      <c r="D1016" s="46" t="str">
        <f>IFERROR(VLOOKUP($A1016,Equipos!$C$2:$M$967,3,FALSE()),"")</f>
        <v>Medicina</v>
      </c>
      <c r="E1016" s="46" t="str">
        <f>IFERROR(VLOOKUP($A1016,Equipos!$C$2:$M$967,7,FALSE()),"")</f>
        <v xml:space="preserve">Nihon Kohden </v>
      </c>
      <c r="F1016" s="46" t="str">
        <f>IFERROR(VLOOKUP($A1016,Equipos!$C$2:$M$967,8,FALSE()),"")</f>
        <v>PVM-2703</v>
      </c>
      <c r="G1016" s="46" t="s">
        <v>296</v>
      </c>
      <c r="H1016" s="46"/>
      <c r="I1016" s="46"/>
      <c r="J1016" s="46" t="s">
        <v>297</v>
      </c>
      <c r="K1016" s="46" t="str">
        <f>IFERROR(VLOOKUP($J1016,Catálogos!$M$4:$N$17,2,FALSE()),"")</f>
        <v>Mantención Preventiva Realizada</v>
      </c>
      <c r="L1016" s="46"/>
      <c r="M1016" s="46"/>
      <c r="N1016" s="46"/>
      <c r="O1016" s="46"/>
      <c r="P1016" s="46"/>
      <c r="Q1016" s="46"/>
    </row>
    <row r="1017" spans="1:17" hidden="1" x14ac:dyDescent="0.25">
      <c r="A1017" s="47" t="s">
        <v>945</v>
      </c>
      <c r="B1017" s="46" t="str">
        <f>IFERROR(VLOOKUP($A1017,Equipos!$C$2:$M$967,2,FALSE()),"")</f>
        <v>Monitor Multiparámetros</v>
      </c>
      <c r="C1017" s="46" t="str">
        <f>IFERROR(VLOOKUP($A1017,Equipos!$C$2:$M$967,9,FALSE()),"")</f>
        <v>0118006.</v>
      </c>
      <c r="D1017" s="46" t="str">
        <f>IFERROR(VLOOKUP($A1017,Equipos!$C$2:$M$967,3,FALSE()),"")</f>
        <v>Medicina</v>
      </c>
      <c r="E1017" s="46" t="str">
        <f>IFERROR(VLOOKUP($A1017,Equipos!$C$2:$M$967,7,FALSE()),"")</f>
        <v xml:space="preserve">Nihon Kohden </v>
      </c>
      <c r="F1017" s="46" t="str">
        <f>IFERROR(VLOOKUP($A1017,Equipos!$C$2:$M$967,8,FALSE()),"")</f>
        <v>PVM-2703</v>
      </c>
      <c r="G1017" s="46" t="s">
        <v>296</v>
      </c>
      <c r="H1017" s="46"/>
      <c r="I1017" s="46"/>
      <c r="J1017" s="46" t="s">
        <v>297</v>
      </c>
      <c r="K1017" s="46" t="str">
        <f>IFERROR(VLOOKUP($J1017,Catálogos!$M$4:$N$17,2,FALSE()),"")</f>
        <v>Mantención Preventiva Realizada</v>
      </c>
      <c r="L1017" s="46"/>
      <c r="M1017" s="46"/>
      <c r="N1017" s="46"/>
      <c r="O1017" s="46"/>
      <c r="P1017" s="46"/>
      <c r="Q1017" s="46"/>
    </row>
    <row r="1018" spans="1:17" hidden="1" x14ac:dyDescent="0.25">
      <c r="A1018" s="47" t="s">
        <v>946</v>
      </c>
      <c r="B1018" s="46" t="str">
        <f>IFERROR(VLOOKUP($A1018,Equipos!$C$2:$M$967,2,FALSE()),"")</f>
        <v>Monitor Multiparámetros</v>
      </c>
      <c r="C1018" s="46" t="str">
        <f>IFERROR(VLOOKUP($A1018,Equipos!$C$2:$M$967,9,FALSE()),"")</f>
        <v>0117960.</v>
      </c>
      <c r="D1018" s="46" t="str">
        <f>IFERROR(VLOOKUP($A1018,Equipos!$C$2:$M$967,3,FALSE()),"")</f>
        <v>Urgencia infantil</v>
      </c>
      <c r="E1018" s="46" t="str">
        <f>IFERROR(VLOOKUP($A1018,Equipos!$C$2:$M$967,7,FALSE()),"")</f>
        <v xml:space="preserve">Nihon Kohden </v>
      </c>
      <c r="F1018" s="46" t="str">
        <f>IFERROR(VLOOKUP($A1018,Equipos!$C$2:$M$967,8,FALSE()),"")</f>
        <v>PVM-2703</v>
      </c>
      <c r="G1018" s="46" t="s">
        <v>316</v>
      </c>
      <c r="H1018" s="46"/>
      <c r="I1018" s="46"/>
      <c r="J1018" s="46" t="s">
        <v>297</v>
      </c>
      <c r="K1018" s="46" t="str">
        <f>IFERROR(VLOOKUP($J1018,Catálogos!$M$4:$N$17,2,FALSE()),"")</f>
        <v>Mantención Preventiva Realizada</v>
      </c>
      <c r="L1018" s="46"/>
      <c r="M1018" s="46"/>
      <c r="N1018" s="46"/>
      <c r="O1018" s="46"/>
      <c r="P1018" s="46"/>
      <c r="Q1018" s="46"/>
    </row>
    <row r="1019" spans="1:17" hidden="1" x14ac:dyDescent="0.25">
      <c r="A1019" s="47" t="s">
        <v>947</v>
      </c>
      <c r="B1019" s="46" t="str">
        <f>IFERROR(VLOOKUP($A1019,Equipos!$C$2:$M$967,2,FALSE()),"")</f>
        <v>Monitor Multiparámetros</v>
      </c>
      <c r="C1019" s="46" t="str">
        <f>IFERROR(VLOOKUP($A1019,Equipos!$C$2:$M$967,9,FALSE()),"")</f>
        <v>0117934.</v>
      </c>
      <c r="D1019" s="46" t="str">
        <f>IFERROR(VLOOKUP($A1019,Equipos!$C$2:$M$967,3,FALSE()),"")</f>
        <v>Urgencia infantil</v>
      </c>
      <c r="E1019" s="46" t="str">
        <f>IFERROR(VLOOKUP($A1019,Equipos!$C$2:$M$967,7,FALSE()),"")</f>
        <v xml:space="preserve">Nihon Kohden </v>
      </c>
      <c r="F1019" s="46" t="str">
        <f>IFERROR(VLOOKUP($A1019,Equipos!$C$2:$M$967,8,FALSE()),"")</f>
        <v>PVM-2703</v>
      </c>
      <c r="G1019" s="46" t="s">
        <v>316</v>
      </c>
      <c r="H1019" s="46"/>
      <c r="I1019" s="46"/>
      <c r="J1019" s="46" t="s">
        <v>297</v>
      </c>
      <c r="K1019" s="46" t="str">
        <f>IFERROR(VLOOKUP($J1019,Catálogos!$M$4:$N$17,2,FALSE()),"")</f>
        <v>Mantención Preventiva Realizada</v>
      </c>
      <c r="L1019" s="46"/>
      <c r="M1019" s="46"/>
      <c r="N1019" s="46"/>
      <c r="O1019" s="46"/>
      <c r="P1019" s="46"/>
      <c r="Q1019" s="46"/>
    </row>
    <row r="1020" spans="1:17" hidden="1" x14ac:dyDescent="0.25">
      <c r="A1020" s="47" t="s">
        <v>948</v>
      </c>
      <c r="B1020" s="46" t="str">
        <f>IFERROR(VLOOKUP($A1020,Equipos!$C$2:$M$967,2,FALSE()),"")</f>
        <v>Monitor Multiparámetros</v>
      </c>
      <c r="C1020" s="46" t="str">
        <f>IFERROR(VLOOKUP($A1020,Equipos!$C$2:$M$967,9,FALSE()),"")</f>
        <v>0117925.</v>
      </c>
      <c r="D1020" s="46" t="str">
        <f>IFERROR(VLOOKUP($A1020,Equipos!$C$2:$M$967,3,FALSE()),"")</f>
        <v>Urgencia Adulto</v>
      </c>
      <c r="E1020" s="46" t="str">
        <f>IFERROR(VLOOKUP($A1020,Equipos!$C$2:$M$967,7,FALSE()),"")</f>
        <v xml:space="preserve">Nihon Kohden </v>
      </c>
      <c r="F1020" s="46" t="str">
        <f>IFERROR(VLOOKUP($A1020,Equipos!$C$2:$M$967,8,FALSE()),"")</f>
        <v>PVM-2703</v>
      </c>
      <c r="G1020" s="46" t="s">
        <v>316</v>
      </c>
      <c r="H1020" s="46"/>
      <c r="I1020" s="46"/>
      <c r="J1020" s="46" t="s">
        <v>297</v>
      </c>
      <c r="K1020" s="46" t="str">
        <f>IFERROR(VLOOKUP($J1020,Catálogos!$M$4:$N$17,2,FALSE()),"")</f>
        <v>Mantención Preventiva Realizada</v>
      </c>
      <c r="L1020" s="46"/>
      <c r="M1020" s="46"/>
      <c r="N1020" s="46"/>
      <c r="O1020" s="46"/>
      <c r="P1020" s="46"/>
      <c r="Q1020" s="46"/>
    </row>
    <row r="1021" spans="1:17" hidden="1" x14ac:dyDescent="0.25">
      <c r="A1021" s="47" t="s">
        <v>949</v>
      </c>
      <c r="B1021" s="46" t="str">
        <f>IFERROR(VLOOKUP($A1021,Equipos!$C$2:$M$967,2,FALSE()),"")</f>
        <v>Monitor Multiparámetros</v>
      </c>
      <c r="C1021" s="46" t="str">
        <f>IFERROR(VLOOKUP($A1021,Equipos!$C$2:$M$967,9,FALSE()),"")</f>
        <v>0117936.</v>
      </c>
      <c r="D1021" s="46" t="str">
        <f>IFERROR(VLOOKUP($A1021,Equipos!$C$2:$M$967,3,FALSE()),"")</f>
        <v>Urgencia infantil</v>
      </c>
      <c r="E1021" s="46" t="str">
        <f>IFERROR(VLOOKUP($A1021,Equipos!$C$2:$M$967,7,FALSE()),"")</f>
        <v xml:space="preserve">Nihon Kohden </v>
      </c>
      <c r="F1021" s="46" t="str">
        <f>IFERROR(VLOOKUP($A1021,Equipos!$C$2:$M$967,8,FALSE()),"")</f>
        <v>PVM-2703</v>
      </c>
      <c r="G1021" s="46" t="s">
        <v>316</v>
      </c>
      <c r="H1021" s="46"/>
      <c r="I1021" s="46"/>
      <c r="J1021" s="46" t="s">
        <v>297</v>
      </c>
      <c r="K1021" s="46" t="str">
        <f>IFERROR(VLOOKUP($J1021,Catálogos!$M$4:$N$17,2,FALSE()),"")</f>
        <v>Mantención Preventiva Realizada</v>
      </c>
      <c r="L1021" s="46"/>
      <c r="M1021" s="46"/>
      <c r="N1021" s="46"/>
      <c r="O1021" s="46"/>
      <c r="P1021" s="46"/>
      <c r="Q1021" s="46"/>
    </row>
    <row r="1022" spans="1:17" hidden="1" x14ac:dyDescent="0.25">
      <c r="A1022" s="47" t="s">
        <v>950</v>
      </c>
      <c r="B1022" s="46" t="str">
        <f>IFERROR(VLOOKUP($A1022,Equipos!$C$2:$M$967,2,FALSE()),"")</f>
        <v>Monitor Multiparámetros</v>
      </c>
      <c r="C1022" s="46" t="str">
        <f>IFERROR(VLOOKUP($A1022,Equipos!$C$2:$M$967,9,FALSE()),"")</f>
        <v>117954</v>
      </c>
      <c r="D1022" s="46" t="str">
        <f>IFERROR(VLOOKUP($A1022,Equipos!$C$2:$M$967,3,FALSE()),"")</f>
        <v>Urgencia Adulto</v>
      </c>
      <c r="E1022" s="46" t="str">
        <f>IFERROR(VLOOKUP($A1022,Equipos!$C$2:$M$967,7,FALSE()),"")</f>
        <v xml:space="preserve">Nihon Kohden </v>
      </c>
      <c r="F1022" s="46" t="str">
        <f>IFERROR(VLOOKUP($A1022,Equipos!$C$2:$M$967,8,FALSE()),"")</f>
        <v>PVM-2703</v>
      </c>
      <c r="G1022" s="46" t="s">
        <v>316</v>
      </c>
      <c r="H1022" s="46"/>
      <c r="I1022" s="46"/>
      <c r="J1022" s="46" t="s">
        <v>297</v>
      </c>
      <c r="K1022" s="46" t="str">
        <f>IFERROR(VLOOKUP($J1022,Catálogos!$M$4:$N$17,2,FALSE()),"")</f>
        <v>Mantención Preventiva Realizada</v>
      </c>
      <c r="L1022" s="46"/>
      <c r="M1022" s="46"/>
      <c r="N1022" s="46"/>
      <c r="O1022" s="46"/>
      <c r="P1022" s="46"/>
      <c r="Q1022" s="46"/>
    </row>
    <row r="1023" spans="1:17" hidden="1" x14ac:dyDescent="0.25">
      <c r="A1023" s="47" t="s">
        <v>951</v>
      </c>
      <c r="B1023" s="46" t="str">
        <f>IFERROR(VLOOKUP($A1023,Equipos!$C$2:$M$967,2,FALSE()),"")</f>
        <v>Monitor Multiparámetros</v>
      </c>
      <c r="C1023" s="46" t="str">
        <f>IFERROR(VLOOKUP($A1023,Equipos!$C$2:$M$967,9,FALSE()),"")</f>
        <v>1810190910101</v>
      </c>
      <c r="D1023" s="46" t="str">
        <f>IFERROR(VLOOKUP($A1023,Equipos!$C$2:$M$967,3,FALSE()),"")</f>
        <v>Servicio Social</v>
      </c>
      <c r="E1023" s="46" t="str">
        <f>IFERROR(VLOOKUP($A1023,Equipos!$C$2:$M$967,7,FALSE()),"")</f>
        <v>MATIMED</v>
      </c>
      <c r="F1023" s="46" t="str">
        <f>IFERROR(VLOOKUP($A1023,Equipos!$C$2:$M$967,8,FALSE()),"")</f>
        <v>MN-580</v>
      </c>
      <c r="G1023" s="46" t="s">
        <v>331</v>
      </c>
      <c r="H1023" s="46"/>
      <c r="I1023" s="46"/>
      <c r="J1023" s="46" t="s">
        <v>297</v>
      </c>
      <c r="K1023" s="46" t="str">
        <f>IFERROR(VLOOKUP($J1023,Catálogos!$M$4:$N$17,2,FALSE()),"")</f>
        <v>Mantención Preventiva Realizada</v>
      </c>
      <c r="L1023" s="46"/>
      <c r="M1023" s="46"/>
      <c r="N1023" s="46"/>
      <c r="O1023" s="46"/>
      <c r="P1023" s="46"/>
      <c r="Q1023" s="46"/>
    </row>
    <row r="1024" spans="1:17" hidden="1" x14ac:dyDescent="0.25">
      <c r="A1024" s="47" t="s">
        <v>952</v>
      </c>
      <c r="B1024" s="46" t="str">
        <f>IFERROR(VLOOKUP($A1024,Equipos!$C$2:$M$967,2,FALSE()),"")</f>
        <v>Monitor Multiparámetros</v>
      </c>
      <c r="C1024" s="46" t="str">
        <f>IFERROR(VLOOKUP($A1024,Equipos!$C$2:$M$967,9,FALSE()),"")</f>
        <v>5495679556</v>
      </c>
      <c r="D1024" s="46" t="str">
        <f>IFERROR(VLOOKUP($A1024,Equipos!$C$2:$M$967,3,FALSE()),"")</f>
        <v>UPC 3er Piso</v>
      </c>
      <c r="E1024" s="46" t="str">
        <f>IFERROR(VLOOKUP($A1024,Equipos!$C$2:$M$967,7,FALSE()),"")</f>
        <v>Drager</v>
      </c>
      <c r="F1024" s="46" t="str">
        <f>IFERROR(VLOOKUP($A1024,Equipos!$C$2:$M$967,8,FALSE()),"")</f>
        <v>Infinity Kappa</v>
      </c>
      <c r="G1024" s="46" t="s">
        <v>298</v>
      </c>
      <c r="H1024" s="46"/>
      <c r="I1024" s="46"/>
      <c r="J1024" s="46" t="s">
        <v>297</v>
      </c>
      <c r="K1024" s="46" t="str">
        <f>IFERROR(VLOOKUP($J1024,Catálogos!$M$4:$N$17,2,FALSE()),"")</f>
        <v>Mantención Preventiva Realizada</v>
      </c>
      <c r="L1024" s="46"/>
      <c r="M1024" s="46"/>
      <c r="N1024" s="46"/>
      <c r="O1024" s="46"/>
      <c r="P1024" s="46"/>
      <c r="Q1024" s="46"/>
    </row>
    <row r="1025" spans="1:17" hidden="1" x14ac:dyDescent="0.25">
      <c r="A1025" s="47" t="s">
        <v>953</v>
      </c>
      <c r="B1025" s="46" t="str">
        <f>IFERROR(VLOOKUP($A1025,Equipos!$C$2:$M$967,2,FALSE()),"")</f>
        <v>Monitor Multiparámetros</v>
      </c>
      <c r="C1025" s="46" t="str">
        <f>IFERROR(VLOOKUP($A1025,Equipos!$C$2:$M$967,9,FALSE()),"")</f>
        <v>5495714162</v>
      </c>
      <c r="D1025" s="46" t="str">
        <f>IFERROR(VLOOKUP($A1025,Equipos!$C$2:$M$967,3,FALSE()),"")</f>
        <v>UPC 3er Piso</v>
      </c>
      <c r="E1025" s="46" t="str">
        <f>IFERROR(VLOOKUP($A1025,Equipos!$C$2:$M$967,7,FALSE()),"")</f>
        <v>Drager</v>
      </c>
      <c r="F1025" s="46" t="str">
        <f>IFERROR(VLOOKUP($A1025,Equipos!$C$2:$M$967,8,FALSE()),"")</f>
        <v>Infinity Kappa</v>
      </c>
      <c r="G1025" s="46" t="s">
        <v>298</v>
      </c>
      <c r="H1025" s="46"/>
      <c r="I1025" s="46"/>
      <c r="J1025" s="46" t="s">
        <v>297</v>
      </c>
      <c r="K1025" s="46" t="str">
        <f>IFERROR(VLOOKUP($J1025,Catálogos!$M$4:$N$17,2,FALSE()),"")</f>
        <v>Mantención Preventiva Realizada</v>
      </c>
      <c r="L1025" s="46"/>
      <c r="M1025" s="46"/>
      <c r="N1025" s="46"/>
      <c r="O1025" s="46"/>
      <c r="P1025" s="46"/>
      <c r="Q1025" s="46"/>
    </row>
    <row r="1026" spans="1:17" hidden="1" x14ac:dyDescent="0.25">
      <c r="A1026" s="47" t="s">
        <v>954</v>
      </c>
      <c r="B1026" s="46" t="str">
        <f>IFERROR(VLOOKUP($A1026,Equipos!$C$2:$M$967,2,FALSE()),"")</f>
        <v>Monitor Multiparámetros</v>
      </c>
      <c r="C1026" s="46" t="str">
        <f>IFERROR(VLOOKUP($A1026,Equipos!$C$2:$M$967,9,FALSE()),"")</f>
        <v>5495709257</v>
      </c>
      <c r="D1026" s="46" t="str">
        <f>IFERROR(VLOOKUP($A1026,Equipos!$C$2:$M$967,3,FALSE()),"")</f>
        <v>UPC 3er Piso</v>
      </c>
      <c r="E1026" s="46" t="str">
        <f>IFERROR(VLOOKUP($A1026,Equipos!$C$2:$M$967,7,FALSE()),"")</f>
        <v>Drager</v>
      </c>
      <c r="F1026" s="46" t="str">
        <f>IFERROR(VLOOKUP($A1026,Equipos!$C$2:$M$967,8,FALSE()),"")</f>
        <v>Infinity Kappa</v>
      </c>
      <c r="G1026" s="46" t="s">
        <v>298</v>
      </c>
      <c r="H1026" s="46"/>
      <c r="I1026" s="46"/>
      <c r="J1026" s="46" t="s">
        <v>297</v>
      </c>
      <c r="K1026" s="46" t="str">
        <f>IFERROR(VLOOKUP($J1026,Catálogos!$M$4:$N$17,2,FALSE()),"")</f>
        <v>Mantención Preventiva Realizada</v>
      </c>
      <c r="L1026" s="46"/>
      <c r="M1026" s="46"/>
      <c r="N1026" s="46"/>
      <c r="O1026" s="46"/>
      <c r="P1026" s="46"/>
      <c r="Q1026" s="46"/>
    </row>
    <row r="1027" spans="1:17" hidden="1" x14ac:dyDescent="0.25">
      <c r="A1027" s="47" t="s">
        <v>955</v>
      </c>
      <c r="B1027" s="46" t="str">
        <f>IFERROR(VLOOKUP($A1027,Equipos!$C$2:$M$967,2,FALSE()),"")</f>
        <v>Monitor Multiparámetros</v>
      </c>
      <c r="C1027" s="46" t="str">
        <f>IFERROR(VLOOKUP($A1027,Equipos!$C$2:$M$967,9,FALSE()),"")</f>
        <v>5495706162</v>
      </c>
      <c r="D1027" s="46" t="str">
        <f>IFERROR(VLOOKUP($A1027,Equipos!$C$2:$M$967,3,FALSE()),"")</f>
        <v>UPC 3er Piso</v>
      </c>
      <c r="E1027" s="46" t="str">
        <f>IFERROR(VLOOKUP($A1027,Equipos!$C$2:$M$967,7,FALSE()),"")</f>
        <v>Drager</v>
      </c>
      <c r="F1027" s="46" t="str">
        <f>IFERROR(VLOOKUP($A1027,Equipos!$C$2:$M$967,8,FALSE()),"")</f>
        <v>Infinity Kappa</v>
      </c>
      <c r="G1027" s="46" t="s">
        <v>298</v>
      </c>
      <c r="H1027" s="46"/>
      <c r="I1027" s="46"/>
      <c r="J1027" s="46" t="s">
        <v>297</v>
      </c>
      <c r="K1027" s="46" t="str">
        <f>IFERROR(VLOOKUP($J1027,Catálogos!$M$4:$N$17,2,FALSE()),"")</f>
        <v>Mantención Preventiva Realizada</v>
      </c>
      <c r="L1027" s="46"/>
      <c r="M1027" s="46"/>
      <c r="N1027" s="46"/>
      <c r="O1027" s="46"/>
      <c r="P1027" s="46"/>
      <c r="Q1027" s="46"/>
    </row>
    <row r="1028" spans="1:17" hidden="1" x14ac:dyDescent="0.25">
      <c r="A1028" s="47" t="s">
        <v>956</v>
      </c>
      <c r="B1028" s="46" t="str">
        <f>IFERROR(VLOOKUP($A1028,Equipos!$C$2:$M$967,2,FALSE()),"")</f>
        <v>Monitor Multiparámetros</v>
      </c>
      <c r="C1028" s="46" t="str">
        <f>IFERROR(VLOOKUP($A1028,Equipos!$C$2:$M$967,9,FALSE()),"")</f>
        <v>5495686254</v>
      </c>
      <c r="D1028" s="46" t="str">
        <f>IFERROR(VLOOKUP($A1028,Equipos!$C$2:$M$967,3,FALSE()),"")</f>
        <v>UPC 3er Piso</v>
      </c>
      <c r="E1028" s="46" t="str">
        <f>IFERROR(VLOOKUP($A1028,Equipos!$C$2:$M$967,7,FALSE()),"")</f>
        <v>Drager</v>
      </c>
      <c r="F1028" s="46" t="str">
        <f>IFERROR(VLOOKUP($A1028,Equipos!$C$2:$M$967,8,FALSE()),"")</f>
        <v>Infinity Kappa</v>
      </c>
      <c r="G1028" s="46" t="s">
        <v>298</v>
      </c>
      <c r="H1028" s="46"/>
      <c r="I1028" s="46"/>
      <c r="J1028" s="46" t="s">
        <v>297</v>
      </c>
      <c r="K1028" s="46" t="str">
        <f>IFERROR(VLOOKUP($J1028,Catálogos!$M$4:$N$17,2,FALSE()),"")</f>
        <v>Mantención Preventiva Realizada</v>
      </c>
      <c r="L1028" s="46"/>
      <c r="M1028" s="46"/>
      <c r="N1028" s="46"/>
      <c r="O1028" s="46"/>
      <c r="P1028" s="46"/>
      <c r="Q1028" s="46"/>
    </row>
    <row r="1029" spans="1:17" hidden="1" x14ac:dyDescent="0.25">
      <c r="A1029" s="47" t="s">
        <v>957</v>
      </c>
      <c r="B1029" s="46" t="str">
        <f>IFERROR(VLOOKUP($A1029,Equipos!$C$2:$M$967,2,FALSE()),"")</f>
        <v>Monitor Multiparámetros</v>
      </c>
      <c r="C1029" s="46" t="str">
        <f>IFERROR(VLOOKUP($A1029,Equipos!$C$2:$M$967,9,FALSE()),"")</f>
        <v>1393-113289</v>
      </c>
      <c r="D1029" s="46" t="str">
        <f>IFERROR(VLOOKUP($A1029,Equipos!$C$2:$M$967,3,FALSE()),"")</f>
        <v>UPC 3er Piso</v>
      </c>
      <c r="E1029" s="46" t="str">
        <f>IFERROR(VLOOKUP($A1029,Equipos!$C$2:$M$967,7,FALSE()),"")</f>
        <v>SPACELABS HEALTHCARE</v>
      </c>
      <c r="F1029" s="46" t="str">
        <f>IFERROR(VLOOKUP($A1029,Equipos!$C$2:$M$967,8,FALSE()),"")</f>
        <v>XPREZZON</v>
      </c>
      <c r="G1029" s="46" t="s">
        <v>298</v>
      </c>
      <c r="H1029" s="46"/>
      <c r="I1029" s="46"/>
      <c r="J1029" s="46" t="s">
        <v>297</v>
      </c>
      <c r="K1029" s="46" t="str">
        <f>IFERROR(VLOOKUP($J1029,Catálogos!$M$4:$N$17,2,FALSE()),"")</f>
        <v>Mantención Preventiva Realizada</v>
      </c>
      <c r="L1029" s="46"/>
      <c r="M1029" s="46"/>
      <c r="N1029" s="46"/>
      <c r="O1029" s="46"/>
      <c r="P1029" s="46"/>
      <c r="Q1029" s="46"/>
    </row>
    <row r="1030" spans="1:17" hidden="1" x14ac:dyDescent="0.25">
      <c r="A1030" s="47" t="s">
        <v>958</v>
      </c>
      <c r="B1030" s="46" t="str">
        <f>IFERROR(VLOOKUP($A1030,Equipos!$C$2:$M$967,2,FALSE()),"")</f>
        <v>Monitor Multiparámetros</v>
      </c>
      <c r="C1030" s="46" t="str">
        <f>IFERROR(VLOOKUP($A1030,Equipos!$C$2:$M$967,9,FALSE()),"")</f>
        <v>1393-113283</v>
      </c>
      <c r="D1030" s="46" t="str">
        <f>IFERROR(VLOOKUP($A1030,Equipos!$C$2:$M$967,3,FALSE()),"")</f>
        <v>UPC 3er Piso</v>
      </c>
      <c r="E1030" s="46" t="str">
        <f>IFERROR(VLOOKUP($A1030,Equipos!$C$2:$M$967,7,FALSE()),"")</f>
        <v>SPACELABS HEALTHCARE</v>
      </c>
      <c r="F1030" s="46" t="str">
        <f>IFERROR(VLOOKUP($A1030,Equipos!$C$2:$M$967,8,FALSE()),"")</f>
        <v>XPREZZON</v>
      </c>
      <c r="G1030" s="46" t="s">
        <v>298</v>
      </c>
      <c r="H1030" s="46"/>
      <c r="I1030" s="46"/>
      <c r="J1030" s="46" t="s">
        <v>297</v>
      </c>
      <c r="K1030" s="46" t="str">
        <f>IFERROR(VLOOKUP($J1030,Catálogos!$M$4:$N$17,2,FALSE()),"")</f>
        <v>Mantención Preventiva Realizada</v>
      </c>
      <c r="L1030" s="46"/>
      <c r="M1030" s="46"/>
      <c r="N1030" s="46"/>
      <c r="O1030" s="46"/>
      <c r="P1030" s="46"/>
      <c r="Q1030" s="46"/>
    </row>
    <row r="1031" spans="1:17" hidden="1" x14ac:dyDescent="0.25">
      <c r="A1031" s="47" t="s">
        <v>959</v>
      </c>
      <c r="B1031" s="46" t="str">
        <f>IFERROR(VLOOKUP($A1031,Equipos!$C$2:$M$967,2,FALSE()),"")</f>
        <v>Monitor Multiparámetros</v>
      </c>
      <c r="C1031" s="46" t="str">
        <f>IFERROR(VLOOKUP($A1031,Equipos!$C$2:$M$967,9,FALSE()),"")</f>
        <v>1393-113290</v>
      </c>
      <c r="D1031" s="46" t="str">
        <f>IFERROR(VLOOKUP($A1031,Equipos!$C$2:$M$967,3,FALSE()),"")</f>
        <v>UPC 3er Piso</v>
      </c>
      <c r="E1031" s="46" t="str">
        <f>IFERROR(VLOOKUP($A1031,Equipos!$C$2:$M$967,7,FALSE()),"")</f>
        <v>SPACELABS HEALTHCARE</v>
      </c>
      <c r="F1031" s="46" t="str">
        <f>IFERROR(VLOOKUP($A1031,Equipos!$C$2:$M$967,8,FALSE()),"")</f>
        <v>XPREZZON</v>
      </c>
      <c r="G1031" s="46" t="s">
        <v>298</v>
      </c>
      <c r="H1031" s="46"/>
      <c r="I1031" s="46"/>
      <c r="J1031" s="46" t="s">
        <v>297</v>
      </c>
      <c r="K1031" s="46" t="str">
        <f>IFERROR(VLOOKUP($J1031,Catálogos!$M$4:$N$17,2,FALSE()),"")</f>
        <v>Mantención Preventiva Realizada</v>
      </c>
      <c r="L1031" s="46"/>
      <c r="M1031" s="46"/>
      <c r="N1031" s="46"/>
      <c r="O1031" s="46"/>
      <c r="P1031" s="46"/>
      <c r="Q1031" s="46"/>
    </row>
    <row r="1032" spans="1:17" hidden="1" x14ac:dyDescent="0.25">
      <c r="A1032" s="47" t="s">
        <v>960</v>
      </c>
      <c r="B1032" s="46" t="str">
        <f>IFERROR(VLOOKUP($A1032,Equipos!$C$2:$M$967,2,FALSE()),"")</f>
        <v>Monitor Multiparámetros</v>
      </c>
      <c r="C1032" s="46" t="str">
        <f>IFERROR(VLOOKUP($A1032,Equipos!$C$2:$M$967,9,FALSE()),"")</f>
        <v>1393-113276</v>
      </c>
      <c r="D1032" s="46" t="str">
        <f>IFERROR(VLOOKUP($A1032,Equipos!$C$2:$M$967,3,FALSE()),"")</f>
        <v>UPC 3er Piso</v>
      </c>
      <c r="E1032" s="46" t="str">
        <f>IFERROR(VLOOKUP($A1032,Equipos!$C$2:$M$967,7,FALSE()),"")</f>
        <v>SPACELABS HEALTHCARE</v>
      </c>
      <c r="F1032" s="46" t="str">
        <f>IFERROR(VLOOKUP($A1032,Equipos!$C$2:$M$967,8,FALSE()),"")</f>
        <v>XPREZZON</v>
      </c>
      <c r="G1032" s="46" t="s">
        <v>298</v>
      </c>
      <c r="H1032" s="46"/>
      <c r="I1032" s="46"/>
      <c r="J1032" s="46" t="s">
        <v>297</v>
      </c>
      <c r="K1032" s="46" t="str">
        <f>IFERROR(VLOOKUP($J1032,Catálogos!$M$4:$N$17,2,FALSE()),"")</f>
        <v>Mantención Preventiva Realizada</v>
      </c>
      <c r="L1032" s="46"/>
      <c r="M1032" s="46"/>
      <c r="N1032" s="46"/>
      <c r="O1032" s="46"/>
      <c r="P1032" s="46"/>
      <c r="Q1032" s="46"/>
    </row>
    <row r="1033" spans="1:17" hidden="1" x14ac:dyDescent="0.25">
      <c r="A1033" s="47" t="s">
        <v>961</v>
      </c>
      <c r="B1033" s="46" t="str">
        <f>IFERROR(VLOOKUP($A1033,Equipos!$C$2:$M$967,2,FALSE()),"")</f>
        <v>Monitor Multiparámetros</v>
      </c>
      <c r="C1033" s="46" t="str">
        <f>IFERROR(VLOOKUP($A1033,Equipos!$C$2:$M$967,9,FALSE()),"")</f>
        <v>1393-113292</v>
      </c>
      <c r="D1033" s="46" t="str">
        <f>IFERROR(VLOOKUP($A1033,Equipos!$C$2:$M$967,3,FALSE()),"")</f>
        <v>UPC 3er Piso</v>
      </c>
      <c r="E1033" s="46" t="str">
        <f>IFERROR(VLOOKUP($A1033,Equipos!$C$2:$M$967,7,FALSE()),"")</f>
        <v>SPACELABS HEALTHCARE</v>
      </c>
      <c r="F1033" s="46" t="str">
        <f>IFERROR(VLOOKUP($A1033,Equipos!$C$2:$M$967,8,FALSE()),"")</f>
        <v>XPREZZON</v>
      </c>
      <c r="G1033" s="46" t="s">
        <v>298</v>
      </c>
      <c r="H1033" s="46"/>
      <c r="I1033" s="46"/>
      <c r="J1033" s="46" t="s">
        <v>297</v>
      </c>
      <c r="K1033" s="46" t="str">
        <f>IFERROR(VLOOKUP($J1033,Catálogos!$M$4:$N$17,2,FALSE()),"")</f>
        <v>Mantención Preventiva Realizada</v>
      </c>
      <c r="L1033" s="46"/>
      <c r="M1033" s="46"/>
      <c r="N1033" s="46"/>
      <c r="O1033" s="46"/>
      <c r="P1033" s="46"/>
      <c r="Q1033" s="46"/>
    </row>
    <row r="1034" spans="1:17" hidden="1" x14ac:dyDescent="0.25">
      <c r="A1034" s="47" t="s">
        <v>962</v>
      </c>
      <c r="B1034" s="46" t="str">
        <f>IFERROR(VLOOKUP($A1034,Equipos!$C$2:$M$967,2,FALSE()),"")</f>
        <v>Monitor Multiparámetros</v>
      </c>
      <c r="C1034" s="46" t="str">
        <f>IFERROR(VLOOKUP($A1034,Equipos!$C$2:$M$967,9,FALSE()),"")</f>
        <v>1393-113279</v>
      </c>
      <c r="D1034" s="46" t="str">
        <f>IFERROR(VLOOKUP($A1034,Equipos!$C$2:$M$967,3,FALSE()),"")</f>
        <v>UPC 3er Piso</v>
      </c>
      <c r="E1034" s="46" t="str">
        <f>IFERROR(VLOOKUP($A1034,Equipos!$C$2:$M$967,7,FALSE()),"")</f>
        <v>SPACELABS HEALTHCARE</v>
      </c>
      <c r="F1034" s="46" t="str">
        <f>IFERROR(VLOOKUP($A1034,Equipos!$C$2:$M$967,8,FALSE()),"")</f>
        <v>XPREZZON</v>
      </c>
      <c r="G1034" s="46" t="s">
        <v>298</v>
      </c>
      <c r="H1034" s="46"/>
      <c r="I1034" s="46"/>
      <c r="J1034" s="46" t="s">
        <v>297</v>
      </c>
      <c r="K1034" s="46" t="str">
        <f>IFERROR(VLOOKUP($J1034,Catálogos!$M$4:$N$17,2,FALSE()),"")</f>
        <v>Mantención Preventiva Realizada</v>
      </c>
      <c r="L1034" s="46"/>
      <c r="M1034" s="46"/>
      <c r="N1034" s="46"/>
      <c r="O1034" s="46"/>
      <c r="P1034" s="46"/>
      <c r="Q1034" s="46"/>
    </row>
    <row r="1035" spans="1:17" hidden="1" x14ac:dyDescent="0.25">
      <c r="A1035" s="47" t="s">
        <v>963</v>
      </c>
      <c r="B1035" s="46" t="str">
        <f>IFERROR(VLOOKUP($A1035,Equipos!$C$2:$M$967,2,FALSE()),"")</f>
        <v>Monitor Multiparámetros</v>
      </c>
      <c r="C1035" s="46" t="str">
        <f>IFERROR(VLOOKUP($A1035,Equipos!$C$2:$M$967,9,FALSE()),"")</f>
        <v>94999001058</v>
      </c>
      <c r="D1035" s="46" t="str">
        <f>IFERROR(VLOOKUP($A1035,Equipos!$C$2:$M$967,3,FALSE()),"")</f>
        <v>Imagenología</v>
      </c>
      <c r="E1035" s="46" t="str">
        <f>IFERROR(VLOOKUP($A1035,Equipos!$C$2:$M$967,7,FALSE()),"")</f>
        <v>SCHILLER</v>
      </c>
      <c r="F1035" s="46" t="str">
        <f>IFERROR(VLOOKUP($A1035,Equipos!$C$2:$M$967,8,FALSE()),"")</f>
        <v>MAGELIFE Serenity</v>
      </c>
      <c r="G1035" s="46" t="s">
        <v>296</v>
      </c>
      <c r="H1035" s="46"/>
      <c r="I1035" s="46"/>
      <c r="J1035" s="46" t="s">
        <v>277</v>
      </c>
      <c r="K1035" s="46" t="str">
        <f>IFERROR(VLOOKUP($J1035,Catálogos!$M$4:$N$17,2,FALSE()),"")</f>
        <v>Reprogramada · Equipo no operativo, a la espera de repuestos o accesorios</v>
      </c>
      <c r="L1035" s="46"/>
      <c r="M1035" s="46"/>
      <c r="N1035" s="46"/>
      <c r="O1035" s="46"/>
      <c r="P1035" s="46"/>
      <c r="Q1035" s="46"/>
    </row>
    <row r="1036" spans="1:17" hidden="1" x14ac:dyDescent="0.25">
      <c r="A1036" s="47" t="s">
        <v>963</v>
      </c>
      <c r="B1036" s="46" t="str">
        <f>IFERROR(VLOOKUP($A1036,Equipos!$C$2:$M$967,2,FALSE()),"")</f>
        <v>Monitor Multiparámetros</v>
      </c>
      <c r="C1036" s="46" t="str">
        <f>IFERROR(VLOOKUP($A1036,Equipos!$C$2:$M$967,9,FALSE()),"")</f>
        <v>94999001058</v>
      </c>
      <c r="D1036" s="46" t="str">
        <f>IFERROR(VLOOKUP($A1036,Equipos!$C$2:$M$967,3,FALSE()),"")</f>
        <v>Imagenología</v>
      </c>
      <c r="E1036" s="46" t="str">
        <f>IFERROR(VLOOKUP($A1036,Equipos!$C$2:$M$967,7,FALSE()),"")</f>
        <v>SCHILLER</v>
      </c>
      <c r="F1036" s="46" t="str">
        <f>IFERROR(VLOOKUP($A1036,Equipos!$C$2:$M$967,8,FALSE()),"")</f>
        <v>MAGELIFE Serenity</v>
      </c>
      <c r="G1036" s="46" t="s">
        <v>316</v>
      </c>
      <c r="H1036" s="46"/>
      <c r="I1036" s="46"/>
      <c r="J1036" s="46" t="s">
        <v>297</v>
      </c>
      <c r="K1036" s="46" t="str">
        <f>IFERROR(VLOOKUP($J1036,Catálogos!$M$4:$N$17,2,FALSE()),"")</f>
        <v>Mantención Preventiva Realizada</v>
      </c>
      <c r="L1036" s="46"/>
      <c r="M1036" s="46"/>
      <c r="N1036" s="46"/>
      <c r="O1036" s="46"/>
      <c r="P1036" s="46"/>
      <c r="Q1036" s="46"/>
    </row>
    <row r="1037" spans="1:17" hidden="1" x14ac:dyDescent="0.25">
      <c r="A1037" s="47" t="s">
        <v>964</v>
      </c>
      <c r="B1037" s="46" t="str">
        <f>IFERROR(VLOOKUP($A1037,Equipos!$C$2:$M$967,2,FALSE()),"")</f>
        <v>Monitor Multiparámetros</v>
      </c>
      <c r="C1037" s="46" t="str">
        <f>IFERROR(VLOOKUP($A1037,Equipos!$C$2:$M$967,9,FALSE()),"")</f>
        <v>F2-04008218</v>
      </c>
      <c r="D1037" s="46" t="str">
        <f>IFERROR(VLOOKUP($A1037,Equipos!$C$2:$M$967,3,FALSE()),"")</f>
        <v>Urgencia Adulto</v>
      </c>
      <c r="E1037" s="46" t="str">
        <f>IFERROR(VLOOKUP($A1037,Equipos!$C$2:$M$967,7,FALSE()),"")</f>
        <v>Mindray</v>
      </c>
      <c r="F1037" s="46" t="str">
        <f>IFERROR(VLOOKUP($A1037,Equipos!$C$2:$M$967,8,FALSE()),"")</f>
        <v>BeneVision N17</v>
      </c>
      <c r="G1037" s="46" t="s">
        <v>316</v>
      </c>
      <c r="H1037" s="46"/>
      <c r="I1037" s="46"/>
      <c r="J1037" s="46" t="s">
        <v>297</v>
      </c>
      <c r="K1037" s="46" t="str">
        <f>IFERROR(VLOOKUP($J1037,Catálogos!$M$4:$N$17,2,FALSE()),"")</f>
        <v>Mantención Preventiva Realizada</v>
      </c>
      <c r="L1037" s="46"/>
      <c r="M1037" s="46"/>
      <c r="N1037" s="46"/>
      <c r="O1037" s="46"/>
      <c r="P1037" s="46"/>
      <c r="Q1037" s="46"/>
    </row>
    <row r="1038" spans="1:17" hidden="1" x14ac:dyDescent="0.25">
      <c r="A1038" s="47" t="s">
        <v>965</v>
      </c>
      <c r="B1038" s="46" t="str">
        <f>IFERROR(VLOOKUP($A1038,Equipos!$C$2:$M$967,2,FALSE()),"")</f>
        <v>Monitor Multiparámetros</v>
      </c>
      <c r="C1038" s="46" t="str">
        <f>IFERROR(VLOOKUP($A1038,Equipos!$C$2:$M$967,9,FALSE()),"")</f>
        <v>F2-04008204</v>
      </c>
      <c r="D1038" s="46" t="str">
        <f>IFERROR(VLOOKUP($A1038,Equipos!$C$2:$M$967,3,FALSE()),"")</f>
        <v>Urgencia Adulto</v>
      </c>
      <c r="E1038" s="46" t="str">
        <f>IFERROR(VLOOKUP($A1038,Equipos!$C$2:$M$967,7,FALSE()),"")</f>
        <v>Mindray</v>
      </c>
      <c r="F1038" s="46" t="str">
        <f>IFERROR(VLOOKUP($A1038,Equipos!$C$2:$M$967,8,FALSE()),"")</f>
        <v>BeneVision N17</v>
      </c>
      <c r="G1038" s="46" t="s">
        <v>316</v>
      </c>
      <c r="H1038" s="46"/>
      <c r="I1038" s="46"/>
      <c r="J1038" s="46" t="s">
        <v>684</v>
      </c>
      <c r="K1038" s="46" t="str">
        <f>IFERROR(VLOOKUP($J1038,Catálogos!$M$4:$N$17,2,FALSE()),"")</f>
        <v>Reprogramada · Imposibilidad de desocupar el equipo del paciente por indicación clínica</v>
      </c>
      <c r="L1038" s="46"/>
      <c r="M1038" s="46"/>
      <c r="N1038" s="46"/>
      <c r="O1038" s="46"/>
      <c r="P1038" s="46"/>
      <c r="Q1038" s="46"/>
    </row>
    <row r="1039" spans="1:17" hidden="1" x14ac:dyDescent="0.25">
      <c r="A1039" s="47" t="s">
        <v>965</v>
      </c>
      <c r="B1039" s="46" t="str">
        <f>IFERROR(VLOOKUP($A1039,Equipos!$C$2:$M$967,2,FALSE()),"")</f>
        <v>Monitor Multiparámetros</v>
      </c>
      <c r="C1039" s="46" t="str">
        <f>IFERROR(VLOOKUP($A1039,Equipos!$C$2:$M$967,9,FALSE()),"")</f>
        <v>F2-04008204</v>
      </c>
      <c r="D1039" s="46" t="str">
        <f>IFERROR(VLOOKUP($A1039,Equipos!$C$2:$M$967,3,FALSE()),"")</f>
        <v>Urgencia Adulto</v>
      </c>
      <c r="E1039" s="46" t="str">
        <f>IFERROR(VLOOKUP($A1039,Equipos!$C$2:$M$967,7,FALSE()),"")</f>
        <v>Mindray</v>
      </c>
      <c r="F1039" s="46" t="str">
        <f>IFERROR(VLOOKUP($A1039,Equipos!$C$2:$M$967,8,FALSE()),"")</f>
        <v>BeneVision N17</v>
      </c>
      <c r="G1039" s="46" t="s">
        <v>331</v>
      </c>
      <c r="H1039" s="46"/>
      <c r="I1039" s="46"/>
      <c r="J1039" s="46" t="s">
        <v>297</v>
      </c>
      <c r="K1039" s="46" t="str">
        <f>IFERROR(VLOOKUP($J1039,Catálogos!$M$4:$N$17,2,FALSE()),"")</f>
        <v>Mantención Preventiva Realizada</v>
      </c>
      <c r="L1039" s="46"/>
      <c r="M1039" s="46"/>
      <c r="N1039" s="46"/>
      <c r="O1039" s="46"/>
      <c r="P1039" s="46"/>
      <c r="Q1039" s="46"/>
    </row>
    <row r="1040" spans="1:17" hidden="1" x14ac:dyDescent="0.25">
      <c r="A1040" s="47" t="s">
        <v>966</v>
      </c>
      <c r="B1040" s="46" t="str">
        <f>IFERROR(VLOOKUP($A1040,Equipos!$C$2:$M$967,2,FALSE()),"")</f>
        <v>Monitor Multiparámetros</v>
      </c>
      <c r="C1040" s="46" t="str">
        <f>IFERROR(VLOOKUP($A1040,Equipos!$C$2:$M$967,9,FALSE()),"")</f>
        <v>F2-04008289</v>
      </c>
      <c r="D1040" s="46" t="str">
        <f>IFERROR(VLOOKUP($A1040,Equipos!$C$2:$M$967,3,FALSE()),"")</f>
        <v>Urgencia Adulto</v>
      </c>
      <c r="E1040" s="46" t="str">
        <f>IFERROR(VLOOKUP($A1040,Equipos!$C$2:$M$967,7,FALSE()),"")</f>
        <v>Mindray</v>
      </c>
      <c r="F1040" s="46" t="str">
        <f>IFERROR(VLOOKUP($A1040,Equipos!$C$2:$M$967,8,FALSE()),"")</f>
        <v>BeneVision N17</v>
      </c>
      <c r="G1040" s="46" t="s">
        <v>316</v>
      </c>
      <c r="H1040" s="46"/>
      <c r="I1040" s="46"/>
      <c r="J1040" s="46" t="s">
        <v>297</v>
      </c>
      <c r="K1040" s="46" t="str">
        <f>IFERROR(VLOOKUP($J1040,Catálogos!$M$4:$N$17,2,FALSE()),"")</f>
        <v>Mantención Preventiva Realizada</v>
      </c>
      <c r="L1040" s="46"/>
      <c r="M1040" s="46"/>
      <c r="N1040" s="46"/>
      <c r="O1040" s="46"/>
      <c r="P1040" s="46"/>
      <c r="Q1040" s="46"/>
    </row>
    <row r="1041" spans="1:17" hidden="1" x14ac:dyDescent="0.25">
      <c r="A1041" s="47" t="s">
        <v>967</v>
      </c>
      <c r="B1041" s="46" t="str">
        <f>IFERROR(VLOOKUP($A1041,Equipos!$C$2:$M$967,2,FALSE()),"")</f>
        <v>Monitor Multiparámetros</v>
      </c>
      <c r="C1041" s="46" t="str">
        <f>IFERROR(VLOOKUP($A1041,Equipos!$C$2:$M$967,9,FALSE()),"")</f>
        <v>F2-04008141</v>
      </c>
      <c r="D1041" s="46" t="str">
        <f>IFERROR(VLOOKUP($A1041,Equipos!$C$2:$M$967,3,FALSE()),"")</f>
        <v>Urgencia Adulto</v>
      </c>
      <c r="E1041" s="46" t="str">
        <f>IFERROR(VLOOKUP($A1041,Equipos!$C$2:$M$967,7,FALSE()),"")</f>
        <v>Mindray</v>
      </c>
      <c r="F1041" s="46" t="str">
        <f>IFERROR(VLOOKUP($A1041,Equipos!$C$2:$M$967,8,FALSE()),"")</f>
        <v>BeneVision N17</v>
      </c>
      <c r="G1041" s="46" t="s">
        <v>316</v>
      </c>
      <c r="H1041" s="46"/>
      <c r="I1041" s="46"/>
      <c r="J1041" s="46" t="s">
        <v>297</v>
      </c>
      <c r="K1041" s="46" t="str">
        <f>IFERROR(VLOOKUP($J1041,Catálogos!$M$4:$N$17,2,FALSE()),"")</f>
        <v>Mantención Preventiva Realizada</v>
      </c>
      <c r="L1041" s="46"/>
      <c r="M1041" s="46"/>
      <c r="N1041" s="46"/>
      <c r="O1041" s="46"/>
      <c r="P1041" s="46"/>
      <c r="Q1041" s="46"/>
    </row>
    <row r="1042" spans="1:17" hidden="1" x14ac:dyDescent="0.25">
      <c r="A1042" s="47" t="s">
        <v>968</v>
      </c>
      <c r="B1042" s="46" t="str">
        <f>IFERROR(VLOOKUP($A1042,Equipos!$C$2:$M$967,2,FALSE()),"")</f>
        <v>Monitor Multiparámetros</v>
      </c>
      <c r="C1042" s="46" t="str">
        <f>IFERROR(VLOOKUP($A1042,Equipos!$C$2:$M$967,9,FALSE()),"")</f>
        <v>1393-114595</v>
      </c>
      <c r="D1042" s="46" t="str">
        <f>IFERROR(VLOOKUP($A1042,Equipos!$C$2:$M$967,3,FALSE()),"")</f>
        <v>UPC 3er Piso</v>
      </c>
      <c r="E1042" s="46" t="str">
        <f>IFERROR(VLOOKUP($A1042,Equipos!$C$2:$M$967,7,FALSE()),"")</f>
        <v>SPACELABS HEALTHCARE</v>
      </c>
      <c r="F1042" s="46" t="str">
        <f>IFERROR(VLOOKUP($A1042,Equipos!$C$2:$M$967,8,FALSE()),"")</f>
        <v>XPREZZON</v>
      </c>
      <c r="G1042" s="46" t="s">
        <v>298</v>
      </c>
      <c r="H1042" s="46"/>
      <c r="I1042" s="46"/>
      <c r="J1042" s="46" t="s">
        <v>297</v>
      </c>
      <c r="K1042" s="46" t="str">
        <f>IFERROR(VLOOKUP($J1042,Catálogos!$M$4:$N$17,2,FALSE()),"")</f>
        <v>Mantención Preventiva Realizada</v>
      </c>
      <c r="L1042" s="46"/>
      <c r="M1042" s="46"/>
      <c r="N1042" s="46"/>
      <c r="O1042" s="46"/>
      <c r="P1042" s="46"/>
      <c r="Q1042" s="46"/>
    </row>
    <row r="1043" spans="1:17" hidden="1" x14ac:dyDescent="0.25">
      <c r="A1043" s="47" t="s">
        <v>969</v>
      </c>
      <c r="B1043" s="46" t="str">
        <f>IFERROR(VLOOKUP($A1043,Equipos!$C$2:$M$967,2,FALSE()),"")</f>
        <v>Monitor Multiparámetros</v>
      </c>
      <c r="C1043" s="46" t="str">
        <f>IFERROR(VLOOKUP($A1043,Equipos!$C$2:$M$967,9,FALSE()),"")</f>
        <v>1393-114598</v>
      </c>
      <c r="D1043" s="46" t="str">
        <f>IFERROR(VLOOKUP($A1043,Equipos!$C$2:$M$967,3,FALSE()),"")</f>
        <v>UPC 3er Piso</v>
      </c>
      <c r="E1043" s="46" t="str">
        <f>IFERROR(VLOOKUP($A1043,Equipos!$C$2:$M$967,7,FALSE()),"")</f>
        <v>SPACELABS HEALTHCARE</v>
      </c>
      <c r="F1043" s="46" t="str">
        <f>IFERROR(VLOOKUP($A1043,Equipos!$C$2:$M$967,8,FALSE()),"")</f>
        <v>XPREZZON</v>
      </c>
      <c r="G1043" s="46" t="s">
        <v>298</v>
      </c>
      <c r="H1043" s="46"/>
      <c r="I1043" s="46"/>
      <c r="J1043" s="46" t="s">
        <v>297</v>
      </c>
      <c r="K1043" s="46" t="str">
        <f>IFERROR(VLOOKUP($J1043,Catálogos!$M$4:$N$17,2,FALSE()),"")</f>
        <v>Mantención Preventiva Realizada</v>
      </c>
      <c r="L1043" s="46"/>
      <c r="M1043" s="46"/>
      <c r="N1043" s="46"/>
      <c r="O1043" s="46"/>
      <c r="P1043" s="46"/>
      <c r="Q1043" s="46"/>
    </row>
    <row r="1044" spans="1:17" hidden="1" x14ac:dyDescent="0.25">
      <c r="A1044" s="47" t="s">
        <v>970</v>
      </c>
      <c r="B1044" s="46" t="str">
        <f>IFERROR(VLOOKUP($A1044,Equipos!$C$2:$M$967,2,FALSE()),"")</f>
        <v>Monitor Multiparámetros</v>
      </c>
      <c r="C1044" s="46" t="str">
        <f>IFERROR(VLOOKUP($A1044,Equipos!$C$2:$M$967,9,FALSE()),"")</f>
        <v>1393-114593</v>
      </c>
      <c r="D1044" s="46" t="str">
        <f>IFERROR(VLOOKUP($A1044,Equipos!$C$2:$M$967,3,FALSE()),"")</f>
        <v>UPC 3er Piso</v>
      </c>
      <c r="E1044" s="46" t="str">
        <f>IFERROR(VLOOKUP($A1044,Equipos!$C$2:$M$967,7,FALSE()),"")</f>
        <v>SPACELABS HEALTHCARE</v>
      </c>
      <c r="F1044" s="46" t="str">
        <f>IFERROR(VLOOKUP($A1044,Equipos!$C$2:$M$967,8,FALSE()),"")</f>
        <v>XPREZZON</v>
      </c>
      <c r="G1044" s="46" t="s">
        <v>298</v>
      </c>
      <c r="H1044" s="46"/>
      <c r="I1044" s="46"/>
      <c r="J1044" s="46" t="s">
        <v>297</v>
      </c>
      <c r="K1044" s="46" t="str">
        <f>IFERROR(VLOOKUP($J1044,Catálogos!$M$4:$N$17,2,FALSE()),"")</f>
        <v>Mantención Preventiva Realizada</v>
      </c>
      <c r="L1044" s="46"/>
      <c r="M1044" s="46"/>
      <c r="N1044" s="46"/>
      <c r="O1044" s="46"/>
      <c r="P1044" s="46"/>
      <c r="Q1044" s="46"/>
    </row>
    <row r="1045" spans="1:17" hidden="1" x14ac:dyDescent="0.25">
      <c r="A1045" s="47" t="s">
        <v>971</v>
      </c>
      <c r="B1045" s="46" t="str">
        <f>IFERROR(VLOOKUP($A1045,Equipos!$C$2:$M$967,2,FALSE()),"")</f>
        <v>Monitor Multiparámetros</v>
      </c>
      <c r="C1045" s="46" t="str">
        <f>IFERROR(VLOOKUP($A1045,Equipos!$C$2:$M$967,9,FALSE()),"")</f>
        <v>1393-114597</v>
      </c>
      <c r="D1045" s="46" t="str">
        <f>IFERROR(VLOOKUP($A1045,Equipos!$C$2:$M$967,3,FALSE()),"")</f>
        <v>UPC 3er Piso</v>
      </c>
      <c r="E1045" s="46" t="str">
        <f>IFERROR(VLOOKUP($A1045,Equipos!$C$2:$M$967,7,FALSE()),"")</f>
        <v>SPACELABS HEALTHCARE</v>
      </c>
      <c r="F1045" s="46" t="str">
        <f>IFERROR(VLOOKUP($A1045,Equipos!$C$2:$M$967,8,FALSE()),"")</f>
        <v>XPREZZON</v>
      </c>
      <c r="G1045" s="46" t="s">
        <v>298</v>
      </c>
      <c r="H1045" s="46"/>
      <c r="I1045" s="46"/>
      <c r="J1045" s="46" t="s">
        <v>297</v>
      </c>
      <c r="K1045" s="46" t="str">
        <f>IFERROR(VLOOKUP($J1045,Catálogos!$M$4:$N$17,2,FALSE()),"")</f>
        <v>Mantención Preventiva Realizada</v>
      </c>
      <c r="L1045" s="46"/>
      <c r="M1045" s="46"/>
      <c r="N1045" s="46"/>
      <c r="O1045" s="46"/>
      <c r="P1045" s="46"/>
      <c r="Q1045" s="46"/>
    </row>
    <row r="1046" spans="1:17" hidden="1" x14ac:dyDescent="0.25">
      <c r="A1046" s="47" t="s">
        <v>972</v>
      </c>
      <c r="B1046" s="46" t="str">
        <f>IFERROR(VLOOKUP($A1046,Equipos!$C$2:$M$967,2,FALSE()),"")</f>
        <v>Monitor Multiparámetros</v>
      </c>
      <c r="C1046" s="46" t="str">
        <f>IFERROR(VLOOKUP($A1046,Equipos!$C$2:$M$967,9,FALSE()),"")</f>
        <v>1393-114596</v>
      </c>
      <c r="D1046" s="46" t="str">
        <f>IFERROR(VLOOKUP($A1046,Equipos!$C$2:$M$967,3,FALSE()),"")</f>
        <v>UPC 3er Piso</v>
      </c>
      <c r="E1046" s="46" t="str">
        <f>IFERROR(VLOOKUP($A1046,Equipos!$C$2:$M$967,7,FALSE()),"")</f>
        <v>SPACELABS HEALTHCARE</v>
      </c>
      <c r="F1046" s="46" t="str">
        <f>IFERROR(VLOOKUP($A1046,Equipos!$C$2:$M$967,8,FALSE()),"")</f>
        <v>XPREZZON</v>
      </c>
      <c r="G1046" s="46" t="s">
        <v>298</v>
      </c>
      <c r="H1046" s="46"/>
      <c r="I1046" s="46"/>
      <c r="J1046" s="46" t="s">
        <v>297</v>
      </c>
      <c r="K1046" s="46" t="str">
        <f>IFERROR(VLOOKUP($J1046,Catálogos!$M$4:$N$17,2,FALSE()),"")</f>
        <v>Mantención Preventiva Realizada</v>
      </c>
      <c r="L1046" s="46"/>
      <c r="M1046" s="46"/>
      <c r="N1046" s="46"/>
      <c r="O1046" s="46"/>
      <c r="P1046" s="46"/>
      <c r="Q1046" s="46"/>
    </row>
    <row r="1047" spans="1:17" hidden="1" x14ac:dyDescent="0.25">
      <c r="A1047" s="47" t="s">
        <v>973</v>
      </c>
      <c r="B1047" s="46" t="str">
        <f>IFERROR(VLOOKUP($A1047,Equipos!$C$2:$M$967,2,FALSE()),"")</f>
        <v>Monitor Multiparámetros</v>
      </c>
      <c r="C1047" s="46" t="str">
        <f>IFERROR(VLOOKUP($A1047,Equipos!$C$2:$M$967,9,FALSE()),"")</f>
        <v>KQ-04036895</v>
      </c>
      <c r="D1047" s="46" t="str">
        <f>IFERROR(VLOOKUP($A1047,Equipos!$C$2:$M$967,3,FALSE()),"")</f>
        <v>UPC 3er Piso</v>
      </c>
      <c r="E1047" s="46" t="str">
        <f>IFERROR(VLOOKUP($A1047,Equipos!$C$2:$M$967,7,FALSE()),"")</f>
        <v>Mindray</v>
      </c>
      <c r="F1047" s="46" t="str">
        <f>IFERROR(VLOOKUP($A1047,Equipos!$C$2:$M$967,8,FALSE()),"")</f>
        <v>UMEC12</v>
      </c>
      <c r="G1047" s="46" t="s">
        <v>298</v>
      </c>
      <c r="H1047" s="46"/>
      <c r="I1047" s="46"/>
      <c r="J1047" s="46" t="s">
        <v>297</v>
      </c>
      <c r="K1047" s="46" t="str">
        <f>IFERROR(VLOOKUP($J1047,Catálogos!$M$4:$N$17,2,FALSE()),"")</f>
        <v>Mantención Preventiva Realizada</v>
      </c>
      <c r="L1047" s="46"/>
      <c r="M1047" s="46"/>
      <c r="N1047" s="46"/>
      <c r="O1047" s="46"/>
      <c r="P1047" s="46"/>
      <c r="Q1047" s="46"/>
    </row>
    <row r="1048" spans="1:17" hidden="1" x14ac:dyDescent="0.25">
      <c r="A1048" s="47" t="s">
        <v>974</v>
      </c>
      <c r="B1048" s="46" t="str">
        <f>IFERROR(VLOOKUP($A1048,Equipos!$C$2:$M$967,2,FALSE()),"")</f>
        <v>Monitor Multiparámetros</v>
      </c>
      <c r="C1048" s="46" t="str">
        <f>IFERROR(VLOOKUP($A1048,Equipos!$C$2:$M$967,9,FALSE()),"")</f>
        <v>SQF20247942WA</v>
      </c>
      <c r="D1048" s="46" t="str">
        <f>IFERROR(VLOOKUP($A1048,Equipos!$C$2:$M$967,3,FALSE()),"")</f>
        <v>Pabellón CMA</v>
      </c>
      <c r="E1048" s="46" t="str">
        <f>IFERROR(VLOOKUP($A1048,Equipos!$C$2:$M$967,7,FALSE()),"")</f>
        <v>General Electric</v>
      </c>
      <c r="F1048" s="46" t="str">
        <f>IFERROR(VLOOKUP($A1048,Equipos!$C$2:$M$967,8,FALSE()),"")</f>
        <v>B125</v>
      </c>
      <c r="G1048" s="46" t="s">
        <v>298</v>
      </c>
      <c r="H1048" s="46"/>
      <c r="I1048" s="46"/>
      <c r="J1048" s="46" t="s">
        <v>297</v>
      </c>
      <c r="K1048" s="46" t="str">
        <f>IFERROR(VLOOKUP($J1048,Catálogos!$M$4:$N$17,2,FALSE()),"")</f>
        <v>Mantención Preventiva Realizada</v>
      </c>
      <c r="L1048" s="46"/>
      <c r="M1048" s="46"/>
      <c r="N1048" s="46"/>
      <c r="O1048" s="46"/>
      <c r="P1048" s="46"/>
      <c r="Q1048" s="46"/>
    </row>
    <row r="1049" spans="1:17" hidden="1" x14ac:dyDescent="0.25">
      <c r="A1049" s="47" t="s">
        <v>975</v>
      </c>
      <c r="B1049" s="46" t="str">
        <f>IFERROR(VLOOKUP($A1049,Equipos!$C$2:$M$967,2,FALSE()),"")</f>
        <v>Monitor Multiparámetros</v>
      </c>
      <c r="C1049" s="46" t="str">
        <f>IFERROR(VLOOKUP($A1049,Equipos!$C$2:$M$967,9,FALSE()),"")</f>
        <v>SQF20247940WA</v>
      </c>
      <c r="D1049" s="46" t="str">
        <f>IFERROR(VLOOKUP($A1049,Equipos!$C$2:$M$967,3,FALSE()),"")</f>
        <v>Pabellón CMA</v>
      </c>
      <c r="E1049" s="46" t="str">
        <f>IFERROR(VLOOKUP($A1049,Equipos!$C$2:$M$967,7,FALSE()),"")</f>
        <v>General Electric</v>
      </c>
      <c r="F1049" s="46" t="str">
        <f>IFERROR(VLOOKUP($A1049,Equipos!$C$2:$M$967,8,FALSE()),"")</f>
        <v>B125</v>
      </c>
      <c r="G1049" s="46" t="s">
        <v>298</v>
      </c>
      <c r="H1049" s="46"/>
      <c r="I1049" s="46"/>
      <c r="J1049" s="46" t="s">
        <v>297</v>
      </c>
      <c r="K1049" s="46" t="str">
        <f>IFERROR(VLOOKUP($J1049,Catálogos!$M$4:$N$17,2,FALSE()),"")</f>
        <v>Mantención Preventiva Realizada</v>
      </c>
      <c r="L1049" s="46"/>
      <c r="M1049" s="46"/>
      <c r="N1049" s="46"/>
      <c r="O1049" s="46"/>
      <c r="P1049" s="46"/>
      <c r="Q1049" s="46"/>
    </row>
    <row r="1050" spans="1:17" hidden="1" x14ac:dyDescent="0.25">
      <c r="A1050" s="47" t="s">
        <v>976</v>
      </c>
      <c r="B1050" s="46" t="str">
        <f>IFERROR(VLOOKUP($A1050,Equipos!$C$2:$M$967,2,FALSE()),"")</f>
        <v>Monitor Multiparámetros</v>
      </c>
      <c r="C1050" s="46" t="str">
        <f>IFERROR(VLOOKUP($A1050,Equipos!$C$2:$M$967,9,FALSE()),"")</f>
        <v>5495845056</v>
      </c>
      <c r="D1050" s="46" t="str">
        <f>IFERROR(VLOOKUP($A1050,Equipos!$C$2:$M$967,3,FALSE()),"")</f>
        <v>UPC 3er Piso</v>
      </c>
      <c r="E1050" s="46" t="str">
        <f>IFERROR(VLOOKUP($A1050,Equipos!$C$2:$M$967,7,FALSE()),"")</f>
        <v>Drager</v>
      </c>
      <c r="F1050" s="46" t="str">
        <f>IFERROR(VLOOKUP($A1050,Equipos!$C$2:$M$967,8,FALSE()),"")</f>
        <v>Infinity Kappa</v>
      </c>
      <c r="G1050" s="46" t="s">
        <v>298</v>
      </c>
      <c r="H1050" s="46"/>
      <c r="I1050" s="46"/>
      <c r="J1050" s="46" t="s">
        <v>297</v>
      </c>
      <c r="K1050" s="46" t="str">
        <f>IFERROR(VLOOKUP($J1050,Catálogos!$M$4:$N$17,2,FALSE()),"")</f>
        <v>Mantención Preventiva Realizada</v>
      </c>
      <c r="L1050" s="46"/>
      <c r="M1050" s="46"/>
      <c r="N1050" s="46"/>
      <c r="O1050" s="46"/>
      <c r="P1050" s="46"/>
      <c r="Q1050" s="46"/>
    </row>
    <row r="1051" spans="1:17" hidden="1" x14ac:dyDescent="0.25">
      <c r="A1051" s="47" t="s">
        <v>977</v>
      </c>
      <c r="B1051" s="46" t="str">
        <f>IFERROR(VLOOKUP($A1051,Equipos!$C$2:$M$967,2,FALSE()),"")</f>
        <v>Monitor Multiparámetros</v>
      </c>
      <c r="C1051" s="46" t="str">
        <f>IFERROR(VLOOKUP($A1051,Equipos!$C$2:$M$967,9,FALSE()),"")</f>
        <v>VGSNE3867</v>
      </c>
      <c r="D1051" s="46" t="str">
        <f>IFERROR(VLOOKUP($A1051,Equipos!$C$2:$M$967,3,FALSE()),"")</f>
        <v>Urgencia Adulto</v>
      </c>
      <c r="E1051" s="46" t="str">
        <f>IFERROR(VLOOKUP($A1051,Equipos!$C$2:$M$967,7,FALSE()),"")</f>
        <v>Drager</v>
      </c>
      <c r="F1051" s="46" t="str">
        <f>IFERROR(VLOOKUP($A1051,Equipos!$C$2:$M$967,8,FALSE()),"")</f>
        <v>Vista 120</v>
      </c>
      <c r="G1051" s="46" t="s">
        <v>316</v>
      </c>
      <c r="H1051" s="46"/>
      <c r="I1051" s="46"/>
      <c r="J1051" s="46" t="s">
        <v>297</v>
      </c>
      <c r="K1051" s="46" t="str">
        <f>IFERROR(VLOOKUP($J1051,Catálogos!$M$4:$N$17,2,FALSE()),"")</f>
        <v>Mantención Preventiva Realizada</v>
      </c>
      <c r="L1051" s="46"/>
      <c r="M1051" s="46"/>
      <c r="N1051" s="46"/>
      <c r="O1051" s="46"/>
      <c r="P1051" s="46"/>
      <c r="Q1051" s="46"/>
    </row>
    <row r="1052" spans="1:17" hidden="1" x14ac:dyDescent="0.25">
      <c r="A1052" s="47" t="s">
        <v>978</v>
      </c>
      <c r="B1052" s="46" t="str">
        <f>IFERROR(VLOOKUP($A1052,Equipos!$C$2:$M$967,2,FALSE()),"")</f>
        <v>Monitor Multiparámetros</v>
      </c>
      <c r="C1052" s="46" t="str">
        <f>IFERROR(VLOOKUP($A1052,Equipos!$C$2:$M$967,9,FALSE()),"")</f>
        <v>VGSNE3877</v>
      </c>
      <c r="D1052" s="46" t="str">
        <f>IFERROR(VLOOKUP($A1052,Equipos!$C$2:$M$967,3,FALSE()),"")</f>
        <v>Urgencia Adulto</v>
      </c>
      <c r="E1052" s="46" t="str">
        <f>IFERROR(VLOOKUP($A1052,Equipos!$C$2:$M$967,7,FALSE()),"")</f>
        <v>Drager</v>
      </c>
      <c r="F1052" s="46" t="str">
        <f>IFERROR(VLOOKUP($A1052,Equipos!$C$2:$M$967,8,FALSE()),"")</f>
        <v>Vista 120</v>
      </c>
      <c r="G1052" s="46" t="s">
        <v>316</v>
      </c>
      <c r="H1052" s="46"/>
      <c r="I1052" s="46"/>
      <c r="J1052" s="46" t="s">
        <v>278</v>
      </c>
      <c r="K1052" s="46" t="str">
        <f>IFERROR(VLOOKUP($J1052,Catálogos!$M$4:$N$17,2,FALSE()),"")</f>
        <v>Reprogramada · Equipo en servicio técnico</v>
      </c>
      <c r="L1052" s="46"/>
      <c r="M1052" s="46"/>
      <c r="N1052" s="46"/>
      <c r="O1052" s="46"/>
      <c r="P1052" s="46"/>
      <c r="Q1052" s="46"/>
    </row>
    <row r="1053" spans="1:17" hidden="1" x14ac:dyDescent="0.25">
      <c r="A1053" s="47" t="s">
        <v>979</v>
      </c>
      <c r="B1053" s="46" t="str">
        <f>IFERROR(VLOOKUP($A1053,Equipos!$C$2:$M$967,2,FALSE()),"")</f>
        <v>Monitor Multiparámetros</v>
      </c>
      <c r="C1053" s="46" t="str">
        <f>IFERROR(VLOOKUP($A1053,Equipos!$C$2:$M$967,9,FALSE()),"")</f>
        <v>VGSNE3864</v>
      </c>
      <c r="D1053" s="46" t="str">
        <f>IFERROR(VLOOKUP($A1053,Equipos!$C$2:$M$967,3,FALSE()),"")</f>
        <v>Urgencia Adulto</v>
      </c>
      <c r="E1053" s="46" t="str">
        <f>IFERROR(VLOOKUP($A1053,Equipos!$C$2:$M$967,7,FALSE()),"")</f>
        <v>Drager</v>
      </c>
      <c r="F1053" s="46" t="str">
        <f>IFERROR(VLOOKUP($A1053,Equipos!$C$2:$M$967,8,FALSE()),"")</f>
        <v>Vista 120</v>
      </c>
      <c r="G1053" s="46" t="s">
        <v>316</v>
      </c>
      <c r="H1053" s="46"/>
      <c r="I1053" s="46"/>
      <c r="J1053" s="46" t="s">
        <v>297</v>
      </c>
      <c r="K1053" s="46" t="str">
        <f>IFERROR(VLOOKUP($J1053,Catálogos!$M$4:$N$17,2,FALSE()),"")</f>
        <v>Mantención Preventiva Realizada</v>
      </c>
      <c r="L1053" s="46"/>
      <c r="M1053" s="46"/>
      <c r="N1053" s="46"/>
      <c r="O1053" s="46"/>
      <c r="P1053" s="46"/>
      <c r="Q1053" s="46"/>
    </row>
    <row r="1054" spans="1:17" hidden="1" x14ac:dyDescent="0.25">
      <c r="A1054" s="47" t="s">
        <v>980</v>
      </c>
      <c r="B1054" s="46" t="str">
        <f>IFERROR(VLOOKUP($A1054,Equipos!$C$2:$M$967,2,FALSE()),"")</f>
        <v>Monitor Multiparámetros</v>
      </c>
      <c r="C1054" s="46" t="str">
        <f>IFERROR(VLOOKUP($A1054,Equipos!$C$2:$M$967,9,FALSE()),"")</f>
        <v>VGSNE3830</v>
      </c>
      <c r="D1054" s="46" t="str">
        <f>IFERROR(VLOOKUP($A1054,Equipos!$C$2:$M$967,3,FALSE()),"")</f>
        <v>Urgencia Adulto</v>
      </c>
      <c r="E1054" s="46" t="str">
        <f>IFERROR(VLOOKUP($A1054,Equipos!$C$2:$M$967,7,FALSE()),"")</f>
        <v>Drager</v>
      </c>
      <c r="F1054" s="46" t="str">
        <f>IFERROR(VLOOKUP($A1054,Equipos!$C$2:$M$967,8,FALSE()),"")</f>
        <v>Vista 120</v>
      </c>
      <c r="G1054" s="46" t="s">
        <v>316</v>
      </c>
      <c r="H1054" s="46"/>
      <c r="I1054" s="46"/>
      <c r="J1054" s="46" t="s">
        <v>297</v>
      </c>
      <c r="K1054" s="46" t="str">
        <f>IFERROR(VLOOKUP($J1054,Catálogos!$M$4:$N$17,2,FALSE()),"")</f>
        <v>Mantención Preventiva Realizada</v>
      </c>
      <c r="L1054" s="46"/>
      <c r="M1054" s="46"/>
      <c r="N1054" s="46"/>
      <c r="O1054" s="46"/>
      <c r="P1054" s="46"/>
      <c r="Q1054" s="46"/>
    </row>
    <row r="1055" spans="1:17" hidden="1" x14ac:dyDescent="0.25">
      <c r="A1055" s="47" t="s">
        <v>981</v>
      </c>
      <c r="B1055" s="46" t="str">
        <f>IFERROR(VLOOKUP($A1055,Equipos!$C$2:$M$967,2,FALSE()),"")</f>
        <v>Monitor Multiparámetros</v>
      </c>
      <c r="C1055" s="46" t="str">
        <f>IFERROR(VLOOKUP($A1055,Equipos!$C$2:$M$967,9,FALSE()),"")</f>
        <v>KQ-04036808</v>
      </c>
      <c r="D1055" s="46" t="str">
        <f>IFERROR(VLOOKUP($A1055,Equipos!$C$2:$M$967,3,FALSE()),"")</f>
        <v>Ginecología</v>
      </c>
      <c r="E1055" s="46" t="str">
        <f>IFERROR(VLOOKUP($A1055,Equipos!$C$2:$M$967,7,FALSE()),"")</f>
        <v>Mindray</v>
      </c>
      <c r="F1055" s="46" t="str">
        <f>IFERROR(VLOOKUP($A1055,Equipos!$C$2:$M$967,8,FALSE()),"")</f>
        <v>UMEC12</v>
      </c>
      <c r="G1055" s="46" t="s">
        <v>298</v>
      </c>
      <c r="H1055" s="46"/>
      <c r="I1055" s="46"/>
      <c r="J1055" s="46" t="s">
        <v>297</v>
      </c>
      <c r="K1055" s="46" t="str">
        <f>IFERROR(VLOOKUP($J1055,Catálogos!$M$4:$N$17,2,FALSE()),"")</f>
        <v>Mantención Preventiva Realizada</v>
      </c>
      <c r="L1055" s="46"/>
      <c r="M1055" s="46"/>
      <c r="N1055" s="46"/>
      <c r="O1055" s="46"/>
      <c r="P1055" s="46"/>
      <c r="Q1055" s="46"/>
    </row>
    <row r="1056" spans="1:17" hidden="1" x14ac:dyDescent="0.25">
      <c r="A1056" s="47" t="s">
        <v>982</v>
      </c>
      <c r="B1056" s="46" t="str">
        <f>IFERROR(VLOOKUP($A1056,Equipos!$C$2:$M$967,2,FALSE()),"")</f>
        <v>Monitor Multiparámetros</v>
      </c>
      <c r="C1056" s="46" t="str">
        <f>IFERROR(VLOOKUP($A1056,Equipos!$C$2:$M$967,9,FALSE()),"")</f>
        <v>3319</v>
      </c>
      <c r="D1056" s="46" t="str">
        <f>IFERROR(VLOOKUP($A1056,Equipos!$C$2:$M$967,3,FALSE()),"")</f>
        <v>Urgencia Adulto</v>
      </c>
      <c r="E1056" s="46" t="str">
        <f>IFERROR(VLOOKUP($A1056,Equipos!$C$2:$M$967,7,FALSE()),"")</f>
        <v xml:space="preserve">Nihon Kohden </v>
      </c>
      <c r="F1056" s="46" t="str">
        <f>IFERROR(VLOOKUP($A1056,Equipos!$C$2:$M$967,8,FALSE()),"")</f>
        <v>PVM-4763</v>
      </c>
      <c r="G1056" s="46" t="s">
        <v>316</v>
      </c>
      <c r="H1056" s="46"/>
      <c r="I1056" s="46"/>
      <c r="J1056" s="46" t="s">
        <v>297</v>
      </c>
      <c r="K1056" s="46" t="str">
        <f>IFERROR(VLOOKUP($J1056,Catálogos!$M$4:$N$17,2,FALSE()),"")</f>
        <v>Mantención Preventiva Realizada</v>
      </c>
      <c r="L1056" s="46"/>
      <c r="M1056" s="46"/>
      <c r="N1056" s="46"/>
      <c r="O1056" s="46"/>
      <c r="P1056" s="46"/>
      <c r="Q1056" s="46"/>
    </row>
    <row r="1057" spans="1:17" hidden="1" x14ac:dyDescent="0.25">
      <c r="A1057" s="47" t="s">
        <v>983</v>
      </c>
      <c r="B1057" s="46" t="str">
        <f>IFERROR(VLOOKUP($A1057,Equipos!$C$2:$M$967,2,FALSE()),"")</f>
        <v>Monitor Multiparámetros</v>
      </c>
      <c r="C1057" s="46" t="str">
        <f>IFERROR(VLOOKUP($A1057,Equipos!$C$2:$M$967,9,FALSE()),"")</f>
        <v>3326</v>
      </c>
      <c r="D1057" s="46" t="str">
        <f>IFERROR(VLOOKUP($A1057,Equipos!$C$2:$M$967,3,FALSE()),"")</f>
        <v>Urgencia Adulto</v>
      </c>
      <c r="E1057" s="46" t="str">
        <f>IFERROR(VLOOKUP($A1057,Equipos!$C$2:$M$967,7,FALSE()),"")</f>
        <v xml:space="preserve">Nihon Kohden </v>
      </c>
      <c r="F1057" s="46" t="str">
        <f>IFERROR(VLOOKUP($A1057,Equipos!$C$2:$M$967,8,FALSE()),"")</f>
        <v>PVM-4763</v>
      </c>
      <c r="G1057" s="46" t="s">
        <v>316</v>
      </c>
      <c r="H1057" s="46"/>
      <c r="I1057" s="46"/>
      <c r="J1057" s="46" t="s">
        <v>297</v>
      </c>
      <c r="K1057" s="46" t="str">
        <f>IFERROR(VLOOKUP($J1057,Catálogos!$M$4:$N$17,2,FALSE()),"")</f>
        <v>Mantención Preventiva Realizada</v>
      </c>
      <c r="L1057" s="46"/>
      <c r="M1057" s="46"/>
      <c r="N1057" s="46"/>
      <c r="O1057" s="46"/>
      <c r="P1057" s="46"/>
      <c r="Q1057" s="46"/>
    </row>
    <row r="1058" spans="1:17" hidden="1" x14ac:dyDescent="0.25">
      <c r="A1058" s="47" t="s">
        <v>984</v>
      </c>
      <c r="B1058" s="46" t="str">
        <f>IFERROR(VLOOKUP($A1058,Equipos!$C$2:$M$967,2,FALSE()),"")</f>
        <v>Monitor Multiparámetros</v>
      </c>
      <c r="C1058" s="46" t="str">
        <f>IFERROR(VLOOKUP($A1058,Equipos!$C$2:$M$967,9,FALSE()),"")</f>
        <v>3318</v>
      </c>
      <c r="D1058" s="46" t="str">
        <f>IFERROR(VLOOKUP($A1058,Equipos!$C$2:$M$967,3,FALSE()),"")</f>
        <v>Urgencia Adulto</v>
      </c>
      <c r="E1058" s="46" t="str">
        <f>IFERROR(VLOOKUP($A1058,Equipos!$C$2:$M$967,7,FALSE()),"")</f>
        <v xml:space="preserve">Nihon Kohden </v>
      </c>
      <c r="F1058" s="46" t="str">
        <f>IFERROR(VLOOKUP($A1058,Equipos!$C$2:$M$967,8,FALSE()),"")</f>
        <v>PVM-4763</v>
      </c>
      <c r="G1058" s="46" t="s">
        <v>316</v>
      </c>
      <c r="H1058" s="46"/>
      <c r="I1058" s="46"/>
      <c r="J1058" s="46" t="s">
        <v>297</v>
      </c>
      <c r="K1058" s="46" t="str">
        <f>IFERROR(VLOOKUP($J1058,Catálogos!$M$4:$N$17,2,FALSE()),"")</f>
        <v>Mantención Preventiva Realizada</v>
      </c>
      <c r="L1058" s="46"/>
      <c r="M1058" s="46"/>
      <c r="N1058" s="46"/>
      <c r="O1058" s="46"/>
      <c r="P1058" s="46"/>
      <c r="Q1058" s="46"/>
    </row>
    <row r="1059" spans="1:17" hidden="1" x14ac:dyDescent="0.25">
      <c r="A1059" s="47" t="s">
        <v>985</v>
      </c>
      <c r="B1059" s="46" t="str">
        <f>IFERROR(VLOOKUP($A1059,Equipos!$C$2:$M$967,2,FALSE()),"")</f>
        <v>Monitor Multiparámetros</v>
      </c>
      <c r="C1059" s="46" t="str">
        <f>IFERROR(VLOOKUP($A1059,Equipos!$C$2:$M$967,9,FALSE()),"")</f>
        <v>J3300QF04734</v>
      </c>
      <c r="D1059" s="46" t="str">
        <f>IFERROR(VLOOKUP($A1059,Equipos!$C$2:$M$967,3,FALSE()),"")</f>
        <v>Servicio Social</v>
      </c>
      <c r="E1059" s="46" t="str">
        <f>IFERROR(VLOOKUP($A1059,Equipos!$C$2:$M$967,7,FALSE()),"")</f>
        <v>Creative Medical</v>
      </c>
      <c r="F1059" s="46" t="str">
        <f>IFERROR(VLOOKUP($A1059,Equipos!$C$2:$M$967,8,FALSE()),"")</f>
        <v>UP-7000</v>
      </c>
      <c r="G1059" s="46" t="s">
        <v>331</v>
      </c>
      <c r="H1059" s="46"/>
      <c r="I1059" s="46"/>
      <c r="J1059" s="46" t="s">
        <v>297</v>
      </c>
      <c r="K1059" s="46" t="str">
        <f>IFERROR(VLOOKUP($J1059,Catálogos!$M$4:$N$17,2,FALSE()),"")</f>
        <v>Mantención Preventiva Realizada</v>
      </c>
      <c r="L1059" s="46"/>
      <c r="M1059" s="46"/>
      <c r="N1059" s="46"/>
      <c r="O1059" s="46"/>
      <c r="P1059" s="46"/>
      <c r="Q1059" s="46"/>
    </row>
    <row r="1060" spans="1:17" hidden="1" x14ac:dyDescent="0.25">
      <c r="A1060" s="47" t="s">
        <v>986</v>
      </c>
      <c r="B1060" s="46" t="str">
        <f>IFERROR(VLOOKUP($A1060,Equipos!$C$2:$M$967,2,FALSE()),"")</f>
        <v>Monitor Multiparámetros</v>
      </c>
      <c r="C1060" s="46" t="str">
        <f>IFERROR(VLOOKUP($A1060,Equipos!$C$2:$M$967,9,FALSE()),"")</f>
        <v>PSHH501479</v>
      </c>
      <c r="D1060" s="46" t="str">
        <f>IFERROR(VLOOKUP($A1060,Equipos!$C$2:$M$967,3,FALSE()),"")</f>
        <v>Servicio Social</v>
      </c>
      <c r="E1060" s="46" t="str">
        <f>IFERROR(VLOOKUP($A1060,Equipos!$C$2:$M$967,7,FALSE()),"")</f>
        <v>Sinohero</v>
      </c>
      <c r="F1060" s="46" t="str">
        <f>IFERROR(VLOOKUP($A1060,Equipos!$C$2:$M$967,8,FALSE()),"")</f>
        <v>H5</v>
      </c>
      <c r="G1060" s="46" t="s">
        <v>331</v>
      </c>
      <c r="H1060" s="46"/>
      <c r="I1060" s="46"/>
      <c r="J1060" s="46" t="s">
        <v>987</v>
      </c>
      <c r="K1060" s="46" t="str">
        <f>IFERROR(VLOOKUP($J1060,Catálogos!$M$4:$N$17,2,FALSE()),"")</f>
        <v>Reprogramada · Contingencia hospitalaria</v>
      </c>
      <c r="L1060" s="46"/>
      <c r="M1060" s="46"/>
      <c r="N1060" s="46"/>
      <c r="O1060" s="46"/>
      <c r="P1060" s="46"/>
      <c r="Q1060" s="46"/>
    </row>
    <row r="1061" spans="1:17" hidden="1" x14ac:dyDescent="0.25">
      <c r="A1061" s="47" t="s">
        <v>986</v>
      </c>
      <c r="B1061" s="46" t="str">
        <f>IFERROR(VLOOKUP($A1061,Equipos!$C$2:$M$967,2,FALSE()),"")</f>
        <v>Monitor Multiparámetros</v>
      </c>
      <c r="C1061" s="46" t="str">
        <f>IFERROR(VLOOKUP($A1061,Equipos!$C$2:$M$967,9,FALSE()),"")</f>
        <v>PSHH501479</v>
      </c>
      <c r="D1061" s="46" t="str">
        <f>IFERROR(VLOOKUP($A1061,Equipos!$C$2:$M$967,3,FALSE()),"")</f>
        <v>Servicio Social</v>
      </c>
      <c r="E1061" s="46" t="str">
        <f>IFERROR(VLOOKUP($A1061,Equipos!$C$2:$M$967,7,FALSE()),"")</f>
        <v>Sinohero</v>
      </c>
      <c r="F1061" s="46" t="str">
        <f>IFERROR(VLOOKUP($A1061,Equipos!$C$2:$M$967,8,FALSE()),"")</f>
        <v>H5</v>
      </c>
      <c r="G1061" s="46" t="s">
        <v>298</v>
      </c>
      <c r="H1061" s="46"/>
      <c r="I1061" s="46"/>
      <c r="J1061" s="46" t="s">
        <v>297</v>
      </c>
      <c r="K1061" s="46" t="str">
        <f>IFERROR(VLOOKUP($J1061,Catálogos!$M$4:$N$17,2,FALSE()),"")</f>
        <v>Mantención Preventiva Realizada</v>
      </c>
      <c r="L1061" s="46"/>
      <c r="M1061" s="46"/>
      <c r="N1061" s="46"/>
      <c r="O1061" s="46"/>
      <c r="P1061" s="46"/>
      <c r="Q1061" s="46"/>
    </row>
    <row r="1062" spans="1:17" hidden="1" x14ac:dyDescent="0.25">
      <c r="A1062" s="47" t="s">
        <v>988</v>
      </c>
      <c r="B1062" s="46" t="str">
        <f>IFERROR(VLOOKUP($A1062,Equipos!$C$2:$M$967,2,FALSE()),"")</f>
        <v>Monitor Multiparámetros</v>
      </c>
      <c r="C1062" s="46" t="str">
        <f>IFERROR(VLOOKUP($A1062,Equipos!$C$2:$M$967,9,FALSE()),"")</f>
        <v>J3300QF04724</v>
      </c>
      <c r="D1062" s="46" t="str">
        <f>IFERROR(VLOOKUP($A1062,Equipos!$C$2:$M$967,3,FALSE()),"")</f>
        <v>Servicio Social</v>
      </c>
      <c r="E1062" s="46" t="str">
        <f>IFERROR(VLOOKUP($A1062,Equipos!$C$2:$M$967,7,FALSE()),"")</f>
        <v>Creative Medical</v>
      </c>
      <c r="F1062" s="46" t="str">
        <f>IFERROR(VLOOKUP($A1062,Equipos!$C$2:$M$967,8,FALSE()),"")</f>
        <v>UP-7000</v>
      </c>
      <c r="G1062" s="46" t="s">
        <v>331</v>
      </c>
      <c r="H1062" s="46"/>
      <c r="I1062" s="46"/>
      <c r="J1062" s="46" t="s">
        <v>297</v>
      </c>
      <c r="K1062" s="46" t="str">
        <f>IFERROR(VLOOKUP($J1062,Catálogos!$M$4:$N$17,2,FALSE()),"")</f>
        <v>Mantención Preventiva Realizada</v>
      </c>
      <c r="L1062" s="46"/>
      <c r="M1062" s="46"/>
      <c r="N1062" s="46"/>
      <c r="O1062" s="46"/>
      <c r="P1062" s="46"/>
      <c r="Q1062" s="46"/>
    </row>
    <row r="1063" spans="1:17" hidden="1" x14ac:dyDescent="0.25">
      <c r="A1063" s="47" t="s">
        <v>989</v>
      </c>
      <c r="B1063" s="46" t="str">
        <f>IFERROR(VLOOKUP($A1063,Equipos!$C$2:$M$967,2,FALSE()),"")</f>
        <v>Monitor Multiparámetros</v>
      </c>
      <c r="C1063" s="46" t="str">
        <f>IFERROR(VLOOKUP($A1063,Equipos!$C$2:$M$967,9,FALSE()),"")</f>
        <v>29791</v>
      </c>
      <c r="D1063" s="46" t="str">
        <f>IFERROR(VLOOKUP($A1063,Equipos!$C$2:$M$967,3,FALSE()),"")</f>
        <v>Medicina</v>
      </c>
      <c r="E1063" s="46" t="str">
        <f>IFERROR(VLOOKUP($A1063,Equipos!$C$2:$M$967,7,FALSE()),"")</f>
        <v xml:space="preserve">Nihon Kohden </v>
      </c>
      <c r="F1063" s="46" t="str">
        <f>IFERROR(VLOOKUP($A1063,Equipos!$C$2:$M$967,8,FALSE()),"")</f>
        <v>BSM-3562K</v>
      </c>
      <c r="G1063" s="46" t="s">
        <v>296</v>
      </c>
      <c r="H1063" s="46"/>
      <c r="I1063" s="46"/>
      <c r="J1063" s="46" t="s">
        <v>297</v>
      </c>
      <c r="K1063" s="46" t="str">
        <f>IFERROR(VLOOKUP($J1063,Catálogos!$M$4:$N$17,2,FALSE()),"")</f>
        <v>Mantención Preventiva Realizada</v>
      </c>
      <c r="L1063" s="46"/>
      <c r="M1063" s="46"/>
      <c r="N1063" s="46"/>
      <c r="O1063" s="46"/>
      <c r="P1063" s="46"/>
      <c r="Q1063" s="46"/>
    </row>
    <row r="1064" spans="1:17" hidden="1" x14ac:dyDescent="0.25">
      <c r="A1064" s="47" t="s">
        <v>990</v>
      </c>
      <c r="B1064" s="46" t="str">
        <f>IFERROR(VLOOKUP($A1064,Equipos!$C$2:$M$967,2,FALSE()),"")</f>
        <v>Monitor Multiparámetros</v>
      </c>
      <c r="C1064" s="46" t="str">
        <f>IFERROR(VLOOKUP($A1064,Equipos!$C$2:$M$967,9,FALSE()),"")</f>
        <v>29792</v>
      </c>
      <c r="D1064" s="46" t="str">
        <f>IFERROR(VLOOKUP($A1064,Equipos!$C$2:$M$967,3,FALSE()),"")</f>
        <v>Medicina</v>
      </c>
      <c r="E1064" s="46" t="str">
        <f>IFERROR(VLOOKUP($A1064,Equipos!$C$2:$M$967,7,FALSE()),"")</f>
        <v xml:space="preserve">Nihon Kohden </v>
      </c>
      <c r="F1064" s="46" t="str">
        <f>IFERROR(VLOOKUP($A1064,Equipos!$C$2:$M$967,8,FALSE()),"")</f>
        <v>BSM-3562K</v>
      </c>
      <c r="G1064" s="46" t="s">
        <v>296</v>
      </c>
      <c r="H1064" s="46"/>
      <c r="I1064" s="46"/>
      <c r="J1064" s="46" t="s">
        <v>297</v>
      </c>
      <c r="K1064" s="46" t="str">
        <f>IFERROR(VLOOKUP($J1064,Catálogos!$M$4:$N$17,2,FALSE()),"")</f>
        <v>Mantención Preventiva Realizada</v>
      </c>
      <c r="L1064" s="46"/>
      <c r="M1064" s="46"/>
      <c r="N1064" s="46"/>
      <c r="O1064" s="46"/>
      <c r="P1064" s="46"/>
      <c r="Q1064" s="46"/>
    </row>
    <row r="1065" spans="1:17" hidden="1" x14ac:dyDescent="0.25">
      <c r="A1065" s="47" t="s">
        <v>991</v>
      </c>
      <c r="B1065" s="46" t="str">
        <f>IFERROR(VLOOKUP($A1065,Equipos!$C$2:$M$967,2,FALSE()),"")</f>
        <v>Monitor Multiparámetros</v>
      </c>
      <c r="C1065" s="46" t="str">
        <f>IFERROR(VLOOKUP($A1065,Equipos!$C$2:$M$967,9,FALSE()),"")</f>
        <v>29805</v>
      </c>
      <c r="D1065" s="46" t="str">
        <f>IFERROR(VLOOKUP($A1065,Equipos!$C$2:$M$967,3,FALSE()),"")</f>
        <v>Medicina</v>
      </c>
      <c r="E1065" s="46" t="str">
        <f>IFERROR(VLOOKUP($A1065,Equipos!$C$2:$M$967,7,FALSE()),"")</f>
        <v xml:space="preserve">Nihon Kohden </v>
      </c>
      <c r="F1065" s="46" t="str">
        <f>IFERROR(VLOOKUP($A1065,Equipos!$C$2:$M$967,8,FALSE()),"")</f>
        <v>BSM-3562K</v>
      </c>
      <c r="G1065" s="46" t="s">
        <v>296</v>
      </c>
      <c r="H1065" s="46"/>
      <c r="I1065" s="46"/>
      <c r="J1065" s="46" t="s">
        <v>297</v>
      </c>
      <c r="K1065" s="46" t="str">
        <f>IFERROR(VLOOKUP($J1065,Catálogos!$M$4:$N$17,2,FALSE()),"")</f>
        <v>Mantención Preventiva Realizada</v>
      </c>
      <c r="L1065" s="46"/>
      <c r="M1065" s="46"/>
      <c r="N1065" s="46"/>
      <c r="O1065" s="46"/>
      <c r="P1065" s="46"/>
      <c r="Q1065" s="46"/>
    </row>
    <row r="1066" spans="1:17" hidden="1" x14ac:dyDescent="0.25">
      <c r="A1066" s="47" t="s">
        <v>992</v>
      </c>
      <c r="B1066" s="46" t="str">
        <f>IFERROR(VLOOKUP($A1066,Equipos!$C$2:$M$967,2,FALSE()),"")</f>
        <v>Monitor Multiparámetros</v>
      </c>
      <c r="C1066" s="46" t="str">
        <f>IFERROR(VLOOKUP($A1066,Equipos!$C$2:$M$967,9,FALSE()),"")</f>
        <v>29811</v>
      </c>
      <c r="D1066" s="46" t="str">
        <f>IFERROR(VLOOKUP($A1066,Equipos!$C$2:$M$967,3,FALSE()),"")</f>
        <v>Medicina</v>
      </c>
      <c r="E1066" s="46" t="str">
        <f>IFERROR(VLOOKUP($A1066,Equipos!$C$2:$M$967,7,FALSE()),"")</f>
        <v xml:space="preserve">Nihon Kohden </v>
      </c>
      <c r="F1066" s="46" t="str">
        <f>IFERROR(VLOOKUP($A1066,Equipos!$C$2:$M$967,8,FALSE()),"")</f>
        <v>BSM-3562K</v>
      </c>
      <c r="G1066" s="46" t="s">
        <v>296</v>
      </c>
      <c r="H1066" s="46"/>
      <c r="I1066" s="46"/>
      <c r="J1066" s="46" t="s">
        <v>297</v>
      </c>
      <c r="K1066" s="46" t="str">
        <f>IFERROR(VLOOKUP($J1066,Catálogos!$M$4:$N$17,2,FALSE()),"")</f>
        <v>Mantención Preventiva Realizada</v>
      </c>
      <c r="L1066" s="46"/>
      <c r="M1066" s="46"/>
      <c r="N1066" s="46"/>
      <c r="O1066" s="46"/>
      <c r="P1066" s="46"/>
      <c r="Q1066" s="46"/>
    </row>
    <row r="1067" spans="1:17" hidden="1" x14ac:dyDescent="0.25">
      <c r="A1067" s="47" t="s">
        <v>993</v>
      </c>
      <c r="B1067" s="46" t="str">
        <f>IFERROR(VLOOKUP($A1067,Equipos!$C$2:$M$967,2,FALSE()),"")</f>
        <v>Monitor Multiparámetros</v>
      </c>
      <c r="C1067" s="46" t="str">
        <f>IFERROR(VLOOKUP($A1067,Equipos!$C$2:$M$967,9,FALSE()),"")</f>
        <v>29814</v>
      </c>
      <c r="D1067" s="46" t="str">
        <f>IFERROR(VLOOKUP($A1067,Equipos!$C$2:$M$967,3,FALSE()),"")</f>
        <v>Medicina</v>
      </c>
      <c r="E1067" s="46" t="str">
        <f>IFERROR(VLOOKUP($A1067,Equipos!$C$2:$M$967,7,FALSE()),"")</f>
        <v xml:space="preserve">Nihon Kohden </v>
      </c>
      <c r="F1067" s="46" t="str">
        <f>IFERROR(VLOOKUP($A1067,Equipos!$C$2:$M$967,8,FALSE()),"")</f>
        <v>BSM-3562K</v>
      </c>
      <c r="G1067" s="46" t="s">
        <v>296</v>
      </c>
      <c r="H1067" s="46"/>
      <c r="I1067" s="46"/>
      <c r="J1067" s="46" t="s">
        <v>297</v>
      </c>
      <c r="K1067" s="46" t="str">
        <f>IFERROR(VLOOKUP($J1067,Catálogos!$M$4:$N$17,2,FALSE()),"")</f>
        <v>Mantención Preventiva Realizada</v>
      </c>
      <c r="L1067" s="46"/>
      <c r="M1067" s="46"/>
      <c r="N1067" s="46"/>
      <c r="O1067" s="46"/>
      <c r="P1067" s="46"/>
      <c r="Q1067" s="46"/>
    </row>
    <row r="1068" spans="1:17" hidden="1" x14ac:dyDescent="0.25">
      <c r="A1068" s="47" t="s">
        <v>994</v>
      </c>
      <c r="B1068" s="46" t="str">
        <f>IFERROR(VLOOKUP($A1068,Equipos!$C$2:$M$967,2,FALSE()),"")</f>
        <v>Monitor Multiparámetros</v>
      </c>
      <c r="C1068" s="46" t="str">
        <f>IFERROR(VLOOKUP($A1068,Equipos!$C$2:$M$967,9,FALSE()),"")</f>
        <v>29815</v>
      </c>
      <c r="D1068" s="46" t="str">
        <f>IFERROR(VLOOKUP($A1068,Equipos!$C$2:$M$967,3,FALSE()),"")</f>
        <v>Medicina</v>
      </c>
      <c r="E1068" s="46" t="str">
        <f>IFERROR(VLOOKUP($A1068,Equipos!$C$2:$M$967,7,FALSE()),"")</f>
        <v xml:space="preserve">Nihon Kohden </v>
      </c>
      <c r="F1068" s="46" t="str">
        <f>IFERROR(VLOOKUP($A1068,Equipos!$C$2:$M$967,8,FALSE()),"")</f>
        <v>BSM-3562K</v>
      </c>
      <c r="G1068" s="46" t="s">
        <v>296</v>
      </c>
      <c r="H1068" s="46"/>
      <c r="I1068" s="46"/>
      <c r="J1068" s="46" t="s">
        <v>297</v>
      </c>
      <c r="K1068" s="46" t="str">
        <f>IFERROR(VLOOKUP($J1068,Catálogos!$M$4:$N$17,2,FALSE()),"")</f>
        <v>Mantención Preventiva Realizada</v>
      </c>
      <c r="L1068" s="46"/>
      <c r="M1068" s="46"/>
      <c r="N1068" s="46"/>
      <c r="O1068" s="46"/>
      <c r="P1068" s="46"/>
      <c r="Q1068" s="46"/>
    </row>
    <row r="1069" spans="1:17" hidden="1" x14ac:dyDescent="0.25">
      <c r="A1069" s="47" t="s">
        <v>995</v>
      </c>
      <c r="B1069" s="46" t="str">
        <f>IFERROR(VLOOKUP($A1069,Equipos!$C$2:$M$967,2,FALSE()),"")</f>
        <v>Monitor Multiparámetros</v>
      </c>
      <c r="C1069" s="46" t="str">
        <f>IFERROR(VLOOKUP($A1069,Equipos!$C$2:$M$967,9,FALSE()),"")</f>
        <v>29816</v>
      </c>
      <c r="D1069" s="46" t="str">
        <f>IFERROR(VLOOKUP($A1069,Equipos!$C$2:$M$967,3,FALSE()),"")</f>
        <v>Medicina</v>
      </c>
      <c r="E1069" s="46" t="str">
        <f>IFERROR(VLOOKUP($A1069,Equipos!$C$2:$M$967,7,FALSE()),"")</f>
        <v xml:space="preserve">Nihon Kohden </v>
      </c>
      <c r="F1069" s="46" t="str">
        <f>IFERROR(VLOOKUP($A1069,Equipos!$C$2:$M$967,8,FALSE()),"")</f>
        <v>BSM-3562K</v>
      </c>
      <c r="G1069" s="46" t="s">
        <v>296</v>
      </c>
      <c r="H1069" s="46"/>
      <c r="I1069" s="46"/>
      <c r="J1069" s="46" t="s">
        <v>297</v>
      </c>
      <c r="K1069" s="46" t="str">
        <f>IFERROR(VLOOKUP($J1069,Catálogos!$M$4:$N$17,2,FALSE()),"")</f>
        <v>Mantención Preventiva Realizada</v>
      </c>
      <c r="L1069" s="46"/>
      <c r="M1069" s="46"/>
      <c r="N1069" s="46"/>
      <c r="O1069" s="46"/>
      <c r="P1069" s="46"/>
      <c r="Q1069" s="46"/>
    </row>
    <row r="1070" spans="1:17" hidden="1" x14ac:dyDescent="0.25">
      <c r="A1070" s="47" t="s">
        <v>996</v>
      </c>
      <c r="B1070" s="46" t="str">
        <f>IFERROR(VLOOKUP($A1070,Equipos!$C$2:$M$967,2,FALSE()),"")</f>
        <v>Monitor Multiparámetros</v>
      </c>
      <c r="C1070" s="46" t="str">
        <f>IFERROR(VLOOKUP($A1070,Equipos!$C$2:$M$967,9,FALSE()),"")</f>
        <v>29817</v>
      </c>
      <c r="D1070" s="46" t="str">
        <f>IFERROR(VLOOKUP($A1070,Equipos!$C$2:$M$967,3,FALSE()),"")</f>
        <v>Medicina</v>
      </c>
      <c r="E1070" s="46" t="str">
        <f>IFERROR(VLOOKUP($A1070,Equipos!$C$2:$M$967,7,FALSE()),"")</f>
        <v xml:space="preserve">Nihon Kohden </v>
      </c>
      <c r="F1070" s="46" t="str">
        <f>IFERROR(VLOOKUP($A1070,Equipos!$C$2:$M$967,8,FALSE()),"")</f>
        <v>BSM-3562K</v>
      </c>
      <c r="G1070" s="46" t="s">
        <v>296</v>
      </c>
      <c r="H1070" s="46"/>
      <c r="I1070" s="46"/>
      <c r="J1070" s="46" t="s">
        <v>297</v>
      </c>
      <c r="K1070" s="46" t="str">
        <f>IFERROR(VLOOKUP($J1070,Catálogos!$M$4:$N$17,2,FALSE()),"")</f>
        <v>Mantención Preventiva Realizada</v>
      </c>
      <c r="L1070" s="46"/>
      <c r="M1070" s="46"/>
      <c r="N1070" s="46"/>
      <c r="O1070" s="46"/>
      <c r="P1070" s="46"/>
      <c r="Q1070" s="46"/>
    </row>
    <row r="1071" spans="1:17" hidden="1" x14ac:dyDescent="0.25">
      <c r="A1071" s="47" t="s">
        <v>997</v>
      </c>
      <c r="B1071" s="46" t="str">
        <f>IFERROR(VLOOKUP($A1071,Equipos!$C$2:$M$967,2,FALSE()),"")</f>
        <v>Monitor Multiparámetros</v>
      </c>
      <c r="C1071" s="46" t="str">
        <f>IFERROR(VLOOKUP($A1071,Equipos!$C$2:$M$967,9,FALSE()),"")</f>
        <v>29800</v>
      </c>
      <c r="D1071" s="46" t="str">
        <f>IFERROR(VLOOKUP($A1071,Equipos!$C$2:$M$967,3,FALSE()),"")</f>
        <v>Medicina</v>
      </c>
      <c r="E1071" s="46" t="str">
        <f>IFERROR(VLOOKUP($A1071,Equipos!$C$2:$M$967,7,FALSE()),"")</f>
        <v xml:space="preserve">Nihon Kohden </v>
      </c>
      <c r="F1071" s="46" t="str">
        <f>IFERROR(VLOOKUP($A1071,Equipos!$C$2:$M$967,8,FALSE()),"")</f>
        <v>BSM-3562K</v>
      </c>
      <c r="G1071" s="46" t="s">
        <v>296</v>
      </c>
      <c r="H1071" s="46"/>
      <c r="I1071" s="46"/>
      <c r="J1071" s="46" t="s">
        <v>297</v>
      </c>
      <c r="K1071" s="46" t="str">
        <f>IFERROR(VLOOKUP($J1071,Catálogos!$M$4:$N$17,2,FALSE()),"")</f>
        <v>Mantención Preventiva Realizada</v>
      </c>
      <c r="L1071" s="46"/>
      <c r="M1071" s="46"/>
      <c r="N1071" s="46"/>
      <c r="O1071" s="46"/>
      <c r="P1071" s="46"/>
      <c r="Q1071" s="46"/>
    </row>
    <row r="1072" spans="1:17" hidden="1" x14ac:dyDescent="0.25">
      <c r="A1072" s="47" t="s">
        <v>998</v>
      </c>
      <c r="B1072" s="46" t="str">
        <f>IFERROR(VLOOKUP($A1072,Equipos!$C$2:$M$967,2,FALSE()),"")</f>
        <v>Monitor Multiparámetros</v>
      </c>
      <c r="C1072" s="46" t="str">
        <f>IFERROR(VLOOKUP($A1072,Equipos!$C$2:$M$967,9,FALSE()),"")</f>
        <v>261594-M21407240019</v>
      </c>
      <c r="D1072" s="46" t="str">
        <f>IFERROR(VLOOKUP($A1072,Equipos!$C$2:$M$967,3,FALSE()),"")</f>
        <v>Medicina</v>
      </c>
      <c r="E1072" s="46" t="str">
        <f>IFERROR(VLOOKUP($A1072,Equipos!$C$2:$M$967,7,FALSE()),"")</f>
        <v>EDAN</v>
      </c>
      <c r="F1072" s="46" t="str">
        <f>IFERROR(VLOOKUP($A1072,Equipos!$C$2:$M$967,8,FALSE()),"")</f>
        <v>X12</v>
      </c>
      <c r="G1072" s="46" t="s">
        <v>296</v>
      </c>
      <c r="H1072" s="46"/>
      <c r="I1072" s="46"/>
      <c r="J1072" s="46" t="s">
        <v>297</v>
      </c>
      <c r="K1072" s="46" t="str">
        <f>IFERROR(VLOOKUP($J1072,Catálogos!$M$4:$N$17,2,FALSE()),"")</f>
        <v>Mantención Preventiva Realizada</v>
      </c>
      <c r="L1072" s="46"/>
      <c r="M1072" s="46"/>
      <c r="N1072" s="46"/>
      <c r="O1072" s="46"/>
      <c r="P1072" s="46"/>
      <c r="Q1072" s="46"/>
    </row>
    <row r="1073" spans="1:17" hidden="1" x14ac:dyDescent="0.25">
      <c r="A1073" s="47" t="s">
        <v>999</v>
      </c>
      <c r="B1073" s="46" t="str">
        <f>IFERROR(VLOOKUP($A1073,Equipos!$C$2:$M$967,2,FALSE()),"")</f>
        <v>Monitor Multiparámetros</v>
      </c>
      <c r="C1073" s="46" t="str">
        <f>IFERROR(VLOOKUP($A1073,Equipos!$C$2:$M$967,9,FALSE()),"")</f>
        <v>261594-M21407240011</v>
      </c>
      <c r="D1073" s="46" t="str">
        <f>IFERROR(VLOOKUP($A1073,Equipos!$C$2:$M$967,3,FALSE()),"")</f>
        <v>Medicina</v>
      </c>
      <c r="E1073" s="46" t="str">
        <f>IFERROR(VLOOKUP($A1073,Equipos!$C$2:$M$967,7,FALSE()),"")</f>
        <v>EDAN</v>
      </c>
      <c r="F1073" s="46" t="str">
        <f>IFERROR(VLOOKUP($A1073,Equipos!$C$2:$M$967,8,FALSE()),"")</f>
        <v>X12</v>
      </c>
      <c r="G1073" s="46" t="s">
        <v>296</v>
      </c>
      <c r="H1073" s="46"/>
      <c r="I1073" s="46"/>
      <c r="J1073" s="46" t="s">
        <v>297</v>
      </c>
      <c r="K1073" s="46" t="str">
        <f>IFERROR(VLOOKUP($J1073,Catálogos!$M$4:$N$17,2,FALSE()),"")</f>
        <v>Mantención Preventiva Realizada</v>
      </c>
      <c r="L1073" s="46"/>
      <c r="M1073" s="46"/>
      <c r="N1073" s="46"/>
      <c r="O1073" s="46"/>
      <c r="P1073" s="46"/>
      <c r="Q1073" s="46"/>
    </row>
    <row r="1074" spans="1:17" hidden="1" x14ac:dyDescent="0.25">
      <c r="A1074" s="47" t="s">
        <v>1000</v>
      </c>
      <c r="B1074" s="46" t="str">
        <f>IFERROR(VLOOKUP($A1074,Equipos!$C$2:$M$967,2,FALSE()),"")</f>
        <v>Monitor Multiparámetros</v>
      </c>
      <c r="C1074" s="46" t="str">
        <f>IFERROR(VLOOKUP($A1074,Equipos!$C$2:$M$967,9,FALSE()),"")</f>
        <v>261594-M21406070014</v>
      </c>
      <c r="D1074" s="46" t="str">
        <f>IFERROR(VLOOKUP($A1074,Equipos!$C$2:$M$967,3,FALSE()),"")</f>
        <v>Medicina</v>
      </c>
      <c r="E1074" s="46" t="str">
        <f>IFERROR(VLOOKUP($A1074,Equipos!$C$2:$M$967,7,FALSE()),"")</f>
        <v>EDAN</v>
      </c>
      <c r="F1074" s="46" t="str">
        <f>IFERROR(VLOOKUP($A1074,Equipos!$C$2:$M$967,8,FALSE()),"")</f>
        <v>X12</v>
      </c>
      <c r="G1074" s="46" t="s">
        <v>296</v>
      </c>
      <c r="H1074" s="46"/>
      <c r="I1074" s="46"/>
      <c r="J1074" s="46" t="s">
        <v>323</v>
      </c>
      <c r="K1074" s="46" t="str">
        <f>IFERROR(VLOOKUP($J1074,Catálogos!$M$4:$N$17,2,FALSE()),"")</f>
        <v>Reprogramada · No disponibilidad de horas hombre del funcionario SEC por alta carga laboral</v>
      </c>
      <c r="L1074" s="46"/>
      <c r="M1074" s="46"/>
      <c r="N1074" s="46"/>
      <c r="O1074" s="46"/>
      <c r="P1074" s="46"/>
      <c r="Q1074" s="46"/>
    </row>
    <row r="1075" spans="1:17" hidden="1" x14ac:dyDescent="0.25">
      <c r="A1075" s="47" t="s">
        <v>1000</v>
      </c>
      <c r="B1075" s="46" t="str">
        <f>IFERROR(VLOOKUP($A1075,Equipos!$C$2:$M$967,2,FALSE()),"")</f>
        <v>Monitor Multiparámetros</v>
      </c>
      <c r="C1075" s="46" t="str">
        <f>IFERROR(VLOOKUP($A1075,Equipos!$C$2:$M$967,9,FALSE()),"")</f>
        <v>261594-M21406070014</v>
      </c>
      <c r="D1075" s="46" t="str">
        <f>IFERROR(VLOOKUP($A1075,Equipos!$C$2:$M$967,3,FALSE()),"")</f>
        <v>Medicina</v>
      </c>
      <c r="E1075" s="46" t="str">
        <f>IFERROR(VLOOKUP($A1075,Equipos!$C$2:$M$967,7,FALSE()),"")</f>
        <v>EDAN</v>
      </c>
      <c r="F1075" s="46" t="str">
        <f>IFERROR(VLOOKUP($A1075,Equipos!$C$2:$M$967,8,FALSE()),"")</f>
        <v>X12</v>
      </c>
      <c r="G1075" s="46" t="s">
        <v>316</v>
      </c>
      <c r="H1075" s="46"/>
      <c r="I1075" s="46"/>
      <c r="J1075" s="46" t="s">
        <v>297</v>
      </c>
      <c r="K1075" s="46" t="str">
        <f>IFERROR(VLOOKUP($J1075,Catálogos!$M$4:$N$17,2,FALSE()),"")</f>
        <v>Mantención Preventiva Realizada</v>
      </c>
      <c r="L1075" s="46"/>
      <c r="M1075" s="46"/>
      <c r="N1075" s="46"/>
      <c r="O1075" s="46"/>
      <c r="P1075" s="46"/>
      <c r="Q1075" s="46"/>
    </row>
    <row r="1076" spans="1:17" hidden="1" x14ac:dyDescent="0.25">
      <c r="A1076" s="47" t="s">
        <v>1001</v>
      </c>
      <c r="B1076" s="46" t="str">
        <f>IFERROR(VLOOKUP($A1076,Equipos!$C$2:$M$967,2,FALSE()),"")</f>
        <v>Monitor Multiparámetros</v>
      </c>
      <c r="C1076" s="46" t="str">
        <f>IFERROR(VLOOKUP($A1076,Equipos!$C$2:$M$967,9,FALSE()),"")</f>
        <v>261594-M21407000058</v>
      </c>
      <c r="D1076" s="46" t="str">
        <f>IFERROR(VLOOKUP($A1076,Equipos!$C$2:$M$967,3,FALSE()),"")</f>
        <v>Medicina</v>
      </c>
      <c r="E1076" s="46" t="str">
        <f>IFERROR(VLOOKUP($A1076,Equipos!$C$2:$M$967,7,FALSE()),"")</f>
        <v>EDAN</v>
      </c>
      <c r="F1076" s="46" t="str">
        <f>IFERROR(VLOOKUP($A1076,Equipos!$C$2:$M$967,8,FALSE()),"")</f>
        <v>X12</v>
      </c>
      <c r="G1076" s="46" t="s">
        <v>296</v>
      </c>
      <c r="H1076" s="46"/>
      <c r="I1076" s="46"/>
      <c r="J1076" s="46" t="s">
        <v>297</v>
      </c>
      <c r="K1076" s="46" t="str">
        <f>IFERROR(VLOOKUP($J1076,Catálogos!$M$4:$N$17,2,FALSE()),"")</f>
        <v>Mantención Preventiva Realizada</v>
      </c>
      <c r="L1076" s="46"/>
      <c r="M1076" s="46"/>
      <c r="N1076" s="46"/>
      <c r="O1076" s="46"/>
      <c r="P1076" s="46"/>
      <c r="Q1076" s="46"/>
    </row>
    <row r="1077" spans="1:17" hidden="1" x14ac:dyDescent="0.25">
      <c r="A1077" s="47" t="s">
        <v>1002</v>
      </c>
      <c r="B1077" s="46" t="str">
        <f>IFERROR(VLOOKUP($A1077,Equipos!$C$2:$M$967,2,FALSE()),"")</f>
        <v>Monitor Multiparámetros</v>
      </c>
      <c r="C1077" s="46" t="str">
        <f>IFERROR(VLOOKUP($A1077,Equipos!$C$2:$M$967,9,FALSE()),"")</f>
        <v>261594-M21407240059</v>
      </c>
      <c r="D1077" s="46" t="str">
        <f>IFERROR(VLOOKUP($A1077,Equipos!$C$2:$M$967,3,FALSE()),"")</f>
        <v>Medicina</v>
      </c>
      <c r="E1077" s="46" t="str">
        <f>IFERROR(VLOOKUP($A1077,Equipos!$C$2:$M$967,7,FALSE()),"")</f>
        <v>EDAN</v>
      </c>
      <c r="F1077" s="46" t="str">
        <f>IFERROR(VLOOKUP($A1077,Equipos!$C$2:$M$967,8,FALSE()),"")</f>
        <v>X12</v>
      </c>
      <c r="G1077" s="46" t="s">
        <v>296</v>
      </c>
      <c r="H1077" s="46" t="s">
        <v>460</v>
      </c>
      <c r="I1077" s="46"/>
      <c r="J1077" s="46" t="s">
        <v>297</v>
      </c>
      <c r="K1077" s="46" t="str">
        <f>IFERROR(VLOOKUP($J1077,Catálogos!$M$4:$N$17,2,FALSE()),"")</f>
        <v>Mantención Preventiva Realizada</v>
      </c>
      <c r="L1077" s="48">
        <v>46080</v>
      </c>
      <c r="M1077" s="46" t="s">
        <v>461</v>
      </c>
      <c r="N1077" s="46" t="s">
        <v>1003</v>
      </c>
      <c r="O1077" s="46"/>
      <c r="P1077" s="46"/>
      <c r="Q1077" s="46" t="s">
        <v>1004</v>
      </c>
    </row>
    <row r="1078" spans="1:17" hidden="1" x14ac:dyDescent="0.25">
      <c r="A1078" s="47" t="s">
        <v>1005</v>
      </c>
      <c r="B1078" s="46" t="str">
        <f>IFERROR(VLOOKUP($A1078,Equipos!$C$2:$M$967,2,FALSE()),"")</f>
        <v>Monitor Multiparámetros</v>
      </c>
      <c r="C1078" s="46" t="str">
        <f>IFERROR(VLOOKUP($A1078,Equipos!$C$2:$M$967,9,FALSE()),"")</f>
        <v>261594-M21407240073</v>
      </c>
      <c r="D1078" s="46" t="str">
        <f>IFERROR(VLOOKUP($A1078,Equipos!$C$2:$M$967,3,FALSE()),"")</f>
        <v>Medicina</v>
      </c>
      <c r="E1078" s="46" t="str">
        <f>IFERROR(VLOOKUP($A1078,Equipos!$C$2:$M$967,7,FALSE()),"")</f>
        <v>EDAN</v>
      </c>
      <c r="F1078" s="46" t="str">
        <f>IFERROR(VLOOKUP($A1078,Equipos!$C$2:$M$967,8,FALSE()),"")</f>
        <v>X12</v>
      </c>
      <c r="G1078" s="46" t="s">
        <v>296</v>
      </c>
      <c r="H1078" s="46"/>
      <c r="I1078" s="46"/>
      <c r="J1078" s="46" t="s">
        <v>297</v>
      </c>
      <c r="K1078" s="46" t="str">
        <f>IFERROR(VLOOKUP($J1078,Catálogos!$M$4:$N$17,2,FALSE()),"")</f>
        <v>Mantención Preventiva Realizada</v>
      </c>
      <c r="L1078" s="46"/>
      <c r="M1078" s="46"/>
      <c r="N1078" s="46"/>
      <c r="O1078" s="46"/>
      <c r="P1078" s="46"/>
      <c r="Q1078" s="46"/>
    </row>
    <row r="1079" spans="1:17" hidden="1" x14ac:dyDescent="0.25">
      <c r="A1079" s="47" t="s">
        <v>1006</v>
      </c>
      <c r="B1079" s="46" t="str">
        <f>IFERROR(VLOOKUP($A1079,Equipos!$C$2:$M$967,2,FALSE()),"")</f>
        <v>Monitor Multiparámetros</v>
      </c>
      <c r="C1079" s="46" t="str">
        <f>IFERROR(VLOOKUP($A1079,Equipos!$C$2:$M$967,9,FALSE()),"")</f>
        <v>261594-M21407240071</v>
      </c>
      <c r="D1079" s="46" t="str">
        <f>IFERROR(VLOOKUP($A1079,Equipos!$C$2:$M$967,3,FALSE()),"")</f>
        <v>Medicina</v>
      </c>
      <c r="E1079" s="46" t="str">
        <f>IFERROR(VLOOKUP($A1079,Equipos!$C$2:$M$967,7,FALSE()),"")</f>
        <v>EDAN</v>
      </c>
      <c r="F1079" s="46" t="str">
        <f>IFERROR(VLOOKUP($A1079,Equipos!$C$2:$M$967,8,FALSE()),"")</f>
        <v>X12</v>
      </c>
      <c r="G1079" s="46" t="s">
        <v>296</v>
      </c>
      <c r="H1079" s="46"/>
      <c r="I1079" s="46"/>
      <c r="J1079" s="46" t="s">
        <v>297</v>
      </c>
      <c r="K1079" s="46" t="str">
        <f>IFERROR(VLOOKUP($J1079,Catálogos!$M$4:$N$17,2,FALSE()),"")</f>
        <v>Mantención Preventiva Realizada</v>
      </c>
      <c r="L1079" s="46"/>
      <c r="M1079" s="46"/>
      <c r="N1079" s="46"/>
      <c r="O1079" s="46"/>
      <c r="P1079" s="46"/>
      <c r="Q1079" s="46"/>
    </row>
    <row r="1080" spans="1:17" hidden="1" x14ac:dyDescent="0.25">
      <c r="A1080" s="47" t="s">
        <v>1007</v>
      </c>
      <c r="B1080" s="46" t="str">
        <f>IFERROR(VLOOKUP($A1080,Equipos!$C$2:$M$967,2,FALSE()),"")</f>
        <v>Monitor Multiparámetros</v>
      </c>
      <c r="C1080" s="46" t="str">
        <f>IFERROR(VLOOKUP($A1080,Equipos!$C$2:$M$967,9,FALSE()),"")</f>
        <v>261594-M21407240024</v>
      </c>
      <c r="D1080" s="46" t="str">
        <f>IFERROR(VLOOKUP($A1080,Equipos!$C$2:$M$967,3,FALSE()),"")</f>
        <v>Medicina (Prestado a medicina cardiovascular)</v>
      </c>
      <c r="E1080" s="46" t="str">
        <f>IFERROR(VLOOKUP($A1080,Equipos!$C$2:$M$967,7,FALSE()),"")</f>
        <v>EDAN</v>
      </c>
      <c r="F1080" s="46" t="str">
        <f>IFERROR(VLOOKUP($A1080,Equipos!$C$2:$M$967,8,FALSE()),"")</f>
        <v>X12</v>
      </c>
      <c r="G1080" s="46" t="s">
        <v>296</v>
      </c>
      <c r="H1080" s="46"/>
      <c r="I1080" s="46"/>
      <c r="J1080" s="46" t="s">
        <v>323</v>
      </c>
      <c r="K1080" s="46" t="str">
        <f>IFERROR(VLOOKUP($J1080,Catálogos!$M$4:$N$17,2,FALSE()),"")</f>
        <v>Reprogramada · No disponibilidad de horas hombre del funcionario SEC por alta carga laboral</v>
      </c>
      <c r="L1080" s="46"/>
      <c r="M1080" s="46"/>
      <c r="N1080" s="46"/>
      <c r="O1080" s="46"/>
      <c r="P1080" s="46"/>
      <c r="Q1080" s="46"/>
    </row>
    <row r="1081" spans="1:17" hidden="1" x14ac:dyDescent="0.25">
      <c r="A1081" s="47" t="s">
        <v>1007</v>
      </c>
      <c r="B1081" s="46" t="str">
        <f>IFERROR(VLOOKUP($A1081,Equipos!$C$2:$M$967,2,FALSE()),"")</f>
        <v>Monitor Multiparámetros</v>
      </c>
      <c r="C1081" s="46" t="str">
        <f>IFERROR(VLOOKUP($A1081,Equipos!$C$2:$M$967,9,FALSE()),"")</f>
        <v>261594-M21407240024</v>
      </c>
      <c r="D1081" s="46" t="str">
        <f>IFERROR(VLOOKUP($A1081,Equipos!$C$2:$M$967,3,FALSE()),"")</f>
        <v>Medicina (Prestado a medicina cardiovascular)</v>
      </c>
      <c r="E1081" s="46" t="str">
        <f>IFERROR(VLOOKUP($A1081,Equipos!$C$2:$M$967,7,FALSE()),"")</f>
        <v>EDAN</v>
      </c>
      <c r="F1081" s="46" t="str">
        <f>IFERROR(VLOOKUP($A1081,Equipos!$C$2:$M$967,8,FALSE()),"")</f>
        <v>X12</v>
      </c>
      <c r="G1081" s="46" t="s">
        <v>316</v>
      </c>
      <c r="H1081" s="46"/>
      <c r="I1081" s="46"/>
      <c r="J1081" s="46" t="s">
        <v>297</v>
      </c>
      <c r="K1081" s="46" t="str">
        <f>IFERROR(VLOOKUP($J1081,Catálogos!$M$4:$N$17,2,FALSE()),"")</f>
        <v>Mantención Preventiva Realizada</v>
      </c>
      <c r="L1081" s="46"/>
      <c r="M1081" s="46"/>
      <c r="N1081" s="46"/>
      <c r="O1081" s="46"/>
      <c r="P1081" s="46"/>
      <c r="Q1081" s="46"/>
    </row>
    <row r="1082" spans="1:17" hidden="1" x14ac:dyDescent="0.25">
      <c r="A1082" s="47" t="s">
        <v>1008</v>
      </c>
      <c r="B1082" s="46" t="str">
        <f>IFERROR(VLOOKUP($A1082,Equipos!$C$2:$M$967,2,FALSE()),"")</f>
        <v>Monitor Multiparámetros</v>
      </c>
      <c r="C1082" s="46" t="str">
        <f>IFERROR(VLOOKUP($A1082,Equipos!$C$2:$M$967,9,FALSE()),"")</f>
        <v>261594-M21407000083</v>
      </c>
      <c r="D1082" s="46" t="str">
        <f>IFERROR(VLOOKUP($A1082,Equipos!$C$2:$M$967,3,FALSE()),"")</f>
        <v>Medicina</v>
      </c>
      <c r="E1082" s="46" t="str">
        <f>IFERROR(VLOOKUP($A1082,Equipos!$C$2:$M$967,7,FALSE()),"")</f>
        <v>EDAN</v>
      </c>
      <c r="F1082" s="46" t="str">
        <f>IFERROR(VLOOKUP($A1082,Equipos!$C$2:$M$967,8,FALSE()),"")</f>
        <v>X12</v>
      </c>
      <c r="G1082" s="46" t="s">
        <v>296</v>
      </c>
      <c r="H1082" s="46"/>
      <c r="I1082" s="46"/>
      <c r="J1082" s="46" t="s">
        <v>297</v>
      </c>
      <c r="K1082" s="46" t="str">
        <f>IFERROR(VLOOKUP($J1082,Catálogos!$M$4:$N$17,2,FALSE()),"")</f>
        <v>Mantención Preventiva Realizada</v>
      </c>
      <c r="L1082" s="46"/>
      <c r="M1082" s="46"/>
      <c r="N1082" s="46"/>
      <c r="O1082" s="46"/>
      <c r="P1082" s="46"/>
      <c r="Q1082" s="46"/>
    </row>
    <row r="1083" spans="1:17" hidden="1" x14ac:dyDescent="0.25">
      <c r="A1083" s="47" t="s">
        <v>1009</v>
      </c>
      <c r="B1083" s="46" t="str">
        <f>IFERROR(VLOOKUP($A1083,Equipos!$C$2:$M$967,2,FALSE()),"")</f>
        <v>Monitor Multiparámetros</v>
      </c>
      <c r="C1083" s="46" t="str">
        <f>IFERROR(VLOOKUP($A1083,Equipos!$C$2:$M$967,9,FALSE()),"")</f>
        <v>261594-M21406070011</v>
      </c>
      <c r="D1083" s="46" t="str">
        <f>IFERROR(VLOOKUP($A1083,Equipos!$C$2:$M$967,3,FALSE()),"")</f>
        <v>Medicina</v>
      </c>
      <c r="E1083" s="46" t="str">
        <f>IFERROR(VLOOKUP($A1083,Equipos!$C$2:$M$967,7,FALSE()),"")</f>
        <v>EDAN</v>
      </c>
      <c r="F1083" s="46" t="str">
        <f>IFERROR(VLOOKUP($A1083,Equipos!$C$2:$M$967,8,FALSE()),"")</f>
        <v>X12</v>
      </c>
      <c r="G1083" s="46" t="s">
        <v>296</v>
      </c>
      <c r="H1083" s="46"/>
      <c r="I1083" s="46"/>
      <c r="J1083" s="46" t="s">
        <v>278</v>
      </c>
      <c r="K1083" s="46" t="str">
        <f>IFERROR(VLOOKUP($J1083,Catálogos!$M$4:$N$17,2,FALSE()),"")</f>
        <v>Reprogramada · Equipo en servicio técnico</v>
      </c>
      <c r="L1083" s="46"/>
      <c r="M1083" s="46"/>
      <c r="N1083" s="46"/>
      <c r="O1083" s="46"/>
      <c r="P1083" s="46"/>
      <c r="Q1083" s="46"/>
    </row>
    <row r="1084" spans="1:17" hidden="1" x14ac:dyDescent="0.25">
      <c r="A1084" s="47" t="s">
        <v>1010</v>
      </c>
      <c r="B1084" s="46" t="str">
        <f>IFERROR(VLOOKUP($A1084,Equipos!$C$2:$M$967,2,FALSE()),"")</f>
        <v>Monitor Multiparámetros</v>
      </c>
      <c r="C1084" s="46" t="str">
        <f>IFERROR(VLOOKUP($A1084,Equipos!$C$2:$M$967,9,FALSE()),"")</f>
        <v>DGLC0120</v>
      </c>
      <c r="D1084" s="46" t="str">
        <f>IFERROR(VLOOKUP($A1084,Equipos!$C$2:$M$967,3,FALSE()),"")</f>
        <v>Medicina</v>
      </c>
      <c r="E1084" s="46" t="str">
        <f>IFERROR(VLOOKUP($A1084,Equipos!$C$2:$M$967,7,FALSE()),"")</f>
        <v>Bistos</v>
      </c>
      <c r="F1084" s="46" t="str">
        <f>IFERROR(VLOOKUP($A1084,Equipos!$C$2:$M$967,8,FALSE()),"")</f>
        <v>BT-770</v>
      </c>
      <c r="G1084" s="46" t="s">
        <v>296</v>
      </c>
      <c r="H1084" s="46"/>
      <c r="I1084" s="46"/>
      <c r="J1084" s="46" t="s">
        <v>278</v>
      </c>
      <c r="K1084" s="46" t="str">
        <f>IFERROR(VLOOKUP($J1084,Catálogos!$M$4:$N$17,2,FALSE()),"")</f>
        <v>Reprogramada · Equipo en servicio técnico</v>
      </c>
      <c r="L1084" s="46"/>
      <c r="M1084" s="46"/>
      <c r="N1084" s="46"/>
      <c r="O1084" s="46"/>
      <c r="P1084" s="46"/>
      <c r="Q1084" s="46"/>
    </row>
    <row r="1085" spans="1:17" hidden="1" x14ac:dyDescent="0.25">
      <c r="A1085" s="47" t="s">
        <v>1011</v>
      </c>
      <c r="B1085" s="46" t="str">
        <f>IFERROR(VLOOKUP($A1085,Equipos!$C$2:$M$967,2,FALSE()),"")</f>
        <v>Monitor Multiparámetros</v>
      </c>
      <c r="C1085" s="46" t="str">
        <f>IFERROR(VLOOKUP($A1085,Equipos!$C$2:$M$967,9,FALSE()),"")</f>
        <v>DGLC0121</v>
      </c>
      <c r="D1085" s="46" t="str">
        <f>IFERROR(VLOOKUP($A1085,Equipos!$C$2:$M$967,3,FALSE()),"")</f>
        <v>Medicina (Prestado a medicina cardiovascular)</v>
      </c>
      <c r="E1085" s="46" t="str">
        <f>IFERROR(VLOOKUP($A1085,Equipos!$C$2:$M$967,7,FALSE()),"")</f>
        <v>Bistos</v>
      </c>
      <c r="F1085" s="46" t="str">
        <f>IFERROR(VLOOKUP($A1085,Equipos!$C$2:$M$967,8,FALSE()),"")</f>
        <v>BT-770</v>
      </c>
      <c r="G1085" s="46" t="s">
        <v>296</v>
      </c>
      <c r="H1085" s="46"/>
      <c r="I1085" s="46"/>
      <c r="J1085" s="46" t="s">
        <v>323</v>
      </c>
      <c r="K1085" s="46" t="str">
        <f>IFERROR(VLOOKUP($J1085,Catálogos!$M$4:$N$17,2,FALSE()),"")</f>
        <v>Reprogramada · No disponibilidad de horas hombre del funcionario SEC por alta carga laboral</v>
      </c>
      <c r="L1085" s="46"/>
      <c r="M1085" s="46"/>
      <c r="N1085" s="46"/>
      <c r="O1085" s="46"/>
      <c r="P1085" s="46"/>
      <c r="Q1085" s="46"/>
    </row>
    <row r="1086" spans="1:17" hidden="1" x14ac:dyDescent="0.25">
      <c r="A1086" s="47" t="s">
        <v>1011</v>
      </c>
      <c r="B1086" s="46" t="str">
        <f>IFERROR(VLOOKUP($A1086,Equipos!$C$2:$M$967,2,FALSE()),"")</f>
        <v>Monitor Multiparámetros</v>
      </c>
      <c r="C1086" s="46" t="str">
        <f>IFERROR(VLOOKUP($A1086,Equipos!$C$2:$M$967,9,FALSE()),"")</f>
        <v>DGLC0121</v>
      </c>
      <c r="D1086" s="46" t="str">
        <f>IFERROR(VLOOKUP($A1086,Equipos!$C$2:$M$967,3,FALSE()),"")</f>
        <v>Medicina (Prestado a medicina cardiovascular)</v>
      </c>
      <c r="E1086" s="46" t="str">
        <f>IFERROR(VLOOKUP($A1086,Equipos!$C$2:$M$967,7,FALSE()),"")</f>
        <v>Bistos</v>
      </c>
      <c r="F1086" s="46" t="str">
        <f>IFERROR(VLOOKUP($A1086,Equipos!$C$2:$M$967,8,FALSE()),"")</f>
        <v>BT-770</v>
      </c>
      <c r="G1086" s="46" t="s">
        <v>316</v>
      </c>
      <c r="H1086" s="46"/>
      <c r="I1086" s="46"/>
      <c r="J1086" s="46" t="s">
        <v>297</v>
      </c>
      <c r="K1086" s="46" t="str">
        <f>IFERROR(VLOOKUP($J1086,Catálogos!$M$4:$N$17,2,FALSE()),"")</f>
        <v>Mantención Preventiva Realizada</v>
      </c>
      <c r="L1086" s="46"/>
      <c r="M1086" s="46"/>
      <c r="N1086" s="46"/>
      <c r="O1086" s="46"/>
      <c r="P1086" s="46"/>
      <c r="Q1086" s="46"/>
    </row>
    <row r="1087" spans="1:17" hidden="1" x14ac:dyDescent="0.25">
      <c r="A1087" s="47" t="s">
        <v>1012</v>
      </c>
      <c r="B1087" s="46" t="str">
        <f>IFERROR(VLOOKUP($A1087,Equipos!$C$2:$M$967,2,FALSE()),"")</f>
        <v>Monitor Multiparámetros</v>
      </c>
      <c r="C1087" s="46" t="str">
        <f>IFERROR(VLOOKUP($A1087,Equipos!$C$2:$M$967,9,FALSE()),"")</f>
        <v>DGLC0118</v>
      </c>
      <c r="D1087" s="46" t="str">
        <f>IFERROR(VLOOKUP($A1087,Equipos!$C$2:$M$967,3,FALSE()),"")</f>
        <v>Medicina (Prestado a medicina cardiovascular)</v>
      </c>
      <c r="E1087" s="46" t="str">
        <f>IFERROR(VLOOKUP($A1087,Equipos!$C$2:$M$967,7,FALSE()),"")</f>
        <v>Bistos</v>
      </c>
      <c r="F1087" s="46" t="str">
        <f>IFERROR(VLOOKUP($A1087,Equipos!$C$2:$M$967,8,FALSE()),"")</f>
        <v>BT-770</v>
      </c>
      <c r="G1087" s="46" t="s">
        <v>296</v>
      </c>
      <c r="H1087" s="46"/>
      <c r="I1087" s="46"/>
      <c r="J1087" s="46" t="s">
        <v>323</v>
      </c>
      <c r="K1087" s="46" t="str">
        <f>IFERROR(VLOOKUP($J1087,Catálogos!$M$4:$N$17,2,FALSE()),"")</f>
        <v>Reprogramada · No disponibilidad de horas hombre del funcionario SEC por alta carga laboral</v>
      </c>
      <c r="L1087" s="46"/>
      <c r="M1087" s="46"/>
      <c r="N1087" s="46"/>
      <c r="O1087" s="46"/>
      <c r="P1087" s="46"/>
      <c r="Q1087" s="46"/>
    </row>
    <row r="1088" spans="1:17" hidden="1" x14ac:dyDescent="0.25">
      <c r="A1088" s="47" t="s">
        <v>1012</v>
      </c>
      <c r="B1088" s="46" t="str">
        <f>IFERROR(VLOOKUP($A1088,Equipos!$C$2:$M$967,2,FALSE()),"")</f>
        <v>Monitor Multiparámetros</v>
      </c>
      <c r="C1088" s="46" t="str">
        <f>IFERROR(VLOOKUP($A1088,Equipos!$C$2:$M$967,9,FALSE()),"")</f>
        <v>DGLC0118</v>
      </c>
      <c r="D1088" s="46" t="str">
        <f>IFERROR(VLOOKUP($A1088,Equipos!$C$2:$M$967,3,FALSE()),"")</f>
        <v>Medicina (Prestado a medicina cardiovascular)</v>
      </c>
      <c r="E1088" s="46" t="str">
        <f>IFERROR(VLOOKUP($A1088,Equipos!$C$2:$M$967,7,FALSE()),"")</f>
        <v>Bistos</v>
      </c>
      <c r="F1088" s="46" t="str">
        <f>IFERROR(VLOOKUP($A1088,Equipos!$C$2:$M$967,8,FALSE()),"")</f>
        <v>BT-770</v>
      </c>
      <c r="G1088" s="46" t="s">
        <v>316</v>
      </c>
      <c r="H1088" s="46"/>
      <c r="I1088" s="46"/>
      <c r="J1088" s="46" t="s">
        <v>297</v>
      </c>
      <c r="K1088" s="46" t="str">
        <f>IFERROR(VLOOKUP($J1088,Catálogos!$M$4:$N$17,2,FALSE()),"")</f>
        <v>Mantención Preventiva Realizada</v>
      </c>
      <c r="L1088" s="46"/>
      <c r="M1088" s="46"/>
      <c r="N1088" s="46"/>
      <c r="O1088" s="46"/>
      <c r="P1088" s="46"/>
      <c r="Q1088" s="46"/>
    </row>
    <row r="1089" spans="1:17" hidden="1" x14ac:dyDescent="0.25">
      <c r="A1089" s="47" t="s">
        <v>1013</v>
      </c>
      <c r="B1089" s="46" t="str">
        <f>IFERROR(VLOOKUP($A1089,Equipos!$C$2:$M$967,2,FALSE()),"")</f>
        <v>Monitor Multiparámetros</v>
      </c>
      <c r="C1089" s="46" t="str">
        <f>IFERROR(VLOOKUP($A1089,Equipos!$C$2:$M$967,9,FALSE()),"")</f>
        <v>DGLC0126</v>
      </c>
      <c r="D1089" s="46" t="str">
        <f>IFERROR(VLOOKUP($A1089,Equipos!$C$2:$M$967,3,FALSE()),"")</f>
        <v>Medicina</v>
      </c>
      <c r="E1089" s="46" t="str">
        <f>IFERROR(VLOOKUP($A1089,Equipos!$C$2:$M$967,7,FALSE()),"")</f>
        <v>Bistos</v>
      </c>
      <c r="F1089" s="46" t="str">
        <f>IFERROR(VLOOKUP($A1089,Equipos!$C$2:$M$967,8,FALSE()),"")</f>
        <v>BT-770</v>
      </c>
      <c r="G1089" s="46" t="s">
        <v>296</v>
      </c>
      <c r="H1089" s="46"/>
      <c r="I1089" s="46"/>
      <c r="J1089" s="46" t="s">
        <v>297</v>
      </c>
      <c r="K1089" s="46" t="str">
        <f>IFERROR(VLOOKUP($J1089,Catálogos!$M$4:$N$17,2,FALSE()),"")</f>
        <v>Mantención Preventiva Realizada</v>
      </c>
      <c r="L1089" s="46"/>
      <c r="M1089" s="46"/>
      <c r="N1089" s="46"/>
      <c r="O1089" s="46"/>
      <c r="P1089" s="46"/>
      <c r="Q1089" s="46"/>
    </row>
    <row r="1090" spans="1:17" hidden="1" x14ac:dyDescent="0.25">
      <c r="A1090" s="47" t="s">
        <v>1014</v>
      </c>
      <c r="B1090" s="46" t="str">
        <f>IFERROR(VLOOKUP($A1090,Equipos!$C$2:$M$967,2,FALSE()),"")</f>
        <v>Monitor Multiparámetros</v>
      </c>
      <c r="C1090" s="46" t="str">
        <f>IFERROR(VLOOKUP($A1090,Equipos!$C$2:$M$967,9,FALSE()),"")</f>
        <v>DGLC0138</v>
      </c>
      <c r="D1090" s="46" t="str">
        <f>IFERROR(VLOOKUP($A1090,Equipos!$C$2:$M$967,3,FALSE()),"")</f>
        <v>Medicina (Prestado a Cirugía Infantil )</v>
      </c>
      <c r="E1090" s="46" t="str">
        <f>IFERROR(VLOOKUP($A1090,Equipos!$C$2:$M$967,7,FALSE()),"")</f>
        <v>Bistos</v>
      </c>
      <c r="F1090" s="46" t="str">
        <f>IFERROR(VLOOKUP($A1090,Equipos!$C$2:$M$967,8,FALSE()),"")</f>
        <v>BT-770</v>
      </c>
      <c r="G1090" s="46" t="s">
        <v>335</v>
      </c>
      <c r="H1090" s="46"/>
      <c r="I1090" s="46"/>
      <c r="J1090" s="46" t="s">
        <v>323</v>
      </c>
      <c r="K1090" s="46" t="str">
        <f>IFERROR(VLOOKUP($J1090,Catálogos!$M$4:$N$17,2,FALSE()),"")</f>
        <v>Reprogramada · No disponibilidad de horas hombre del funcionario SEC por alta carga laboral</v>
      </c>
      <c r="L1090" s="46"/>
      <c r="M1090" s="46"/>
      <c r="N1090" s="46"/>
      <c r="O1090" s="46"/>
      <c r="P1090" s="46"/>
      <c r="Q1090" s="46"/>
    </row>
    <row r="1091" spans="1:17" hidden="1" x14ac:dyDescent="0.25">
      <c r="A1091" s="47" t="s">
        <v>1014</v>
      </c>
      <c r="B1091" s="46" t="str">
        <f>IFERROR(VLOOKUP($A1091,Equipos!$C$2:$M$967,2,FALSE()),"")</f>
        <v>Monitor Multiparámetros</v>
      </c>
      <c r="C1091" s="46" t="str">
        <f>IFERROR(VLOOKUP($A1091,Equipos!$C$2:$M$967,9,FALSE()),"")</f>
        <v>DGLC0138</v>
      </c>
      <c r="D1091" s="46" t="str">
        <f>IFERROR(VLOOKUP($A1091,Equipos!$C$2:$M$967,3,FALSE()),"")</f>
        <v>Medicina (Prestado a Cirugía Infantil )</v>
      </c>
      <c r="E1091" s="46" t="str">
        <f>IFERROR(VLOOKUP($A1091,Equipos!$C$2:$M$967,7,FALSE()),"")</f>
        <v>Bistos</v>
      </c>
      <c r="F1091" s="46" t="str">
        <f>IFERROR(VLOOKUP($A1091,Equipos!$C$2:$M$967,8,FALSE()),"")</f>
        <v>BT-770</v>
      </c>
      <c r="G1091" s="46" t="s">
        <v>296</v>
      </c>
      <c r="H1091" s="46"/>
      <c r="I1091" s="46"/>
      <c r="J1091" s="46" t="s">
        <v>297</v>
      </c>
      <c r="K1091" s="46" t="str">
        <f>IFERROR(VLOOKUP($J1091,Catálogos!$M$4:$N$17,2,FALSE()),"")</f>
        <v>Mantención Preventiva Realizada</v>
      </c>
      <c r="L1091" s="46"/>
      <c r="M1091" s="46"/>
      <c r="N1091" s="46"/>
      <c r="O1091" s="46"/>
      <c r="P1091" s="46"/>
      <c r="Q1091" s="46"/>
    </row>
    <row r="1092" spans="1:17" hidden="1" x14ac:dyDescent="0.25">
      <c r="A1092" s="47" t="s">
        <v>1015</v>
      </c>
      <c r="B1092" s="46" t="str">
        <f>IFERROR(VLOOKUP($A1092,Equipos!$C$2:$M$967,2,FALSE()),"")</f>
        <v>Monitor Multiparámetros</v>
      </c>
      <c r="C1092" s="46" t="str">
        <f>IFERROR(VLOOKUP($A1092,Equipos!$C$2:$M$967,9,FALSE()),"")</f>
        <v>DGLC0124</v>
      </c>
      <c r="D1092" s="46" t="str">
        <f>IFERROR(VLOOKUP($A1092,Equipos!$C$2:$M$967,3,FALSE()),"")</f>
        <v>Medicina</v>
      </c>
      <c r="E1092" s="46" t="str">
        <f>IFERROR(VLOOKUP($A1092,Equipos!$C$2:$M$967,7,FALSE()),"")</f>
        <v>Bistos</v>
      </c>
      <c r="F1092" s="46" t="str">
        <f>IFERROR(VLOOKUP($A1092,Equipos!$C$2:$M$967,8,FALSE()),"")</f>
        <v>BT-770</v>
      </c>
      <c r="G1092" s="46" t="s">
        <v>296</v>
      </c>
      <c r="H1092" s="46"/>
      <c r="I1092" s="46"/>
      <c r="J1092" s="46" t="s">
        <v>297</v>
      </c>
      <c r="K1092" s="46" t="str">
        <f>IFERROR(VLOOKUP($J1092,Catálogos!$M$4:$N$17,2,FALSE()),"")</f>
        <v>Mantención Preventiva Realizada</v>
      </c>
      <c r="L1092" s="46"/>
      <c r="M1092" s="46"/>
      <c r="N1092" s="46"/>
      <c r="O1092" s="46"/>
      <c r="P1092" s="46"/>
      <c r="Q1092" s="46"/>
    </row>
    <row r="1093" spans="1:17" hidden="1" x14ac:dyDescent="0.25">
      <c r="A1093" s="47" t="s">
        <v>1016</v>
      </c>
      <c r="B1093" s="46" t="str">
        <f>IFERROR(VLOOKUP($A1093,Equipos!$C$2:$M$967,2,FALSE()),"")</f>
        <v>Monitor Multiparámetros</v>
      </c>
      <c r="C1093" s="46" t="str">
        <f>IFERROR(VLOOKUP($A1093,Equipos!$C$2:$M$967,9,FALSE()),"")</f>
        <v>DGLC0137</v>
      </c>
      <c r="D1093" s="46" t="str">
        <f>IFERROR(VLOOKUP($A1093,Equipos!$C$2:$M$967,3,FALSE()),"")</f>
        <v>Medicina</v>
      </c>
      <c r="E1093" s="46" t="str">
        <f>IFERROR(VLOOKUP($A1093,Equipos!$C$2:$M$967,7,FALSE()),"")</f>
        <v>Bistos</v>
      </c>
      <c r="F1093" s="46" t="str">
        <f>IFERROR(VLOOKUP($A1093,Equipos!$C$2:$M$967,8,FALSE()),"")</f>
        <v>BT-770</v>
      </c>
      <c r="G1093" s="46" t="s">
        <v>296</v>
      </c>
      <c r="H1093" s="46"/>
      <c r="I1093" s="46"/>
      <c r="J1093" s="46" t="s">
        <v>297</v>
      </c>
      <c r="K1093" s="46" t="str">
        <f>IFERROR(VLOOKUP($J1093,Catálogos!$M$4:$N$17,2,FALSE()),"")</f>
        <v>Mantención Preventiva Realizada</v>
      </c>
      <c r="L1093" s="46"/>
      <c r="M1093" s="46"/>
      <c r="N1093" s="46"/>
      <c r="O1093" s="46"/>
      <c r="P1093" s="46"/>
      <c r="Q1093" s="46"/>
    </row>
    <row r="1094" spans="1:17" hidden="1" x14ac:dyDescent="0.25">
      <c r="A1094" s="47" t="s">
        <v>1017</v>
      </c>
      <c r="B1094" s="46" t="str">
        <f>IFERROR(VLOOKUP($A1094,Equipos!$C$2:$M$967,2,FALSE()),"")</f>
        <v>Monitor Multiparámetros</v>
      </c>
      <c r="C1094" s="46" t="str">
        <f>IFERROR(VLOOKUP($A1094,Equipos!$C$2:$M$967,9,FALSE()),"")</f>
        <v>DGLC0134</v>
      </c>
      <c r="D1094" s="46" t="str">
        <f>IFERROR(VLOOKUP($A1094,Equipos!$C$2:$M$967,3,FALSE()),"")</f>
        <v>Medicina</v>
      </c>
      <c r="E1094" s="46" t="str">
        <f>IFERROR(VLOOKUP($A1094,Equipos!$C$2:$M$967,7,FALSE()),"")</f>
        <v>Bistos</v>
      </c>
      <c r="F1094" s="46" t="str">
        <f>IFERROR(VLOOKUP($A1094,Equipos!$C$2:$M$967,8,FALSE()),"")</f>
        <v>BT-770</v>
      </c>
      <c r="G1094" s="46" t="s">
        <v>296</v>
      </c>
      <c r="H1094" s="46"/>
      <c r="I1094" s="46"/>
      <c r="J1094" s="46" t="s">
        <v>297</v>
      </c>
      <c r="K1094" s="46" t="str">
        <f>IFERROR(VLOOKUP($J1094,Catálogos!$M$4:$N$17,2,FALSE()),"")</f>
        <v>Mantención Preventiva Realizada</v>
      </c>
      <c r="L1094" s="46"/>
      <c r="M1094" s="46"/>
      <c r="N1094" s="46"/>
      <c r="O1094" s="46"/>
      <c r="P1094" s="46"/>
      <c r="Q1094" s="46"/>
    </row>
    <row r="1095" spans="1:17" hidden="1" x14ac:dyDescent="0.25">
      <c r="A1095" s="47" t="s">
        <v>1018</v>
      </c>
      <c r="B1095" s="46" t="str">
        <f>IFERROR(VLOOKUP($A1095,Equipos!$C$2:$M$967,2,FALSE()),"")</f>
        <v>Monitor Multiparámetros</v>
      </c>
      <c r="C1095" s="46" t="str">
        <f>IFERROR(VLOOKUP($A1095,Equipos!$C$2:$M$967,9,FALSE()),"")</f>
        <v>DGLC0115</v>
      </c>
      <c r="D1095" s="46" t="str">
        <f>IFERROR(VLOOKUP($A1095,Equipos!$C$2:$M$967,3,FALSE()),"")</f>
        <v>Medicina (Prestado a Pediatría)</v>
      </c>
      <c r="E1095" s="46" t="str">
        <f>IFERROR(VLOOKUP($A1095,Equipos!$C$2:$M$967,7,FALSE()),"")</f>
        <v>Bistos</v>
      </c>
      <c r="F1095" s="46" t="str">
        <f>IFERROR(VLOOKUP($A1095,Equipos!$C$2:$M$967,8,FALSE()),"")</f>
        <v>BT-770</v>
      </c>
      <c r="G1095" s="46" t="s">
        <v>335</v>
      </c>
      <c r="H1095" s="46"/>
      <c r="I1095" s="46"/>
      <c r="J1095" s="46" t="s">
        <v>315</v>
      </c>
      <c r="K1095" s="46" t="str">
        <f>IFERROR(VLOOKUP($J1095,Catálogos!$M$4:$N$17,2,FALSE()),"")</f>
        <v>Reprogramada · Ausencia justificada del funcionario SEC superior a 15 días</v>
      </c>
      <c r="L1095" s="46"/>
      <c r="M1095" s="46"/>
      <c r="N1095" s="46"/>
      <c r="O1095" s="46"/>
      <c r="P1095" s="46"/>
      <c r="Q1095" s="46"/>
    </row>
    <row r="1096" spans="1:17" hidden="1" x14ac:dyDescent="0.25">
      <c r="A1096" s="47" t="s">
        <v>1018</v>
      </c>
      <c r="B1096" s="46" t="str">
        <f>IFERROR(VLOOKUP($A1096,Equipos!$C$2:$M$967,2,FALSE()),"")</f>
        <v>Monitor Multiparámetros</v>
      </c>
      <c r="C1096" s="46" t="str">
        <f>IFERROR(VLOOKUP($A1096,Equipos!$C$2:$M$967,9,FALSE()),"")</f>
        <v>DGLC0115</v>
      </c>
      <c r="D1096" s="46" t="str">
        <f>IFERROR(VLOOKUP($A1096,Equipos!$C$2:$M$967,3,FALSE()),"")</f>
        <v>Medicina (Prestado a Pediatría)</v>
      </c>
      <c r="E1096" s="46" t="str">
        <f>IFERROR(VLOOKUP($A1096,Equipos!$C$2:$M$967,7,FALSE()),"")</f>
        <v>Bistos</v>
      </c>
      <c r="F1096" s="46" t="str">
        <f>IFERROR(VLOOKUP($A1096,Equipos!$C$2:$M$967,8,FALSE()),"")</f>
        <v>BT-770</v>
      </c>
      <c r="G1096" s="46" t="s">
        <v>296</v>
      </c>
      <c r="H1096" s="46"/>
      <c r="I1096" s="46"/>
      <c r="J1096" s="46" t="s">
        <v>297</v>
      </c>
      <c r="K1096" s="46" t="str">
        <f>IFERROR(VLOOKUP($J1096,Catálogos!$M$4:$N$17,2,FALSE()),"")</f>
        <v>Mantención Preventiva Realizada</v>
      </c>
      <c r="L1096" s="46"/>
      <c r="M1096" s="46"/>
      <c r="N1096" s="46"/>
      <c r="O1096" s="46"/>
      <c r="P1096" s="46"/>
      <c r="Q1096" s="46"/>
    </row>
    <row r="1097" spans="1:17" hidden="1" x14ac:dyDescent="0.25">
      <c r="A1097" s="47" t="s">
        <v>1019</v>
      </c>
      <c r="B1097" s="46" t="str">
        <f>IFERROR(VLOOKUP($A1097,Equipos!$C$2:$M$967,2,FALSE()),"")</f>
        <v>Monitor Multiparámetros</v>
      </c>
      <c r="C1097" s="46" t="str">
        <f>IFERROR(VLOOKUP($A1097,Equipos!$C$2:$M$967,9,FALSE()),"")</f>
        <v>DGLC0136</v>
      </c>
      <c r="D1097" s="46" t="str">
        <f>IFERROR(VLOOKUP($A1097,Equipos!$C$2:$M$967,3,FALSE()),"")</f>
        <v>Pediatría</v>
      </c>
      <c r="E1097" s="46" t="str">
        <f>IFERROR(VLOOKUP($A1097,Equipos!$C$2:$M$967,7,FALSE()),"")</f>
        <v>Bistos</v>
      </c>
      <c r="F1097" s="46" t="str">
        <f>IFERROR(VLOOKUP($A1097,Equipos!$C$2:$M$967,8,FALSE()),"")</f>
        <v>BT-770</v>
      </c>
      <c r="G1097" s="46" t="s">
        <v>335</v>
      </c>
      <c r="H1097" s="46"/>
      <c r="I1097" s="46"/>
      <c r="J1097" s="46" t="s">
        <v>323</v>
      </c>
      <c r="K1097" s="46" t="str">
        <f>IFERROR(VLOOKUP($J1097,Catálogos!$M$4:$N$17,2,FALSE()),"")</f>
        <v>Reprogramada · No disponibilidad de horas hombre del funcionario SEC por alta carga laboral</v>
      </c>
      <c r="L1097" s="46"/>
      <c r="M1097" s="46"/>
      <c r="N1097" s="46"/>
      <c r="O1097" s="46"/>
      <c r="P1097" s="46"/>
      <c r="Q1097" s="46"/>
    </row>
    <row r="1098" spans="1:17" hidden="1" x14ac:dyDescent="0.25">
      <c r="A1098" s="47" t="s">
        <v>1019</v>
      </c>
      <c r="B1098" s="46" t="str">
        <f>IFERROR(VLOOKUP($A1098,Equipos!$C$2:$M$967,2,FALSE()),"")</f>
        <v>Monitor Multiparámetros</v>
      </c>
      <c r="C1098" s="46" t="str">
        <f>IFERROR(VLOOKUP($A1098,Equipos!$C$2:$M$967,9,FALSE()),"")</f>
        <v>DGLC0136</v>
      </c>
      <c r="D1098" s="46" t="str">
        <f>IFERROR(VLOOKUP($A1098,Equipos!$C$2:$M$967,3,FALSE()),"")</f>
        <v>Pediatría</v>
      </c>
      <c r="E1098" s="46" t="str">
        <f>IFERROR(VLOOKUP($A1098,Equipos!$C$2:$M$967,7,FALSE()),"")</f>
        <v>Bistos</v>
      </c>
      <c r="F1098" s="46" t="str">
        <f>IFERROR(VLOOKUP($A1098,Equipos!$C$2:$M$967,8,FALSE()),"")</f>
        <v>BT-770</v>
      </c>
      <c r="G1098" s="46" t="s">
        <v>296</v>
      </c>
      <c r="H1098" s="46"/>
      <c r="I1098" s="46"/>
      <c r="J1098" s="46" t="s">
        <v>297</v>
      </c>
      <c r="K1098" s="46" t="str">
        <f>IFERROR(VLOOKUP($J1098,Catálogos!$M$4:$N$17,2,FALSE()),"")</f>
        <v>Mantención Preventiva Realizada</v>
      </c>
      <c r="L1098" s="46"/>
      <c r="M1098" s="46"/>
      <c r="N1098" s="46"/>
      <c r="O1098" s="46"/>
      <c r="P1098" s="46"/>
      <c r="Q1098" s="46"/>
    </row>
    <row r="1099" spans="1:17" hidden="1" x14ac:dyDescent="0.25">
      <c r="A1099" s="47" t="s">
        <v>1020</v>
      </c>
      <c r="B1099" s="46" t="str">
        <f>IFERROR(VLOOKUP($A1099,Equipos!$C$2:$M$967,2,FALSE()),"")</f>
        <v>Monitor Multiparámetros</v>
      </c>
      <c r="C1099" s="46" t="str">
        <f>IFERROR(VLOOKUP($A1099,Equipos!$C$2:$M$967,9,FALSE()),"")</f>
        <v>DGLC0133</v>
      </c>
      <c r="D1099" s="46" t="str">
        <f>IFERROR(VLOOKUP($A1099,Equipos!$C$2:$M$967,3,FALSE()),"")</f>
        <v>Medicina</v>
      </c>
      <c r="E1099" s="46" t="str">
        <f>IFERROR(VLOOKUP($A1099,Equipos!$C$2:$M$967,7,FALSE()),"")</f>
        <v>Bistos</v>
      </c>
      <c r="F1099" s="46" t="str">
        <f>IFERROR(VLOOKUP($A1099,Equipos!$C$2:$M$967,8,FALSE()),"")</f>
        <v>BT-770</v>
      </c>
      <c r="G1099" s="46" t="s">
        <v>296</v>
      </c>
      <c r="H1099" s="46"/>
      <c r="I1099" s="46"/>
      <c r="J1099" s="46" t="s">
        <v>297</v>
      </c>
      <c r="K1099" s="46" t="str">
        <f>IFERROR(VLOOKUP($J1099,Catálogos!$M$4:$N$17,2,FALSE()),"")</f>
        <v>Mantención Preventiva Realizada</v>
      </c>
      <c r="L1099" s="46"/>
      <c r="M1099" s="46"/>
      <c r="N1099" s="46"/>
      <c r="O1099" s="46"/>
      <c r="P1099" s="46"/>
      <c r="Q1099" s="46"/>
    </row>
    <row r="1100" spans="1:17" hidden="1" x14ac:dyDescent="0.25">
      <c r="A1100" s="47" t="s">
        <v>1021</v>
      </c>
      <c r="B1100" s="46" t="str">
        <f>IFERROR(VLOOKUP($A1100,Equipos!$C$2:$M$967,2,FALSE()),"")</f>
        <v>Monitor Multiparámetros</v>
      </c>
      <c r="C1100" s="46" t="str">
        <f>IFERROR(VLOOKUP($A1100,Equipos!$C$2:$M$967,9,FALSE()),"")</f>
        <v>DGL70654</v>
      </c>
      <c r="D1100" s="46" t="str">
        <f>IFERROR(VLOOKUP($A1100,Equipos!$C$2:$M$967,3,FALSE()),"")</f>
        <v>Medicina</v>
      </c>
      <c r="E1100" s="46" t="str">
        <f>IFERROR(VLOOKUP($A1100,Equipos!$C$2:$M$967,7,FALSE()),"")</f>
        <v>Bistos</v>
      </c>
      <c r="F1100" s="46" t="str">
        <f>IFERROR(VLOOKUP($A1100,Equipos!$C$2:$M$967,8,FALSE()),"")</f>
        <v>BT-770</v>
      </c>
      <c r="G1100" s="46" t="s">
        <v>296</v>
      </c>
      <c r="H1100" s="46"/>
      <c r="I1100" s="46"/>
      <c r="J1100" s="46" t="s">
        <v>297</v>
      </c>
      <c r="K1100" s="46" t="str">
        <f>IFERROR(VLOOKUP($J1100,Catálogos!$M$4:$N$17,2,FALSE()),"")</f>
        <v>Mantención Preventiva Realizada</v>
      </c>
      <c r="L1100" s="46"/>
      <c r="M1100" s="46"/>
      <c r="N1100" s="46"/>
      <c r="O1100" s="46"/>
      <c r="P1100" s="46"/>
      <c r="Q1100" s="46"/>
    </row>
    <row r="1101" spans="1:17" hidden="1" x14ac:dyDescent="0.25">
      <c r="A1101" s="47" t="s">
        <v>1022</v>
      </c>
      <c r="B1101" s="46" t="str">
        <f>IFERROR(VLOOKUP($A1101,Equipos!$C$2:$M$967,2,FALSE()),"")</f>
        <v>Monitor Multiparámetros</v>
      </c>
      <c r="C1101" s="46" t="str">
        <f>IFERROR(VLOOKUP($A1101,Equipos!$C$2:$M$967,9,FALSE()),"")</f>
        <v>DGLC0112</v>
      </c>
      <c r="D1101" s="46" t="str">
        <f>IFERROR(VLOOKUP($A1101,Equipos!$C$2:$M$967,3,FALSE()),"")</f>
        <v>Medicina</v>
      </c>
      <c r="E1101" s="46" t="str">
        <f>IFERROR(VLOOKUP($A1101,Equipos!$C$2:$M$967,7,FALSE()),"")</f>
        <v>Bistos</v>
      </c>
      <c r="F1101" s="46" t="str">
        <f>IFERROR(VLOOKUP($A1101,Equipos!$C$2:$M$967,8,FALSE()),"")</f>
        <v>BT-770</v>
      </c>
      <c r="G1101" s="46" t="s">
        <v>296</v>
      </c>
      <c r="H1101" s="46"/>
      <c r="I1101" s="46"/>
      <c r="J1101" s="46" t="s">
        <v>297</v>
      </c>
      <c r="K1101" s="46" t="str">
        <f>IFERROR(VLOOKUP($J1101,Catálogos!$M$4:$N$17,2,FALSE()),"")</f>
        <v>Mantención Preventiva Realizada</v>
      </c>
      <c r="L1101" s="46"/>
      <c r="M1101" s="46"/>
      <c r="N1101" s="46"/>
      <c r="O1101" s="46"/>
      <c r="P1101" s="46"/>
      <c r="Q1101" s="46"/>
    </row>
    <row r="1102" spans="1:17" hidden="1" x14ac:dyDescent="0.25">
      <c r="A1102" s="47" t="s">
        <v>1023</v>
      </c>
      <c r="B1102" s="46" t="str">
        <f>IFERROR(VLOOKUP($A1102,Equipos!$C$2:$M$967,2,FALSE()),"")</f>
        <v>Monitor Multiparámetros</v>
      </c>
      <c r="C1102" s="46" t="str">
        <f>IFERROR(VLOOKUP($A1102,Equipos!$C$2:$M$967,9,FALSE()),"")</f>
        <v>DGLC0125</v>
      </c>
      <c r="D1102" s="46" t="str">
        <f>IFERROR(VLOOKUP($A1102,Equipos!$C$2:$M$967,3,FALSE()),"")</f>
        <v>Medicina (Prestado a Pediatría)</v>
      </c>
      <c r="E1102" s="46" t="str">
        <f>IFERROR(VLOOKUP($A1102,Equipos!$C$2:$M$967,7,FALSE()),"")</f>
        <v>Bistos</v>
      </c>
      <c r="F1102" s="46" t="str">
        <f>IFERROR(VLOOKUP($A1102,Equipos!$C$2:$M$967,8,FALSE()),"")</f>
        <v>BT-770</v>
      </c>
      <c r="G1102" s="46" t="s">
        <v>335</v>
      </c>
      <c r="H1102" s="46"/>
      <c r="I1102" s="46"/>
      <c r="J1102" s="46" t="s">
        <v>315</v>
      </c>
      <c r="K1102" s="46" t="str">
        <f>IFERROR(VLOOKUP($J1102,Catálogos!$M$4:$N$17,2,FALSE()),"")</f>
        <v>Reprogramada · Ausencia justificada del funcionario SEC superior a 15 días</v>
      </c>
      <c r="L1102" s="46"/>
      <c r="M1102" s="46"/>
      <c r="N1102" s="46"/>
      <c r="O1102" s="46"/>
      <c r="P1102" s="46"/>
      <c r="Q1102" s="46"/>
    </row>
    <row r="1103" spans="1:17" hidden="1" x14ac:dyDescent="0.25">
      <c r="A1103" s="47" t="s">
        <v>1023</v>
      </c>
      <c r="B1103" s="46" t="str">
        <f>IFERROR(VLOOKUP($A1103,Equipos!$C$2:$M$967,2,FALSE()),"")</f>
        <v>Monitor Multiparámetros</v>
      </c>
      <c r="C1103" s="46" t="str">
        <f>IFERROR(VLOOKUP($A1103,Equipos!$C$2:$M$967,9,FALSE()),"")</f>
        <v>DGLC0125</v>
      </c>
      <c r="D1103" s="46" t="str">
        <f>IFERROR(VLOOKUP($A1103,Equipos!$C$2:$M$967,3,FALSE()),"")</f>
        <v>Medicina (Prestado a Pediatría)</v>
      </c>
      <c r="E1103" s="46" t="str">
        <f>IFERROR(VLOOKUP($A1103,Equipos!$C$2:$M$967,7,FALSE()),"")</f>
        <v>Bistos</v>
      </c>
      <c r="F1103" s="46" t="str">
        <f>IFERROR(VLOOKUP($A1103,Equipos!$C$2:$M$967,8,FALSE()),"")</f>
        <v>BT-770</v>
      </c>
      <c r="G1103" s="46" t="s">
        <v>296</v>
      </c>
      <c r="H1103" s="46"/>
      <c r="I1103" s="46"/>
      <c r="J1103" s="46" t="s">
        <v>297</v>
      </c>
      <c r="K1103" s="46" t="str">
        <f>IFERROR(VLOOKUP($J1103,Catálogos!$M$4:$N$17,2,FALSE()),"")</f>
        <v>Mantención Preventiva Realizada</v>
      </c>
      <c r="L1103" s="46"/>
      <c r="M1103" s="46"/>
      <c r="N1103" s="46"/>
      <c r="O1103" s="46"/>
      <c r="P1103" s="46"/>
      <c r="Q1103" s="46"/>
    </row>
    <row r="1104" spans="1:17" hidden="1" x14ac:dyDescent="0.25">
      <c r="A1104" s="47" t="s">
        <v>1024</v>
      </c>
      <c r="B1104" s="46" t="str">
        <f>IFERROR(VLOOKUP($A1104,Equipos!$C$2:$M$967,2,FALSE()),"")</f>
        <v>Monitor Multiparámetros</v>
      </c>
      <c r="C1104" s="46" t="str">
        <f>IFERROR(VLOOKUP($A1104,Equipos!$C$2:$M$967,9,FALSE()),"")</f>
        <v>DGL70658</v>
      </c>
      <c r="D1104" s="46" t="str">
        <f>IFERROR(VLOOKUP($A1104,Equipos!$C$2:$M$967,3,FALSE()),"")</f>
        <v>Medicina (Prestado a medicina cardiovascular)</v>
      </c>
      <c r="E1104" s="46" t="str">
        <f>IFERROR(VLOOKUP($A1104,Equipos!$C$2:$M$967,7,FALSE()),"")</f>
        <v>Bistos</v>
      </c>
      <c r="F1104" s="46" t="str">
        <f>IFERROR(VLOOKUP($A1104,Equipos!$C$2:$M$967,8,FALSE()),"")</f>
        <v>BT-770</v>
      </c>
      <c r="G1104" s="46" t="s">
        <v>296</v>
      </c>
      <c r="H1104" s="46"/>
      <c r="I1104" s="46"/>
      <c r="J1104" s="46" t="s">
        <v>323</v>
      </c>
      <c r="K1104" s="46" t="str">
        <f>IFERROR(VLOOKUP($J1104,Catálogos!$M$4:$N$17,2,FALSE()),"")</f>
        <v>Reprogramada · No disponibilidad de horas hombre del funcionario SEC por alta carga laboral</v>
      </c>
      <c r="L1104" s="46"/>
      <c r="M1104" s="46"/>
      <c r="N1104" s="46"/>
      <c r="O1104" s="46"/>
      <c r="P1104" s="46"/>
      <c r="Q1104" s="46"/>
    </row>
    <row r="1105" spans="1:17" hidden="1" x14ac:dyDescent="0.25">
      <c r="A1105" s="47" t="s">
        <v>1024</v>
      </c>
      <c r="B1105" s="46" t="str">
        <f>IFERROR(VLOOKUP($A1105,Equipos!$C$2:$M$967,2,FALSE()),"")</f>
        <v>Monitor Multiparámetros</v>
      </c>
      <c r="C1105" s="46" t="str">
        <f>IFERROR(VLOOKUP($A1105,Equipos!$C$2:$M$967,9,FALSE()),"")</f>
        <v>DGL70658</v>
      </c>
      <c r="D1105" s="46" t="str">
        <f>IFERROR(VLOOKUP($A1105,Equipos!$C$2:$M$967,3,FALSE()),"")</f>
        <v>Medicina (Prestado a medicina cardiovascular)</v>
      </c>
      <c r="E1105" s="46" t="str">
        <f>IFERROR(VLOOKUP($A1105,Equipos!$C$2:$M$967,7,FALSE()),"")</f>
        <v>Bistos</v>
      </c>
      <c r="F1105" s="46" t="str">
        <f>IFERROR(VLOOKUP($A1105,Equipos!$C$2:$M$967,8,FALSE()),"")</f>
        <v>BT-770</v>
      </c>
      <c r="G1105" s="46" t="s">
        <v>316</v>
      </c>
      <c r="H1105" s="46"/>
      <c r="I1105" s="46"/>
      <c r="J1105" s="46" t="s">
        <v>297</v>
      </c>
      <c r="K1105" s="46" t="str">
        <f>IFERROR(VLOOKUP($J1105,Catálogos!$M$4:$N$17,2,FALSE()),"")</f>
        <v>Mantención Preventiva Realizada</v>
      </c>
      <c r="L1105" s="46"/>
      <c r="M1105" s="46"/>
      <c r="N1105" s="46"/>
      <c r="O1105" s="46"/>
      <c r="P1105" s="46"/>
      <c r="Q1105" s="46"/>
    </row>
    <row r="1106" spans="1:17" hidden="1" x14ac:dyDescent="0.25">
      <c r="A1106" s="47" t="s">
        <v>1025</v>
      </c>
      <c r="B1106" s="46" t="str">
        <f>IFERROR(VLOOKUP($A1106,Equipos!$C$2:$M$967,2,FALSE()),"")</f>
        <v>Monitor Multiparámetros</v>
      </c>
      <c r="C1106" s="46" t="str">
        <f>IFERROR(VLOOKUP($A1106,Equipos!$C$2:$M$967,9,FALSE()),"")</f>
        <v>DGLC0128</v>
      </c>
      <c r="D1106" s="46" t="str">
        <f>IFERROR(VLOOKUP($A1106,Equipos!$C$2:$M$967,3,FALSE()),"")</f>
        <v>Medicina</v>
      </c>
      <c r="E1106" s="46" t="str">
        <f>IFERROR(VLOOKUP($A1106,Equipos!$C$2:$M$967,7,FALSE()),"")</f>
        <v>Bistos</v>
      </c>
      <c r="F1106" s="46" t="str">
        <f>IFERROR(VLOOKUP($A1106,Equipos!$C$2:$M$967,8,FALSE()),"")</f>
        <v>BT-770</v>
      </c>
      <c r="G1106" s="46" t="s">
        <v>296</v>
      </c>
      <c r="H1106" s="46"/>
      <c r="I1106" s="46"/>
      <c r="J1106" s="46" t="s">
        <v>278</v>
      </c>
      <c r="K1106" s="46" t="str">
        <f>IFERROR(VLOOKUP($J1106,Catálogos!$M$4:$N$17,2,FALSE()),"")</f>
        <v>Reprogramada · Equipo en servicio técnico</v>
      </c>
      <c r="L1106" s="46"/>
      <c r="M1106" s="46"/>
      <c r="N1106" s="46"/>
      <c r="O1106" s="46"/>
      <c r="P1106" s="46"/>
      <c r="Q1106" s="46"/>
    </row>
    <row r="1107" spans="1:17" hidden="1" x14ac:dyDescent="0.25">
      <c r="A1107" s="47" t="s">
        <v>1026</v>
      </c>
      <c r="B1107" s="46" t="str">
        <f>IFERROR(VLOOKUP($A1107,Equipos!$C$2:$M$967,2,FALSE()),"")</f>
        <v>Monitor Multiparámetros</v>
      </c>
      <c r="C1107" s="46" t="str">
        <f>IFERROR(VLOOKUP($A1107,Equipos!$C$2:$M$967,9,FALSE()),"")</f>
        <v>DGL70653</v>
      </c>
      <c r="D1107" s="46" t="str">
        <f>IFERROR(VLOOKUP($A1107,Equipos!$C$2:$M$967,3,FALSE()),"")</f>
        <v>Medicina</v>
      </c>
      <c r="E1107" s="46" t="str">
        <f>IFERROR(VLOOKUP($A1107,Equipos!$C$2:$M$967,7,FALSE()),"")</f>
        <v>Bistos</v>
      </c>
      <c r="F1107" s="46" t="str">
        <f>IFERROR(VLOOKUP($A1107,Equipos!$C$2:$M$967,8,FALSE()),"")</f>
        <v>BT-770</v>
      </c>
      <c r="G1107" s="46" t="s">
        <v>296</v>
      </c>
      <c r="H1107" s="46"/>
      <c r="I1107" s="46"/>
      <c r="J1107" s="46" t="s">
        <v>297</v>
      </c>
      <c r="K1107" s="46" t="str">
        <f>IFERROR(VLOOKUP($J1107,Catálogos!$M$4:$N$17,2,FALSE()),"")</f>
        <v>Mantención Preventiva Realizada</v>
      </c>
      <c r="L1107" s="46"/>
      <c r="M1107" s="46"/>
      <c r="N1107" s="46"/>
      <c r="O1107" s="46"/>
      <c r="P1107" s="46"/>
      <c r="Q1107" s="46"/>
    </row>
    <row r="1108" spans="1:17" hidden="1" x14ac:dyDescent="0.25">
      <c r="A1108" s="47" t="s">
        <v>1027</v>
      </c>
      <c r="B1108" s="46" t="str">
        <f>IFERROR(VLOOKUP($A1108,Equipos!$C$2:$M$967,2,FALSE()),"")</f>
        <v>Monitor Multiparámetros</v>
      </c>
      <c r="C1108" s="46" t="str">
        <f>IFERROR(VLOOKUP($A1108,Equipos!$C$2:$M$967,9,FALSE()),"")</f>
        <v>DGLC0122</v>
      </c>
      <c r="D1108" s="46" t="str">
        <f>IFERROR(VLOOKUP($A1108,Equipos!$C$2:$M$967,3,FALSE()),"")</f>
        <v>Medicina</v>
      </c>
      <c r="E1108" s="46" t="str">
        <f>IFERROR(VLOOKUP($A1108,Equipos!$C$2:$M$967,7,FALSE()),"")</f>
        <v>Bistos</v>
      </c>
      <c r="F1108" s="46" t="str">
        <f>IFERROR(VLOOKUP($A1108,Equipos!$C$2:$M$967,8,FALSE()),"")</f>
        <v>BT-770</v>
      </c>
      <c r="G1108" s="46" t="s">
        <v>296</v>
      </c>
      <c r="H1108" s="46"/>
      <c r="I1108" s="46"/>
      <c r="J1108" s="46" t="s">
        <v>297</v>
      </c>
      <c r="K1108" s="46" t="str">
        <f>IFERROR(VLOOKUP($J1108,Catálogos!$M$4:$N$17,2,FALSE()),"")</f>
        <v>Mantención Preventiva Realizada</v>
      </c>
      <c r="L1108" s="46"/>
      <c r="M1108" s="46"/>
      <c r="N1108" s="46"/>
      <c r="O1108" s="46"/>
      <c r="P1108" s="46"/>
      <c r="Q1108" s="46"/>
    </row>
    <row r="1109" spans="1:17" hidden="1" x14ac:dyDescent="0.25">
      <c r="A1109" s="47" t="s">
        <v>1028</v>
      </c>
      <c r="B1109" s="46" t="str">
        <f>IFERROR(VLOOKUP($A1109,Equipos!$C$2:$M$967,2,FALSE()),"")</f>
        <v>Monitor Multiparámetros</v>
      </c>
      <c r="C1109" s="46" t="str">
        <f>IFERROR(VLOOKUP($A1109,Equipos!$C$2:$M$967,9,FALSE()),"")</f>
        <v>DGL70649</v>
      </c>
      <c r="D1109" s="46" t="str">
        <f>IFERROR(VLOOKUP($A1109,Equipos!$C$2:$M$967,3,FALSE()),"")</f>
        <v>Medicina</v>
      </c>
      <c r="E1109" s="46" t="str">
        <f>IFERROR(VLOOKUP($A1109,Equipos!$C$2:$M$967,7,FALSE()),"")</f>
        <v>Bistos</v>
      </c>
      <c r="F1109" s="46" t="str">
        <f>IFERROR(VLOOKUP($A1109,Equipos!$C$2:$M$967,8,FALSE()),"")</f>
        <v>BT-770</v>
      </c>
      <c r="G1109" s="46" t="s">
        <v>296</v>
      </c>
      <c r="H1109" s="46"/>
      <c r="I1109" s="46"/>
      <c r="J1109" s="46" t="s">
        <v>297</v>
      </c>
      <c r="K1109" s="46" t="str">
        <f>IFERROR(VLOOKUP($J1109,Catálogos!$M$4:$N$17,2,FALSE()),"")</f>
        <v>Mantención Preventiva Realizada</v>
      </c>
      <c r="L1109" s="46"/>
      <c r="M1109" s="46"/>
      <c r="N1109" s="46"/>
      <c r="O1109" s="46"/>
      <c r="P1109" s="46"/>
      <c r="Q1109" s="46"/>
    </row>
    <row r="1110" spans="1:17" hidden="1" x14ac:dyDescent="0.25">
      <c r="A1110" s="47" t="s">
        <v>1029</v>
      </c>
      <c r="B1110" s="46" t="str">
        <f>IFERROR(VLOOKUP($A1110,Equipos!$C$2:$M$967,2,FALSE()),"")</f>
        <v>Monitor Multiparámetros</v>
      </c>
      <c r="C1110" s="46" t="str">
        <f>IFERROR(VLOOKUP($A1110,Equipos!$C$2:$M$967,9,FALSE()),"")</f>
        <v>DGLC0109</v>
      </c>
      <c r="D1110" s="46" t="str">
        <f>IFERROR(VLOOKUP($A1110,Equipos!$C$2:$M$967,3,FALSE()),"")</f>
        <v>Medicina</v>
      </c>
      <c r="E1110" s="46" t="str">
        <f>IFERROR(VLOOKUP($A1110,Equipos!$C$2:$M$967,7,FALSE()),"")</f>
        <v>Bistos</v>
      </c>
      <c r="F1110" s="46" t="str">
        <f>IFERROR(VLOOKUP($A1110,Equipos!$C$2:$M$967,8,FALSE()),"")</f>
        <v>BT-770</v>
      </c>
      <c r="G1110" s="46" t="s">
        <v>296</v>
      </c>
      <c r="H1110" s="46"/>
      <c r="I1110" s="46"/>
      <c r="J1110" s="46" t="s">
        <v>297</v>
      </c>
      <c r="K1110" s="46" t="str">
        <f>IFERROR(VLOOKUP($J1110,Catálogos!$M$4:$N$17,2,FALSE()),"")</f>
        <v>Mantención Preventiva Realizada</v>
      </c>
      <c r="L1110" s="46"/>
      <c r="M1110" s="46"/>
      <c r="N1110" s="46"/>
      <c r="O1110" s="46"/>
      <c r="P1110" s="46"/>
      <c r="Q1110" s="46"/>
    </row>
    <row r="1111" spans="1:17" hidden="1" x14ac:dyDescent="0.25">
      <c r="A1111" s="47" t="s">
        <v>1030</v>
      </c>
      <c r="B1111" s="46" t="str">
        <f>IFERROR(VLOOKUP($A1111,Equipos!$C$2:$M$967,2,FALSE()),"")</f>
        <v>Monitor Multiparámetros</v>
      </c>
      <c r="C1111" s="46" t="str">
        <f>IFERROR(VLOOKUP($A1111,Equipos!$C$2:$M$967,9,FALSE()),"")</f>
        <v>DGL70650</v>
      </c>
      <c r="D1111" s="46" t="str">
        <f>IFERROR(VLOOKUP($A1111,Equipos!$C$2:$M$967,3,FALSE()),"")</f>
        <v>Medicina (Prestado a medicina cardiovascular)</v>
      </c>
      <c r="E1111" s="46" t="str">
        <f>IFERROR(VLOOKUP($A1111,Equipos!$C$2:$M$967,7,FALSE()),"")</f>
        <v>Bistos</v>
      </c>
      <c r="F1111" s="46" t="str">
        <f>IFERROR(VLOOKUP($A1111,Equipos!$C$2:$M$967,8,FALSE()),"")</f>
        <v>BT-770</v>
      </c>
      <c r="G1111" s="46" t="s">
        <v>296</v>
      </c>
      <c r="H1111" s="46"/>
      <c r="I1111" s="46"/>
      <c r="J1111" s="46" t="s">
        <v>323</v>
      </c>
      <c r="K1111" s="46" t="str">
        <f>IFERROR(VLOOKUP($J1111,Catálogos!$M$4:$N$17,2,FALSE()),"")</f>
        <v>Reprogramada · No disponibilidad de horas hombre del funcionario SEC por alta carga laboral</v>
      </c>
      <c r="L1111" s="46"/>
      <c r="M1111" s="46"/>
      <c r="N1111" s="46"/>
      <c r="O1111" s="46"/>
      <c r="P1111" s="46"/>
      <c r="Q1111" s="46"/>
    </row>
    <row r="1112" spans="1:17" hidden="1" x14ac:dyDescent="0.25">
      <c r="A1112" s="47" t="s">
        <v>1030</v>
      </c>
      <c r="B1112" s="46" t="str">
        <f>IFERROR(VLOOKUP($A1112,Equipos!$C$2:$M$967,2,FALSE()),"")</f>
        <v>Monitor Multiparámetros</v>
      </c>
      <c r="C1112" s="46" t="str">
        <f>IFERROR(VLOOKUP($A1112,Equipos!$C$2:$M$967,9,FALSE()),"")</f>
        <v>DGL70650</v>
      </c>
      <c r="D1112" s="46" t="str">
        <f>IFERROR(VLOOKUP($A1112,Equipos!$C$2:$M$967,3,FALSE()),"")</f>
        <v>Medicina (Prestado a medicina cardiovascular)</v>
      </c>
      <c r="E1112" s="46" t="str">
        <f>IFERROR(VLOOKUP($A1112,Equipos!$C$2:$M$967,7,FALSE()),"")</f>
        <v>Bistos</v>
      </c>
      <c r="F1112" s="46" t="str">
        <f>IFERROR(VLOOKUP($A1112,Equipos!$C$2:$M$967,8,FALSE()),"")</f>
        <v>BT-770</v>
      </c>
      <c r="G1112" s="46" t="s">
        <v>316</v>
      </c>
      <c r="H1112" s="46"/>
      <c r="I1112" s="46"/>
      <c r="J1112" s="46" t="s">
        <v>297</v>
      </c>
      <c r="K1112" s="46" t="str">
        <f>IFERROR(VLOOKUP($J1112,Catálogos!$M$4:$N$17,2,FALSE()),"")</f>
        <v>Mantención Preventiva Realizada</v>
      </c>
      <c r="L1112" s="46"/>
      <c r="M1112" s="46"/>
      <c r="N1112" s="46"/>
      <c r="O1112" s="46"/>
      <c r="P1112" s="46"/>
      <c r="Q1112" s="46"/>
    </row>
    <row r="1113" spans="1:17" hidden="1" x14ac:dyDescent="0.25">
      <c r="A1113" s="47" t="s">
        <v>1031</v>
      </c>
      <c r="B1113" s="46" t="str">
        <f>IFERROR(VLOOKUP($A1113,Equipos!$C$2:$M$967,2,FALSE()),"")</f>
        <v>Monitor Multiparámetros</v>
      </c>
      <c r="C1113" s="46" t="str">
        <f>IFERROR(VLOOKUP($A1113,Equipos!$C$2:$M$967,9,FALSE()),"")</f>
        <v>DGLC0127</v>
      </c>
      <c r="D1113" s="46" t="str">
        <f>IFERROR(VLOOKUP($A1113,Equipos!$C$2:$M$967,3,FALSE()),"")</f>
        <v>Medicina</v>
      </c>
      <c r="E1113" s="46" t="str">
        <f>IFERROR(VLOOKUP($A1113,Equipos!$C$2:$M$967,7,FALSE()),"")</f>
        <v>Bistos</v>
      </c>
      <c r="F1113" s="46" t="str">
        <f>IFERROR(VLOOKUP($A1113,Equipos!$C$2:$M$967,8,FALSE()),"")</f>
        <v>BT-770</v>
      </c>
      <c r="G1113" s="46" t="s">
        <v>296</v>
      </c>
      <c r="H1113" s="46"/>
      <c r="I1113" s="46"/>
      <c r="J1113" s="46" t="s">
        <v>297</v>
      </c>
      <c r="K1113" s="46" t="str">
        <f>IFERROR(VLOOKUP($J1113,Catálogos!$M$4:$N$17,2,FALSE()),"")</f>
        <v>Mantención Preventiva Realizada</v>
      </c>
      <c r="L1113" s="46"/>
      <c r="M1113" s="46"/>
      <c r="N1113" s="46"/>
      <c r="O1113" s="46"/>
      <c r="P1113" s="46"/>
      <c r="Q1113" s="46"/>
    </row>
    <row r="1114" spans="1:17" hidden="1" x14ac:dyDescent="0.25">
      <c r="A1114" s="47" t="s">
        <v>1032</v>
      </c>
      <c r="B1114" s="46" t="str">
        <f>IFERROR(VLOOKUP($A1114,Equipos!$C$2:$M$967,2,FALSE()),"")</f>
        <v>Monitor Multiparámetros</v>
      </c>
      <c r="C1114" s="46" t="str">
        <f>IFERROR(VLOOKUP($A1114,Equipos!$C$2:$M$967,9,FALSE()),"")</f>
        <v>DGL70652</v>
      </c>
      <c r="D1114" s="46" t="str">
        <f>IFERROR(VLOOKUP($A1114,Equipos!$C$2:$M$967,3,FALSE()),"")</f>
        <v>Hospitalización Domiciliaria</v>
      </c>
      <c r="E1114" s="46" t="str">
        <f>IFERROR(VLOOKUP($A1114,Equipos!$C$2:$M$967,7,FALSE()),"")</f>
        <v>Bistos</v>
      </c>
      <c r="F1114" s="46" t="str">
        <f>IFERROR(VLOOKUP($A1114,Equipos!$C$2:$M$967,8,FALSE()),"")</f>
        <v>BT-770</v>
      </c>
      <c r="G1114" s="46" t="s">
        <v>296</v>
      </c>
      <c r="H1114" s="46"/>
      <c r="I1114" s="46"/>
      <c r="J1114" s="46" t="s">
        <v>323</v>
      </c>
      <c r="K1114" s="46" t="str">
        <f>IFERROR(VLOOKUP($J1114,Catálogos!$M$4:$N$17,2,FALSE()),"")</f>
        <v>Reprogramada · No disponibilidad de horas hombre del funcionario SEC por alta carga laboral</v>
      </c>
      <c r="L1114" s="46"/>
      <c r="M1114" s="46"/>
      <c r="N1114" s="46"/>
      <c r="O1114" s="46"/>
      <c r="P1114" s="46"/>
      <c r="Q1114" s="46"/>
    </row>
    <row r="1115" spans="1:17" hidden="1" x14ac:dyDescent="0.25">
      <c r="A1115" s="47" t="s">
        <v>1032</v>
      </c>
      <c r="B1115" s="46" t="str">
        <f>IFERROR(VLOOKUP($A1115,Equipos!$C$2:$M$967,2,FALSE()),"")</f>
        <v>Monitor Multiparámetros</v>
      </c>
      <c r="C1115" s="46" t="str">
        <f>IFERROR(VLOOKUP($A1115,Equipos!$C$2:$M$967,9,FALSE()),"")</f>
        <v>DGL70652</v>
      </c>
      <c r="D1115" s="46" t="str">
        <f>IFERROR(VLOOKUP($A1115,Equipos!$C$2:$M$967,3,FALSE()),"")</f>
        <v>Hospitalización Domiciliaria</v>
      </c>
      <c r="E1115" s="46" t="str">
        <f>IFERROR(VLOOKUP($A1115,Equipos!$C$2:$M$967,7,FALSE()),"")</f>
        <v>Bistos</v>
      </c>
      <c r="F1115" s="46" t="str">
        <f>IFERROR(VLOOKUP($A1115,Equipos!$C$2:$M$967,8,FALSE()),"")</f>
        <v>BT-770</v>
      </c>
      <c r="G1115" s="46" t="s">
        <v>316</v>
      </c>
      <c r="H1115" s="46"/>
      <c r="I1115" s="46"/>
      <c r="J1115" s="46" t="s">
        <v>297</v>
      </c>
      <c r="K1115" s="46" t="str">
        <f>IFERROR(VLOOKUP($J1115,Catálogos!$M$4:$N$17,2,FALSE()),"")</f>
        <v>Mantención Preventiva Realizada</v>
      </c>
      <c r="L1115" s="46"/>
      <c r="M1115" s="46"/>
      <c r="N1115" s="46"/>
      <c r="O1115" s="46"/>
      <c r="P1115" s="46"/>
      <c r="Q1115" s="46"/>
    </row>
    <row r="1116" spans="1:17" hidden="1" x14ac:dyDescent="0.25">
      <c r="A1116" s="47" t="s">
        <v>1033</v>
      </c>
      <c r="B1116" s="46" t="str">
        <f>IFERROR(VLOOKUP($A1116,Equipos!$C$2:$M$967,2,FALSE()),"")</f>
        <v>Monitor Multiparámetros</v>
      </c>
      <c r="C1116" s="46" t="str">
        <f>IFERROR(VLOOKUP($A1116,Equipos!$C$2:$M$967,9,FALSE()),"")</f>
        <v>DGLC0114</v>
      </c>
      <c r="D1116" s="46" t="str">
        <f>IFERROR(VLOOKUP($A1116,Equipos!$C$2:$M$967,3,FALSE()),"")</f>
        <v>Medicina</v>
      </c>
      <c r="E1116" s="46" t="str">
        <f>IFERROR(VLOOKUP($A1116,Equipos!$C$2:$M$967,7,FALSE()),"")</f>
        <v>Bistos</v>
      </c>
      <c r="F1116" s="46" t="str">
        <f>IFERROR(VLOOKUP($A1116,Equipos!$C$2:$M$967,8,FALSE()),"")</f>
        <v>BT-770</v>
      </c>
      <c r="G1116" s="46" t="s">
        <v>296</v>
      </c>
      <c r="H1116" s="46"/>
      <c r="I1116" s="46"/>
      <c r="J1116" s="46" t="s">
        <v>297</v>
      </c>
      <c r="K1116" s="46" t="str">
        <f>IFERROR(VLOOKUP($J1116,Catálogos!$M$4:$N$17,2,FALSE()),"")</f>
        <v>Mantención Preventiva Realizada</v>
      </c>
      <c r="L1116" s="46"/>
      <c r="M1116" s="46"/>
      <c r="N1116" s="46"/>
      <c r="O1116" s="46"/>
      <c r="P1116" s="46"/>
      <c r="Q1116" s="46"/>
    </row>
    <row r="1117" spans="1:17" hidden="1" x14ac:dyDescent="0.25">
      <c r="A1117" s="47" t="s">
        <v>1034</v>
      </c>
      <c r="B1117" s="46" t="str">
        <f>IFERROR(VLOOKUP($A1117,Equipos!$C$2:$M$967,2,FALSE()),"")</f>
        <v>Monitor Multiparámetros</v>
      </c>
      <c r="C1117" s="46" t="str">
        <f>IFERROR(VLOOKUP($A1117,Equipos!$C$2:$M$967,9,FALSE()),"")</f>
        <v>DGLC0119</v>
      </c>
      <c r="D1117" s="46" t="str">
        <f>IFERROR(VLOOKUP($A1117,Equipos!$C$2:$M$967,3,FALSE()),"")</f>
        <v>Medicina</v>
      </c>
      <c r="E1117" s="46" t="str">
        <f>IFERROR(VLOOKUP($A1117,Equipos!$C$2:$M$967,7,FALSE()),"")</f>
        <v>Bistos</v>
      </c>
      <c r="F1117" s="46" t="str">
        <f>IFERROR(VLOOKUP($A1117,Equipos!$C$2:$M$967,8,FALSE()),"")</f>
        <v>BT-770</v>
      </c>
      <c r="G1117" s="46" t="s">
        <v>296</v>
      </c>
      <c r="H1117" s="46"/>
      <c r="I1117" s="46"/>
      <c r="J1117" s="46" t="s">
        <v>297</v>
      </c>
      <c r="K1117" s="46" t="str">
        <f>IFERROR(VLOOKUP($J1117,Catálogos!$M$4:$N$17,2,FALSE()),"")</f>
        <v>Mantención Preventiva Realizada</v>
      </c>
      <c r="L1117" s="46"/>
      <c r="M1117" s="46"/>
      <c r="N1117" s="46"/>
      <c r="O1117" s="46"/>
      <c r="P1117" s="46"/>
      <c r="Q1117" s="46"/>
    </row>
    <row r="1118" spans="1:17" hidden="1" x14ac:dyDescent="0.25">
      <c r="A1118" s="47" t="s">
        <v>1035</v>
      </c>
      <c r="B1118" s="46" t="str">
        <f>IFERROR(VLOOKUP($A1118,Equipos!$C$2:$M$967,2,FALSE()),"")</f>
        <v>Monitor Multiparámetros</v>
      </c>
      <c r="C1118" s="46" t="str">
        <f>IFERROR(VLOOKUP($A1118,Equipos!$C$2:$M$967,9,FALSE()),"")</f>
        <v>DGLC0129</v>
      </c>
      <c r="D1118" s="46" t="str">
        <f>IFERROR(VLOOKUP($A1118,Equipos!$C$2:$M$967,3,FALSE()),"")</f>
        <v>Medicina</v>
      </c>
      <c r="E1118" s="46" t="str">
        <f>IFERROR(VLOOKUP($A1118,Equipos!$C$2:$M$967,7,FALSE()),"")</f>
        <v>Bistos</v>
      </c>
      <c r="F1118" s="46" t="str">
        <f>IFERROR(VLOOKUP($A1118,Equipos!$C$2:$M$967,8,FALSE()),"")</f>
        <v>BT-770</v>
      </c>
      <c r="G1118" s="46" t="s">
        <v>296</v>
      </c>
      <c r="H1118" s="46"/>
      <c r="I1118" s="46"/>
      <c r="J1118" s="46" t="s">
        <v>297</v>
      </c>
      <c r="K1118" s="46" t="str">
        <f>IFERROR(VLOOKUP($J1118,Catálogos!$M$4:$N$17,2,FALSE()),"")</f>
        <v>Mantención Preventiva Realizada</v>
      </c>
      <c r="L1118" s="46"/>
      <c r="M1118" s="46"/>
      <c r="N1118" s="46"/>
      <c r="O1118" s="46"/>
      <c r="P1118" s="46"/>
      <c r="Q1118" s="46"/>
    </row>
    <row r="1119" spans="1:17" hidden="1" x14ac:dyDescent="0.25">
      <c r="A1119" s="47" t="s">
        <v>1036</v>
      </c>
      <c r="B1119" s="46" t="str">
        <f>IFERROR(VLOOKUP($A1119,Equipos!$C$2:$M$967,2,FALSE()),"")</f>
        <v>Monitor Multiparámetros</v>
      </c>
      <c r="C1119" s="46" t="str">
        <f>IFERROR(VLOOKUP($A1119,Equipos!$C$2:$M$967,9,FALSE()),"")</f>
        <v>DGLC0123</v>
      </c>
      <c r="D1119" s="46" t="str">
        <f>IFERROR(VLOOKUP($A1119,Equipos!$C$2:$M$967,3,FALSE()),"")</f>
        <v>Medicina</v>
      </c>
      <c r="E1119" s="46" t="str">
        <f>IFERROR(VLOOKUP($A1119,Equipos!$C$2:$M$967,7,FALSE()),"")</f>
        <v>Bistos</v>
      </c>
      <c r="F1119" s="46" t="str">
        <f>IFERROR(VLOOKUP($A1119,Equipos!$C$2:$M$967,8,FALSE()),"")</f>
        <v>BT-770</v>
      </c>
      <c r="G1119" s="46" t="s">
        <v>296</v>
      </c>
      <c r="H1119" s="46"/>
      <c r="I1119" s="46"/>
      <c r="J1119" s="46" t="s">
        <v>297</v>
      </c>
      <c r="K1119" s="46" t="str">
        <f>IFERROR(VLOOKUP($J1119,Catálogos!$M$4:$N$17,2,FALSE()),"")</f>
        <v>Mantención Preventiva Realizada</v>
      </c>
      <c r="L1119" s="46"/>
      <c r="M1119" s="46"/>
      <c r="N1119" s="46"/>
      <c r="O1119" s="46"/>
      <c r="P1119" s="46"/>
      <c r="Q1119" s="46"/>
    </row>
    <row r="1120" spans="1:17" hidden="1" x14ac:dyDescent="0.25">
      <c r="A1120" s="47" t="s">
        <v>1037</v>
      </c>
      <c r="B1120" s="46" t="str">
        <f>IFERROR(VLOOKUP($A1120,Equipos!$C$2:$M$967,2,FALSE()),"")</f>
        <v>Monitor Multiparámetros</v>
      </c>
      <c r="C1120" s="46" t="str">
        <f>IFERROR(VLOOKUP($A1120,Equipos!$C$2:$M$967,9,FALSE()),"")</f>
        <v>DGLC0131</v>
      </c>
      <c r="D1120" s="46" t="str">
        <f>IFERROR(VLOOKUP($A1120,Equipos!$C$2:$M$967,3,FALSE()),"")</f>
        <v>Medicina</v>
      </c>
      <c r="E1120" s="46" t="str">
        <f>IFERROR(VLOOKUP($A1120,Equipos!$C$2:$M$967,7,FALSE()),"")</f>
        <v>Bistos</v>
      </c>
      <c r="F1120" s="46" t="str">
        <f>IFERROR(VLOOKUP($A1120,Equipos!$C$2:$M$967,8,FALSE()),"")</f>
        <v>BT-770</v>
      </c>
      <c r="G1120" s="46" t="s">
        <v>296</v>
      </c>
      <c r="H1120" s="46"/>
      <c r="I1120" s="46"/>
      <c r="J1120" s="46" t="s">
        <v>297</v>
      </c>
      <c r="K1120" s="46" t="str">
        <f>IFERROR(VLOOKUP($J1120,Catálogos!$M$4:$N$17,2,FALSE()),"")</f>
        <v>Mantención Preventiva Realizada</v>
      </c>
      <c r="L1120" s="46"/>
      <c r="M1120" s="46"/>
      <c r="N1120" s="46"/>
      <c r="O1120" s="46"/>
      <c r="P1120" s="46"/>
      <c r="Q1120" s="46"/>
    </row>
    <row r="1121" spans="1:17" hidden="1" x14ac:dyDescent="0.25">
      <c r="A1121" s="47" t="s">
        <v>1038</v>
      </c>
      <c r="B1121" s="46" t="str">
        <f>IFERROR(VLOOKUP($A1121,Equipos!$C$2:$M$967,2,FALSE()),"")</f>
        <v>Monitor Multiparámetros</v>
      </c>
      <c r="C1121" s="46" t="str">
        <f>IFERROR(VLOOKUP($A1121,Equipos!$C$2:$M$967,9,FALSE()),"")</f>
        <v>DGLC0111</v>
      </c>
      <c r="D1121" s="46" t="str">
        <f>IFERROR(VLOOKUP($A1121,Equipos!$C$2:$M$967,3,FALSE()),"")</f>
        <v>Cirugía Infantil</v>
      </c>
      <c r="E1121" s="46" t="str">
        <f>IFERROR(VLOOKUP($A1121,Equipos!$C$2:$M$967,7,FALSE()),"")</f>
        <v>Bistos</v>
      </c>
      <c r="F1121" s="46" t="str">
        <f>IFERROR(VLOOKUP($A1121,Equipos!$C$2:$M$967,8,FALSE()),"")</f>
        <v>BT-770</v>
      </c>
      <c r="G1121" s="46" t="s">
        <v>335</v>
      </c>
      <c r="H1121" s="46"/>
      <c r="I1121" s="46"/>
      <c r="J1121" s="46" t="s">
        <v>323</v>
      </c>
      <c r="K1121" s="46" t="str">
        <f>IFERROR(VLOOKUP($J1121,Catálogos!$M$4:$N$17,2,FALSE()),"")</f>
        <v>Reprogramada · No disponibilidad de horas hombre del funcionario SEC por alta carga laboral</v>
      </c>
      <c r="L1121" s="46"/>
      <c r="M1121" s="46"/>
      <c r="N1121" s="46"/>
      <c r="O1121" s="46"/>
      <c r="P1121" s="46"/>
      <c r="Q1121" s="46"/>
    </row>
    <row r="1122" spans="1:17" hidden="1" x14ac:dyDescent="0.25">
      <c r="A1122" s="47" t="s">
        <v>1038</v>
      </c>
      <c r="B1122" s="46" t="str">
        <f>IFERROR(VLOOKUP($A1122,Equipos!$C$2:$M$967,2,FALSE()),"")</f>
        <v>Monitor Multiparámetros</v>
      </c>
      <c r="C1122" s="46" t="str">
        <f>IFERROR(VLOOKUP($A1122,Equipos!$C$2:$M$967,9,FALSE()),"")</f>
        <v>DGLC0111</v>
      </c>
      <c r="D1122" s="46" t="str">
        <f>IFERROR(VLOOKUP($A1122,Equipos!$C$2:$M$967,3,FALSE()),"")</f>
        <v>Cirugía Infantil</v>
      </c>
      <c r="E1122" s="46" t="str">
        <f>IFERROR(VLOOKUP($A1122,Equipos!$C$2:$M$967,7,FALSE()),"")</f>
        <v>Bistos</v>
      </c>
      <c r="F1122" s="46" t="str">
        <f>IFERROR(VLOOKUP($A1122,Equipos!$C$2:$M$967,8,FALSE()),"")</f>
        <v>BT-770</v>
      </c>
      <c r="G1122" s="46" t="s">
        <v>296</v>
      </c>
      <c r="H1122" s="46"/>
      <c r="I1122" s="46"/>
      <c r="J1122" s="46" t="s">
        <v>297</v>
      </c>
      <c r="K1122" s="46" t="str">
        <f>IFERROR(VLOOKUP($J1122,Catálogos!$M$4:$N$17,2,FALSE()),"")</f>
        <v>Mantención Preventiva Realizada</v>
      </c>
      <c r="L1122" s="46"/>
      <c r="M1122" s="46"/>
      <c r="N1122" s="46"/>
      <c r="O1122" s="46"/>
      <c r="P1122" s="46"/>
      <c r="Q1122" s="46"/>
    </row>
    <row r="1123" spans="1:17" hidden="1" x14ac:dyDescent="0.25">
      <c r="A1123" s="47" t="s">
        <v>1039</v>
      </c>
      <c r="B1123" s="46" t="str">
        <f>IFERROR(VLOOKUP($A1123,Equipos!$C$2:$M$967,2,FALSE()),"")</f>
        <v>Monitor Multiparámetros</v>
      </c>
      <c r="C1123" s="46" t="str">
        <f>IFERROR(VLOOKUP($A1123,Equipos!$C$2:$M$967,9,FALSE()),"")</f>
        <v>DGLC0113</v>
      </c>
      <c r="D1123" s="46" t="str">
        <f>IFERROR(VLOOKUP($A1123,Equipos!$C$2:$M$967,3,FALSE()),"")</f>
        <v>Medicina</v>
      </c>
      <c r="E1123" s="46" t="str">
        <f>IFERROR(VLOOKUP($A1123,Equipos!$C$2:$M$967,7,FALSE()),"")</f>
        <v>Bistos</v>
      </c>
      <c r="F1123" s="46" t="str">
        <f>IFERROR(VLOOKUP($A1123,Equipos!$C$2:$M$967,8,FALSE()),"")</f>
        <v>BT-770</v>
      </c>
      <c r="G1123" s="46" t="s">
        <v>296</v>
      </c>
      <c r="H1123" s="46"/>
      <c r="I1123" s="46"/>
      <c r="J1123" s="46" t="s">
        <v>297</v>
      </c>
      <c r="K1123" s="46" t="str">
        <f>IFERROR(VLOOKUP($J1123,Catálogos!$M$4:$N$17,2,FALSE()),"")</f>
        <v>Mantención Preventiva Realizada</v>
      </c>
      <c r="L1123" s="46"/>
      <c r="M1123" s="46"/>
      <c r="N1123" s="46"/>
      <c r="O1123" s="46"/>
      <c r="P1123" s="46"/>
      <c r="Q1123" s="46"/>
    </row>
    <row r="1124" spans="1:17" hidden="1" x14ac:dyDescent="0.25">
      <c r="A1124" s="47" t="s">
        <v>1040</v>
      </c>
      <c r="B1124" s="46" t="str">
        <f>IFERROR(VLOOKUP($A1124,Equipos!$C$2:$M$967,2,FALSE()),"")</f>
        <v>Monitor Multiparámetros</v>
      </c>
      <c r="C1124" s="46" t="str">
        <f>IFERROR(VLOOKUP($A1124,Equipos!$C$2:$M$967,9,FALSE()),"")</f>
        <v>DGLC0110</v>
      </c>
      <c r="D1124" s="46" t="str">
        <f>IFERROR(VLOOKUP($A1124,Equipos!$C$2:$M$967,3,FALSE()),"")</f>
        <v>Medicina</v>
      </c>
      <c r="E1124" s="46" t="str">
        <f>IFERROR(VLOOKUP($A1124,Equipos!$C$2:$M$967,7,FALSE()),"")</f>
        <v>Bistos</v>
      </c>
      <c r="F1124" s="46" t="str">
        <f>IFERROR(VLOOKUP($A1124,Equipos!$C$2:$M$967,8,FALSE()),"")</f>
        <v>BT-770</v>
      </c>
      <c r="G1124" s="46" t="s">
        <v>296</v>
      </c>
      <c r="H1124" s="46"/>
      <c r="I1124" s="46"/>
      <c r="J1124" s="46" t="s">
        <v>297</v>
      </c>
      <c r="K1124" s="46" t="str">
        <f>IFERROR(VLOOKUP($J1124,Catálogos!$M$4:$N$17,2,FALSE()),"")</f>
        <v>Mantención Preventiva Realizada</v>
      </c>
      <c r="L1124" s="46"/>
      <c r="M1124" s="46"/>
      <c r="N1124" s="46"/>
      <c r="O1124" s="46"/>
      <c r="P1124" s="46"/>
      <c r="Q1124" s="46"/>
    </row>
    <row r="1125" spans="1:17" hidden="1" x14ac:dyDescent="0.25">
      <c r="A1125" s="47" t="s">
        <v>1041</v>
      </c>
      <c r="B1125" s="46" t="str">
        <f>IFERROR(VLOOKUP($A1125,Equipos!$C$2:$M$967,2,FALSE()),"")</f>
        <v>Monitor Multiparámetros</v>
      </c>
      <c r="C1125" s="46" t="str">
        <f>IFERROR(VLOOKUP($A1125,Equipos!$C$2:$M$967,9,FALSE()),"")</f>
        <v>DGL70655</v>
      </c>
      <c r="D1125" s="46" t="str">
        <f>IFERROR(VLOOKUP($A1125,Equipos!$C$2:$M$967,3,FALSE()),"")</f>
        <v>Medicina</v>
      </c>
      <c r="E1125" s="46" t="str">
        <f>IFERROR(VLOOKUP($A1125,Equipos!$C$2:$M$967,7,FALSE()),"")</f>
        <v>Bistos</v>
      </c>
      <c r="F1125" s="46" t="str">
        <f>IFERROR(VLOOKUP($A1125,Equipos!$C$2:$M$967,8,FALSE()),"")</f>
        <v>BT-770</v>
      </c>
      <c r="G1125" s="46" t="s">
        <v>296</v>
      </c>
      <c r="H1125" s="46"/>
      <c r="I1125" s="46"/>
      <c r="J1125" s="46" t="s">
        <v>297</v>
      </c>
      <c r="K1125" s="46" t="str">
        <f>IFERROR(VLOOKUP($J1125,Catálogos!$M$4:$N$17,2,FALSE()),"")</f>
        <v>Mantención Preventiva Realizada</v>
      </c>
      <c r="L1125" s="46"/>
      <c r="M1125" s="46"/>
      <c r="N1125" s="46"/>
      <c r="O1125" s="46"/>
      <c r="P1125" s="46"/>
      <c r="Q1125" s="46"/>
    </row>
    <row r="1126" spans="1:17" hidden="1" x14ac:dyDescent="0.25">
      <c r="A1126" s="47" t="s">
        <v>1042</v>
      </c>
      <c r="B1126" s="46" t="str">
        <f>IFERROR(VLOOKUP($A1126,Equipos!$C$2:$M$967,2,FALSE()),"")</f>
        <v>Monitor Multiparámetros</v>
      </c>
      <c r="C1126" s="46" t="str">
        <f>IFERROR(VLOOKUP($A1126,Equipos!$C$2:$M$967,9,FALSE()),"")</f>
        <v>DGL80024</v>
      </c>
      <c r="D1126" s="46" t="str">
        <f>IFERROR(VLOOKUP($A1126,Equipos!$C$2:$M$967,3,FALSE()),"")</f>
        <v>Medicina</v>
      </c>
      <c r="E1126" s="46" t="str">
        <f>IFERROR(VLOOKUP($A1126,Equipos!$C$2:$M$967,7,FALSE()),"")</f>
        <v>Bistos</v>
      </c>
      <c r="F1126" s="46" t="str">
        <f>IFERROR(VLOOKUP($A1126,Equipos!$C$2:$M$967,8,FALSE()),"")</f>
        <v>BT-770</v>
      </c>
      <c r="G1126" s="46" t="s">
        <v>296</v>
      </c>
      <c r="H1126" s="46"/>
      <c r="I1126" s="46"/>
      <c r="J1126" s="46" t="s">
        <v>297</v>
      </c>
      <c r="K1126" s="46" t="str">
        <f>IFERROR(VLOOKUP($J1126,Catálogos!$M$4:$N$17,2,FALSE()),"")</f>
        <v>Mantención Preventiva Realizada</v>
      </c>
      <c r="L1126" s="46"/>
      <c r="M1126" s="46"/>
      <c r="N1126" s="46"/>
      <c r="O1126" s="46"/>
      <c r="P1126" s="46"/>
      <c r="Q1126" s="46"/>
    </row>
    <row r="1127" spans="1:17" hidden="1" x14ac:dyDescent="0.25">
      <c r="A1127" s="47" t="s">
        <v>1043</v>
      </c>
      <c r="B1127" s="46" t="str">
        <f>IFERROR(VLOOKUP($A1127,Equipos!$C$2:$M$967,2,FALSE()),"")</f>
        <v>Monitor Multiparámetros</v>
      </c>
      <c r="C1127" s="46" t="str">
        <f>IFERROR(VLOOKUP($A1127,Equipos!$C$2:$M$967,9,FALSE()),"")</f>
        <v>DGL80022</v>
      </c>
      <c r="D1127" s="46" t="str">
        <f>IFERROR(VLOOKUP($A1127,Equipos!$C$2:$M$967,3,FALSE()),"")</f>
        <v>Medicina</v>
      </c>
      <c r="E1127" s="46" t="str">
        <f>IFERROR(VLOOKUP($A1127,Equipos!$C$2:$M$967,7,FALSE()),"")</f>
        <v>Bistos</v>
      </c>
      <c r="F1127" s="46" t="str">
        <f>IFERROR(VLOOKUP($A1127,Equipos!$C$2:$M$967,8,FALSE()),"")</f>
        <v>BT-770</v>
      </c>
      <c r="G1127" s="46" t="s">
        <v>296</v>
      </c>
      <c r="H1127" s="46"/>
      <c r="I1127" s="46"/>
      <c r="J1127" s="46" t="s">
        <v>297</v>
      </c>
      <c r="K1127" s="46" t="str">
        <f>IFERROR(VLOOKUP($J1127,Catálogos!$M$4:$N$17,2,FALSE()),"")</f>
        <v>Mantención Preventiva Realizada</v>
      </c>
      <c r="L1127" s="46"/>
      <c r="M1127" s="46"/>
      <c r="N1127" s="46"/>
      <c r="O1127" s="46"/>
      <c r="P1127" s="46"/>
      <c r="Q1127" s="46"/>
    </row>
    <row r="1128" spans="1:17" hidden="1" x14ac:dyDescent="0.25">
      <c r="A1128" s="47" t="s">
        <v>1044</v>
      </c>
      <c r="B1128" s="46" t="str">
        <f>IFERROR(VLOOKUP($A1128,Equipos!$C$2:$M$967,2,FALSE()),"")</f>
        <v>Monitor Multiparámetros</v>
      </c>
      <c r="C1128" s="46" t="str">
        <f>IFERROR(VLOOKUP($A1128,Equipos!$C$2:$M$967,9,FALSE()),"")</f>
        <v>DGL80023</v>
      </c>
      <c r="D1128" s="46" t="str">
        <f>IFERROR(VLOOKUP($A1128,Equipos!$C$2:$M$967,3,FALSE()),"")</f>
        <v>Medicina</v>
      </c>
      <c r="E1128" s="46" t="str">
        <f>IFERROR(VLOOKUP($A1128,Equipos!$C$2:$M$967,7,FALSE()),"")</f>
        <v>Bistos</v>
      </c>
      <c r="F1128" s="46" t="str">
        <f>IFERROR(VLOOKUP($A1128,Equipos!$C$2:$M$967,8,FALSE()),"")</f>
        <v>BT-770</v>
      </c>
      <c r="G1128" s="46" t="s">
        <v>296</v>
      </c>
      <c r="H1128" s="46"/>
      <c r="I1128" s="46"/>
      <c r="J1128" s="46" t="s">
        <v>297</v>
      </c>
      <c r="K1128" s="46" t="str">
        <f>IFERROR(VLOOKUP($J1128,Catálogos!$M$4:$N$17,2,FALSE()),"")</f>
        <v>Mantención Preventiva Realizada</v>
      </c>
      <c r="L1128" s="46"/>
      <c r="M1128" s="46"/>
      <c r="N1128" s="46"/>
      <c r="O1128" s="46"/>
      <c r="P1128" s="46"/>
      <c r="Q1128" s="46"/>
    </row>
    <row r="1129" spans="1:17" hidden="1" x14ac:dyDescent="0.25">
      <c r="A1129" s="47" t="s">
        <v>1045</v>
      </c>
      <c r="B1129" s="46" t="str">
        <f>IFERROR(VLOOKUP($A1129,Equipos!$C$2:$M$967,2,FALSE()),"")</f>
        <v>Monitor Multiparámetros</v>
      </c>
      <c r="C1129" s="46" t="str">
        <f>IFERROR(VLOOKUP($A1129,Equipos!$C$2:$M$967,9,FALSE()),"")</f>
        <v>DGM40020</v>
      </c>
      <c r="D1129" s="46" t="str">
        <f>IFERROR(VLOOKUP($A1129,Equipos!$C$2:$M$967,3,FALSE()),"")</f>
        <v>Endoscopía</v>
      </c>
      <c r="E1129" s="46" t="str">
        <f>IFERROR(VLOOKUP($A1129,Equipos!$C$2:$M$967,7,FALSE()),"")</f>
        <v>Bistos</v>
      </c>
      <c r="F1129" s="46" t="str">
        <f>IFERROR(VLOOKUP($A1129,Equipos!$C$2:$M$967,8,FALSE()),"")</f>
        <v>BT-770</v>
      </c>
      <c r="G1129" s="46" t="s">
        <v>316</v>
      </c>
      <c r="H1129" s="46"/>
      <c r="I1129" s="46"/>
      <c r="J1129" s="46" t="s">
        <v>323</v>
      </c>
      <c r="K1129" s="46" t="str">
        <f>IFERROR(VLOOKUP($J1129,Catálogos!$M$4:$N$17,2,FALSE()),"")</f>
        <v>Reprogramada · No disponibilidad de horas hombre del funcionario SEC por alta carga laboral</v>
      </c>
      <c r="L1129" s="46"/>
      <c r="M1129" s="46"/>
      <c r="N1129" s="46"/>
      <c r="O1129" s="46"/>
      <c r="P1129" s="46"/>
      <c r="Q1129" s="46"/>
    </row>
    <row r="1130" spans="1:17" hidden="1" x14ac:dyDescent="0.25">
      <c r="A1130" s="47" t="s">
        <v>1045</v>
      </c>
      <c r="B1130" s="46" t="str">
        <f>IFERROR(VLOOKUP($A1130,Equipos!$C$2:$M$967,2,FALSE()),"")</f>
        <v>Monitor Multiparámetros</v>
      </c>
      <c r="C1130" s="46" t="str">
        <f>IFERROR(VLOOKUP($A1130,Equipos!$C$2:$M$967,9,FALSE()),"")</f>
        <v>DGM40020</v>
      </c>
      <c r="D1130" s="46" t="str">
        <f>IFERROR(VLOOKUP($A1130,Equipos!$C$2:$M$967,3,FALSE()),"")</f>
        <v>Endoscopía</v>
      </c>
      <c r="E1130" s="46" t="str">
        <f>IFERROR(VLOOKUP($A1130,Equipos!$C$2:$M$967,7,FALSE()),"")</f>
        <v>Bistos</v>
      </c>
      <c r="F1130" s="46" t="str">
        <f>IFERROR(VLOOKUP($A1130,Equipos!$C$2:$M$967,8,FALSE()),"")</f>
        <v>BT-770</v>
      </c>
      <c r="G1130" s="46" t="s">
        <v>331</v>
      </c>
      <c r="H1130" s="46"/>
      <c r="I1130" s="46"/>
      <c r="J1130" s="46" t="s">
        <v>297</v>
      </c>
      <c r="K1130" s="46" t="str">
        <f>IFERROR(VLOOKUP($J1130,Catálogos!$M$4:$N$17,2,FALSE()),"")</f>
        <v>Mantención Preventiva Realizada</v>
      </c>
      <c r="L1130" s="46"/>
      <c r="M1130" s="46"/>
      <c r="N1130" s="46"/>
      <c r="O1130" s="46"/>
      <c r="P1130" s="46"/>
      <c r="Q1130" s="46"/>
    </row>
    <row r="1131" spans="1:17" hidden="1" x14ac:dyDescent="0.25">
      <c r="A1131" s="47" t="s">
        <v>1046</v>
      </c>
      <c r="B1131" s="46" t="str">
        <f>IFERROR(VLOOKUP($A1131,Equipos!$C$2:$M$967,2,FALSE()),"")</f>
        <v>Monitor Multiparámetros</v>
      </c>
      <c r="C1131" s="46" t="str">
        <f>IFERROR(VLOOKUP($A1131,Equipos!$C$2:$M$967,9,FALSE()),"")</f>
        <v>DGM40018</v>
      </c>
      <c r="D1131" s="46" t="str">
        <f>IFERROR(VLOOKUP($A1131,Equipos!$C$2:$M$967,3,FALSE()),"")</f>
        <v>Endoscopía</v>
      </c>
      <c r="E1131" s="46" t="str">
        <f>IFERROR(VLOOKUP($A1131,Equipos!$C$2:$M$967,7,FALSE()),"")</f>
        <v>Bistos</v>
      </c>
      <c r="F1131" s="46" t="str">
        <f>IFERROR(VLOOKUP($A1131,Equipos!$C$2:$M$967,8,FALSE()),"")</f>
        <v>BT-770</v>
      </c>
      <c r="G1131" s="46" t="s">
        <v>316</v>
      </c>
      <c r="H1131" s="46"/>
      <c r="I1131" s="46"/>
      <c r="J1131" s="46" t="s">
        <v>323</v>
      </c>
      <c r="K1131" s="46" t="str">
        <f>IFERROR(VLOOKUP($J1131,Catálogos!$M$4:$N$17,2,FALSE()),"")</f>
        <v>Reprogramada · No disponibilidad de horas hombre del funcionario SEC por alta carga laboral</v>
      </c>
      <c r="L1131" s="46"/>
      <c r="M1131" s="46"/>
      <c r="N1131" s="46"/>
      <c r="O1131" s="46"/>
      <c r="P1131" s="46"/>
      <c r="Q1131" s="46"/>
    </row>
    <row r="1132" spans="1:17" hidden="1" x14ac:dyDescent="0.25">
      <c r="A1132" s="47" t="s">
        <v>1046</v>
      </c>
      <c r="B1132" s="46" t="str">
        <f>IFERROR(VLOOKUP($A1132,Equipos!$C$2:$M$967,2,FALSE()),"")</f>
        <v>Monitor Multiparámetros</v>
      </c>
      <c r="C1132" s="46" t="str">
        <f>IFERROR(VLOOKUP($A1132,Equipos!$C$2:$M$967,9,FALSE()),"")</f>
        <v>DGM40018</v>
      </c>
      <c r="D1132" s="46" t="str">
        <f>IFERROR(VLOOKUP($A1132,Equipos!$C$2:$M$967,3,FALSE()),"")</f>
        <v>Endoscopía</v>
      </c>
      <c r="E1132" s="46" t="str">
        <f>IFERROR(VLOOKUP($A1132,Equipos!$C$2:$M$967,7,FALSE()),"")</f>
        <v>Bistos</v>
      </c>
      <c r="F1132" s="46" t="str">
        <f>IFERROR(VLOOKUP($A1132,Equipos!$C$2:$M$967,8,FALSE()),"")</f>
        <v>BT-770</v>
      </c>
      <c r="G1132" s="46" t="s">
        <v>331</v>
      </c>
      <c r="H1132" s="46"/>
      <c r="I1132" s="46"/>
      <c r="J1132" s="46" t="s">
        <v>297</v>
      </c>
      <c r="K1132" s="46" t="str">
        <f>IFERROR(VLOOKUP($J1132,Catálogos!$M$4:$N$17,2,FALSE()),"")</f>
        <v>Mantención Preventiva Realizada</v>
      </c>
      <c r="L1132" s="46"/>
      <c r="M1132" s="46"/>
      <c r="N1132" s="46"/>
      <c r="O1132" s="46"/>
      <c r="P1132" s="46"/>
      <c r="Q1132" s="46"/>
    </row>
    <row r="1133" spans="1:17" hidden="1" x14ac:dyDescent="0.25">
      <c r="A1133" s="47" t="s">
        <v>1047</v>
      </c>
      <c r="B1133" s="46" t="str">
        <f>IFERROR(VLOOKUP($A1133,Equipos!$C$2:$M$967,2,FALSE()),"")</f>
        <v>Monitor Multiparámetros</v>
      </c>
      <c r="C1133" s="46" t="str">
        <f>IFERROR(VLOOKUP($A1133,Equipos!$C$2:$M$967,9,FALSE()),"")</f>
        <v>DGM40013</v>
      </c>
      <c r="D1133" s="46" t="str">
        <f>IFERROR(VLOOKUP($A1133,Equipos!$C$2:$M$967,3,FALSE()),"")</f>
        <v>Medicina</v>
      </c>
      <c r="E1133" s="46" t="str">
        <f>IFERROR(VLOOKUP($A1133,Equipos!$C$2:$M$967,7,FALSE()),"")</f>
        <v>Bistos</v>
      </c>
      <c r="F1133" s="46" t="str">
        <f>IFERROR(VLOOKUP($A1133,Equipos!$C$2:$M$967,8,FALSE()),"")</f>
        <v>BT-770</v>
      </c>
      <c r="G1133" s="46" t="s">
        <v>296</v>
      </c>
      <c r="H1133" s="46"/>
      <c r="I1133" s="46"/>
      <c r="J1133" s="46" t="s">
        <v>297</v>
      </c>
      <c r="K1133" s="46" t="str">
        <f>IFERROR(VLOOKUP($J1133,Catálogos!$M$4:$N$17,2,FALSE()),"")</f>
        <v>Mantención Preventiva Realizada</v>
      </c>
      <c r="L1133" s="46"/>
      <c r="M1133" s="46"/>
      <c r="N1133" s="46"/>
      <c r="O1133" s="46"/>
      <c r="P1133" s="46"/>
      <c r="Q1133" s="46"/>
    </row>
    <row r="1134" spans="1:17" hidden="1" x14ac:dyDescent="0.25">
      <c r="A1134" s="47" t="s">
        <v>1048</v>
      </c>
      <c r="B1134" s="46" t="str">
        <f>IFERROR(VLOOKUP($A1134,Equipos!$C$2:$M$967,2,FALSE()),"")</f>
        <v>Monitor Multiparámetros</v>
      </c>
      <c r="C1134" s="46" t="str">
        <f>IFERROR(VLOOKUP($A1134,Equipos!$C$2:$M$967,9,FALSE()),"")</f>
        <v>DGM40037</v>
      </c>
      <c r="D1134" s="46" t="str">
        <f>IFERROR(VLOOKUP($A1134,Equipos!$C$2:$M$967,3,FALSE()),"")</f>
        <v>Medicina</v>
      </c>
      <c r="E1134" s="46" t="str">
        <f>IFERROR(VLOOKUP($A1134,Equipos!$C$2:$M$967,7,FALSE()),"")</f>
        <v>Bistos</v>
      </c>
      <c r="F1134" s="46" t="str">
        <f>IFERROR(VLOOKUP($A1134,Equipos!$C$2:$M$967,8,FALSE()),"")</f>
        <v>BT-770</v>
      </c>
      <c r="G1134" s="46" t="s">
        <v>296</v>
      </c>
      <c r="H1134" s="46"/>
      <c r="I1134" s="46"/>
      <c r="J1134" s="46" t="s">
        <v>297</v>
      </c>
      <c r="K1134" s="46" t="str">
        <f>IFERROR(VLOOKUP($J1134,Catálogos!$M$4:$N$17,2,FALSE()),"")</f>
        <v>Mantención Preventiva Realizada</v>
      </c>
      <c r="L1134" s="46"/>
      <c r="M1134" s="46"/>
      <c r="N1134" s="46"/>
      <c r="O1134" s="46"/>
      <c r="P1134" s="46"/>
      <c r="Q1134" s="46"/>
    </row>
    <row r="1135" spans="1:17" hidden="1" x14ac:dyDescent="0.25">
      <c r="A1135" s="47" t="s">
        <v>1049</v>
      </c>
      <c r="B1135" s="46" t="str">
        <f>IFERROR(VLOOKUP($A1135,Equipos!$C$2:$M$967,2,FALSE()),"")</f>
        <v>Monitor Multiparámetros</v>
      </c>
      <c r="C1135" s="46" t="str">
        <f>IFERROR(VLOOKUP($A1135,Equipos!$C$2:$M$967,9,FALSE()),"")</f>
        <v>DGM40028</v>
      </c>
      <c r="D1135" s="46" t="str">
        <f>IFERROR(VLOOKUP($A1135,Equipos!$C$2:$M$967,3,FALSE()),"")</f>
        <v>Medicina</v>
      </c>
      <c r="E1135" s="46" t="str">
        <f>IFERROR(VLOOKUP($A1135,Equipos!$C$2:$M$967,7,FALSE()),"")</f>
        <v>Bistos</v>
      </c>
      <c r="F1135" s="46" t="str">
        <f>IFERROR(VLOOKUP($A1135,Equipos!$C$2:$M$967,8,FALSE()),"")</f>
        <v>BT-770</v>
      </c>
      <c r="G1135" s="46" t="s">
        <v>296</v>
      </c>
      <c r="H1135" s="46"/>
      <c r="I1135" s="46"/>
      <c r="J1135" s="46" t="s">
        <v>297</v>
      </c>
      <c r="K1135" s="46" t="str">
        <f>IFERROR(VLOOKUP($J1135,Catálogos!$M$4:$N$17,2,FALSE()),"")</f>
        <v>Mantención Preventiva Realizada</v>
      </c>
      <c r="L1135" s="46"/>
      <c r="M1135" s="46"/>
      <c r="N1135" s="46"/>
      <c r="O1135" s="46"/>
      <c r="P1135" s="46"/>
      <c r="Q1135" s="46"/>
    </row>
    <row r="1136" spans="1:17" hidden="1" x14ac:dyDescent="0.25">
      <c r="A1136" s="47" t="s">
        <v>1050</v>
      </c>
      <c r="B1136" s="46" t="str">
        <f>IFERROR(VLOOKUP($A1136,Equipos!$C$2:$M$967,2,FALSE()),"")</f>
        <v>Monitor Multiparámetros</v>
      </c>
      <c r="C1136" s="46" t="str">
        <f>IFERROR(VLOOKUP($A1136,Equipos!$C$2:$M$967,9,FALSE()),"")</f>
        <v>DGM40016</v>
      </c>
      <c r="D1136" s="46" t="str">
        <f>IFERROR(VLOOKUP($A1136,Equipos!$C$2:$M$967,3,FALSE()),"")</f>
        <v>Cirugía Infantil</v>
      </c>
      <c r="E1136" s="46" t="str">
        <f>IFERROR(VLOOKUP($A1136,Equipos!$C$2:$M$967,7,FALSE()),"")</f>
        <v>Bistos</v>
      </c>
      <c r="F1136" s="46" t="str">
        <f>IFERROR(VLOOKUP($A1136,Equipos!$C$2:$M$967,8,FALSE()),"")</f>
        <v>BT-770</v>
      </c>
      <c r="G1136" s="46" t="s">
        <v>335</v>
      </c>
      <c r="H1136" s="46"/>
      <c r="I1136" s="46"/>
      <c r="J1136" s="46" t="s">
        <v>323</v>
      </c>
      <c r="K1136" s="46" t="str">
        <f>IFERROR(VLOOKUP($J1136,Catálogos!$M$4:$N$17,2,FALSE()),"")</f>
        <v>Reprogramada · No disponibilidad de horas hombre del funcionario SEC por alta carga laboral</v>
      </c>
      <c r="L1136" s="46"/>
      <c r="M1136" s="46"/>
      <c r="N1136" s="46"/>
      <c r="O1136" s="46"/>
      <c r="P1136" s="46"/>
      <c r="Q1136" s="46"/>
    </row>
    <row r="1137" spans="1:17" hidden="1" x14ac:dyDescent="0.25">
      <c r="A1137" s="47" t="s">
        <v>1050</v>
      </c>
      <c r="B1137" s="46" t="str">
        <f>IFERROR(VLOOKUP($A1137,Equipos!$C$2:$M$967,2,FALSE()),"")</f>
        <v>Monitor Multiparámetros</v>
      </c>
      <c r="C1137" s="46" t="str">
        <f>IFERROR(VLOOKUP($A1137,Equipos!$C$2:$M$967,9,FALSE()),"")</f>
        <v>DGM40016</v>
      </c>
      <c r="D1137" s="46" t="str">
        <f>IFERROR(VLOOKUP($A1137,Equipos!$C$2:$M$967,3,FALSE()),"")</f>
        <v>Cirugía Infantil</v>
      </c>
      <c r="E1137" s="46" t="str">
        <f>IFERROR(VLOOKUP($A1137,Equipos!$C$2:$M$967,7,FALSE()),"")</f>
        <v>Bistos</v>
      </c>
      <c r="F1137" s="46" t="str">
        <f>IFERROR(VLOOKUP($A1137,Equipos!$C$2:$M$967,8,FALSE()),"")</f>
        <v>BT-770</v>
      </c>
      <c r="G1137" s="46" t="s">
        <v>296</v>
      </c>
      <c r="H1137" s="46"/>
      <c r="I1137" s="46"/>
      <c r="J1137" s="46" t="s">
        <v>297</v>
      </c>
      <c r="K1137" s="46" t="str">
        <f>IFERROR(VLOOKUP($J1137,Catálogos!$M$4:$N$17,2,FALSE()),"")</f>
        <v>Mantención Preventiva Realizada</v>
      </c>
      <c r="L1137" s="46"/>
      <c r="M1137" s="46"/>
      <c r="N1137" s="46"/>
      <c r="O1137" s="46"/>
      <c r="P1137" s="46"/>
      <c r="Q1137" s="46"/>
    </row>
    <row r="1138" spans="1:17" hidden="1" x14ac:dyDescent="0.25">
      <c r="A1138" s="47" t="s">
        <v>1051</v>
      </c>
      <c r="B1138" s="46" t="str">
        <f>IFERROR(VLOOKUP($A1138,Equipos!$C$2:$M$967,2,FALSE()),"")</f>
        <v>Monitor Multiparámetros</v>
      </c>
      <c r="C1138" s="46" t="str">
        <f>IFERROR(VLOOKUP($A1138,Equipos!$C$2:$M$967,9,FALSE()),"")</f>
        <v>DGM40026</v>
      </c>
      <c r="D1138" s="46" t="str">
        <f>IFERROR(VLOOKUP($A1138,Equipos!$C$2:$M$967,3,FALSE()),"")</f>
        <v>Medicina</v>
      </c>
      <c r="E1138" s="46" t="str">
        <f>IFERROR(VLOOKUP($A1138,Equipos!$C$2:$M$967,7,FALSE()),"")</f>
        <v>Bistos</v>
      </c>
      <c r="F1138" s="46" t="str">
        <f>IFERROR(VLOOKUP($A1138,Equipos!$C$2:$M$967,8,FALSE()),"")</f>
        <v>BT-770</v>
      </c>
      <c r="G1138" s="46" t="s">
        <v>296</v>
      </c>
      <c r="H1138" s="46"/>
      <c r="I1138" s="46"/>
      <c r="J1138" s="46" t="s">
        <v>297</v>
      </c>
      <c r="K1138" s="46" t="str">
        <f>IFERROR(VLOOKUP($J1138,Catálogos!$M$4:$N$17,2,FALSE()),"")</f>
        <v>Mantención Preventiva Realizada</v>
      </c>
      <c r="L1138" s="46"/>
      <c r="M1138" s="46"/>
      <c r="N1138" s="46"/>
      <c r="O1138" s="46"/>
      <c r="P1138" s="46"/>
      <c r="Q1138" s="46"/>
    </row>
    <row r="1139" spans="1:17" hidden="1" x14ac:dyDescent="0.25">
      <c r="A1139" s="47" t="s">
        <v>1052</v>
      </c>
      <c r="B1139" s="46" t="str">
        <f>IFERROR(VLOOKUP($A1139,Equipos!$C$2:$M$967,2,FALSE()),"")</f>
        <v>Monitor Multiparámetros</v>
      </c>
      <c r="C1139" s="46" t="str">
        <f>IFERROR(VLOOKUP($A1139,Equipos!$C$2:$M$967,9,FALSE()),"")</f>
        <v>DGM40019</v>
      </c>
      <c r="D1139" s="46" t="str">
        <f>IFERROR(VLOOKUP($A1139,Equipos!$C$2:$M$967,3,FALSE()),"")</f>
        <v>Medicina</v>
      </c>
      <c r="E1139" s="46" t="str">
        <f>IFERROR(VLOOKUP($A1139,Equipos!$C$2:$M$967,7,FALSE()),"")</f>
        <v>Bistos</v>
      </c>
      <c r="F1139" s="46" t="str">
        <f>IFERROR(VLOOKUP($A1139,Equipos!$C$2:$M$967,8,FALSE()),"")</f>
        <v>BT-770</v>
      </c>
      <c r="G1139" s="46" t="s">
        <v>296</v>
      </c>
      <c r="H1139" s="46"/>
      <c r="I1139" s="46"/>
      <c r="J1139" s="46" t="s">
        <v>297</v>
      </c>
      <c r="K1139" s="46" t="str">
        <f>IFERROR(VLOOKUP($J1139,Catálogos!$M$4:$N$17,2,FALSE()),"")</f>
        <v>Mantención Preventiva Realizada</v>
      </c>
      <c r="L1139" s="46"/>
      <c r="M1139" s="46"/>
      <c r="N1139" s="46"/>
      <c r="O1139" s="46"/>
      <c r="P1139" s="46"/>
      <c r="Q1139" s="46"/>
    </row>
    <row r="1140" spans="1:17" hidden="1" x14ac:dyDescent="0.25">
      <c r="A1140" s="47" t="s">
        <v>1053</v>
      </c>
      <c r="B1140" s="46" t="str">
        <f>IFERROR(VLOOKUP($A1140,Equipos!$C$2:$M$967,2,FALSE()),"")</f>
        <v>Monitor Multiparámetros</v>
      </c>
      <c r="C1140" s="46" t="str">
        <f>IFERROR(VLOOKUP($A1140,Equipos!$C$2:$M$967,9,FALSE()),"")</f>
        <v>DGM40041</v>
      </c>
      <c r="D1140" s="46" t="str">
        <f>IFERROR(VLOOKUP($A1140,Equipos!$C$2:$M$967,3,FALSE()),"")</f>
        <v>Medicina</v>
      </c>
      <c r="E1140" s="46" t="str">
        <f>IFERROR(VLOOKUP($A1140,Equipos!$C$2:$M$967,7,FALSE()),"")</f>
        <v>Bistos</v>
      </c>
      <c r="F1140" s="46" t="str">
        <f>IFERROR(VLOOKUP($A1140,Equipos!$C$2:$M$967,8,FALSE()),"")</f>
        <v>BT-770</v>
      </c>
      <c r="G1140" s="46" t="s">
        <v>296</v>
      </c>
      <c r="H1140" s="46"/>
      <c r="I1140" s="46"/>
      <c r="J1140" s="46" t="s">
        <v>297</v>
      </c>
      <c r="K1140" s="46" t="str">
        <f>IFERROR(VLOOKUP($J1140,Catálogos!$M$4:$N$17,2,FALSE()),"")</f>
        <v>Mantención Preventiva Realizada</v>
      </c>
      <c r="L1140" s="46"/>
      <c r="M1140" s="46"/>
      <c r="N1140" s="46"/>
      <c r="O1140" s="46"/>
      <c r="P1140" s="46"/>
      <c r="Q1140" s="46"/>
    </row>
    <row r="1141" spans="1:17" hidden="1" x14ac:dyDescent="0.25">
      <c r="A1141" s="47" t="s">
        <v>1054</v>
      </c>
      <c r="B1141" s="46" t="str">
        <f>IFERROR(VLOOKUP($A1141,Equipos!$C$2:$M$967,2,FALSE()),"")</f>
        <v>Monitor Multiparámetros</v>
      </c>
      <c r="C1141" s="46" t="str">
        <f>IFERROR(VLOOKUP($A1141,Equipos!$C$2:$M$967,9,FALSE()),"")</f>
        <v>DGM40042</v>
      </c>
      <c r="D1141" s="46" t="str">
        <f>IFERROR(VLOOKUP($A1141,Equipos!$C$2:$M$967,3,FALSE()),"")</f>
        <v>Medicina (Prestado a medicina cardiovascular)</v>
      </c>
      <c r="E1141" s="46" t="str">
        <f>IFERROR(VLOOKUP($A1141,Equipos!$C$2:$M$967,7,FALSE()),"")</f>
        <v>Bistos</v>
      </c>
      <c r="F1141" s="46" t="str">
        <f>IFERROR(VLOOKUP($A1141,Equipos!$C$2:$M$967,8,FALSE()),"")</f>
        <v>BT-770</v>
      </c>
      <c r="G1141" s="46" t="s">
        <v>296</v>
      </c>
      <c r="H1141" s="46"/>
      <c r="I1141" s="46"/>
      <c r="J1141" s="46" t="s">
        <v>323</v>
      </c>
      <c r="K1141" s="46" t="str">
        <f>IFERROR(VLOOKUP($J1141,Catálogos!$M$4:$N$17,2,FALSE()),"")</f>
        <v>Reprogramada · No disponibilidad de horas hombre del funcionario SEC por alta carga laboral</v>
      </c>
      <c r="L1141" s="46"/>
      <c r="M1141" s="46"/>
      <c r="N1141" s="46"/>
      <c r="O1141" s="46"/>
      <c r="P1141" s="46"/>
      <c r="Q1141" s="46"/>
    </row>
    <row r="1142" spans="1:17" hidden="1" x14ac:dyDescent="0.25">
      <c r="A1142" s="47" t="s">
        <v>1054</v>
      </c>
      <c r="B1142" s="46" t="str">
        <f>IFERROR(VLOOKUP($A1142,Equipos!$C$2:$M$967,2,FALSE()),"")</f>
        <v>Monitor Multiparámetros</v>
      </c>
      <c r="C1142" s="46" t="str">
        <f>IFERROR(VLOOKUP($A1142,Equipos!$C$2:$M$967,9,FALSE()),"")</f>
        <v>DGM40042</v>
      </c>
      <c r="D1142" s="46" t="str">
        <f>IFERROR(VLOOKUP($A1142,Equipos!$C$2:$M$967,3,FALSE()),"")</f>
        <v>Medicina (Prestado a medicina cardiovascular)</v>
      </c>
      <c r="E1142" s="46" t="str">
        <f>IFERROR(VLOOKUP($A1142,Equipos!$C$2:$M$967,7,FALSE()),"")</f>
        <v>Bistos</v>
      </c>
      <c r="F1142" s="46" t="str">
        <f>IFERROR(VLOOKUP($A1142,Equipos!$C$2:$M$967,8,FALSE()),"")</f>
        <v>BT-770</v>
      </c>
      <c r="G1142" s="46" t="s">
        <v>316</v>
      </c>
      <c r="H1142" s="46"/>
      <c r="I1142" s="46"/>
      <c r="J1142" s="46" t="s">
        <v>297</v>
      </c>
      <c r="K1142" s="46" t="str">
        <f>IFERROR(VLOOKUP($J1142,Catálogos!$M$4:$N$17,2,FALSE()),"")</f>
        <v>Mantención Preventiva Realizada</v>
      </c>
      <c r="L1142" s="46"/>
      <c r="M1142" s="46"/>
      <c r="N1142" s="46"/>
      <c r="O1142" s="46"/>
      <c r="P1142" s="46"/>
      <c r="Q1142" s="46"/>
    </row>
    <row r="1143" spans="1:17" hidden="1" x14ac:dyDescent="0.25">
      <c r="A1143" s="47" t="s">
        <v>1055</v>
      </c>
      <c r="B1143" s="46" t="str">
        <f>IFERROR(VLOOKUP($A1143,Equipos!$C$2:$M$967,2,FALSE()),"")</f>
        <v>Monitor Multiparámetros</v>
      </c>
      <c r="C1143" s="46" t="str">
        <f>IFERROR(VLOOKUP($A1143,Equipos!$C$2:$M$967,9,FALSE()),"")</f>
        <v>DGM40023</v>
      </c>
      <c r="D1143" s="46" t="str">
        <f>IFERROR(VLOOKUP($A1143,Equipos!$C$2:$M$967,3,FALSE()),"")</f>
        <v>Medicina (Prestado a medicina cardiovascular)</v>
      </c>
      <c r="E1143" s="46" t="str">
        <f>IFERROR(VLOOKUP($A1143,Equipos!$C$2:$M$967,7,FALSE()),"")</f>
        <v>Bistos</v>
      </c>
      <c r="F1143" s="46" t="str">
        <f>IFERROR(VLOOKUP($A1143,Equipos!$C$2:$M$967,8,FALSE()),"")</f>
        <v>BT-770</v>
      </c>
      <c r="G1143" s="46" t="s">
        <v>296</v>
      </c>
      <c r="H1143" s="46"/>
      <c r="I1143" s="46"/>
      <c r="J1143" s="46" t="s">
        <v>323</v>
      </c>
      <c r="K1143" s="46" t="str">
        <f>IFERROR(VLOOKUP($J1143,Catálogos!$M$4:$N$17,2,FALSE()),"")</f>
        <v>Reprogramada · No disponibilidad de horas hombre del funcionario SEC por alta carga laboral</v>
      </c>
      <c r="L1143" s="46"/>
      <c r="M1143" s="46"/>
      <c r="N1143" s="46"/>
      <c r="O1143" s="46"/>
      <c r="P1143" s="46"/>
      <c r="Q1143" s="46"/>
    </row>
    <row r="1144" spans="1:17" hidden="1" x14ac:dyDescent="0.25">
      <c r="A1144" s="47" t="s">
        <v>1055</v>
      </c>
      <c r="B1144" s="46" t="str">
        <f>IFERROR(VLOOKUP($A1144,Equipos!$C$2:$M$967,2,FALSE()),"")</f>
        <v>Monitor Multiparámetros</v>
      </c>
      <c r="C1144" s="46" t="str">
        <f>IFERROR(VLOOKUP($A1144,Equipos!$C$2:$M$967,9,FALSE()),"")</f>
        <v>DGM40023</v>
      </c>
      <c r="D1144" s="46" t="str">
        <f>IFERROR(VLOOKUP($A1144,Equipos!$C$2:$M$967,3,FALSE()),"")</f>
        <v>Medicina (Prestado a medicina cardiovascular)</v>
      </c>
      <c r="E1144" s="46" t="str">
        <f>IFERROR(VLOOKUP($A1144,Equipos!$C$2:$M$967,7,FALSE()),"")</f>
        <v>Bistos</v>
      </c>
      <c r="F1144" s="46" t="str">
        <f>IFERROR(VLOOKUP($A1144,Equipos!$C$2:$M$967,8,FALSE()),"")</f>
        <v>BT-770</v>
      </c>
      <c r="G1144" s="46" t="s">
        <v>316</v>
      </c>
      <c r="H1144" s="46"/>
      <c r="I1144" s="46"/>
      <c r="J1144" s="46" t="s">
        <v>297</v>
      </c>
      <c r="K1144" s="46" t="str">
        <f>IFERROR(VLOOKUP($J1144,Catálogos!$M$4:$N$17,2,FALSE()),"")</f>
        <v>Mantención Preventiva Realizada</v>
      </c>
      <c r="L1144" s="46"/>
      <c r="M1144" s="46"/>
      <c r="N1144" s="46"/>
      <c r="O1144" s="46"/>
      <c r="P1144" s="46"/>
      <c r="Q1144" s="46"/>
    </row>
    <row r="1145" spans="1:17" hidden="1" x14ac:dyDescent="0.25">
      <c r="A1145" s="47" t="s">
        <v>1056</v>
      </c>
      <c r="B1145" s="46" t="str">
        <f>IFERROR(VLOOKUP($A1145,Equipos!$C$2:$M$967,2,FALSE()),"")</f>
        <v>Monitor Multiparámetros</v>
      </c>
      <c r="C1145" s="46" t="str">
        <f>IFERROR(VLOOKUP($A1145,Equipos!$C$2:$M$967,9,FALSE()),"")</f>
        <v>DGM40032</v>
      </c>
      <c r="D1145" s="46" t="str">
        <f>IFERROR(VLOOKUP($A1145,Equipos!$C$2:$M$967,3,FALSE()),"")</f>
        <v>Medicina</v>
      </c>
      <c r="E1145" s="46" t="str">
        <f>IFERROR(VLOOKUP($A1145,Equipos!$C$2:$M$967,7,FALSE()),"")</f>
        <v>Bistos</v>
      </c>
      <c r="F1145" s="46" t="str">
        <f>IFERROR(VLOOKUP($A1145,Equipos!$C$2:$M$967,8,FALSE()),"")</f>
        <v>BT-770</v>
      </c>
      <c r="G1145" s="46" t="s">
        <v>296</v>
      </c>
      <c r="H1145" s="46"/>
      <c r="I1145" s="46"/>
      <c r="J1145" s="46" t="s">
        <v>297</v>
      </c>
      <c r="K1145" s="46" t="str">
        <f>IFERROR(VLOOKUP($J1145,Catálogos!$M$4:$N$17,2,FALSE()),"")</f>
        <v>Mantención Preventiva Realizada</v>
      </c>
      <c r="L1145" s="46"/>
      <c r="M1145" s="46"/>
      <c r="N1145" s="46"/>
      <c r="O1145" s="46"/>
      <c r="P1145" s="46"/>
      <c r="Q1145" s="46"/>
    </row>
    <row r="1146" spans="1:17" hidden="1" x14ac:dyDescent="0.25">
      <c r="A1146" s="47" t="s">
        <v>1057</v>
      </c>
      <c r="B1146" s="46" t="str">
        <f>IFERROR(VLOOKUP($A1146,Equipos!$C$2:$M$967,2,FALSE()),"")</f>
        <v>Monitor Multiparámetros</v>
      </c>
      <c r="C1146" s="46" t="str">
        <f>IFERROR(VLOOKUP($A1146,Equipos!$C$2:$M$967,9,FALSE()),"")</f>
        <v>DGM40040</v>
      </c>
      <c r="D1146" s="46" t="str">
        <f>IFERROR(VLOOKUP($A1146,Equipos!$C$2:$M$967,3,FALSE()),"")</f>
        <v>Pediatría</v>
      </c>
      <c r="E1146" s="46" t="str">
        <f>IFERROR(VLOOKUP($A1146,Equipos!$C$2:$M$967,7,FALSE()),"")</f>
        <v>Bistos</v>
      </c>
      <c r="F1146" s="46" t="str">
        <f>IFERROR(VLOOKUP($A1146,Equipos!$C$2:$M$967,8,FALSE()),"")</f>
        <v>BT-770</v>
      </c>
      <c r="G1146" s="46" t="s">
        <v>335</v>
      </c>
      <c r="H1146" s="46"/>
      <c r="I1146" s="46"/>
      <c r="J1146" s="46" t="s">
        <v>278</v>
      </c>
      <c r="K1146" s="46" t="str">
        <f>IFERROR(VLOOKUP($J1146,Catálogos!$M$4:$N$17,2,FALSE()),"")</f>
        <v>Reprogramada · Equipo en servicio técnico</v>
      </c>
      <c r="L1146" s="46"/>
      <c r="M1146" s="46"/>
      <c r="N1146" s="46"/>
      <c r="O1146" s="46"/>
      <c r="P1146" s="46"/>
      <c r="Q1146" s="46"/>
    </row>
    <row r="1147" spans="1:17" hidden="1" x14ac:dyDescent="0.25">
      <c r="A1147" s="47" t="s">
        <v>1058</v>
      </c>
      <c r="B1147" s="46" t="str">
        <f>IFERROR(VLOOKUP($A1147,Equipos!$C$2:$M$967,2,FALSE()),"")</f>
        <v>Monitor Multiparámetros</v>
      </c>
      <c r="C1147" s="46" t="str">
        <f>IFERROR(VLOOKUP($A1147,Equipos!$C$2:$M$967,9,FALSE()),"")</f>
        <v>DGM40021</v>
      </c>
      <c r="D1147" s="46" t="str">
        <f>IFERROR(VLOOKUP($A1147,Equipos!$C$2:$M$967,3,FALSE()),"")</f>
        <v>Pediatría</v>
      </c>
      <c r="E1147" s="46" t="str">
        <f>IFERROR(VLOOKUP($A1147,Equipos!$C$2:$M$967,7,FALSE()),"")</f>
        <v>Bistos</v>
      </c>
      <c r="F1147" s="46" t="str">
        <f>IFERROR(VLOOKUP($A1147,Equipos!$C$2:$M$967,8,FALSE()),"")</f>
        <v>BT-770</v>
      </c>
      <c r="G1147" s="46" t="s">
        <v>335</v>
      </c>
      <c r="H1147" s="46"/>
      <c r="I1147" s="46"/>
      <c r="J1147" s="46" t="s">
        <v>278</v>
      </c>
      <c r="K1147" s="46" t="str">
        <f>IFERROR(VLOOKUP($J1147,Catálogos!$M$4:$N$17,2,FALSE()),"")</f>
        <v>Reprogramada · Equipo en servicio técnico</v>
      </c>
      <c r="L1147" s="46"/>
      <c r="M1147" s="46"/>
      <c r="N1147" s="46"/>
      <c r="O1147" s="46"/>
      <c r="P1147" s="46"/>
      <c r="Q1147" s="46"/>
    </row>
    <row r="1148" spans="1:17" hidden="1" x14ac:dyDescent="0.25">
      <c r="A1148" s="47" t="s">
        <v>1058</v>
      </c>
      <c r="B1148" s="46" t="str">
        <f>IFERROR(VLOOKUP($A1148,Equipos!$C$2:$M$967,2,FALSE()),"")</f>
        <v>Monitor Multiparámetros</v>
      </c>
      <c r="C1148" s="46" t="str">
        <f>IFERROR(VLOOKUP($A1148,Equipos!$C$2:$M$967,9,FALSE()),"")</f>
        <v>DGM40021</v>
      </c>
      <c r="D1148" s="46" t="str">
        <f>IFERROR(VLOOKUP($A1148,Equipos!$C$2:$M$967,3,FALSE()),"")</f>
        <v>Pediatría</v>
      </c>
      <c r="E1148" s="46" t="str">
        <f>IFERROR(VLOOKUP($A1148,Equipos!$C$2:$M$967,7,FALSE()),"")</f>
        <v>Bistos</v>
      </c>
      <c r="F1148" s="46" t="str">
        <f>IFERROR(VLOOKUP($A1148,Equipos!$C$2:$M$967,8,FALSE()),"")</f>
        <v>BT-770</v>
      </c>
      <c r="G1148" s="46" t="s">
        <v>296</v>
      </c>
      <c r="H1148" s="46"/>
      <c r="I1148" s="46"/>
      <c r="J1148" s="46" t="s">
        <v>297</v>
      </c>
      <c r="K1148" s="46" t="str">
        <f>IFERROR(VLOOKUP($J1148,Catálogos!$M$4:$N$17,2,FALSE()),"")</f>
        <v>Mantención Preventiva Realizada</v>
      </c>
      <c r="L1148" s="46"/>
      <c r="M1148" s="46"/>
      <c r="N1148" s="46"/>
      <c r="O1148" s="46"/>
      <c r="P1148" s="46"/>
      <c r="Q1148" s="46"/>
    </row>
    <row r="1149" spans="1:17" hidden="1" x14ac:dyDescent="0.25">
      <c r="A1149" s="47" t="s">
        <v>1059</v>
      </c>
      <c r="B1149" s="46" t="str">
        <f>IFERROR(VLOOKUP($A1149,Equipos!$C$2:$M$967,2,FALSE()),"")</f>
        <v>Monitor Multiparámetros</v>
      </c>
      <c r="C1149" s="46" t="str">
        <f>IFERROR(VLOOKUP($A1149,Equipos!$C$2:$M$967,9,FALSE()),"")</f>
        <v>DGM40036</v>
      </c>
      <c r="D1149" s="46" t="str">
        <f>IFERROR(VLOOKUP($A1149,Equipos!$C$2:$M$967,3,FALSE()),"")</f>
        <v>Pediatría</v>
      </c>
      <c r="E1149" s="46" t="str">
        <f>IFERROR(VLOOKUP($A1149,Equipos!$C$2:$M$967,7,FALSE()),"")</f>
        <v>Bistos</v>
      </c>
      <c r="F1149" s="46" t="str">
        <f>IFERROR(VLOOKUP($A1149,Equipos!$C$2:$M$967,8,FALSE()),"")</f>
        <v>BT-770</v>
      </c>
      <c r="G1149" s="46" t="s">
        <v>335</v>
      </c>
      <c r="H1149" s="46"/>
      <c r="I1149" s="46"/>
      <c r="J1149" s="46" t="s">
        <v>278</v>
      </c>
      <c r="K1149" s="46" t="str">
        <f>IFERROR(VLOOKUP($J1149,Catálogos!$M$4:$N$17,2,FALSE()),"")</f>
        <v>Reprogramada · Equipo en servicio técnico</v>
      </c>
      <c r="L1149" s="46"/>
      <c r="M1149" s="46"/>
      <c r="N1149" s="46"/>
      <c r="O1149" s="46"/>
      <c r="P1149" s="46"/>
      <c r="Q1149" s="46"/>
    </row>
    <row r="1150" spans="1:17" hidden="1" x14ac:dyDescent="0.25">
      <c r="A1150" s="47" t="s">
        <v>1060</v>
      </c>
      <c r="B1150" s="46" t="str">
        <f>IFERROR(VLOOKUP($A1150,Equipos!$C$2:$M$967,2,FALSE()),"")</f>
        <v>Monitor Multiparámetros</v>
      </c>
      <c r="C1150" s="46" t="str">
        <f>IFERROR(VLOOKUP($A1150,Equipos!$C$2:$M$967,9,FALSE()),"")</f>
        <v>DGM40015</v>
      </c>
      <c r="D1150" s="46" t="str">
        <f>IFERROR(VLOOKUP($A1150,Equipos!$C$2:$M$967,3,FALSE()),"")</f>
        <v>Pediatría</v>
      </c>
      <c r="E1150" s="46" t="str">
        <f>IFERROR(VLOOKUP($A1150,Equipos!$C$2:$M$967,7,FALSE()),"")</f>
        <v>Bistos</v>
      </c>
      <c r="F1150" s="46" t="str">
        <f>IFERROR(VLOOKUP($A1150,Equipos!$C$2:$M$967,8,FALSE()),"")</f>
        <v>BT-770</v>
      </c>
      <c r="G1150" s="46" t="s">
        <v>335</v>
      </c>
      <c r="H1150" s="46"/>
      <c r="I1150" s="46"/>
      <c r="J1150" s="46" t="s">
        <v>278</v>
      </c>
      <c r="K1150" s="46" t="str">
        <f>IFERROR(VLOOKUP($J1150,Catálogos!$M$4:$N$17,2,FALSE()),"")</f>
        <v>Reprogramada · Equipo en servicio técnico</v>
      </c>
      <c r="L1150" s="46"/>
      <c r="M1150" s="46"/>
      <c r="N1150" s="46"/>
      <c r="O1150" s="46"/>
      <c r="P1150" s="46"/>
      <c r="Q1150" s="46"/>
    </row>
    <row r="1151" spans="1:17" hidden="1" x14ac:dyDescent="0.25">
      <c r="A1151" s="47" t="s">
        <v>1060</v>
      </c>
      <c r="B1151" s="46" t="str">
        <f>IFERROR(VLOOKUP($A1151,Equipos!$C$2:$M$967,2,FALSE()),"")</f>
        <v>Monitor Multiparámetros</v>
      </c>
      <c r="C1151" s="46" t="str">
        <f>IFERROR(VLOOKUP($A1151,Equipos!$C$2:$M$967,9,FALSE()),"")</f>
        <v>DGM40015</v>
      </c>
      <c r="D1151" s="46" t="str">
        <f>IFERROR(VLOOKUP($A1151,Equipos!$C$2:$M$967,3,FALSE()),"")</f>
        <v>Pediatría</v>
      </c>
      <c r="E1151" s="46" t="str">
        <f>IFERROR(VLOOKUP($A1151,Equipos!$C$2:$M$967,7,FALSE()),"")</f>
        <v>Bistos</v>
      </c>
      <c r="F1151" s="46" t="str">
        <f>IFERROR(VLOOKUP($A1151,Equipos!$C$2:$M$967,8,FALSE()),"")</f>
        <v>BT-770</v>
      </c>
      <c r="G1151" s="46" t="s">
        <v>296</v>
      </c>
      <c r="H1151" s="46"/>
      <c r="I1151" s="46"/>
      <c r="J1151" s="46" t="s">
        <v>297</v>
      </c>
      <c r="K1151" s="46" t="str">
        <f>IFERROR(VLOOKUP($J1151,Catálogos!$M$4:$N$17,2,FALSE()),"")</f>
        <v>Mantención Preventiva Realizada</v>
      </c>
      <c r="L1151" s="46"/>
      <c r="M1151" s="46"/>
      <c r="N1151" s="46"/>
      <c r="O1151" s="46"/>
      <c r="P1151" s="46"/>
      <c r="Q1151" s="46"/>
    </row>
    <row r="1152" spans="1:17" hidden="1" x14ac:dyDescent="0.25">
      <c r="A1152" s="47" t="s">
        <v>1061</v>
      </c>
      <c r="B1152" s="46" t="str">
        <f>IFERROR(VLOOKUP($A1152,Equipos!$C$2:$M$967,2,FALSE()),"")</f>
        <v>Monitor Multiparámetros</v>
      </c>
      <c r="C1152" s="46" t="str">
        <f>IFERROR(VLOOKUP($A1152,Equipos!$C$2:$M$967,9,FALSE()),"")</f>
        <v>DGM40031</v>
      </c>
      <c r="D1152" s="46" t="str">
        <f>IFERROR(VLOOKUP($A1152,Equipos!$C$2:$M$967,3,FALSE()),"")</f>
        <v>Pediatría</v>
      </c>
      <c r="E1152" s="46" t="str">
        <f>IFERROR(VLOOKUP($A1152,Equipos!$C$2:$M$967,7,FALSE()),"")</f>
        <v>Bistos</v>
      </c>
      <c r="F1152" s="46" t="str">
        <f>IFERROR(VLOOKUP($A1152,Equipos!$C$2:$M$967,8,FALSE()),"")</f>
        <v>BT-770</v>
      </c>
      <c r="G1152" s="46" t="s">
        <v>335</v>
      </c>
      <c r="H1152" s="46"/>
      <c r="I1152" s="46"/>
      <c r="J1152" s="46" t="s">
        <v>323</v>
      </c>
      <c r="K1152" s="46" t="str">
        <f>IFERROR(VLOOKUP($J1152,Catálogos!$M$4:$N$17,2,FALSE()),"")</f>
        <v>Reprogramada · No disponibilidad de horas hombre del funcionario SEC por alta carga laboral</v>
      </c>
      <c r="L1152" s="46"/>
      <c r="M1152" s="46"/>
      <c r="N1152" s="46"/>
      <c r="O1152" s="46"/>
      <c r="P1152" s="46"/>
      <c r="Q1152" s="46"/>
    </row>
    <row r="1153" spans="1:17" hidden="1" x14ac:dyDescent="0.25">
      <c r="A1153" s="47" t="s">
        <v>1061</v>
      </c>
      <c r="B1153" s="46" t="str">
        <f>IFERROR(VLOOKUP($A1153,Equipos!$C$2:$M$967,2,FALSE()),"")</f>
        <v>Monitor Multiparámetros</v>
      </c>
      <c r="C1153" s="46" t="str">
        <f>IFERROR(VLOOKUP($A1153,Equipos!$C$2:$M$967,9,FALSE()),"")</f>
        <v>DGM40031</v>
      </c>
      <c r="D1153" s="46" t="str">
        <f>IFERROR(VLOOKUP($A1153,Equipos!$C$2:$M$967,3,FALSE()),"")</f>
        <v>Pediatría</v>
      </c>
      <c r="E1153" s="46" t="str">
        <f>IFERROR(VLOOKUP($A1153,Equipos!$C$2:$M$967,7,FALSE()),"")</f>
        <v>Bistos</v>
      </c>
      <c r="F1153" s="46" t="str">
        <f>IFERROR(VLOOKUP($A1153,Equipos!$C$2:$M$967,8,FALSE()),"")</f>
        <v>BT-770</v>
      </c>
      <c r="G1153" s="46" t="s">
        <v>296</v>
      </c>
      <c r="H1153" s="46"/>
      <c r="I1153" s="46"/>
      <c r="J1153" s="46" t="s">
        <v>297</v>
      </c>
      <c r="K1153" s="46" t="str">
        <f>IFERROR(VLOOKUP($J1153,Catálogos!$M$4:$N$17,2,FALSE()),"")</f>
        <v>Mantención Preventiva Realizada</v>
      </c>
      <c r="L1153" s="46"/>
      <c r="M1153" s="46"/>
      <c r="N1153" s="46"/>
      <c r="O1153" s="46"/>
      <c r="P1153" s="46"/>
      <c r="Q1153" s="46"/>
    </row>
    <row r="1154" spans="1:17" hidden="1" x14ac:dyDescent="0.25">
      <c r="A1154" s="47" t="s">
        <v>1062</v>
      </c>
      <c r="B1154" s="46" t="str">
        <f>IFERROR(VLOOKUP($A1154,Equipos!$C$2:$M$967,2,FALSE()),"")</f>
        <v>Monitor Multiparámetros</v>
      </c>
      <c r="C1154" s="46" t="str">
        <f>IFERROR(VLOOKUP($A1154,Equipos!$C$2:$M$967,9,FALSE()),"")</f>
        <v>DGM40038</v>
      </c>
      <c r="D1154" s="46" t="str">
        <f>IFERROR(VLOOKUP($A1154,Equipos!$C$2:$M$967,3,FALSE()),"")</f>
        <v>Pediatría</v>
      </c>
      <c r="E1154" s="46" t="str">
        <f>IFERROR(VLOOKUP($A1154,Equipos!$C$2:$M$967,7,FALSE()),"")</f>
        <v>Bistos</v>
      </c>
      <c r="F1154" s="46" t="str">
        <f>IFERROR(VLOOKUP($A1154,Equipos!$C$2:$M$967,8,FALSE()),"")</f>
        <v>BT-770</v>
      </c>
      <c r="G1154" s="46" t="s">
        <v>335</v>
      </c>
      <c r="H1154" s="46"/>
      <c r="I1154" s="46"/>
      <c r="J1154" s="46" t="s">
        <v>323</v>
      </c>
      <c r="K1154" s="46" t="str">
        <f>IFERROR(VLOOKUP($J1154,Catálogos!$M$4:$N$17,2,FALSE()),"")</f>
        <v>Reprogramada · No disponibilidad de horas hombre del funcionario SEC por alta carga laboral</v>
      </c>
      <c r="L1154" s="46"/>
      <c r="M1154" s="46"/>
      <c r="N1154" s="46"/>
      <c r="O1154" s="46"/>
      <c r="P1154" s="46"/>
      <c r="Q1154" s="46"/>
    </row>
    <row r="1155" spans="1:17" hidden="1" x14ac:dyDescent="0.25">
      <c r="A1155" s="47" t="s">
        <v>1062</v>
      </c>
      <c r="B1155" s="46" t="str">
        <f>IFERROR(VLOOKUP($A1155,Equipos!$C$2:$M$967,2,FALSE()),"")</f>
        <v>Monitor Multiparámetros</v>
      </c>
      <c r="C1155" s="46" t="str">
        <f>IFERROR(VLOOKUP($A1155,Equipos!$C$2:$M$967,9,FALSE()),"")</f>
        <v>DGM40038</v>
      </c>
      <c r="D1155" s="46" t="str">
        <f>IFERROR(VLOOKUP($A1155,Equipos!$C$2:$M$967,3,FALSE()),"")</f>
        <v>Pediatría</v>
      </c>
      <c r="E1155" s="46" t="str">
        <f>IFERROR(VLOOKUP($A1155,Equipos!$C$2:$M$967,7,FALSE()),"")</f>
        <v>Bistos</v>
      </c>
      <c r="F1155" s="46" t="str">
        <f>IFERROR(VLOOKUP($A1155,Equipos!$C$2:$M$967,8,FALSE()),"")</f>
        <v>BT-770</v>
      </c>
      <c r="G1155" s="46" t="s">
        <v>296</v>
      </c>
      <c r="H1155" s="46"/>
      <c r="I1155" s="46"/>
      <c r="J1155" s="46" t="s">
        <v>297</v>
      </c>
      <c r="K1155" s="46" t="str">
        <f>IFERROR(VLOOKUP($J1155,Catálogos!$M$4:$N$17,2,FALSE()),"")</f>
        <v>Mantención Preventiva Realizada</v>
      </c>
      <c r="L1155" s="46"/>
      <c r="M1155" s="46"/>
      <c r="N1155" s="46"/>
      <c r="O1155" s="46"/>
      <c r="P1155" s="46"/>
      <c r="Q1155" s="46"/>
    </row>
    <row r="1156" spans="1:17" hidden="1" x14ac:dyDescent="0.25">
      <c r="A1156" s="47" t="s">
        <v>1063</v>
      </c>
      <c r="B1156" s="46" t="str">
        <f>IFERROR(VLOOKUP($A1156,Equipos!$C$2:$M$967,2,FALSE()),"")</f>
        <v>Monitor Multiparámetros</v>
      </c>
      <c r="C1156" s="46" t="str">
        <f>IFERROR(VLOOKUP($A1156,Equipos!$C$2:$M$967,9,FALSE()),"")</f>
        <v>DGM40030</v>
      </c>
      <c r="D1156" s="46" t="str">
        <f>IFERROR(VLOOKUP($A1156,Equipos!$C$2:$M$967,3,FALSE()),"")</f>
        <v>Pediatría</v>
      </c>
      <c r="E1156" s="46" t="str">
        <f>IFERROR(VLOOKUP($A1156,Equipos!$C$2:$M$967,7,FALSE()),"")</f>
        <v>Bistos</v>
      </c>
      <c r="F1156" s="46" t="str">
        <f>IFERROR(VLOOKUP($A1156,Equipos!$C$2:$M$967,8,FALSE()),"")</f>
        <v>BT-770</v>
      </c>
      <c r="G1156" s="46" t="s">
        <v>335</v>
      </c>
      <c r="H1156" s="46"/>
      <c r="I1156" s="46"/>
      <c r="J1156" s="46" t="s">
        <v>323</v>
      </c>
      <c r="K1156" s="46" t="str">
        <f>IFERROR(VLOOKUP($J1156,Catálogos!$M$4:$N$17,2,FALSE()),"")</f>
        <v>Reprogramada · No disponibilidad de horas hombre del funcionario SEC por alta carga laboral</v>
      </c>
      <c r="L1156" s="46"/>
      <c r="M1156" s="46"/>
      <c r="N1156" s="46"/>
      <c r="O1156" s="46"/>
      <c r="P1156" s="46"/>
      <c r="Q1156" s="46"/>
    </row>
    <row r="1157" spans="1:17" hidden="1" x14ac:dyDescent="0.25">
      <c r="A1157" s="47" t="s">
        <v>1063</v>
      </c>
      <c r="B1157" s="46" t="str">
        <f>IFERROR(VLOOKUP($A1157,Equipos!$C$2:$M$967,2,FALSE()),"")</f>
        <v>Monitor Multiparámetros</v>
      </c>
      <c r="C1157" s="46" t="str">
        <f>IFERROR(VLOOKUP($A1157,Equipos!$C$2:$M$967,9,FALSE()),"")</f>
        <v>DGM40030</v>
      </c>
      <c r="D1157" s="46" t="str">
        <f>IFERROR(VLOOKUP($A1157,Equipos!$C$2:$M$967,3,FALSE()),"")</f>
        <v>Pediatría</v>
      </c>
      <c r="E1157" s="46" t="str">
        <f>IFERROR(VLOOKUP($A1157,Equipos!$C$2:$M$967,7,FALSE()),"")</f>
        <v>Bistos</v>
      </c>
      <c r="F1157" s="46" t="str">
        <f>IFERROR(VLOOKUP($A1157,Equipos!$C$2:$M$967,8,FALSE()),"")</f>
        <v>BT-770</v>
      </c>
      <c r="G1157" s="46" t="s">
        <v>296</v>
      </c>
      <c r="H1157" s="46"/>
      <c r="I1157" s="46"/>
      <c r="J1157" s="46" t="s">
        <v>297</v>
      </c>
      <c r="K1157" s="46" t="str">
        <f>IFERROR(VLOOKUP($J1157,Catálogos!$M$4:$N$17,2,FALSE()),"")</f>
        <v>Mantención Preventiva Realizada</v>
      </c>
      <c r="L1157" s="46"/>
      <c r="M1157" s="46"/>
      <c r="N1157" s="46"/>
      <c r="O1157" s="46"/>
      <c r="P1157" s="46"/>
      <c r="Q1157" s="46"/>
    </row>
    <row r="1158" spans="1:17" hidden="1" x14ac:dyDescent="0.25">
      <c r="A1158" s="47" t="s">
        <v>1064</v>
      </c>
      <c r="B1158" s="46" t="str">
        <f>IFERROR(VLOOKUP($A1158,Equipos!$C$2:$M$967,2,FALSE()),"")</f>
        <v>Monitor Multiparámetros</v>
      </c>
      <c r="C1158" s="46" t="str">
        <f>IFERROR(VLOOKUP($A1158,Equipos!$C$2:$M$967,9,FALSE()),"")</f>
        <v>DGM40029</v>
      </c>
      <c r="D1158" s="46" t="str">
        <f>IFERROR(VLOOKUP($A1158,Equipos!$C$2:$M$967,3,FALSE()),"")</f>
        <v>Pediatría</v>
      </c>
      <c r="E1158" s="46" t="str">
        <f>IFERROR(VLOOKUP($A1158,Equipos!$C$2:$M$967,7,FALSE()),"")</f>
        <v>Bistos</v>
      </c>
      <c r="F1158" s="46" t="str">
        <f>IFERROR(VLOOKUP($A1158,Equipos!$C$2:$M$967,8,FALSE()),"")</f>
        <v>BT-770</v>
      </c>
      <c r="G1158" s="46" t="s">
        <v>335</v>
      </c>
      <c r="H1158" s="46"/>
      <c r="I1158" s="46"/>
      <c r="J1158" s="46" t="s">
        <v>323</v>
      </c>
      <c r="K1158" s="46" t="str">
        <f>IFERROR(VLOOKUP($J1158,Catálogos!$M$4:$N$17,2,FALSE()),"")</f>
        <v>Reprogramada · No disponibilidad de horas hombre del funcionario SEC por alta carga laboral</v>
      </c>
      <c r="L1158" s="46"/>
      <c r="M1158" s="46"/>
      <c r="N1158" s="46"/>
      <c r="O1158" s="46"/>
      <c r="P1158" s="46"/>
      <c r="Q1158" s="46"/>
    </row>
    <row r="1159" spans="1:17" hidden="1" x14ac:dyDescent="0.25">
      <c r="A1159" s="47" t="s">
        <v>1064</v>
      </c>
      <c r="B1159" s="46" t="str">
        <f>IFERROR(VLOOKUP($A1159,Equipos!$C$2:$M$967,2,FALSE()),"")</f>
        <v>Monitor Multiparámetros</v>
      </c>
      <c r="C1159" s="46" t="str">
        <f>IFERROR(VLOOKUP($A1159,Equipos!$C$2:$M$967,9,FALSE()),"")</f>
        <v>DGM40029</v>
      </c>
      <c r="D1159" s="46" t="str">
        <f>IFERROR(VLOOKUP($A1159,Equipos!$C$2:$M$967,3,FALSE()),"")</f>
        <v>Pediatría</v>
      </c>
      <c r="E1159" s="46" t="str">
        <f>IFERROR(VLOOKUP($A1159,Equipos!$C$2:$M$967,7,FALSE()),"")</f>
        <v>Bistos</v>
      </c>
      <c r="F1159" s="46" t="str">
        <f>IFERROR(VLOOKUP($A1159,Equipos!$C$2:$M$967,8,FALSE()),"")</f>
        <v>BT-770</v>
      </c>
      <c r="G1159" s="46" t="s">
        <v>296</v>
      </c>
      <c r="H1159" s="46"/>
      <c r="I1159" s="46"/>
      <c r="J1159" s="46" t="s">
        <v>297</v>
      </c>
      <c r="K1159" s="46" t="str">
        <f>IFERROR(VLOOKUP($J1159,Catálogos!$M$4:$N$17,2,FALSE()),"")</f>
        <v>Mantención Preventiva Realizada</v>
      </c>
      <c r="L1159" s="46"/>
      <c r="M1159" s="46"/>
      <c r="N1159" s="46"/>
      <c r="O1159" s="46"/>
      <c r="P1159" s="46"/>
      <c r="Q1159" s="46"/>
    </row>
    <row r="1160" spans="1:17" hidden="1" x14ac:dyDescent="0.25">
      <c r="A1160" s="47" t="s">
        <v>1065</v>
      </c>
      <c r="B1160" s="46" t="str">
        <f>IFERROR(VLOOKUP($A1160,Equipos!$C$2:$M$967,2,FALSE()),"")</f>
        <v>Monitor Multiparámetros</v>
      </c>
      <c r="C1160" s="46" t="str">
        <f>IFERROR(VLOOKUP($A1160,Equipos!$C$2:$M$967,9,FALSE()),"")</f>
        <v>2943</v>
      </c>
      <c r="D1160" s="46" t="str">
        <f>IFERROR(VLOOKUP($A1160,Equipos!$C$2:$M$967,3,FALSE()),"")</f>
        <v>Hemato Oncología Adulto</v>
      </c>
      <c r="E1160" s="46" t="str">
        <f>IFERROR(VLOOKUP($A1160,Equipos!$C$2:$M$967,7,FALSE()),"")</f>
        <v xml:space="preserve">Nihon Kohden </v>
      </c>
      <c r="F1160" s="46" t="str">
        <f>IFERROR(VLOOKUP($A1160,Equipos!$C$2:$M$967,8,FALSE()),"")</f>
        <v>PVM-4763K</v>
      </c>
      <c r="G1160" s="46" t="s">
        <v>316</v>
      </c>
      <c r="H1160" s="46"/>
      <c r="I1160" s="46"/>
      <c r="J1160" s="46" t="s">
        <v>323</v>
      </c>
      <c r="K1160" s="46" t="str">
        <f>IFERROR(VLOOKUP($J1160,Catálogos!$M$4:$N$17,2,FALSE()),"")</f>
        <v>Reprogramada · No disponibilidad de horas hombre del funcionario SEC por alta carga laboral</v>
      </c>
      <c r="L1160" s="46"/>
      <c r="M1160" s="46"/>
      <c r="N1160" s="46"/>
      <c r="O1160" s="46"/>
      <c r="P1160" s="46"/>
      <c r="Q1160" s="46"/>
    </row>
    <row r="1161" spans="1:17" hidden="1" x14ac:dyDescent="0.25">
      <c r="A1161" s="47" t="s">
        <v>1065</v>
      </c>
      <c r="B1161" s="46" t="str">
        <f>IFERROR(VLOOKUP($A1161,Equipos!$C$2:$M$967,2,FALSE()),"")</f>
        <v>Monitor Multiparámetros</v>
      </c>
      <c r="C1161" s="46" t="str">
        <f>IFERROR(VLOOKUP($A1161,Equipos!$C$2:$M$967,9,FALSE()),"")</f>
        <v>2943</v>
      </c>
      <c r="D1161" s="46" t="str">
        <f>IFERROR(VLOOKUP($A1161,Equipos!$C$2:$M$967,3,FALSE()),"")</f>
        <v>Hemato Oncología Adulto</v>
      </c>
      <c r="E1161" s="46" t="str">
        <f>IFERROR(VLOOKUP($A1161,Equipos!$C$2:$M$967,7,FALSE()),"")</f>
        <v xml:space="preserve">Nihon Kohden </v>
      </c>
      <c r="F1161" s="46" t="str">
        <f>IFERROR(VLOOKUP($A1161,Equipos!$C$2:$M$967,8,FALSE()),"")</f>
        <v>PVM-4763K</v>
      </c>
      <c r="G1161" s="46" t="s">
        <v>331</v>
      </c>
      <c r="H1161" s="46"/>
      <c r="I1161" s="46"/>
      <c r="J1161" s="46" t="s">
        <v>297</v>
      </c>
      <c r="K1161" s="46" t="str">
        <f>IFERROR(VLOOKUP($J1161,Catálogos!$M$4:$N$17,2,FALSE()),"")</f>
        <v>Mantención Preventiva Realizada</v>
      </c>
      <c r="L1161" s="46"/>
      <c r="M1161" s="46"/>
      <c r="N1161" s="46"/>
      <c r="O1161" s="46"/>
      <c r="P1161" s="46"/>
      <c r="Q1161" s="46"/>
    </row>
    <row r="1162" spans="1:17" hidden="1" x14ac:dyDescent="0.25">
      <c r="A1162" s="47" t="s">
        <v>1066</v>
      </c>
      <c r="B1162" s="46" t="str">
        <f>IFERROR(VLOOKUP($A1162,Equipos!$C$2:$M$967,2,FALSE()),"")</f>
        <v>Monitor Multiparámetros</v>
      </c>
      <c r="C1162" s="46" t="str">
        <f>IFERROR(VLOOKUP($A1162,Equipos!$C$2:$M$967,9,FALSE()),"")</f>
        <v>2731</v>
      </c>
      <c r="D1162" s="46" t="str">
        <f>IFERROR(VLOOKUP($A1162,Equipos!$C$2:$M$967,3,FALSE()),"")</f>
        <v>Hemato Oncología Adulto</v>
      </c>
      <c r="E1162" s="46" t="str">
        <f>IFERROR(VLOOKUP($A1162,Equipos!$C$2:$M$967,7,FALSE()),"")</f>
        <v xml:space="preserve">Nihon Kohden </v>
      </c>
      <c r="F1162" s="46" t="str">
        <f>IFERROR(VLOOKUP($A1162,Equipos!$C$2:$M$967,8,FALSE()),"")</f>
        <v>PVM-4763K</v>
      </c>
      <c r="G1162" s="46" t="s">
        <v>296</v>
      </c>
      <c r="H1162" s="46"/>
      <c r="I1162" s="46"/>
      <c r="J1162" s="46" t="s">
        <v>476</v>
      </c>
      <c r="K1162" s="46" t="str">
        <f>IFERROR(VLOOKUP($J1162,Catálogos!$M$4:$N$17,2,FALSE()),"")</f>
        <v>No Realizada</v>
      </c>
      <c r="L1162" s="46"/>
      <c r="M1162" s="46"/>
      <c r="N1162" s="46"/>
      <c r="O1162" s="46"/>
      <c r="P1162" s="46"/>
      <c r="Q1162" s="46"/>
    </row>
    <row r="1163" spans="1:17" hidden="1" x14ac:dyDescent="0.25">
      <c r="A1163" s="47" t="s">
        <v>1066</v>
      </c>
      <c r="B1163" s="46" t="str">
        <f>IFERROR(VLOOKUP($A1163,Equipos!$C$2:$M$967,2,FALSE()),"")</f>
        <v>Monitor Multiparámetros</v>
      </c>
      <c r="C1163" s="46" t="str">
        <f>IFERROR(VLOOKUP($A1163,Equipos!$C$2:$M$967,9,FALSE()),"")</f>
        <v>2731</v>
      </c>
      <c r="D1163" s="46" t="str">
        <f>IFERROR(VLOOKUP($A1163,Equipos!$C$2:$M$967,3,FALSE()),"")</f>
        <v>Hemato Oncología Adulto</v>
      </c>
      <c r="E1163" s="46" t="str">
        <f>IFERROR(VLOOKUP($A1163,Equipos!$C$2:$M$967,7,FALSE()),"")</f>
        <v xml:space="preserve">Nihon Kohden </v>
      </c>
      <c r="F1163" s="46" t="str">
        <f>IFERROR(VLOOKUP($A1163,Equipos!$C$2:$M$967,8,FALSE()),"")</f>
        <v>PVM-4763K</v>
      </c>
      <c r="G1163" s="46" t="s">
        <v>316</v>
      </c>
      <c r="H1163" s="46"/>
      <c r="I1163" s="46"/>
      <c r="J1163" s="46" t="s">
        <v>278</v>
      </c>
      <c r="K1163" s="46" t="str">
        <f>IFERROR(VLOOKUP($J1163,Catálogos!$M$4:$N$17,2,FALSE()),"")</f>
        <v>Reprogramada · Equipo en servicio técnico</v>
      </c>
      <c r="L1163" s="46"/>
      <c r="M1163" s="46"/>
      <c r="N1163" s="46"/>
      <c r="O1163" s="46"/>
      <c r="P1163" s="46"/>
      <c r="Q1163" s="46"/>
    </row>
    <row r="1164" spans="1:17" hidden="1" x14ac:dyDescent="0.25">
      <c r="A1164" s="47" t="s">
        <v>1066</v>
      </c>
      <c r="B1164" s="46" t="str">
        <f>IFERROR(VLOOKUP($A1164,Equipos!$C$2:$M$967,2,FALSE()),"")</f>
        <v>Monitor Multiparámetros</v>
      </c>
      <c r="C1164" s="46" t="str">
        <f>IFERROR(VLOOKUP($A1164,Equipos!$C$2:$M$967,9,FALSE()),"")</f>
        <v>2731</v>
      </c>
      <c r="D1164" s="46" t="str">
        <f>IFERROR(VLOOKUP($A1164,Equipos!$C$2:$M$967,3,FALSE()),"")</f>
        <v>Hemato Oncología Adulto</v>
      </c>
      <c r="E1164" s="46" t="str">
        <f>IFERROR(VLOOKUP($A1164,Equipos!$C$2:$M$967,7,FALSE()),"")</f>
        <v xml:space="preserve">Nihon Kohden </v>
      </c>
      <c r="F1164" s="46" t="str">
        <f>IFERROR(VLOOKUP($A1164,Equipos!$C$2:$M$967,8,FALSE()),"")</f>
        <v>PVM-4763K</v>
      </c>
      <c r="G1164" s="46" t="s">
        <v>298</v>
      </c>
      <c r="H1164" s="46"/>
      <c r="I1164" s="46"/>
      <c r="J1164" s="46" t="s">
        <v>297</v>
      </c>
      <c r="K1164" s="46" t="str">
        <f>IFERROR(VLOOKUP($J1164,Catálogos!$M$4:$N$17,2,FALSE()),"")</f>
        <v>Mantención Preventiva Realizada</v>
      </c>
      <c r="L1164" s="46"/>
      <c r="M1164" s="46"/>
      <c r="N1164" s="46"/>
      <c r="O1164" s="46"/>
      <c r="P1164" s="46"/>
      <c r="Q1164" s="46"/>
    </row>
    <row r="1165" spans="1:17" hidden="1" x14ac:dyDescent="0.25">
      <c r="A1165" s="47" t="s">
        <v>1067</v>
      </c>
      <c r="B1165" s="46" t="str">
        <f>IFERROR(VLOOKUP($A1165,Equipos!$C$2:$M$967,2,FALSE()),"")</f>
        <v>Monitor Multiparámetros</v>
      </c>
      <c r="C1165" s="46" t="str">
        <f>IFERROR(VLOOKUP($A1165,Equipos!$C$2:$M$967,9,FALSE()),"")</f>
        <v>2915</v>
      </c>
      <c r="D1165" s="46" t="str">
        <f>IFERROR(VLOOKUP($A1165,Equipos!$C$2:$M$967,3,FALSE()),"")</f>
        <v>Hemato Oncología Adulto</v>
      </c>
      <c r="E1165" s="46" t="str">
        <f>IFERROR(VLOOKUP($A1165,Equipos!$C$2:$M$967,7,FALSE()),"")</f>
        <v xml:space="preserve">Nihon Kohden </v>
      </c>
      <c r="F1165" s="46" t="str">
        <f>IFERROR(VLOOKUP($A1165,Equipos!$C$2:$M$967,8,FALSE()),"")</f>
        <v>PVM-4763K</v>
      </c>
      <c r="G1165" s="46" t="s">
        <v>316</v>
      </c>
      <c r="H1165" s="46"/>
      <c r="I1165" s="46"/>
      <c r="J1165" s="46" t="s">
        <v>278</v>
      </c>
      <c r="K1165" s="46" t="str">
        <f>IFERROR(VLOOKUP($J1165,Catálogos!$M$4:$N$17,2,FALSE()),"")</f>
        <v>Reprogramada · Equipo en servicio técnico</v>
      </c>
      <c r="L1165" s="46"/>
      <c r="M1165" s="46"/>
      <c r="N1165" s="46"/>
      <c r="O1165" s="46"/>
      <c r="P1165" s="46"/>
      <c r="Q1165" s="46"/>
    </row>
    <row r="1166" spans="1:17" hidden="1" x14ac:dyDescent="0.25">
      <c r="A1166" s="47" t="s">
        <v>1068</v>
      </c>
      <c r="B1166" s="46" t="str">
        <f>IFERROR(VLOOKUP($A1166,Equipos!$C$2:$M$967,2,FALSE()),"")</f>
        <v>Monitor Multiparámetros</v>
      </c>
      <c r="C1166" s="46" t="str">
        <f>IFERROR(VLOOKUP($A1166,Equipos!$C$2:$M$967,9,FALSE()),"")</f>
        <v>02922.</v>
      </c>
      <c r="D1166" s="46" t="str">
        <f>IFERROR(VLOOKUP($A1166,Equipos!$C$2:$M$967,3,FALSE()),"")</f>
        <v>Hemato Oncología Adulto</v>
      </c>
      <c r="E1166" s="46" t="str">
        <f>IFERROR(VLOOKUP($A1166,Equipos!$C$2:$M$967,7,FALSE()),"")</f>
        <v xml:space="preserve">Nihon Kohden </v>
      </c>
      <c r="F1166" s="46" t="str">
        <f>IFERROR(VLOOKUP($A1166,Equipos!$C$2:$M$967,8,FALSE()),"")</f>
        <v>PVM-4763K</v>
      </c>
      <c r="G1166" s="46" t="s">
        <v>316</v>
      </c>
      <c r="H1166" s="46"/>
      <c r="I1166" s="46"/>
      <c r="J1166" s="46" t="s">
        <v>323</v>
      </c>
      <c r="K1166" s="46" t="str">
        <f>IFERROR(VLOOKUP($J1166,Catálogos!$M$4:$N$17,2,FALSE()),"")</f>
        <v>Reprogramada · No disponibilidad de horas hombre del funcionario SEC por alta carga laboral</v>
      </c>
      <c r="L1166" s="46"/>
      <c r="M1166" s="46"/>
      <c r="N1166" s="46"/>
      <c r="O1166" s="46"/>
      <c r="P1166" s="46"/>
      <c r="Q1166" s="46"/>
    </row>
    <row r="1167" spans="1:17" hidden="1" x14ac:dyDescent="0.25">
      <c r="A1167" s="47" t="s">
        <v>1068</v>
      </c>
      <c r="B1167" s="46" t="str">
        <f>IFERROR(VLOOKUP($A1167,Equipos!$C$2:$M$967,2,FALSE()),"")</f>
        <v>Monitor Multiparámetros</v>
      </c>
      <c r="C1167" s="46" t="str">
        <f>IFERROR(VLOOKUP($A1167,Equipos!$C$2:$M$967,9,FALSE()),"")</f>
        <v>02922.</v>
      </c>
      <c r="D1167" s="46" t="str">
        <f>IFERROR(VLOOKUP($A1167,Equipos!$C$2:$M$967,3,FALSE()),"")</f>
        <v>Hemato Oncología Adulto</v>
      </c>
      <c r="E1167" s="46" t="str">
        <f>IFERROR(VLOOKUP($A1167,Equipos!$C$2:$M$967,7,FALSE()),"")</f>
        <v xml:space="preserve">Nihon Kohden </v>
      </c>
      <c r="F1167" s="46" t="str">
        <f>IFERROR(VLOOKUP($A1167,Equipos!$C$2:$M$967,8,FALSE()),"")</f>
        <v>PVM-4763K</v>
      </c>
      <c r="G1167" s="46" t="s">
        <v>331</v>
      </c>
      <c r="H1167" s="46"/>
      <c r="I1167" s="46"/>
      <c r="J1167" s="46" t="s">
        <v>297</v>
      </c>
      <c r="K1167" s="46" t="str">
        <f>IFERROR(VLOOKUP($J1167,Catálogos!$M$4:$N$17,2,FALSE()),"")</f>
        <v>Mantención Preventiva Realizada</v>
      </c>
      <c r="L1167" s="46"/>
      <c r="M1167" s="46"/>
      <c r="N1167" s="46"/>
      <c r="O1167" s="46"/>
      <c r="P1167" s="46"/>
      <c r="Q1167" s="46"/>
    </row>
    <row r="1168" spans="1:17" hidden="1" x14ac:dyDescent="0.25">
      <c r="A1168" s="47" t="s">
        <v>1069</v>
      </c>
      <c r="B1168" s="46" t="str">
        <f>IFERROR(VLOOKUP($A1168,Equipos!$C$2:$M$967,2,FALSE()),"")</f>
        <v>Monitor Multiparámetros</v>
      </c>
      <c r="C1168" s="46" t="str">
        <f>IFERROR(VLOOKUP($A1168,Equipos!$C$2:$M$967,9,FALSE()),"")</f>
        <v>G3HQ40045</v>
      </c>
      <c r="D1168" s="46" t="str">
        <f>IFERROR(VLOOKUP($A1168,Equipos!$C$2:$M$967,3,FALSE()),"")</f>
        <v>Servicio Social</v>
      </c>
      <c r="E1168" s="46" t="str">
        <f>IFERROR(VLOOKUP($A1168,Equipos!$C$2:$M$967,7,FALSE()),"")</f>
        <v>General Meditech</v>
      </c>
      <c r="F1168" s="46" t="str">
        <f>IFERROR(VLOOKUP($A1168,Equipos!$C$2:$M$967,8,FALSE()),"")</f>
        <v>G3H</v>
      </c>
      <c r="G1168" s="46" t="s">
        <v>331</v>
      </c>
      <c r="H1168" s="46"/>
      <c r="I1168" s="46"/>
      <c r="J1168" s="46" t="s">
        <v>987</v>
      </c>
      <c r="K1168" s="46" t="str">
        <f>IFERROR(VLOOKUP($J1168,Catálogos!$M$4:$N$17,2,FALSE()),"")</f>
        <v>Reprogramada · Contingencia hospitalaria</v>
      </c>
      <c r="L1168" s="46"/>
      <c r="M1168" s="46"/>
      <c r="N1168" s="46"/>
      <c r="O1168" s="46"/>
      <c r="P1168" s="46"/>
      <c r="Q1168" s="46"/>
    </row>
    <row r="1169" spans="1:17" hidden="1" x14ac:dyDescent="0.25">
      <c r="A1169" s="47" t="s">
        <v>1069</v>
      </c>
      <c r="B1169" s="46" t="str">
        <f>IFERROR(VLOOKUP($A1169,Equipos!$C$2:$M$967,2,FALSE()),"")</f>
        <v>Monitor Multiparámetros</v>
      </c>
      <c r="C1169" s="46" t="str">
        <f>IFERROR(VLOOKUP($A1169,Equipos!$C$2:$M$967,9,FALSE()),"")</f>
        <v>G3HQ40045</v>
      </c>
      <c r="D1169" s="46" t="str">
        <f>IFERROR(VLOOKUP($A1169,Equipos!$C$2:$M$967,3,FALSE()),"")</f>
        <v>Servicio Social</v>
      </c>
      <c r="E1169" s="46" t="str">
        <f>IFERROR(VLOOKUP($A1169,Equipos!$C$2:$M$967,7,FALSE()),"")</f>
        <v>General Meditech</v>
      </c>
      <c r="F1169" s="46" t="str">
        <f>IFERROR(VLOOKUP($A1169,Equipos!$C$2:$M$967,8,FALSE()),"")</f>
        <v>G3H</v>
      </c>
      <c r="G1169" s="46" t="s">
        <v>298</v>
      </c>
      <c r="H1169" s="46"/>
      <c r="I1169" s="46"/>
      <c r="J1169" s="46" t="s">
        <v>297</v>
      </c>
      <c r="K1169" s="46" t="str">
        <f>IFERROR(VLOOKUP($J1169,Catálogos!$M$4:$N$17,2,FALSE()),"")</f>
        <v>Mantención Preventiva Realizada</v>
      </c>
      <c r="L1169" s="46"/>
      <c r="M1169" s="46"/>
      <c r="N1169" s="46"/>
      <c r="O1169" s="46"/>
      <c r="P1169" s="46"/>
      <c r="Q1169" s="46"/>
    </row>
    <row r="1170" spans="1:17" hidden="1" x14ac:dyDescent="0.25">
      <c r="A1170" s="47" t="s">
        <v>1070</v>
      </c>
      <c r="B1170" s="46" t="str">
        <f>IFERROR(VLOOKUP($A1170,Equipos!$C$2:$M$967,2,FALSE()),"")</f>
        <v>Monitor Multiparámetros</v>
      </c>
      <c r="C1170" s="46" t="str">
        <f>IFERROR(VLOOKUP($A1170,Equipos!$C$2:$M$967,9,FALSE()),"")</f>
        <v>G3FPB0029</v>
      </c>
      <c r="D1170" s="46" t="str">
        <f>IFERROR(VLOOKUP($A1170,Equipos!$C$2:$M$967,3,FALSE()),"")</f>
        <v>Servicio Social</v>
      </c>
      <c r="E1170" s="46" t="str">
        <f>IFERROR(VLOOKUP($A1170,Equipos!$C$2:$M$967,7,FALSE()),"")</f>
        <v>General Meditech</v>
      </c>
      <c r="F1170" s="46" t="str">
        <f>IFERROR(VLOOKUP($A1170,Equipos!$C$2:$M$967,8,FALSE()),"")</f>
        <v>G3F</v>
      </c>
      <c r="G1170" s="46" t="s">
        <v>331</v>
      </c>
      <c r="H1170" s="46"/>
      <c r="I1170" s="46"/>
      <c r="J1170" s="46" t="s">
        <v>297</v>
      </c>
      <c r="K1170" s="46" t="str">
        <f>IFERROR(VLOOKUP($J1170,Catálogos!$M$4:$N$17,2,FALSE()),"")</f>
        <v>Mantención Preventiva Realizada</v>
      </c>
      <c r="L1170" s="46"/>
      <c r="M1170" s="46"/>
      <c r="N1170" s="46"/>
      <c r="O1170" s="46"/>
      <c r="P1170" s="46"/>
      <c r="Q1170" s="46"/>
    </row>
    <row r="1171" spans="1:17" hidden="1" x14ac:dyDescent="0.25">
      <c r="A1171" s="47" t="s">
        <v>1071</v>
      </c>
      <c r="B1171" s="46" t="str">
        <f>IFERROR(VLOOKUP($A1171,Equipos!$C$2:$M$967,2,FALSE()),"")</f>
        <v>Monitor Multiparámetros</v>
      </c>
      <c r="C1171" s="46" t="str">
        <f>IFERROR(VLOOKUP($A1171,Equipos!$C$2:$M$967,9,FALSE()),"")</f>
        <v>CN92392265</v>
      </c>
      <c r="D1171" s="46" t="str">
        <f>IFERROR(VLOOKUP($A1171,Equipos!$C$2:$M$967,3,FALSE()),"")</f>
        <v>CDT</v>
      </c>
      <c r="E1171" s="46" t="str">
        <f>IFERROR(VLOOKUP($A1171,Equipos!$C$2:$M$967,7,FALSE()),"")</f>
        <v>Philips</v>
      </c>
      <c r="F1171" s="46" t="str">
        <f>IFERROR(VLOOKUP($A1171,Equipos!$C$2:$M$967,8,FALSE()),"")</f>
        <v>CM100</v>
      </c>
      <c r="G1171" s="46" t="s">
        <v>316</v>
      </c>
      <c r="H1171" s="46"/>
      <c r="I1171" s="46"/>
      <c r="J1171" s="46" t="s">
        <v>323</v>
      </c>
      <c r="K1171" s="46" t="str">
        <f>IFERROR(VLOOKUP($J1171,Catálogos!$M$4:$N$17,2,FALSE()),"")</f>
        <v>Reprogramada · No disponibilidad de horas hombre del funcionario SEC por alta carga laboral</v>
      </c>
      <c r="L1171" s="46"/>
      <c r="M1171" s="46"/>
      <c r="N1171" s="46"/>
      <c r="O1171" s="46"/>
      <c r="P1171" s="46"/>
      <c r="Q1171" s="46"/>
    </row>
    <row r="1172" spans="1:17" hidden="1" x14ac:dyDescent="0.25">
      <c r="A1172" s="47" t="s">
        <v>1071</v>
      </c>
      <c r="B1172" s="46" t="str">
        <f>IFERROR(VLOOKUP($A1172,Equipos!$C$2:$M$967,2,FALSE()),"")</f>
        <v>Monitor Multiparámetros</v>
      </c>
      <c r="C1172" s="46" t="str">
        <f>IFERROR(VLOOKUP($A1172,Equipos!$C$2:$M$967,9,FALSE()),"")</f>
        <v>CN92392265</v>
      </c>
      <c r="D1172" s="46" t="str">
        <f>IFERROR(VLOOKUP($A1172,Equipos!$C$2:$M$967,3,FALSE()),"")</f>
        <v>CDT</v>
      </c>
      <c r="E1172" s="46" t="str">
        <f>IFERROR(VLOOKUP($A1172,Equipos!$C$2:$M$967,7,FALSE()),"")</f>
        <v>Philips</v>
      </c>
      <c r="F1172" s="46" t="str">
        <f>IFERROR(VLOOKUP($A1172,Equipos!$C$2:$M$967,8,FALSE()),"")</f>
        <v>CM100</v>
      </c>
      <c r="G1172" s="46" t="s">
        <v>331</v>
      </c>
      <c r="H1172" s="46"/>
      <c r="I1172" s="46"/>
      <c r="J1172" s="46" t="s">
        <v>297</v>
      </c>
      <c r="K1172" s="46" t="str">
        <f>IFERROR(VLOOKUP($J1172,Catálogos!$M$4:$N$17,2,FALSE()),"")</f>
        <v>Mantención Preventiva Realizada</v>
      </c>
      <c r="L1172" s="46"/>
      <c r="M1172" s="46"/>
      <c r="N1172" s="46"/>
      <c r="O1172" s="46"/>
      <c r="P1172" s="46"/>
      <c r="Q1172" s="46"/>
    </row>
    <row r="1173" spans="1:17" hidden="1" x14ac:dyDescent="0.25">
      <c r="A1173" s="47" t="s">
        <v>1072</v>
      </c>
      <c r="B1173" s="46" t="str">
        <f>IFERROR(VLOOKUP($A1173,Equipos!$C$2:$M$967,2,FALSE()),"")</f>
        <v>Monitor Multiparámetros</v>
      </c>
      <c r="C1173" s="46" t="str">
        <f>IFERROR(VLOOKUP($A1173,Equipos!$C$2:$M$967,9,FALSE()),"")</f>
        <v>CN92373992</v>
      </c>
      <c r="D1173" s="46" t="str">
        <f>IFERROR(VLOOKUP($A1173,Equipos!$C$2:$M$967,3,FALSE()),"")</f>
        <v>Quimioterapia Ambulatoria Adulto</v>
      </c>
      <c r="E1173" s="46" t="str">
        <f>IFERROR(VLOOKUP($A1173,Equipos!$C$2:$M$967,7,FALSE()),"")</f>
        <v>Philips</v>
      </c>
      <c r="F1173" s="46" t="str">
        <f>IFERROR(VLOOKUP($A1173,Equipos!$C$2:$M$967,8,FALSE()),"")</f>
        <v>CM100</v>
      </c>
      <c r="G1173" s="46" t="s">
        <v>316</v>
      </c>
      <c r="H1173" s="46"/>
      <c r="I1173" s="46"/>
      <c r="J1173" s="46" t="s">
        <v>323</v>
      </c>
      <c r="K1173" s="46" t="str">
        <f>IFERROR(VLOOKUP($J1173,Catálogos!$M$4:$N$17,2,FALSE()),"")</f>
        <v>Reprogramada · No disponibilidad de horas hombre del funcionario SEC por alta carga laboral</v>
      </c>
      <c r="L1173" s="46"/>
      <c r="M1173" s="46"/>
      <c r="N1173" s="46"/>
      <c r="O1173" s="46"/>
      <c r="P1173" s="46"/>
      <c r="Q1173" s="46"/>
    </row>
    <row r="1174" spans="1:17" hidden="1" x14ac:dyDescent="0.25">
      <c r="A1174" s="47" t="s">
        <v>1072</v>
      </c>
      <c r="B1174" s="46" t="str">
        <f>IFERROR(VLOOKUP($A1174,Equipos!$C$2:$M$967,2,FALSE()),"")</f>
        <v>Monitor Multiparámetros</v>
      </c>
      <c r="C1174" s="46" t="str">
        <f>IFERROR(VLOOKUP($A1174,Equipos!$C$2:$M$967,9,FALSE()),"")</f>
        <v>CN92373992</v>
      </c>
      <c r="D1174" s="46" t="str">
        <f>IFERROR(VLOOKUP($A1174,Equipos!$C$2:$M$967,3,FALSE()),"")</f>
        <v>Quimioterapia Ambulatoria Adulto</v>
      </c>
      <c r="E1174" s="46" t="str">
        <f>IFERROR(VLOOKUP($A1174,Equipos!$C$2:$M$967,7,FALSE()),"")</f>
        <v>Philips</v>
      </c>
      <c r="F1174" s="46" t="str">
        <f>IFERROR(VLOOKUP($A1174,Equipos!$C$2:$M$967,8,FALSE()),"")</f>
        <v>CM100</v>
      </c>
      <c r="G1174" s="46" t="s">
        <v>331</v>
      </c>
      <c r="H1174" s="46"/>
      <c r="I1174" s="46"/>
      <c r="J1174" s="46" t="s">
        <v>297</v>
      </c>
      <c r="K1174" s="46" t="str">
        <f>IFERROR(VLOOKUP($J1174,Catálogos!$M$4:$N$17,2,FALSE()),"")</f>
        <v>Mantención Preventiva Realizada</v>
      </c>
      <c r="L1174" s="46"/>
      <c r="M1174" s="46"/>
      <c r="N1174" s="46"/>
      <c r="O1174" s="46"/>
      <c r="P1174" s="46"/>
      <c r="Q1174" s="46"/>
    </row>
    <row r="1175" spans="1:17" hidden="1" x14ac:dyDescent="0.25">
      <c r="A1175" s="47" t="s">
        <v>1073</v>
      </c>
      <c r="B1175" s="46" t="str">
        <f>IFERROR(VLOOKUP($A1175,Equipos!$C$2:$M$967,2,FALSE()),"")</f>
        <v>Monitor Multiparámetros</v>
      </c>
      <c r="C1175" s="46" t="str">
        <f>IFERROR(VLOOKUP($A1175,Equipos!$C$2:$M$967,9,FALSE()),"")</f>
        <v>CN92392228</v>
      </c>
      <c r="D1175" s="46" t="str">
        <f>IFERROR(VLOOKUP($A1175,Equipos!$C$2:$M$967,3,FALSE()),"")</f>
        <v>Quimioterapia Ambulatoria Adulto</v>
      </c>
      <c r="E1175" s="46" t="str">
        <f>IFERROR(VLOOKUP($A1175,Equipos!$C$2:$M$967,7,FALSE()),"")</f>
        <v>Philips</v>
      </c>
      <c r="F1175" s="46" t="str">
        <f>IFERROR(VLOOKUP($A1175,Equipos!$C$2:$M$967,8,FALSE()),"")</f>
        <v>CM100</v>
      </c>
      <c r="G1175" s="46" t="s">
        <v>316</v>
      </c>
      <c r="H1175" s="46"/>
      <c r="I1175" s="46"/>
      <c r="J1175" s="46" t="s">
        <v>323</v>
      </c>
      <c r="K1175" s="46" t="str">
        <f>IFERROR(VLOOKUP($J1175,Catálogos!$M$4:$N$17,2,FALSE()),"")</f>
        <v>Reprogramada · No disponibilidad de horas hombre del funcionario SEC por alta carga laboral</v>
      </c>
      <c r="L1175" s="46"/>
      <c r="M1175" s="46"/>
      <c r="N1175" s="46"/>
      <c r="O1175" s="46"/>
      <c r="P1175" s="46"/>
      <c r="Q1175" s="46"/>
    </row>
    <row r="1176" spans="1:17" hidden="1" x14ac:dyDescent="0.25">
      <c r="A1176" s="47" t="s">
        <v>1073</v>
      </c>
      <c r="B1176" s="46" t="str">
        <f>IFERROR(VLOOKUP($A1176,Equipos!$C$2:$M$967,2,FALSE()),"")</f>
        <v>Monitor Multiparámetros</v>
      </c>
      <c r="C1176" s="46" t="str">
        <f>IFERROR(VLOOKUP($A1176,Equipos!$C$2:$M$967,9,FALSE()),"")</f>
        <v>CN92392228</v>
      </c>
      <c r="D1176" s="46" t="str">
        <f>IFERROR(VLOOKUP($A1176,Equipos!$C$2:$M$967,3,FALSE()),"")</f>
        <v>Quimioterapia Ambulatoria Adulto</v>
      </c>
      <c r="E1176" s="46" t="str">
        <f>IFERROR(VLOOKUP($A1176,Equipos!$C$2:$M$967,7,FALSE()),"")</f>
        <v>Philips</v>
      </c>
      <c r="F1176" s="46" t="str">
        <f>IFERROR(VLOOKUP($A1176,Equipos!$C$2:$M$967,8,FALSE()),"")</f>
        <v>CM100</v>
      </c>
      <c r="G1176" s="46" t="s">
        <v>331</v>
      </c>
      <c r="H1176" s="46"/>
      <c r="I1176" s="46"/>
      <c r="J1176" s="46" t="s">
        <v>297</v>
      </c>
      <c r="K1176" s="46" t="str">
        <f>IFERROR(VLOOKUP($J1176,Catálogos!$M$4:$N$17,2,FALSE()),"")</f>
        <v>Mantención Preventiva Realizada</v>
      </c>
      <c r="L1176" s="46"/>
      <c r="M1176" s="46"/>
      <c r="N1176" s="46"/>
      <c r="O1176" s="46"/>
      <c r="P1176" s="46"/>
      <c r="Q1176" s="46"/>
    </row>
    <row r="1177" spans="1:17" hidden="1" x14ac:dyDescent="0.25">
      <c r="A1177" s="47" t="s">
        <v>1074</v>
      </c>
      <c r="B1177" s="46" t="str">
        <f>IFERROR(VLOOKUP($A1177,Equipos!$C$2:$M$967,2,FALSE()),"")</f>
        <v>Monitor Multiparámetros</v>
      </c>
      <c r="C1177" s="46" t="str">
        <f>IFERROR(VLOOKUP($A1177,Equipos!$C$2:$M$967,9,FALSE()),"")</f>
        <v>CN92392229</v>
      </c>
      <c r="D1177" s="46" t="str">
        <f>IFERROR(VLOOKUP($A1177,Equipos!$C$2:$M$967,3,FALSE()),"")</f>
        <v>Quimioterapia Ambulatoria Adulto</v>
      </c>
      <c r="E1177" s="46" t="str">
        <f>IFERROR(VLOOKUP($A1177,Equipos!$C$2:$M$967,7,FALSE()),"")</f>
        <v>Philips</v>
      </c>
      <c r="F1177" s="46" t="str">
        <f>IFERROR(VLOOKUP($A1177,Equipos!$C$2:$M$967,8,FALSE()),"")</f>
        <v>CM100</v>
      </c>
      <c r="G1177" s="46" t="s">
        <v>316</v>
      </c>
      <c r="H1177" s="46"/>
      <c r="I1177" s="46"/>
      <c r="J1177" s="46" t="s">
        <v>323</v>
      </c>
      <c r="K1177" s="46" t="str">
        <f>IFERROR(VLOOKUP($J1177,Catálogos!$M$4:$N$17,2,FALSE()),"")</f>
        <v>Reprogramada · No disponibilidad de horas hombre del funcionario SEC por alta carga laboral</v>
      </c>
      <c r="L1177" s="46"/>
      <c r="M1177" s="46"/>
      <c r="N1177" s="46"/>
      <c r="O1177" s="46"/>
      <c r="P1177" s="46"/>
      <c r="Q1177" s="46"/>
    </row>
    <row r="1178" spans="1:17" hidden="1" x14ac:dyDescent="0.25">
      <c r="A1178" s="47" t="s">
        <v>1074</v>
      </c>
      <c r="B1178" s="46" t="str">
        <f>IFERROR(VLOOKUP($A1178,Equipos!$C$2:$M$967,2,FALSE()),"")</f>
        <v>Monitor Multiparámetros</v>
      </c>
      <c r="C1178" s="46" t="str">
        <f>IFERROR(VLOOKUP($A1178,Equipos!$C$2:$M$967,9,FALSE()),"")</f>
        <v>CN92392229</v>
      </c>
      <c r="D1178" s="46" t="str">
        <f>IFERROR(VLOOKUP($A1178,Equipos!$C$2:$M$967,3,FALSE()),"")</f>
        <v>Quimioterapia Ambulatoria Adulto</v>
      </c>
      <c r="E1178" s="46" t="str">
        <f>IFERROR(VLOOKUP($A1178,Equipos!$C$2:$M$967,7,FALSE()),"")</f>
        <v>Philips</v>
      </c>
      <c r="F1178" s="46" t="str">
        <f>IFERROR(VLOOKUP($A1178,Equipos!$C$2:$M$967,8,FALSE()),"")</f>
        <v>CM100</v>
      </c>
      <c r="G1178" s="46" t="s">
        <v>331</v>
      </c>
      <c r="H1178" s="46"/>
      <c r="I1178" s="46"/>
      <c r="J1178" s="46" t="s">
        <v>297</v>
      </c>
      <c r="K1178" s="46" t="str">
        <f>IFERROR(VLOOKUP($J1178,Catálogos!$M$4:$N$17,2,FALSE()),"")</f>
        <v>Mantención Preventiva Realizada</v>
      </c>
      <c r="L1178" s="46"/>
      <c r="M1178" s="46"/>
      <c r="N1178" s="46"/>
      <c r="O1178" s="46"/>
      <c r="P1178" s="46"/>
      <c r="Q1178" s="46"/>
    </row>
    <row r="1179" spans="1:17" hidden="1" x14ac:dyDescent="0.25">
      <c r="A1179" s="47" t="s">
        <v>1075</v>
      </c>
      <c r="B1179" s="46" t="str">
        <f>IFERROR(VLOOKUP($A1179,Equipos!$C$2:$M$967,2,FALSE()),"")</f>
        <v>Monitor Multiparámetros</v>
      </c>
      <c r="C1179" s="46" t="str">
        <f>IFERROR(VLOOKUP($A1179,Equipos!$C$2:$M$967,9,FALSE()),"")</f>
        <v>CN92392230</v>
      </c>
      <c r="D1179" s="46" t="str">
        <f>IFERROR(VLOOKUP($A1179,Equipos!$C$2:$M$967,3,FALSE()),"")</f>
        <v>Quimioterapia Ambulatoria Adulto</v>
      </c>
      <c r="E1179" s="46" t="str">
        <f>IFERROR(VLOOKUP($A1179,Equipos!$C$2:$M$967,7,FALSE()),"")</f>
        <v>Philips</v>
      </c>
      <c r="F1179" s="46" t="str">
        <f>IFERROR(VLOOKUP($A1179,Equipos!$C$2:$M$967,8,FALSE()),"")</f>
        <v>CM100</v>
      </c>
      <c r="G1179" s="46" t="s">
        <v>316</v>
      </c>
      <c r="H1179" s="46"/>
      <c r="I1179" s="46"/>
      <c r="J1179" s="46" t="s">
        <v>323</v>
      </c>
      <c r="K1179" s="46" t="str">
        <f>IFERROR(VLOOKUP($J1179,Catálogos!$M$4:$N$17,2,FALSE()),"")</f>
        <v>Reprogramada · No disponibilidad de horas hombre del funcionario SEC por alta carga laboral</v>
      </c>
      <c r="L1179" s="46"/>
      <c r="M1179" s="46"/>
      <c r="N1179" s="46"/>
      <c r="O1179" s="46"/>
      <c r="P1179" s="46"/>
      <c r="Q1179" s="46"/>
    </row>
    <row r="1180" spans="1:17" hidden="1" x14ac:dyDescent="0.25">
      <c r="A1180" s="47" t="s">
        <v>1075</v>
      </c>
      <c r="B1180" s="46" t="str">
        <f>IFERROR(VLOOKUP($A1180,Equipos!$C$2:$M$967,2,FALSE()),"")</f>
        <v>Monitor Multiparámetros</v>
      </c>
      <c r="C1180" s="46" t="str">
        <f>IFERROR(VLOOKUP($A1180,Equipos!$C$2:$M$967,9,FALSE()),"")</f>
        <v>CN92392230</v>
      </c>
      <c r="D1180" s="46" t="str">
        <f>IFERROR(VLOOKUP($A1180,Equipos!$C$2:$M$967,3,FALSE()),"")</f>
        <v>Quimioterapia Ambulatoria Adulto</v>
      </c>
      <c r="E1180" s="46" t="str">
        <f>IFERROR(VLOOKUP($A1180,Equipos!$C$2:$M$967,7,FALSE()),"")</f>
        <v>Philips</v>
      </c>
      <c r="F1180" s="46" t="str">
        <f>IFERROR(VLOOKUP($A1180,Equipos!$C$2:$M$967,8,FALSE()),"")</f>
        <v>CM100</v>
      </c>
      <c r="G1180" s="46" t="s">
        <v>331</v>
      </c>
      <c r="H1180" s="46"/>
      <c r="I1180" s="46"/>
      <c r="J1180" s="46" t="s">
        <v>297</v>
      </c>
      <c r="K1180" s="46" t="str">
        <f>IFERROR(VLOOKUP($J1180,Catálogos!$M$4:$N$17,2,FALSE()),"")</f>
        <v>Mantención Preventiva Realizada</v>
      </c>
      <c r="L1180" s="46"/>
      <c r="M1180" s="46"/>
      <c r="N1180" s="46"/>
      <c r="O1180" s="46"/>
      <c r="P1180" s="46"/>
      <c r="Q1180" s="46"/>
    </row>
    <row r="1181" spans="1:17" hidden="1" x14ac:dyDescent="0.25">
      <c r="A1181" s="47" t="s">
        <v>1076</v>
      </c>
      <c r="B1181" s="46" t="str">
        <f>IFERROR(VLOOKUP($A1181,Equipos!$C$2:$M$967,2,FALSE()),"")</f>
        <v>Monitor Multiparámetros</v>
      </c>
      <c r="C1181" s="46" t="str">
        <f>IFERROR(VLOOKUP($A1181,Equipos!$C$2:$M$967,9,FALSE()),"")</f>
        <v>CN92392264</v>
      </c>
      <c r="D1181" s="46" t="str">
        <f>IFERROR(VLOOKUP($A1181,Equipos!$C$2:$M$967,3,FALSE()),"")</f>
        <v>Quimioterapia Ambulatoria Adulto</v>
      </c>
      <c r="E1181" s="46" t="str">
        <f>IFERROR(VLOOKUP($A1181,Equipos!$C$2:$M$967,7,FALSE()),"")</f>
        <v>Philips</v>
      </c>
      <c r="F1181" s="46" t="str">
        <f>IFERROR(VLOOKUP($A1181,Equipos!$C$2:$M$967,8,FALSE()),"")</f>
        <v>CM100</v>
      </c>
      <c r="G1181" s="46" t="s">
        <v>316</v>
      </c>
      <c r="H1181" s="46"/>
      <c r="I1181" s="46"/>
      <c r="J1181" s="46" t="s">
        <v>323</v>
      </c>
      <c r="K1181" s="46" t="str">
        <f>IFERROR(VLOOKUP($J1181,Catálogos!$M$4:$N$17,2,FALSE()),"")</f>
        <v>Reprogramada · No disponibilidad de horas hombre del funcionario SEC por alta carga laboral</v>
      </c>
      <c r="L1181" s="46"/>
      <c r="M1181" s="46"/>
      <c r="N1181" s="46"/>
      <c r="O1181" s="46"/>
      <c r="P1181" s="46"/>
      <c r="Q1181" s="46"/>
    </row>
    <row r="1182" spans="1:17" hidden="1" x14ac:dyDescent="0.25">
      <c r="A1182" s="47" t="s">
        <v>1076</v>
      </c>
      <c r="B1182" s="46" t="str">
        <f>IFERROR(VLOOKUP($A1182,Equipos!$C$2:$M$967,2,FALSE()),"")</f>
        <v>Monitor Multiparámetros</v>
      </c>
      <c r="C1182" s="46" t="str">
        <f>IFERROR(VLOOKUP($A1182,Equipos!$C$2:$M$967,9,FALSE()),"")</f>
        <v>CN92392264</v>
      </c>
      <c r="D1182" s="46" t="str">
        <f>IFERROR(VLOOKUP($A1182,Equipos!$C$2:$M$967,3,FALSE()),"")</f>
        <v>Quimioterapia Ambulatoria Adulto</v>
      </c>
      <c r="E1182" s="46" t="str">
        <f>IFERROR(VLOOKUP($A1182,Equipos!$C$2:$M$967,7,FALSE()),"")</f>
        <v>Philips</v>
      </c>
      <c r="F1182" s="46" t="str">
        <f>IFERROR(VLOOKUP($A1182,Equipos!$C$2:$M$967,8,FALSE()),"")</f>
        <v>CM100</v>
      </c>
      <c r="G1182" s="46" t="s">
        <v>331</v>
      </c>
      <c r="H1182" s="46"/>
      <c r="I1182" s="46"/>
      <c r="J1182" s="46" t="s">
        <v>297</v>
      </c>
      <c r="K1182" s="46" t="str">
        <f>IFERROR(VLOOKUP($J1182,Catálogos!$M$4:$N$17,2,FALSE()),"")</f>
        <v>Mantención Preventiva Realizada</v>
      </c>
      <c r="L1182" s="46"/>
      <c r="M1182" s="46"/>
      <c r="N1182" s="46"/>
      <c r="O1182" s="46"/>
      <c r="P1182" s="46"/>
      <c r="Q1182" s="46"/>
    </row>
    <row r="1183" spans="1:17" hidden="1" x14ac:dyDescent="0.25">
      <c r="A1183" s="47" t="s">
        <v>1077</v>
      </c>
      <c r="B1183" s="46" t="str">
        <f>IFERROR(VLOOKUP($A1183,Equipos!$C$2:$M$967,2,FALSE()),"")</f>
        <v>Monitor Multiparámetros</v>
      </c>
      <c r="C1183" s="46" t="str">
        <f>IFERROR(VLOOKUP($A1183,Equipos!$C$2:$M$967,9,FALSE()),"")</f>
        <v>CN92395201</v>
      </c>
      <c r="D1183" s="46" t="str">
        <f>IFERROR(VLOOKUP($A1183,Equipos!$C$2:$M$967,3,FALSE()),"")</f>
        <v>Endoscopía</v>
      </c>
      <c r="E1183" s="46" t="str">
        <f>IFERROR(VLOOKUP($A1183,Equipos!$C$2:$M$967,7,FALSE()),"")</f>
        <v>Philips</v>
      </c>
      <c r="F1183" s="46" t="str">
        <f>IFERROR(VLOOKUP($A1183,Equipos!$C$2:$M$967,8,FALSE()),"")</f>
        <v>CM120</v>
      </c>
      <c r="G1183" s="46" t="s">
        <v>316</v>
      </c>
      <c r="H1183" s="46"/>
      <c r="I1183" s="46"/>
      <c r="J1183" s="46" t="s">
        <v>323</v>
      </c>
      <c r="K1183" s="46" t="str">
        <f>IFERROR(VLOOKUP($J1183,Catálogos!$M$4:$N$17,2,FALSE()),"")</f>
        <v>Reprogramada · No disponibilidad de horas hombre del funcionario SEC por alta carga laboral</v>
      </c>
      <c r="L1183" s="46"/>
      <c r="M1183" s="46"/>
      <c r="N1183" s="46"/>
      <c r="O1183" s="46"/>
      <c r="P1183" s="46"/>
      <c r="Q1183" s="46"/>
    </row>
    <row r="1184" spans="1:17" hidden="1" x14ac:dyDescent="0.25">
      <c r="A1184" s="47" t="s">
        <v>1077</v>
      </c>
      <c r="B1184" s="46" t="str">
        <f>IFERROR(VLOOKUP($A1184,Equipos!$C$2:$M$967,2,FALSE()),"")</f>
        <v>Monitor Multiparámetros</v>
      </c>
      <c r="C1184" s="46" t="str">
        <f>IFERROR(VLOOKUP($A1184,Equipos!$C$2:$M$967,9,FALSE()),"")</f>
        <v>CN92395201</v>
      </c>
      <c r="D1184" s="46" t="str">
        <f>IFERROR(VLOOKUP($A1184,Equipos!$C$2:$M$967,3,FALSE()),"")</f>
        <v>Endoscopía</v>
      </c>
      <c r="E1184" s="46" t="str">
        <f>IFERROR(VLOOKUP($A1184,Equipos!$C$2:$M$967,7,FALSE()),"")</f>
        <v>Philips</v>
      </c>
      <c r="F1184" s="46" t="str">
        <f>IFERROR(VLOOKUP($A1184,Equipos!$C$2:$M$967,8,FALSE()),"")</f>
        <v>CM120</v>
      </c>
      <c r="G1184" s="46" t="s">
        <v>331</v>
      </c>
      <c r="H1184" s="46"/>
      <c r="I1184" s="46"/>
      <c r="J1184" s="46" t="s">
        <v>297</v>
      </c>
      <c r="K1184" s="46" t="str">
        <f>IFERROR(VLOOKUP($J1184,Catálogos!$M$4:$N$17,2,FALSE()),"")</f>
        <v>Mantención Preventiva Realizada</v>
      </c>
      <c r="L1184" s="46"/>
      <c r="M1184" s="46"/>
      <c r="N1184" s="46"/>
      <c r="O1184" s="46"/>
      <c r="P1184" s="46"/>
      <c r="Q1184" s="46"/>
    </row>
    <row r="1185" spans="1:17" hidden="1" x14ac:dyDescent="0.25">
      <c r="A1185" s="47" t="s">
        <v>1078</v>
      </c>
      <c r="B1185" s="46" t="str">
        <f>IFERROR(VLOOKUP($A1185,Equipos!$C$2:$M$967,2,FALSE()),"")</f>
        <v>Monitor Multiparámetros</v>
      </c>
      <c r="C1185" s="46" t="str">
        <f>IFERROR(VLOOKUP($A1185,Equipos!$C$2:$M$967,9,FALSE()),"")</f>
        <v>CN92395203</v>
      </c>
      <c r="D1185" s="46" t="str">
        <f>IFERROR(VLOOKUP($A1185,Equipos!$C$2:$M$967,3,FALSE()),"")</f>
        <v>Endoscopía</v>
      </c>
      <c r="E1185" s="46" t="str">
        <f>IFERROR(VLOOKUP($A1185,Equipos!$C$2:$M$967,7,FALSE()),"")</f>
        <v>Philips</v>
      </c>
      <c r="F1185" s="46" t="str">
        <f>IFERROR(VLOOKUP($A1185,Equipos!$C$2:$M$967,8,FALSE()),"")</f>
        <v>CM120</v>
      </c>
      <c r="G1185" s="46" t="s">
        <v>316</v>
      </c>
      <c r="H1185" s="46"/>
      <c r="I1185" s="46"/>
      <c r="J1185" s="46" t="s">
        <v>323</v>
      </c>
      <c r="K1185" s="46" t="str">
        <f>IFERROR(VLOOKUP($J1185,Catálogos!$M$4:$N$17,2,FALSE()),"")</f>
        <v>Reprogramada · No disponibilidad de horas hombre del funcionario SEC por alta carga laboral</v>
      </c>
      <c r="L1185" s="46"/>
      <c r="M1185" s="46"/>
      <c r="N1185" s="46"/>
      <c r="O1185" s="46"/>
      <c r="P1185" s="46"/>
      <c r="Q1185" s="46"/>
    </row>
    <row r="1186" spans="1:17" hidden="1" x14ac:dyDescent="0.25">
      <c r="A1186" s="47" t="s">
        <v>1078</v>
      </c>
      <c r="B1186" s="46" t="str">
        <f>IFERROR(VLOOKUP($A1186,Equipos!$C$2:$M$967,2,FALSE()),"")</f>
        <v>Monitor Multiparámetros</v>
      </c>
      <c r="C1186" s="46" t="str">
        <f>IFERROR(VLOOKUP($A1186,Equipos!$C$2:$M$967,9,FALSE()),"")</f>
        <v>CN92395203</v>
      </c>
      <c r="D1186" s="46" t="str">
        <f>IFERROR(VLOOKUP($A1186,Equipos!$C$2:$M$967,3,FALSE()),"")</f>
        <v>Endoscopía</v>
      </c>
      <c r="E1186" s="46" t="str">
        <f>IFERROR(VLOOKUP($A1186,Equipos!$C$2:$M$967,7,FALSE()),"")</f>
        <v>Philips</v>
      </c>
      <c r="F1186" s="46" t="str">
        <f>IFERROR(VLOOKUP($A1186,Equipos!$C$2:$M$967,8,FALSE()),"")</f>
        <v>CM120</v>
      </c>
      <c r="G1186" s="46" t="s">
        <v>331</v>
      </c>
      <c r="H1186" s="46"/>
      <c r="I1186" s="46"/>
      <c r="J1186" s="46" t="s">
        <v>297</v>
      </c>
      <c r="K1186" s="46" t="str">
        <f>IFERROR(VLOOKUP($J1186,Catálogos!$M$4:$N$17,2,FALSE()),"")</f>
        <v>Mantención Preventiva Realizada</v>
      </c>
      <c r="L1186" s="46"/>
      <c r="M1186" s="46"/>
      <c r="N1186" s="46"/>
      <c r="O1186" s="46"/>
      <c r="P1186" s="46"/>
      <c r="Q1186" s="46"/>
    </row>
    <row r="1187" spans="1:17" hidden="1" x14ac:dyDescent="0.25">
      <c r="A1187" s="47" t="s">
        <v>1079</v>
      </c>
      <c r="B1187" s="46" t="str">
        <f>IFERROR(VLOOKUP($A1187,Equipos!$C$2:$M$967,2,FALSE()),"")</f>
        <v>Monitor Multiparámetros</v>
      </c>
      <c r="C1187" s="46" t="str">
        <f>IFERROR(VLOOKUP($A1187,Equipos!$C$2:$M$967,9,FALSE()),"")</f>
        <v>0132821.</v>
      </c>
      <c r="D1187" s="46" t="str">
        <f>IFERROR(VLOOKUP($A1187,Equipos!$C$2:$M$967,3,FALSE()),"")</f>
        <v>Urgencia Infantil</v>
      </c>
      <c r="E1187" s="46" t="str">
        <f>IFERROR(VLOOKUP($A1187,Equipos!$C$2:$M$967,7,FALSE()),"")</f>
        <v xml:space="preserve">Nihon Kohden </v>
      </c>
      <c r="F1187" s="46" t="str">
        <f>IFERROR(VLOOKUP($A1187,Equipos!$C$2:$M$967,8,FALSE()),"")</f>
        <v>PVM-2701</v>
      </c>
      <c r="G1187" s="46" t="s">
        <v>316</v>
      </c>
      <c r="H1187" s="46"/>
      <c r="I1187" s="46"/>
      <c r="J1187" s="46" t="s">
        <v>297</v>
      </c>
      <c r="K1187" s="46" t="str">
        <f>IFERROR(VLOOKUP($J1187,Catálogos!$M$4:$N$17,2,FALSE()),"")</f>
        <v>Mantención Preventiva Realizada</v>
      </c>
      <c r="L1187" s="46"/>
      <c r="M1187" s="46"/>
      <c r="N1187" s="46"/>
      <c r="O1187" s="46"/>
      <c r="P1187" s="46"/>
      <c r="Q1187" s="46"/>
    </row>
    <row r="1188" spans="1:17" hidden="1" x14ac:dyDescent="0.25">
      <c r="A1188" s="47" t="s">
        <v>1080</v>
      </c>
      <c r="B1188" s="46" t="str">
        <f>IFERROR(VLOOKUP($A1188,Equipos!$C$2:$M$967,2,FALSE()),"")</f>
        <v>Monitor Multiparámetros</v>
      </c>
      <c r="C1188" s="46" t="str">
        <f>IFERROR(VLOOKUP($A1188,Equipos!$C$2:$M$967,9,FALSE()),"")</f>
        <v>0132822.</v>
      </c>
      <c r="D1188" s="46" t="str">
        <f>IFERROR(VLOOKUP($A1188,Equipos!$C$2:$M$967,3,FALSE()),"")</f>
        <v>Urgencia Infantil</v>
      </c>
      <c r="E1188" s="46" t="str">
        <f>IFERROR(VLOOKUP($A1188,Equipos!$C$2:$M$967,7,FALSE()),"")</f>
        <v xml:space="preserve">Nihon Kohden </v>
      </c>
      <c r="F1188" s="46" t="str">
        <f>IFERROR(VLOOKUP($A1188,Equipos!$C$2:$M$967,8,FALSE()),"")</f>
        <v>PVM-2701</v>
      </c>
      <c r="G1188" s="46" t="s">
        <v>316</v>
      </c>
      <c r="H1188" s="46"/>
      <c r="I1188" s="46"/>
      <c r="J1188" s="46" t="s">
        <v>297</v>
      </c>
      <c r="K1188" s="46" t="str">
        <f>IFERROR(VLOOKUP($J1188,Catálogos!$M$4:$N$17,2,FALSE()),"")</f>
        <v>Mantención Preventiva Realizada</v>
      </c>
      <c r="L1188" s="46"/>
      <c r="M1188" s="46"/>
      <c r="N1188" s="46"/>
      <c r="O1188" s="46"/>
      <c r="P1188" s="46"/>
      <c r="Q1188" s="46"/>
    </row>
    <row r="1189" spans="1:17" hidden="1" x14ac:dyDescent="0.25">
      <c r="A1189" s="47" t="s">
        <v>1081</v>
      </c>
      <c r="B1189" s="46" t="str">
        <f>IFERROR(VLOOKUP($A1189,Equipos!$C$2:$M$967,2,FALSE()),"")</f>
        <v>Monitor Multiparámetros</v>
      </c>
      <c r="C1189" s="46" t="str">
        <f>IFERROR(VLOOKUP($A1189,Equipos!$C$2:$M$967,9,FALSE()),"")</f>
        <v>0132823.</v>
      </c>
      <c r="D1189" s="46" t="str">
        <f>IFERROR(VLOOKUP($A1189,Equipos!$C$2:$M$967,3,FALSE()),"")</f>
        <v>Urgencia Infantil</v>
      </c>
      <c r="E1189" s="46" t="str">
        <f>IFERROR(VLOOKUP($A1189,Equipos!$C$2:$M$967,7,FALSE()),"")</f>
        <v xml:space="preserve">Nihon Kohden </v>
      </c>
      <c r="F1189" s="46" t="str">
        <f>IFERROR(VLOOKUP($A1189,Equipos!$C$2:$M$967,8,FALSE()),"")</f>
        <v>PVM-2701</v>
      </c>
      <c r="G1189" s="46" t="s">
        <v>316</v>
      </c>
      <c r="H1189" s="46"/>
      <c r="I1189" s="46"/>
      <c r="J1189" s="46" t="s">
        <v>297</v>
      </c>
      <c r="K1189" s="46" t="str">
        <f>IFERROR(VLOOKUP($J1189,Catálogos!$M$4:$N$17,2,FALSE()),"")</f>
        <v>Mantención Preventiva Realizada</v>
      </c>
      <c r="L1189" s="46"/>
      <c r="M1189" s="46"/>
      <c r="N1189" s="46"/>
      <c r="O1189" s="46"/>
      <c r="P1189" s="46"/>
      <c r="Q1189" s="46"/>
    </row>
    <row r="1190" spans="1:17" hidden="1" x14ac:dyDescent="0.25">
      <c r="A1190" s="47" t="s">
        <v>1082</v>
      </c>
      <c r="B1190" s="46" t="str">
        <f>IFERROR(VLOOKUP($A1190,Equipos!$C$2:$M$967,2,FALSE()),"")</f>
        <v>Monitor Multiparámetros</v>
      </c>
      <c r="C1190" s="46" t="str">
        <f>IFERROR(VLOOKUP($A1190,Equipos!$C$2:$M$967,9,FALSE()),"")</f>
        <v>0132824.</v>
      </c>
      <c r="D1190" s="46" t="str">
        <f>IFERROR(VLOOKUP($A1190,Equipos!$C$2:$M$967,3,FALSE()),"")</f>
        <v>Urgencia Infantil</v>
      </c>
      <c r="E1190" s="46" t="str">
        <f>IFERROR(VLOOKUP($A1190,Equipos!$C$2:$M$967,7,FALSE()),"")</f>
        <v xml:space="preserve">Nihon Kohden </v>
      </c>
      <c r="F1190" s="46" t="str">
        <f>IFERROR(VLOOKUP($A1190,Equipos!$C$2:$M$967,8,FALSE()),"")</f>
        <v>PVM-2701</v>
      </c>
      <c r="G1190" s="46" t="s">
        <v>316</v>
      </c>
      <c r="H1190" s="46"/>
      <c r="I1190" s="46"/>
      <c r="J1190" s="46" t="s">
        <v>297</v>
      </c>
      <c r="K1190" s="46" t="str">
        <f>IFERROR(VLOOKUP($J1190,Catálogos!$M$4:$N$17,2,FALSE()),"")</f>
        <v>Mantención Preventiva Realizada</v>
      </c>
      <c r="L1190" s="46"/>
      <c r="M1190" s="46"/>
      <c r="N1190" s="46"/>
      <c r="O1190" s="46"/>
      <c r="P1190" s="46"/>
      <c r="Q1190" s="46"/>
    </row>
    <row r="1191" spans="1:17" hidden="1" x14ac:dyDescent="0.25">
      <c r="A1191" s="47" t="s">
        <v>1083</v>
      </c>
      <c r="B1191" s="46" t="str">
        <f>IFERROR(VLOOKUP($A1191,Equipos!$C$2:$M$967,2,FALSE()),"")</f>
        <v>Monitor Multiparámetros</v>
      </c>
      <c r="C1191" s="46" t="str">
        <f>IFERROR(VLOOKUP($A1191,Equipos!$C$2:$M$967,9,FALSE()),"")</f>
        <v>0132825.</v>
      </c>
      <c r="D1191" s="46" t="str">
        <f>IFERROR(VLOOKUP($A1191,Equipos!$C$2:$M$967,3,FALSE()),"")</f>
        <v>Urgencia Infantil</v>
      </c>
      <c r="E1191" s="46" t="str">
        <f>IFERROR(VLOOKUP($A1191,Equipos!$C$2:$M$967,7,FALSE()),"")</f>
        <v xml:space="preserve">Nihon Kohden </v>
      </c>
      <c r="F1191" s="46" t="str">
        <f>IFERROR(VLOOKUP($A1191,Equipos!$C$2:$M$967,8,FALSE()),"")</f>
        <v>PVM-2701</v>
      </c>
      <c r="G1191" s="46" t="s">
        <v>316</v>
      </c>
      <c r="H1191" s="46"/>
      <c r="I1191" s="46"/>
      <c r="J1191" s="46" t="s">
        <v>297</v>
      </c>
      <c r="K1191" s="46" t="str">
        <f>IFERROR(VLOOKUP($J1191,Catálogos!$M$4:$N$17,2,FALSE()),"")</f>
        <v>Mantención Preventiva Realizada</v>
      </c>
      <c r="L1191" s="46"/>
      <c r="M1191" s="46"/>
      <c r="N1191" s="46"/>
      <c r="O1191" s="46"/>
      <c r="P1191" s="46"/>
      <c r="Q1191" s="46"/>
    </row>
    <row r="1192" spans="1:17" hidden="1" x14ac:dyDescent="0.25">
      <c r="A1192" s="47" t="s">
        <v>1084</v>
      </c>
      <c r="B1192" s="46" t="str">
        <f>IFERROR(VLOOKUP($A1192,Equipos!$C$2:$M$967,2,FALSE()),"")</f>
        <v>Monitor Multiparámetros</v>
      </c>
      <c r="C1192" s="46" t="str">
        <f>IFERROR(VLOOKUP($A1192,Equipos!$C$2:$M$967,9,FALSE()),"")</f>
        <v>0132826.</v>
      </c>
      <c r="D1192" s="46" t="str">
        <f>IFERROR(VLOOKUP($A1192,Equipos!$C$2:$M$967,3,FALSE()),"")</f>
        <v>Urgencia Infantil</v>
      </c>
      <c r="E1192" s="46" t="str">
        <f>IFERROR(VLOOKUP($A1192,Equipos!$C$2:$M$967,7,FALSE()),"")</f>
        <v xml:space="preserve">Nihon Kohden </v>
      </c>
      <c r="F1192" s="46" t="str">
        <f>IFERROR(VLOOKUP($A1192,Equipos!$C$2:$M$967,8,FALSE()),"")</f>
        <v>PVM-2701</v>
      </c>
      <c r="G1192" s="46" t="s">
        <v>316</v>
      </c>
      <c r="H1192" s="46"/>
      <c r="I1192" s="46"/>
      <c r="J1192" s="46" t="s">
        <v>297</v>
      </c>
      <c r="K1192" s="46" t="str">
        <f>IFERROR(VLOOKUP($J1192,Catálogos!$M$4:$N$17,2,FALSE()),"")</f>
        <v>Mantención Preventiva Realizada</v>
      </c>
      <c r="L1192" s="46"/>
      <c r="M1192" s="46"/>
      <c r="N1192" s="46"/>
      <c r="O1192" s="46"/>
      <c r="P1192" s="46"/>
      <c r="Q1192" s="46"/>
    </row>
    <row r="1193" spans="1:17" hidden="1" x14ac:dyDescent="0.25">
      <c r="A1193" s="47" t="s">
        <v>1085</v>
      </c>
      <c r="B1193" s="46" t="str">
        <f>IFERROR(VLOOKUP($A1193,Equipos!$C$2:$M$967,2,FALSE()),"")</f>
        <v>Monitor Multiparámetros</v>
      </c>
      <c r="C1193" s="46" t="str">
        <f>IFERROR(VLOOKUP($A1193,Equipos!$C$2:$M$967,9,FALSE()),"")</f>
        <v>0132829.</v>
      </c>
      <c r="D1193" s="46" t="str">
        <f>IFERROR(VLOOKUP($A1193,Equipos!$C$2:$M$967,3,FALSE()),"")</f>
        <v>Urgencia Infantil</v>
      </c>
      <c r="E1193" s="46" t="str">
        <f>IFERROR(VLOOKUP($A1193,Equipos!$C$2:$M$967,7,FALSE()),"")</f>
        <v xml:space="preserve">Nihon Kohden </v>
      </c>
      <c r="F1193" s="46" t="str">
        <f>IFERROR(VLOOKUP($A1193,Equipos!$C$2:$M$967,8,FALSE()),"")</f>
        <v>PVM-2701</v>
      </c>
      <c r="G1193" s="46" t="s">
        <v>316</v>
      </c>
      <c r="H1193" s="46"/>
      <c r="I1193" s="46"/>
      <c r="J1193" s="46" t="s">
        <v>297</v>
      </c>
      <c r="K1193" s="46" t="str">
        <f>IFERROR(VLOOKUP($J1193,Catálogos!$M$4:$N$17,2,FALSE()),"")</f>
        <v>Mantención Preventiva Realizada</v>
      </c>
      <c r="L1193" s="46"/>
      <c r="M1193" s="46"/>
      <c r="N1193" s="46"/>
      <c r="O1193" s="46"/>
      <c r="P1193" s="46"/>
      <c r="Q1193" s="46"/>
    </row>
    <row r="1194" spans="1:17" hidden="1" x14ac:dyDescent="0.25">
      <c r="A1194" s="47" t="s">
        <v>1086</v>
      </c>
      <c r="B1194" s="46" t="str">
        <f>IFERROR(VLOOKUP($A1194,Equipos!$C$2:$M$967,2,FALSE()),"")</f>
        <v>Monitor Multiparámetros</v>
      </c>
      <c r="C1194" s="46" t="str">
        <f>IFERROR(VLOOKUP($A1194,Equipos!$C$2:$M$967,9,FALSE()),"")</f>
        <v>0132834.</v>
      </c>
      <c r="D1194" s="46" t="str">
        <f>IFERROR(VLOOKUP($A1194,Equipos!$C$2:$M$967,3,FALSE()),"")</f>
        <v>Urgencia Infantil</v>
      </c>
      <c r="E1194" s="46" t="str">
        <f>IFERROR(VLOOKUP($A1194,Equipos!$C$2:$M$967,7,FALSE()),"")</f>
        <v xml:space="preserve">Nihon Kohden </v>
      </c>
      <c r="F1194" s="46" t="str">
        <f>IFERROR(VLOOKUP($A1194,Equipos!$C$2:$M$967,8,FALSE()),"")</f>
        <v>PVM-2701</v>
      </c>
      <c r="G1194" s="46" t="s">
        <v>316</v>
      </c>
      <c r="H1194" s="46"/>
      <c r="I1194" s="46"/>
      <c r="J1194" s="46" t="s">
        <v>297</v>
      </c>
      <c r="K1194" s="46" t="str">
        <f>IFERROR(VLOOKUP($J1194,Catálogos!$M$4:$N$17,2,FALSE()),"")</f>
        <v>Mantención Preventiva Realizada</v>
      </c>
      <c r="L1194" s="46"/>
      <c r="M1194" s="46"/>
      <c r="N1194" s="46"/>
      <c r="O1194" s="46"/>
      <c r="P1194" s="46"/>
      <c r="Q1194" s="46"/>
    </row>
    <row r="1195" spans="1:17" hidden="1" x14ac:dyDescent="0.25">
      <c r="A1195" s="47" t="s">
        <v>1087</v>
      </c>
      <c r="B1195" s="46" t="str">
        <f>IFERROR(VLOOKUP($A1195,Equipos!$C$2:$M$967,2,FALSE()),"")</f>
        <v>Monitor Multiparámetros</v>
      </c>
      <c r="C1195" s="46" t="str">
        <f>IFERROR(VLOOKUP($A1195,Equipos!$C$2:$M$967,9,FALSE()),"")</f>
        <v>19109.</v>
      </c>
      <c r="D1195" s="46" t="str">
        <f>IFERROR(VLOOKUP($A1195,Equipos!$C$2:$M$967,3,FALSE()),"")</f>
        <v>Urgencia Infantil</v>
      </c>
      <c r="E1195" s="46" t="str">
        <f>IFERROR(VLOOKUP($A1195,Equipos!$C$2:$M$967,7,FALSE()),"")</f>
        <v xml:space="preserve">Nihon Kohden </v>
      </c>
      <c r="F1195" s="46" t="str">
        <f>IFERROR(VLOOKUP($A1195,Equipos!$C$2:$M$967,8,FALSE()),"")</f>
        <v>BSM-3763</v>
      </c>
      <c r="G1195" s="46" t="s">
        <v>316</v>
      </c>
      <c r="H1195" s="46"/>
      <c r="I1195" s="46"/>
      <c r="J1195" s="46" t="s">
        <v>297</v>
      </c>
      <c r="K1195" s="46" t="str">
        <f>IFERROR(VLOOKUP($J1195,Catálogos!$M$4:$N$17,2,FALSE()),"")</f>
        <v>Mantención Preventiva Realizada</v>
      </c>
      <c r="L1195" s="46"/>
      <c r="M1195" s="46"/>
      <c r="N1195" s="46"/>
      <c r="O1195" s="46"/>
      <c r="P1195" s="46"/>
      <c r="Q1195" s="46"/>
    </row>
    <row r="1196" spans="1:17" hidden="1" x14ac:dyDescent="0.25">
      <c r="A1196" s="47" t="s">
        <v>1088</v>
      </c>
      <c r="B1196" s="46" t="str">
        <f>IFERROR(VLOOKUP($A1196,Equipos!$C$2:$M$967,2,FALSE()),"")</f>
        <v>Monitor Multiparámetros</v>
      </c>
      <c r="C1196" s="46" t="str">
        <f>IFERROR(VLOOKUP($A1196,Equipos!$C$2:$M$967,9,FALSE()),"")</f>
        <v>08813.</v>
      </c>
      <c r="D1196" s="46" t="str">
        <f>IFERROR(VLOOKUP($A1196,Equipos!$C$2:$M$967,3,FALSE()),"")</f>
        <v>Urgencia Infantil</v>
      </c>
      <c r="E1196" s="46" t="str">
        <f>IFERROR(VLOOKUP($A1196,Equipos!$C$2:$M$967,7,FALSE()),"")</f>
        <v xml:space="preserve">Nihon Kohden </v>
      </c>
      <c r="F1196" s="46" t="str">
        <f>IFERROR(VLOOKUP($A1196,Equipos!$C$2:$M$967,8,FALSE()),"")</f>
        <v>BSM-1763</v>
      </c>
      <c r="G1196" s="46" t="s">
        <v>316</v>
      </c>
      <c r="H1196" s="46"/>
      <c r="I1196" s="46"/>
      <c r="J1196" s="46" t="s">
        <v>297</v>
      </c>
      <c r="K1196" s="46" t="str">
        <f>IFERROR(VLOOKUP($J1196,Catálogos!$M$4:$N$17,2,FALSE()),"")</f>
        <v>Mantención Preventiva Realizada</v>
      </c>
      <c r="L1196" s="46"/>
      <c r="M1196" s="46"/>
      <c r="N1196" s="46"/>
      <c r="O1196" s="46"/>
      <c r="P1196" s="46"/>
      <c r="Q1196" s="46"/>
    </row>
    <row r="1197" spans="1:17" hidden="1" x14ac:dyDescent="0.25">
      <c r="A1197" s="47" t="s">
        <v>1089</v>
      </c>
      <c r="B1197" s="46" t="str">
        <f>IFERROR(VLOOKUP($A1197,Equipos!$C$2:$M$967,2,FALSE()),"")</f>
        <v>Monitor Multiparámetros</v>
      </c>
      <c r="C1197" s="46" t="str">
        <f>IFERROR(VLOOKUP($A1197,Equipos!$C$2:$M$967,9,FALSE()),"")</f>
        <v>AA3-14033891</v>
      </c>
      <c r="D1197" s="46" t="str">
        <f>IFERROR(VLOOKUP($A1197,Equipos!$C$2:$M$967,3,FALSE()),"")</f>
        <v>Pabellón CMA</v>
      </c>
      <c r="E1197" s="46" t="str">
        <f>IFERROR(VLOOKUP($A1197,Equipos!$C$2:$M$967,7,FALSE()),"")</f>
        <v>Mindray</v>
      </c>
      <c r="F1197" s="46" t="str">
        <f>IFERROR(VLOOKUP($A1197,Equipos!$C$2:$M$967,8,FALSE()),"")</f>
        <v>BeneVision N1</v>
      </c>
      <c r="G1197" s="46" t="s">
        <v>298</v>
      </c>
      <c r="H1197" s="46"/>
      <c r="I1197" s="46"/>
      <c r="J1197" s="46" t="s">
        <v>297</v>
      </c>
      <c r="K1197" s="46" t="str">
        <f>IFERROR(VLOOKUP($J1197,Catálogos!$M$4:$N$17,2,FALSE()),"")</f>
        <v>Mantención Preventiva Realizada</v>
      </c>
      <c r="L1197" s="46"/>
      <c r="M1197" s="46"/>
      <c r="N1197" s="46"/>
      <c r="O1197" s="46"/>
      <c r="P1197" s="46"/>
      <c r="Q1197" s="46"/>
    </row>
    <row r="1198" spans="1:17" hidden="1" x14ac:dyDescent="0.25">
      <c r="A1198" s="47" t="s">
        <v>1090</v>
      </c>
      <c r="B1198" s="46" t="str">
        <f>IFERROR(VLOOKUP($A1198,Equipos!$C$2:$M$967,2,FALSE()),"")</f>
        <v>Monitor Multiparámetros</v>
      </c>
      <c r="C1198" s="46" t="str">
        <f>IFERROR(VLOOKUP($A1198,Equipos!$C$2:$M$967,9,FALSE()),"")</f>
        <v>CN92392254</v>
      </c>
      <c r="D1198" s="46" t="str">
        <f>IFERROR(VLOOKUP($A1198,Equipos!$C$2:$M$967,3,FALSE()),"")</f>
        <v>Ginecología</v>
      </c>
      <c r="E1198" s="46" t="str">
        <f>IFERROR(VLOOKUP($A1198,Equipos!$C$2:$M$967,7,FALSE()),"")</f>
        <v>Philips</v>
      </c>
      <c r="F1198" s="46" t="str">
        <f>IFERROR(VLOOKUP($A1198,Equipos!$C$2:$M$967,8,FALSE()),"")</f>
        <v>CM100</v>
      </c>
      <c r="G1198" s="46" t="s">
        <v>298</v>
      </c>
      <c r="H1198" s="46"/>
      <c r="I1198" s="46"/>
      <c r="J1198" s="46" t="s">
        <v>297</v>
      </c>
      <c r="K1198" s="46" t="str">
        <f>IFERROR(VLOOKUP($J1198,Catálogos!$M$4:$N$17,2,FALSE()),"")</f>
        <v>Mantención Preventiva Realizada</v>
      </c>
      <c r="L1198" s="46"/>
      <c r="M1198" s="46"/>
      <c r="N1198" s="46"/>
      <c r="O1198" s="46"/>
      <c r="P1198" s="46"/>
      <c r="Q1198" s="46"/>
    </row>
    <row r="1199" spans="1:17" hidden="1" x14ac:dyDescent="0.25">
      <c r="A1199" s="47" t="s">
        <v>1091</v>
      </c>
      <c r="B1199" s="46" t="str">
        <f>IFERROR(VLOOKUP($A1199,Equipos!$C$2:$M$967,2,FALSE()),"")</f>
        <v>Monitor Multiparámetros</v>
      </c>
      <c r="C1199" s="46" t="str">
        <f>IFERROR(VLOOKUP($A1199,Equipos!$C$2:$M$967,9,FALSE()),"")</f>
        <v>22060100008</v>
      </c>
      <c r="D1199" s="46" t="str">
        <f>IFERROR(VLOOKUP($A1199,Equipos!$C$2:$M$967,3,FALSE()),"")</f>
        <v>Servicio Social</v>
      </c>
      <c r="E1199" s="46" t="str">
        <f>IFERROR(VLOOKUP($A1199,Equipos!$C$2:$M$967,7,FALSE()),"")</f>
        <v>Sinohero</v>
      </c>
      <c r="F1199" s="46" t="str">
        <f>IFERROR(VLOOKUP($A1199,Equipos!$C$2:$M$967,8,FALSE()),"")</f>
        <v>H5</v>
      </c>
      <c r="G1199" s="46" t="s">
        <v>331</v>
      </c>
      <c r="H1199" s="46"/>
      <c r="I1199" s="46"/>
      <c r="J1199" s="46" t="s">
        <v>297</v>
      </c>
      <c r="K1199" s="46" t="str">
        <f>IFERROR(VLOOKUP($J1199,Catálogos!$M$4:$N$17,2,FALSE()),"")</f>
        <v>Mantención Preventiva Realizada</v>
      </c>
      <c r="L1199" s="46"/>
      <c r="M1199" s="46"/>
      <c r="N1199" s="46"/>
      <c r="O1199" s="46"/>
      <c r="P1199" s="46"/>
      <c r="Q1199" s="46"/>
    </row>
    <row r="1200" spans="1:17" hidden="1" x14ac:dyDescent="0.25">
      <c r="A1200" s="47" t="s">
        <v>1092</v>
      </c>
      <c r="B1200" s="46" t="str">
        <f>IFERROR(VLOOKUP($A1200,Equipos!$C$2:$M$967,2,FALSE()),"")</f>
        <v>Monitor Multiparámetros</v>
      </c>
      <c r="C1200" s="46" t="str">
        <f>IFERROR(VLOOKUP($A1200,Equipos!$C$2:$M$967,9,FALSE()),"")</f>
        <v>22060100003</v>
      </c>
      <c r="D1200" s="46" t="str">
        <f>IFERROR(VLOOKUP($A1200,Equipos!$C$2:$M$967,3,FALSE()),"")</f>
        <v>Servicio Social</v>
      </c>
      <c r="E1200" s="46" t="str">
        <f>IFERROR(VLOOKUP($A1200,Equipos!$C$2:$M$967,7,FALSE()),"")</f>
        <v>Sinohero</v>
      </c>
      <c r="F1200" s="46" t="str">
        <f>IFERROR(VLOOKUP($A1200,Equipos!$C$2:$M$967,8,FALSE()),"")</f>
        <v>H5</v>
      </c>
      <c r="G1200" s="46" t="s">
        <v>331</v>
      </c>
      <c r="H1200" s="46"/>
      <c r="I1200" s="46"/>
      <c r="J1200" s="46" t="s">
        <v>987</v>
      </c>
      <c r="K1200" s="46" t="str">
        <f>IFERROR(VLOOKUP($J1200,Catálogos!$M$4:$N$17,2,FALSE()),"")</f>
        <v>Reprogramada · Contingencia hospitalaria</v>
      </c>
      <c r="L1200" s="46"/>
      <c r="M1200" s="46"/>
      <c r="N1200" s="46"/>
      <c r="O1200" s="46"/>
      <c r="P1200" s="46"/>
      <c r="Q1200" s="46"/>
    </row>
    <row r="1201" spans="1:17" hidden="1" x14ac:dyDescent="0.25">
      <c r="A1201" s="47" t="s">
        <v>1093</v>
      </c>
      <c r="B1201" s="46" t="str">
        <f>IFERROR(VLOOKUP($A1201,Equipos!$C$2:$M$967,2,FALSE()),"")</f>
        <v>Monitor Multiparámetros</v>
      </c>
      <c r="C1201" s="46" t="str">
        <f>IFERROR(VLOOKUP($A1201,Equipos!$C$2:$M$967,9,FALSE()),"")</f>
        <v>S2SRC0509</v>
      </c>
      <c r="D1201" s="46" t="str">
        <f>IFERROR(VLOOKUP($A1201,Equipos!$C$2:$M$967,3,FALSE()),"")</f>
        <v>Urgencia Adulto</v>
      </c>
      <c r="E1201" s="46" t="str">
        <f>IFERROR(VLOOKUP($A1201,Equipos!$C$2:$M$967,7,FALSE()),"")</f>
        <v>Drager</v>
      </c>
      <c r="F1201" s="46" t="str">
        <f>IFERROR(VLOOKUP($A1201,Equipos!$C$2:$M$967,8,FALSE()),"")</f>
        <v>Vista 120 S</v>
      </c>
      <c r="G1201" s="46" t="s">
        <v>316</v>
      </c>
      <c r="H1201" s="46"/>
      <c r="I1201" s="46"/>
      <c r="J1201" s="46" t="s">
        <v>297</v>
      </c>
      <c r="K1201" s="46" t="str">
        <f>IFERROR(VLOOKUP($J1201,Catálogos!$M$4:$N$17,2,FALSE()),"")</f>
        <v>Mantención Preventiva Realizada</v>
      </c>
      <c r="L1201" s="46"/>
      <c r="M1201" s="46"/>
      <c r="N1201" s="46"/>
      <c r="O1201" s="46"/>
      <c r="P1201" s="46"/>
      <c r="Q1201" s="46"/>
    </row>
    <row r="1202" spans="1:17" hidden="1" x14ac:dyDescent="0.25">
      <c r="A1202" s="47" t="s">
        <v>1094</v>
      </c>
      <c r="B1202" s="46" t="str">
        <f>IFERROR(VLOOKUP($A1202,Equipos!$C$2:$M$967,2,FALSE()),"")</f>
        <v>Monitor Multiparámetros</v>
      </c>
      <c r="C1202" s="46" t="str">
        <f>IFERROR(VLOOKUP($A1202,Equipos!$C$2:$M$967,9,FALSE()),"")</f>
        <v>S2SNE1555</v>
      </c>
      <c r="D1202" s="46" t="str">
        <f>IFERROR(VLOOKUP($A1202,Equipos!$C$2:$M$967,3,FALSE()),"")</f>
        <v>Urgencia Adulto</v>
      </c>
      <c r="E1202" s="46" t="str">
        <f>IFERROR(VLOOKUP($A1202,Equipos!$C$2:$M$967,7,FALSE()),"")</f>
        <v>Drager</v>
      </c>
      <c r="F1202" s="46" t="str">
        <f>IFERROR(VLOOKUP($A1202,Equipos!$C$2:$M$967,8,FALSE()),"")</f>
        <v>Vista 120 S</v>
      </c>
      <c r="G1202" s="46" t="s">
        <v>316</v>
      </c>
      <c r="H1202" s="46"/>
      <c r="I1202" s="46"/>
      <c r="J1202" s="46" t="s">
        <v>297</v>
      </c>
      <c r="K1202" s="46" t="str">
        <f>IFERROR(VLOOKUP($J1202,Catálogos!$M$4:$N$17,2,FALSE()),"")</f>
        <v>Mantención Preventiva Realizada</v>
      </c>
      <c r="L1202" s="46"/>
      <c r="M1202" s="46"/>
      <c r="N1202" s="46"/>
      <c r="O1202" s="46"/>
      <c r="P1202" s="46"/>
      <c r="Q1202" s="46"/>
    </row>
    <row r="1203" spans="1:17" hidden="1" x14ac:dyDescent="0.25">
      <c r="A1203" s="47" t="s">
        <v>1095</v>
      </c>
      <c r="B1203" s="46" t="str">
        <f>IFERROR(VLOOKUP($A1203,Equipos!$C$2:$M$967,2,FALSE()),"")</f>
        <v>Monitor Multiparámetros</v>
      </c>
      <c r="C1203" s="46" t="str">
        <f>IFERROR(VLOOKUP($A1203,Equipos!$C$2:$M$967,9,FALSE()),"")</f>
        <v>VGSRC0520</v>
      </c>
      <c r="D1203" s="46" t="str">
        <f>IFERROR(VLOOKUP($A1203,Equipos!$C$2:$M$967,3,FALSE()),"")</f>
        <v>Urgencia Adulto</v>
      </c>
      <c r="E1203" s="46" t="str">
        <f>IFERROR(VLOOKUP($A1203,Equipos!$C$2:$M$967,7,FALSE()),"")</f>
        <v>Drager</v>
      </c>
      <c r="F1203" s="46" t="str">
        <f>IFERROR(VLOOKUP($A1203,Equipos!$C$2:$M$967,8,FALSE()),"")</f>
        <v>Vista 120</v>
      </c>
      <c r="G1203" s="46" t="s">
        <v>316</v>
      </c>
      <c r="H1203" s="46"/>
      <c r="I1203" s="46"/>
      <c r="J1203" s="46" t="s">
        <v>297</v>
      </c>
      <c r="K1203" s="46" t="str">
        <f>IFERROR(VLOOKUP($J1203,Catálogos!$M$4:$N$17,2,FALSE()),"")</f>
        <v>Mantención Preventiva Realizada</v>
      </c>
      <c r="L1203" s="46"/>
      <c r="M1203" s="46"/>
      <c r="N1203" s="46"/>
      <c r="O1203" s="46"/>
      <c r="P1203" s="46"/>
      <c r="Q1203" s="46"/>
    </row>
    <row r="1204" spans="1:17" hidden="1" x14ac:dyDescent="0.25">
      <c r="A1204" s="47" t="s">
        <v>1096</v>
      </c>
      <c r="B1204" s="46" t="str">
        <f>IFERROR(VLOOKUP($A1204,Equipos!$C$2:$M$967,2,FALSE()),"")</f>
        <v>Monitor Multiparámetros</v>
      </c>
      <c r="C1204" s="46" t="str">
        <f>IFERROR(VLOOKUP($A1204,Equipos!$C$2:$M$967,9,FALSE()),"")</f>
        <v>VGSRC0467</v>
      </c>
      <c r="D1204" s="46" t="str">
        <f>IFERROR(VLOOKUP($A1204,Equipos!$C$2:$M$967,3,FALSE()),"")</f>
        <v>Urgencia Adulto</v>
      </c>
      <c r="E1204" s="46" t="str">
        <f>IFERROR(VLOOKUP($A1204,Equipos!$C$2:$M$967,7,FALSE()),"")</f>
        <v>Drager</v>
      </c>
      <c r="F1204" s="46" t="str">
        <f>IFERROR(VLOOKUP($A1204,Equipos!$C$2:$M$967,8,FALSE()),"")</f>
        <v>Vista 120</v>
      </c>
      <c r="G1204" s="46" t="s">
        <v>316</v>
      </c>
      <c r="H1204" s="46"/>
      <c r="I1204" s="46"/>
      <c r="J1204" s="46" t="s">
        <v>297</v>
      </c>
      <c r="K1204" s="46" t="str">
        <f>IFERROR(VLOOKUP($J1204,Catálogos!$M$4:$N$17,2,FALSE()),"")</f>
        <v>Mantención Preventiva Realizada</v>
      </c>
      <c r="L1204" s="46"/>
      <c r="M1204" s="46"/>
      <c r="N1204" s="46"/>
      <c r="O1204" s="46"/>
      <c r="P1204" s="46"/>
      <c r="Q1204" s="46"/>
    </row>
    <row r="1205" spans="1:17" hidden="1" x14ac:dyDescent="0.25">
      <c r="A1205" s="47" t="s">
        <v>1097</v>
      </c>
      <c r="B1205" s="46" t="str">
        <f>IFERROR(VLOOKUP($A1205,Equipos!$C$2:$M$967,2,FALSE()),"")</f>
        <v>Monitor Multiparámetros</v>
      </c>
      <c r="C1205" s="46" t="str">
        <f>IFERROR(VLOOKUP($A1205,Equipos!$C$2:$M$967,9,FALSE()),"")</f>
        <v>VGSRC0512</v>
      </c>
      <c r="D1205" s="46" t="str">
        <f>IFERROR(VLOOKUP($A1205,Equipos!$C$2:$M$967,3,FALSE()),"")</f>
        <v>Urgencia Adulto</v>
      </c>
      <c r="E1205" s="46" t="str">
        <f>IFERROR(VLOOKUP($A1205,Equipos!$C$2:$M$967,7,FALSE()),"")</f>
        <v>Drager</v>
      </c>
      <c r="F1205" s="46" t="str">
        <f>IFERROR(VLOOKUP($A1205,Equipos!$C$2:$M$967,8,FALSE()),"")</f>
        <v>Vista 120</v>
      </c>
      <c r="G1205" s="46" t="s">
        <v>316</v>
      </c>
      <c r="H1205" s="46"/>
      <c r="I1205" s="46"/>
      <c r="J1205" s="46" t="s">
        <v>297</v>
      </c>
      <c r="K1205" s="46" t="str">
        <f>IFERROR(VLOOKUP($J1205,Catálogos!$M$4:$N$17,2,FALSE()),"")</f>
        <v>Mantención Preventiva Realizada</v>
      </c>
      <c r="L1205" s="46"/>
      <c r="M1205" s="46"/>
      <c r="N1205" s="46"/>
      <c r="O1205" s="46"/>
      <c r="P1205" s="46"/>
      <c r="Q1205" s="46"/>
    </row>
    <row r="1206" spans="1:17" hidden="1" x14ac:dyDescent="0.25">
      <c r="A1206" s="47" t="s">
        <v>1098</v>
      </c>
      <c r="B1206" s="46" t="str">
        <f>IFERROR(VLOOKUP($A1206,Equipos!$C$2:$M$967,2,FALSE()),"")</f>
        <v>Monitor Multiparámetros</v>
      </c>
      <c r="C1206" s="46" t="str">
        <f>IFERROR(VLOOKUP($A1206,Equipos!$C$2:$M$967,9,FALSE()),"")</f>
        <v>VGSRC0472</v>
      </c>
      <c r="D1206" s="46" t="str">
        <f>IFERROR(VLOOKUP($A1206,Equipos!$C$2:$M$967,3,FALSE()),"")</f>
        <v>Urgencia Adulto</v>
      </c>
      <c r="E1206" s="46" t="str">
        <f>IFERROR(VLOOKUP($A1206,Equipos!$C$2:$M$967,7,FALSE()),"")</f>
        <v>Drager</v>
      </c>
      <c r="F1206" s="46" t="str">
        <f>IFERROR(VLOOKUP($A1206,Equipos!$C$2:$M$967,8,FALSE()),"")</f>
        <v>Vista 120</v>
      </c>
      <c r="G1206" s="46" t="s">
        <v>316</v>
      </c>
      <c r="H1206" s="46"/>
      <c r="I1206" s="46"/>
      <c r="J1206" s="46" t="s">
        <v>297</v>
      </c>
      <c r="K1206" s="46" t="str">
        <f>IFERROR(VLOOKUP($J1206,Catálogos!$M$4:$N$17,2,FALSE()),"")</f>
        <v>Mantención Preventiva Realizada</v>
      </c>
      <c r="L1206" s="46"/>
      <c r="M1206" s="46"/>
      <c r="N1206" s="46"/>
      <c r="O1206" s="46"/>
      <c r="P1206" s="46"/>
      <c r="Q1206" s="46"/>
    </row>
    <row r="1207" spans="1:17" hidden="1" x14ac:dyDescent="0.25">
      <c r="A1207" s="47" t="s">
        <v>1099</v>
      </c>
      <c r="B1207" s="46" t="str">
        <f>IFERROR(VLOOKUP($A1207,Equipos!$C$2:$M$967,2,FALSE()),"")</f>
        <v>Monitor Multiparámetros</v>
      </c>
      <c r="C1207" s="46" t="str">
        <f>IFERROR(VLOOKUP($A1207,Equipos!$C$2:$M$967,9,FALSE()),"")</f>
        <v>VGSRC0490</v>
      </c>
      <c r="D1207" s="46" t="str">
        <f>IFERROR(VLOOKUP($A1207,Equipos!$C$2:$M$967,3,FALSE()),"")</f>
        <v>Urgencia Adulto</v>
      </c>
      <c r="E1207" s="46" t="str">
        <f>IFERROR(VLOOKUP($A1207,Equipos!$C$2:$M$967,7,FALSE()),"")</f>
        <v>Drager</v>
      </c>
      <c r="F1207" s="46" t="str">
        <f>IFERROR(VLOOKUP($A1207,Equipos!$C$2:$M$967,8,FALSE()),"")</f>
        <v>Vista 120</v>
      </c>
      <c r="G1207" s="46" t="s">
        <v>316</v>
      </c>
      <c r="H1207" s="46"/>
      <c r="I1207" s="46"/>
      <c r="J1207" s="46" t="s">
        <v>297</v>
      </c>
      <c r="K1207" s="46" t="str">
        <f>IFERROR(VLOOKUP($J1207,Catálogos!$M$4:$N$17,2,FALSE()),"")</f>
        <v>Mantención Preventiva Realizada</v>
      </c>
      <c r="L1207" s="46"/>
      <c r="M1207" s="46"/>
      <c r="N1207" s="46"/>
      <c r="O1207" s="46"/>
      <c r="P1207" s="46"/>
      <c r="Q1207" s="46"/>
    </row>
    <row r="1208" spans="1:17" hidden="1" x14ac:dyDescent="0.25">
      <c r="A1208" s="47" t="s">
        <v>1100</v>
      </c>
      <c r="B1208" s="46" t="str">
        <f>IFERROR(VLOOKUP($A1208,Equipos!$C$2:$M$967,2,FALSE()),"")</f>
        <v>Monitor Multiparámetros</v>
      </c>
      <c r="C1208" s="46" t="str">
        <f>IFERROR(VLOOKUP($A1208,Equipos!$C$2:$M$967,9,FALSE()),"")</f>
        <v>VGSRC0495</v>
      </c>
      <c r="D1208" s="46" t="str">
        <f>IFERROR(VLOOKUP($A1208,Equipos!$C$2:$M$967,3,FALSE()),"")</f>
        <v>Urgencia Adulto</v>
      </c>
      <c r="E1208" s="46" t="str">
        <f>IFERROR(VLOOKUP($A1208,Equipos!$C$2:$M$967,7,FALSE()),"")</f>
        <v>Drager</v>
      </c>
      <c r="F1208" s="46" t="str">
        <f>IFERROR(VLOOKUP($A1208,Equipos!$C$2:$M$967,8,FALSE()),"")</f>
        <v>Vista 120</v>
      </c>
      <c r="G1208" s="46" t="s">
        <v>316</v>
      </c>
      <c r="H1208" s="46"/>
      <c r="I1208" s="46"/>
      <c r="J1208" s="46" t="s">
        <v>297</v>
      </c>
      <c r="K1208" s="46" t="str">
        <f>IFERROR(VLOOKUP($J1208,Catálogos!$M$4:$N$17,2,FALSE()),"")</f>
        <v>Mantención Preventiva Realizada</v>
      </c>
      <c r="L1208" s="46"/>
      <c r="M1208" s="46"/>
      <c r="N1208" s="46"/>
      <c r="O1208" s="46"/>
      <c r="P1208" s="46"/>
      <c r="Q1208" s="46"/>
    </row>
    <row r="1209" spans="1:17" hidden="1" x14ac:dyDescent="0.25">
      <c r="A1209" s="47" t="s">
        <v>1101</v>
      </c>
      <c r="B1209" s="46" t="str">
        <f>IFERROR(VLOOKUP($A1209,Equipos!$C$2:$M$967,2,FALSE()),"")</f>
        <v>Monitor Multiparámetros</v>
      </c>
      <c r="C1209" s="46" t="str">
        <f>IFERROR(VLOOKUP($A1209,Equipos!$C$2:$M$967,9,FALSE()),"")</f>
        <v>VGSRC0521</v>
      </c>
      <c r="D1209" s="46" t="str">
        <f>IFERROR(VLOOKUP($A1209,Equipos!$C$2:$M$967,3,FALSE()),"")</f>
        <v>Urgencia Adulto</v>
      </c>
      <c r="E1209" s="46" t="str">
        <f>IFERROR(VLOOKUP($A1209,Equipos!$C$2:$M$967,7,FALSE()),"")</f>
        <v>Drager</v>
      </c>
      <c r="F1209" s="46" t="str">
        <f>IFERROR(VLOOKUP($A1209,Equipos!$C$2:$M$967,8,FALSE()),"")</f>
        <v>Vista 120</v>
      </c>
      <c r="G1209" s="46" t="s">
        <v>316</v>
      </c>
      <c r="H1209" s="46"/>
      <c r="I1209" s="46"/>
      <c r="J1209" s="46" t="s">
        <v>297</v>
      </c>
      <c r="K1209" s="46" t="str">
        <f>IFERROR(VLOOKUP($J1209,Catálogos!$M$4:$N$17,2,FALSE()),"")</f>
        <v>Mantención Preventiva Realizada</v>
      </c>
      <c r="L1209" s="46"/>
      <c r="M1209" s="46"/>
      <c r="N1209" s="46"/>
      <c r="O1209" s="46"/>
      <c r="P1209" s="46"/>
      <c r="Q1209" s="46"/>
    </row>
    <row r="1210" spans="1:17" hidden="1" x14ac:dyDescent="0.25">
      <c r="A1210" s="47" t="s">
        <v>1102</v>
      </c>
      <c r="B1210" s="46" t="str">
        <f>IFERROR(VLOOKUP($A1210,Equipos!$C$2:$M$967,2,FALSE()),"")</f>
        <v>Monitor Multiparámetros</v>
      </c>
      <c r="C1210" s="46" t="str">
        <f>IFERROR(VLOOKUP($A1210,Equipos!$C$2:$M$967,9,FALSE()),"")</f>
        <v>VGSRC0543</v>
      </c>
      <c r="D1210" s="46" t="str">
        <f>IFERROR(VLOOKUP($A1210,Equipos!$C$2:$M$967,3,FALSE()),"")</f>
        <v>Urgencia Adulto</v>
      </c>
      <c r="E1210" s="46" t="str">
        <f>IFERROR(VLOOKUP($A1210,Equipos!$C$2:$M$967,7,FALSE()),"")</f>
        <v>Drager</v>
      </c>
      <c r="F1210" s="46" t="str">
        <f>IFERROR(VLOOKUP($A1210,Equipos!$C$2:$M$967,8,FALSE()),"")</f>
        <v>Vista 120</v>
      </c>
      <c r="G1210" s="46" t="s">
        <v>316</v>
      </c>
      <c r="H1210" s="46"/>
      <c r="I1210" s="46"/>
      <c r="J1210" s="46" t="s">
        <v>297</v>
      </c>
      <c r="K1210" s="46" t="str">
        <f>IFERROR(VLOOKUP($J1210,Catálogos!$M$4:$N$17,2,FALSE()),"")</f>
        <v>Mantención Preventiva Realizada</v>
      </c>
      <c r="L1210" s="46"/>
      <c r="M1210" s="46"/>
      <c r="N1210" s="46"/>
      <c r="O1210" s="46"/>
      <c r="P1210" s="46"/>
      <c r="Q1210" s="46"/>
    </row>
    <row r="1211" spans="1:17" hidden="1" x14ac:dyDescent="0.25">
      <c r="A1211" s="47" t="s">
        <v>1103</v>
      </c>
      <c r="B1211" s="46" t="str">
        <f>IFERROR(VLOOKUP($A1211,Equipos!$C$2:$M$967,2,FALSE()),"")</f>
        <v>Monitor Multiparámetros</v>
      </c>
      <c r="C1211" s="46" t="str">
        <f>IFERROR(VLOOKUP($A1211,Equipos!$C$2:$M$967,9,FALSE()),"")</f>
        <v>VGSRC0538</v>
      </c>
      <c r="D1211" s="46" t="str">
        <f>IFERROR(VLOOKUP($A1211,Equipos!$C$2:$M$967,3,FALSE()),"")</f>
        <v>Urgencia Adulto</v>
      </c>
      <c r="E1211" s="46" t="str">
        <f>IFERROR(VLOOKUP($A1211,Equipos!$C$2:$M$967,7,FALSE()),"")</f>
        <v>Drager</v>
      </c>
      <c r="F1211" s="46" t="str">
        <f>IFERROR(VLOOKUP($A1211,Equipos!$C$2:$M$967,8,FALSE()),"")</f>
        <v>Vista 120</v>
      </c>
      <c r="G1211" s="46" t="s">
        <v>316</v>
      </c>
      <c r="H1211" s="46"/>
      <c r="I1211" s="46"/>
      <c r="J1211" s="46" t="s">
        <v>297</v>
      </c>
      <c r="K1211" s="46" t="str">
        <f>IFERROR(VLOOKUP($J1211,Catálogos!$M$4:$N$17,2,FALSE()),"")</f>
        <v>Mantención Preventiva Realizada</v>
      </c>
      <c r="L1211" s="46"/>
      <c r="M1211" s="46"/>
      <c r="N1211" s="46"/>
      <c r="O1211" s="46"/>
      <c r="P1211" s="46"/>
      <c r="Q1211" s="46"/>
    </row>
    <row r="1212" spans="1:17" hidden="1" x14ac:dyDescent="0.25">
      <c r="A1212" s="47" t="s">
        <v>1104</v>
      </c>
      <c r="B1212" s="46" t="str">
        <f>IFERROR(VLOOKUP($A1212,Equipos!$C$2:$M$967,2,FALSE()),"")</f>
        <v>Monitor Multiparámetros</v>
      </c>
      <c r="C1212" s="46" t="str">
        <f>IFERROR(VLOOKUP($A1212,Equipos!$C$2:$M$967,9,FALSE()),"")</f>
        <v>JH01B910008</v>
      </c>
      <c r="D1212" s="46" t="str">
        <f>IFERROR(VLOOKUP($A1212,Equipos!$C$2:$M$967,3,FALSE()),"")</f>
        <v>CDT</v>
      </c>
      <c r="E1212" s="46" t="str">
        <f>IFERROR(VLOOKUP($A1212,Equipos!$C$2:$M$967,7,FALSE()),"")</f>
        <v>Northern</v>
      </c>
      <c r="F1212" s="46" t="str">
        <f>IFERROR(VLOOKUP($A1212,Equipos!$C$2:$M$967,8,FALSE()),"")</f>
        <v>Aquarius ECG</v>
      </c>
      <c r="G1212" s="46" t="s">
        <v>316</v>
      </c>
      <c r="H1212" s="46"/>
      <c r="I1212" s="46"/>
      <c r="J1212" s="46" t="s">
        <v>323</v>
      </c>
      <c r="K1212" s="46" t="str">
        <f>IFERROR(VLOOKUP($J1212,Catálogos!$M$4:$N$17,2,FALSE()),"")</f>
        <v>Reprogramada · No disponibilidad de horas hombre del funcionario SEC por alta carga laboral</v>
      </c>
      <c r="L1212" s="46"/>
      <c r="M1212" s="46"/>
      <c r="N1212" s="46"/>
      <c r="O1212" s="46"/>
      <c r="P1212" s="46"/>
      <c r="Q1212" s="46"/>
    </row>
    <row r="1213" spans="1:17" hidden="1" x14ac:dyDescent="0.25">
      <c r="A1213" s="47" t="s">
        <v>1104</v>
      </c>
      <c r="B1213" s="46" t="str">
        <f>IFERROR(VLOOKUP($A1213,Equipos!$C$2:$M$967,2,FALSE()),"")</f>
        <v>Monitor Multiparámetros</v>
      </c>
      <c r="C1213" s="46" t="str">
        <f>IFERROR(VLOOKUP($A1213,Equipos!$C$2:$M$967,9,FALSE()),"")</f>
        <v>JH01B910008</v>
      </c>
      <c r="D1213" s="46" t="str">
        <f>IFERROR(VLOOKUP($A1213,Equipos!$C$2:$M$967,3,FALSE()),"")</f>
        <v>CDT</v>
      </c>
      <c r="E1213" s="46" t="str">
        <f>IFERROR(VLOOKUP($A1213,Equipos!$C$2:$M$967,7,FALSE()),"")</f>
        <v>Northern</v>
      </c>
      <c r="F1213" s="46" t="str">
        <f>IFERROR(VLOOKUP($A1213,Equipos!$C$2:$M$967,8,FALSE()),"")</f>
        <v>Aquarius ECG</v>
      </c>
      <c r="G1213" s="46" t="s">
        <v>331</v>
      </c>
      <c r="H1213" s="46"/>
      <c r="I1213" s="46"/>
      <c r="J1213" s="46" t="s">
        <v>297</v>
      </c>
      <c r="K1213" s="46" t="str">
        <f>IFERROR(VLOOKUP($J1213,Catálogos!$M$4:$N$17,2,FALSE()),"")</f>
        <v>Mantención Preventiva Realizada</v>
      </c>
      <c r="L1213" s="46"/>
      <c r="M1213" s="46"/>
      <c r="N1213" s="46"/>
      <c r="O1213" s="46"/>
      <c r="P1213" s="46"/>
      <c r="Q1213" s="46"/>
    </row>
    <row r="1214" spans="1:17" hidden="1" x14ac:dyDescent="0.25">
      <c r="A1214" s="47" t="s">
        <v>1105</v>
      </c>
      <c r="B1214" s="46" t="str">
        <f>IFERROR(VLOOKUP($A1214,Equipos!$C$2:$M$967,2,FALSE()),"")</f>
        <v>Monitor Multiparámetros</v>
      </c>
      <c r="C1214" s="46" t="str">
        <f>IFERROR(VLOOKUP($A1214,Equipos!$C$2:$M$967,9,FALSE()),"")</f>
        <v>JH01B910020</v>
      </c>
      <c r="D1214" s="46" t="str">
        <f>IFERROR(VLOOKUP($A1214,Equipos!$C$2:$M$967,3,FALSE()),"")</f>
        <v>CDT</v>
      </c>
      <c r="E1214" s="46" t="str">
        <f>IFERROR(VLOOKUP($A1214,Equipos!$C$2:$M$967,7,FALSE()),"")</f>
        <v>Northern</v>
      </c>
      <c r="F1214" s="46" t="str">
        <f>IFERROR(VLOOKUP($A1214,Equipos!$C$2:$M$967,8,FALSE()),"")</f>
        <v>Aquarius ECG</v>
      </c>
      <c r="G1214" s="46" t="s">
        <v>316</v>
      </c>
      <c r="H1214" s="46"/>
      <c r="I1214" s="46"/>
      <c r="J1214" s="46" t="s">
        <v>323</v>
      </c>
      <c r="K1214" s="46" t="str">
        <f>IFERROR(VLOOKUP($J1214,Catálogos!$M$4:$N$17,2,FALSE()),"")</f>
        <v>Reprogramada · No disponibilidad de horas hombre del funcionario SEC por alta carga laboral</v>
      </c>
      <c r="L1214" s="46"/>
      <c r="M1214" s="46"/>
      <c r="N1214" s="46"/>
      <c r="O1214" s="46"/>
      <c r="P1214" s="46"/>
      <c r="Q1214" s="46"/>
    </row>
    <row r="1215" spans="1:17" hidden="1" x14ac:dyDescent="0.25">
      <c r="A1215" s="47" t="s">
        <v>1105</v>
      </c>
      <c r="B1215" s="46" t="str">
        <f>IFERROR(VLOOKUP($A1215,Equipos!$C$2:$M$967,2,FALSE()),"")</f>
        <v>Monitor Multiparámetros</v>
      </c>
      <c r="C1215" s="46" t="str">
        <f>IFERROR(VLOOKUP($A1215,Equipos!$C$2:$M$967,9,FALSE()),"")</f>
        <v>JH01B910020</v>
      </c>
      <c r="D1215" s="46" t="str">
        <f>IFERROR(VLOOKUP($A1215,Equipos!$C$2:$M$967,3,FALSE()),"")</f>
        <v>CDT</v>
      </c>
      <c r="E1215" s="46" t="str">
        <f>IFERROR(VLOOKUP($A1215,Equipos!$C$2:$M$967,7,FALSE()),"")</f>
        <v>Northern</v>
      </c>
      <c r="F1215" s="46" t="str">
        <f>IFERROR(VLOOKUP($A1215,Equipos!$C$2:$M$967,8,FALSE()),"")</f>
        <v>Aquarius ECG</v>
      </c>
      <c r="G1215" s="46" t="s">
        <v>331</v>
      </c>
      <c r="H1215" s="46"/>
      <c r="I1215" s="46"/>
      <c r="J1215" s="46" t="s">
        <v>297</v>
      </c>
      <c r="K1215" s="46" t="str">
        <f>IFERROR(VLOOKUP($J1215,Catálogos!$M$4:$N$17,2,FALSE()),"")</f>
        <v>Mantención Preventiva Realizada</v>
      </c>
      <c r="L1215" s="46"/>
      <c r="M1215" s="46"/>
      <c r="N1215" s="46"/>
      <c r="O1215" s="46"/>
      <c r="P1215" s="46"/>
      <c r="Q1215" s="46"/>
    </row>
    <row r="1216" spans="1:17" hidden="1" x14ac:dyDescent="0.25">
      <c r="A1216" s="47" t="s">
        <v>1106</v>
      </c>
      <c r="B1216" s="46" t="str">
        <f>IFERROR(VLOOKUP($A1216,Equipos!$C$2:$M$967,2,FALSE()),"")</f>
        <v>Monitor Multiparámetros</v>
      </c>
      <c r="C1216" s="46" t="str">
        <f>IFERROR(VLOOKUP($A1216,Equipos!$C$2:$M$967,9,FALSE()),"")</f>
        <v>JH01B910011</v>
      </c>
      <c r="D1216" s="46" t="str">
        <f>IFERROR(VLOOKUP($A1216,Equipos!$C$2:$M$967,3,FALSE()),"")</f>
        <v>CDT</v>
      </c>
      <c r="E1216" s="46" t="str">
        <f>IFERROR(VLOOKUP($A1216,Equipos!$C$2:$M$967,7,FALSE()),"")</f>
        <v>Northern</v>
      </c>
      <c r="F1216" s="46" t="str">
        <f>IFERROR(VLOOKUP($A1216,Equipos!$C$2:$M$967,8,FALSE()),"")</f>
        <v>Aquarius ECG</v>
      </c>
      <c r="G1216" s="46" t="s">
        <v>316</v>
      </c>
      <c r="H1216" s="46"/>
      <c r="I1216" s="46"/>
      <c r="J1216" s="46" t="s">
        <v>323</v>
      </c>
      <c r="K1216" s="46" t="str">
        <f>IFERROR(VLOOKUP($J1216,Catálogos!$M$4:$N$17,2,FALSE()),"")</f>
        <v>Reprogramada · No disponibilidad de horas hombre del funcionario SEC por alta carga laboral</v>
      </c>
      <c r="L1216" s="46"/>
      <c r="M1216" s="46"/>
      <c r="N1216" s="46"/>
      <c r="O1216" s="46"/>
      <c r="P1216" s="46"/>
      <c r="Q1216" s="46"/>
    </row>
    <row r="1217" spans="1:17" hidden="1" x14ac:dyDescent="0.25">
      <c r="A1217" s="47" t="s">
        <v>1106</v>
      </c>
      <c r="B1217" s="46" t="str">
        <f>IFERROR(VLOOKUP($A1217,Equipos!$C$2:$M$967,2,FALSE()),"")</f>
        <v>Monitor Multiparámetros</v>
      </c>
      <c r="C1217" s="46" t="str">
        <f>IFERROR(VLOOKUP($A1217,Equipos!$C$2:$M$967,9,FALSE()),"")</f>
        <v>JH01B910011</v>
      </c>
      <c r="D1217" s="46" t="str">
        <f>IFERROR(VLOOKUP($A1217,Equipos!$C$2:$M$967,3,FALSE()),"")</f>
        <v>CDT</v>
      </c>
      <c r="E1217" s="46" t="str">
        <f>IFERROR(VLOOKUP($A1217,Equipos!$C$2:$M$967,7,FALSE()),"")</f>
        <v>Northern</v>
      </c>
      <c r="F1217" s="46" t="str">
        <f>IFERROR(VLOOKUP($A1217,Equipos!$C$2:$M$967,8,FALSE()),"")</f>
        <v>Aquarius ECG</v>
      </c>
      <c r="G1217" s="46" t="s">
        <v>331</v>
      </c>
      <c r="H1217" s="46"/>
      <c r="I1217" s="46"/>
      <c r="J1217" s="46" t="s">
        <v>297</v>
      </c>
      <c r="K1217" s="46" t="str">
        <f>IFERROR(VLOOKUP($J1217,Catálogos!$M$4:$N$17,2,FALSE()),"")</f>
        <v>Mantención Preventiva Realizada</v>
      </c>
      <c r="L1217" s="46"/>
      <c r="M1217" s="46"/>
      <c r="N1217" s="46"/>
      <c r="O1217" s="46"/>
      <c r="P1217" s="46"/>
      <c r="Q1217" s="46"/>
    </row>
    <row r="1218" spans="1:17" hidden="1" x14ac:dyDescent="0.25">
      <c r="A1218" s="47" t="s">
        <v>1107</v>
      </c>
      <c r="B1218" s="46" t="str">
        <f>IFERROR(VLOOKUP($A1218,Equipos!$C$2:$M$967,2,FALSE()),"")</f>
        <v>Monitor Multiparámetros</v>
      </c>
      <c r="C1218" s="46" t="str">
        <f>IFERROR(VLOOKUP($A1218,Equipos!$C$2:$M$967,9,FALSE()),"")</f>
        <v>JH01B910002</v>
      </c>
      <c r="D1218" s="46" t="str">
        <f>IFERROR(VLOOKUP($A1218,Equipos!$C$2:$M$967,3,FALSE()),"")</f>
        <v>CDT</v>
      </c>
      <c r="E1218" s="46" t="str">
        <f>IFERROR(VLOOKUP($A1218,Equipos!$C$2:$M$967,7,FALSE()),"")</f>
        <v>Northern</v>
      </c>
      <c r="F1218" s="46" t="str">
        <f>IFERROR(VLOOKUP($A1218,Equipos!$C$2:$M$967,8,FALSE()),"")</f>
        <v>Aquarius ECG</v>
      </c>
      <c r="G1218" s="46" t="s">
        <v>316</v>
      </c>
      <c r="H1218" s="46"/>
      <c r="I1218" s="46"/>
      <c r="J1218" s="46" t="s">
        <v>323</v>
      </c>
      <c r="K1218" s="46" t="str">
        <f>IFERROR(VLOOKUP($J1218,Catálogos!$M$4:$N$17,2,FALSE()),"")</f>
        <v>Reprogramada · No disponibilidad de horas hombre del funcionario SEC por alta carga laboral</v>
      </c>
      <c r="L1218" s="46"/>
      <c r="M1218" s="46"/>
      <c r="N1218" s="46"/>
      <c r="O1218" s="46"/>
      <c r="P1218" s="46"/>
      <c r="Q1218" s="46"/>
    </row>
    <row r="1219" spans="1:17" hidden="1" x14ac:dyDescent="0.25">
      <c r="A1219" s="47" t="s">
        <v>1107</v>
      </c>
      <c r="B1219" s="46" t="str">
        <f>IFERROR(VLOOKUP($A1219,Equipos!$C$2:$M$967,2,FALSE()),"")</f>
        <v>Monitor Multiparámetros</v>
      </c>
      <c r="C1219" s="46" t="str">
        <f>IFERROR(VLOOKUP($A1219,Equipos!$C$2:$M$967,9,FALSE()),"")</f>
        <v>JH01B910002</v>
      </c>
      <c r="D1219" s="46" t="str">
        <f>IFERROR(VLOOKUP($A1219,Equipos!$C$2:$M$967,3,FALSE()),"")</f>
        <v>CDT</v>
      </c>
      <c r="E1219" s="46" t="str">
        <f>IFERROR(VLOOKUP($A1219,Equipos!$C$2:$M$967,7,FALSE()),"")</f>
        <v>Northern</v>
      </c>
      <c r="F1219" s="46" t="str">
        <f>IFERROR(VLOOKUP($A1219,Equipos!$C$2:$M$967,8,FALSE()),"")</f>
        <v>Aquarius ECG</v>
      </c>
      <c r="G1219" s="46" t="s">
        <v>331</v>
      </c>
      <c r="H1219" s="46"/>
      <c r="I1219" s="46"/>
      <c r="J1219" s="46" t="s">
        <v>297</v>
      </c>
      <c r="K1219" s="46" t="str">
        <f>IFERROR(VLOOKUP($J1219,Catálogos!$M$4:$N$17,2,FALSE()),"")</f>
        <v>Mantención Preventiva Realizada</v>
      </c>
      <c r="L1219" s="46"/>
      <c r="M1219" s="46"/>
      <c r="N1219" s="46"/>
      <c r="O1219" s="46"/>
      <c r="P1219" s="46"/>
      <c r="Q1219" s="46"/>
    </row>
    <row r="1220" spans="1:17" hidden="1" x14ac:dyDescent="0.25">
      <c r="A1220" s="47" t="s">
        <v>1108</v>
      </c>
      <c r="B1220" s="46" t="str">
        <f>IFERROR(VLOOKUP($A1220,Equipos!$C$2:$M$967,2,FALSE()),"")</f>
        <v>Máquina Diálisis</v>
      </c>
      <c r="C1220" s="46" t="str">
        <f>IFERROR(VLOOKUP($A1220,Equipos!$C$2:$M$967,9,FALSE()),"")</f>
        <v>8VCAJN47</v>
      </c>
      <c r="D1220" s="46" t="str">
        <f>IFERROR(VLOOKUP($A1220,Equipos!$C$2:$M$967,3,FALSE()),"")</f>
        <v>Hemodiálisis</v>
      </c>
      <c r="E1220" s="46" t="str">
        <f>IFERROR(VLOOKUP($A1220,Equipos!$C$2:$M$967,7,FALSE()),"")</f>
        <v>Fresenius</v>
      </c>
      <c r="F1220" s="46" t="str">
        <f>IFERROR(VLOOKUP($A1220,Equipos!$C$2:$M$967,8,FALSE()),"")</f>
        <v>4008B(s)</v>
      </c>
      <c r="G1220" s="46" t="s">
        <v>335</v>
      </c>
      <c r="H1220" s="46"/>
      <c r="I1220" s="46"/>
      <c r="J1220" s="46" t="s">
        <v>304</v>
      </c>
      <c r="K1220" s="46" t="str">
        <f>IFERROR(VLOOKUP($J1220,Catálogos!$M$4:$N$17,2,FALSE()),"")</f>
        <v>Equipo Dado de Baja</v>
      </c>
      <c r="L1220" s="46"/>
      <c r="M1220" s="46"/>
      <c r="N1220" s="46"/>
      <c r="O1220" s="46"/>
      <c r="P1220" s="46"/>
      <c r="Q1220" s="46"/>
    </row>
    <row r="1221" spans="1:17" hidden="1" x14ac:dyDescent="0.25">
      <c r="A1221" s="47" t="s">
        <v>1109</v>
      </c>
      <c r="B1221" s="46" t="str">
        <f>IFERROR(VLOOKUP($A1221,Equipos!$C$2:$M$967,2,FALSE()),"")</f>
        <v>Máquina Diálisis</v>
      </c>
      <c r="C1221" s="46" t="str">
        <f>IFERROR(VLOOKUP($A1221,Equipos!$C$2:$M$967,9,FALSE()),"")</f>
        <v>9VCAPR03</v>
      </c>
      <c r="D1221" s="46" t="str">
        <f>IFERROR(VLOOKUP($A1221,Equipos!$C$2:$M$967,3,FALSE()),"")</f>
        <v>Hemodiálisis</v>
      </c>
      <c r="E1221" s="46" t="str">
        <f>IFERROR(VLOOKUP($A1221,Equipos!$C$2:$M$967,7,FALSE()),"")</f>
        <v>Fresenius</v>
      </c>
      <c r="F1221" s="46" t="str">
        <f>IFERROR(VLOOKUP($A1221,Equipos!$C$2:$M$967,8,FALSE()),"")</f>
        <v>4008B(s)</v>
      </c>
      <c r="G1221" s="46" t="s">
        <v>296</v>
      </c>
      <c r="H1221" s="46"/>
      <c r="I1221" s="46"/>
      <c r="J1221" s="46" t="s">
        <v>304</v>
      </c>
      <c r="K1221" s="46" t="str">
        <f>IFERROR(VLOOKUP($J1221,Catálogos!$M$4:$N$17,2,FALSE()),"")</f>
        <v>Equipo Dado de Baja</v>
      </c>
      <c r="L1221" s="46"/>
      <c r="M1221" s="46"/>
      <c r="N1221" s="46"/>
      <c r="O1221" s="46"/>
      <c r="P1221" s="46"/>
      <c r="Q1221" s="46"/>
    </row>
    <row r="1222" spans="1:17" hidden="1" x14ac:dyDescent="0.25">
      <c r="A1222" s="47" t="s">
        <v>86</v>
      </c>
      <c r="B1222" s="46" t="str">
        <f>IFERROR(VLOOKUP($A1222,Equipos!$C$2:$M$967,2,FALSE()),"")</f>
        <v>Máquina Diálisis</v>
      </c>
      <c r="C1222" s="46" t="str">
        <f>IFERROR(VLOOKUP($A1222,Equipos!$C$2:$M$967,9,FALSE()),"")</f>
        <v>8VCAJN39</v>
      </c>
      <c r="D1222" s="46" t="str">
        <f>IFERROR(VLOOKUP($A1222,Equipos!$C$2:$M$967,3,FALSE()),"")</f>
        <v>UPC Adulto</v>
      </c>
      <c r="E1222" s="46" t="str">
        <f>IFERROR(VLOOKUP($A1222,Equipos!$C$2:$M$967,7,FALSE()),"")</f>
        <v>Fresenius</v>
      </c>
      <c r="F1222" s="46" t="str">
        <f>IFERROR(VLOOKUP($A1222,Equipos!$C$2:$M$967,8,FALSE()),"")</f>
        <v>4008B(s)</v>
      </c>
      <c r="G1222" s="46" t="s">
        <v>331</v>
      </c>
      <c r="H1222" s="46" t="s">
        <v>460</v>
      </c>
      <c r="I1222" s="46"/>
      <c r="J1222" s="46" t="s">
        <v>423</v>
      </c>
      <c r="K1222" s="46" t="str">
        <f>IFERROR(VLOOKUP($J1222,Catálogos!$M$4:$N$17,2,FALSE()),"")</f>
        <v>Reprogramada · No disponibilidad de horas hombre del servicio técnico externo</v>
      </c>
      <c r="L1222" s="48">
        <v>46142</v>
      </c>
      <c r="M1222" s="46" t="s">
        <v>461</v>
      </c>
      <c r="N1222" s="46" t="s">
        <v>91</v>
      </c>
      <c r="O1222" s="46"/>
      <c r="P1222" s="46"/>
      <c r="Q1222" s="46"/>
    </row>
    <row r="1223" spans="1:17" hidden="1" x14ac:dyDescent="0.25">
      <c r="A1223" s="47" t="s">
        <v>86</v>
      </c>
      <c r="B1223" s="46" t="str">
        <f>IFERROR(VLOOKUP($A1223,Equipos!$C$2:$M$967,2,FALSE()),"")</f>
        <v>Máquina Diálisis</v>
      </c>
      <c r="C1223" s="46" t="str">
        <f>IFERROR(VLOOKUP($A1223,Equipos!$C$2:$M$967,9,FALSE()),"")</f>
        <v>8VCAJN39</v>
      </c>
      <c r="D1223" s="46" t="str">
        <f>IFERROR(VLOOKUP($A1223,Equipos!$C$2:$M$967,3,FALSE()),"")</f>
        <v>UPC Adulto</v>
      </c>
      <c r="E1223" s="46" t="str">
        <f>IFERROR(VLOOKUP($A1223,Equipos!$C$2:$M$967,7,FALSE()),"")</f>
        <v>Fresenius</v>
      </c>
      <c r="F1223" s="46" t="str">
        <f>IFERROR(VLOOKUP($A1223,Equipos!$C$2:$M$967,8,FALSE()),"")</f>
        <v>4008B(s)</v>
      </c>
      <c r="G1223" s="46" t="s">
        <v>298</v>
      </c>
      <c r="H1223" s="46" t="s">
        <v>460</v>
      </c>
      <c r="I1223" s="46"/>
      <c r="J1223" s="46" t="s">
        <v>297</v>
      </c>
      <c r="K1223" s="46" t="str">
        <f>IFERROR(VLOOKUP($J1223,Catálogos!$M$4:$N$17,2,FALSE()),"")</f>
        <v>Mantención Preventiva Realizada</v>
      </c>
      <c r="L1223" s="48">
        <v>46149</v>
      </c>
      <c r="M1223" s="46" t="s">
        <v>461</v>
      </c>
      <c r="N1223" s="46" t="s">
        <v>91</v>
      </c>
      <c r="O1223" s="46"/>
      <c r="P1223" s="46"/>
      <c r="Q1223" s="46"/>
    </row>
    <row r="1224" spans="1:17" hidden="1" x14ac:dyDescent="0.25">
      <c r="A1224" s="47" t="s">
        <v>1110</v>
      </c>
      <c r="B1224" s="46" t="str">
        <f>IFERROR(VLOOKUP($A1224,Equipos!$C$2:$M$967,2,FALSE()),"")</f>
        <v>Máquina Diálisis</v>
      </c>
      <c r="C1224" s="46" t="str">
        <f>IFERROR(VLOOKUP($A1224,Equipos!$C$2:$M$967,9,FALSE()),"")</f>
        <v>2FTG6886</v>
      </c>
      <c r="D1224" s="46" t="str">
        <f>IFERROR(VLOOKUP($A1224,Equipos!$C$2:$M$967,3,FALSE()),"")</f>
        <v>UPC Adulto</v>
      </c>
      <c r="E1224" s="46" t="str">
        <f>IFERROR(VLOOKUP($A1224,Equipos!$C$2:$M$967,7,FALSE()),"")</f>
        <v>Fresenius</v>
      </c>
      <c r="F1224" s="46" t="str">
        <f>IFERROR(VLOOKUP($A1224,Equipos!$C$2:$M$967,8,FALSE()),"")</f>
        <v>MultiFiltrate PRO</v>
      </c>
      <c r="G1224" s="46" t="s">
        <v>331</v>
      </c>
      <c r="H1224" s="46"/>
      <c r="I1224" s="46"/>
      <c r="J1224" s="46" t="s">
        <v>297</v>
      </c>
      <c r="K1224" s="46" t="str">
        <f>IFERROR(VLOOKUP($J1224,Catálogos!$M$4:$N$17,2,FALSE()),"")</f>
        <v>Mantención Preventiva Realizada</v>
      </c>
      <c r="L1224" s="46"/>
      <c r="M1224" s="46"/>
      <c r="N1224" s="46"/>
      <c r="O1224" s="46"/>
      <c r="P1224" s="46"/>
      <c r="Q1224" s="46"/>
    </row>
    <row r="1225" spans="1:17" hidden="1" x14ac:dyDescent="0.25">
      <c r="A1225" s="47" t="s">
        <v>1111</v>
      </c>
      <c r="B1225" s="46" t="str">
        <f>IFERROR(VLOOKUP($A1225,Equipos!$C$2:$M$967,2,FALSE()),"")</f>
        <v>Máquina Diálisis</v>
      </c>
      <c r="C1225" s="46" t="str">
        <f>IFERROR(VLOOKUP($A1225,Equipos!$C$2:$M$967,9,FALSE()),"")</f>
        <v>2FTG6885</v>
      </c>
      <c r="D1225" s="46" t="str">
        <f>IFERROR(VLOOKUP($A1225,Equipos!$C$2:$M$967,3,FALSE()),"")</f>
        <v>UPC Adulto</v>
      </c>
      <c r="E1225" s="46" t="str">
        <f>IFERROR(VLOOKUP($A1225,Equipos!$C$2:$M$967,7,FALSE()),"")</f>
        <v>Fresenius</v>
      </c>
      <c r="F1225" s="46" t="str">
        <f>IFERROR(VLOOKUP($A1225,Equipos!$C$2:$M$967,8,FALSE()),"")</f>
        <v>MultiFiltrate PRO</v>
      </c>
      <c r="G1225" s="46" t="s">
        <v>331</v>
      </c>
      <c r="H1225" s="46"/>
      <c r="I1225" s="46"/>
      <c r="J1225" s="46" t="s">
        <v>297</v>
      </c>
      <c r="K1225" s="46" t="str">
        <f>IFERROR(VLOOKUP($J1225,Catálogos!$M$4:$N$17,2,FALSE()),"")</f>
        <v>Mantención Preventiva Realizada</v>
      </c>
      <c r="L1225" s="46"/>
      <c r="M1225" s="46"/>
      <c r="N1225" s="46"/>
      <c r="O1225" s="46"/>
      <c r="P1225" s="46"/>
      <c r="Q1225" s="46"/>
    </row>
    <row r="1226" spans="1:17" hidden="1" x14ac:dyDescent="0.25">
      <c r="A1226" s="47" t="s">
        <v>1112</v>
      </c>
      <c r="B1226" s="46" t="str">
        <f>IFERROR(VLOOKUP($A1226,Equipos!$C$2:$M$967,2,FALSE()),"")</f>
        <v>Máquina Diálisis</v>
      </c>
      <c r="C1226" s="46" t="str">
        <f>IFERROR(VLOOKUP($A1226,Equipos!$C$2:$M$967,9,FALSE()),"")</f>
        <v>2FTG6884</v>
      </c>
      <c r="D1226" s="46" t="str">
        <f>IFERROR(VLOOKUP($A1226,Equipos!$C$2:$M$967,3,FALSE()),"")</f>
        <v>UPC Adulto</v>
      </c>
      <c r="E1226" s="46" t="str">
        <f>IFERROR(VLOOKUP($A1226,Equipos!$C$2:$M$967,7,FALSE()),"")</f>
        <v>Fresenius</v>
      </c>
      <c r="F1226" s="46" t="str">
        <f>IFERROR(VLOOKUP($A1226,Equipos!$C$2:$M$967,8,FALSE()),"")</f>
        <v>MultiFiltrate PRO</v>
      </c>
      <c r="G1226" s="46" t="s">
        <v>331</v>
      </c>
      <c r="H1226" s="46"/>
      <c r="I1226" s="46"/>
      <c r="J1226" s="46" t="s">
        <v>297</v>
      </c>
      <c r="K1226" s="46" t="str">
        <f>IFERROR(VLOOKUP($J1226,Catálogos!$M$4:$N$17,2,FALSE()),"")</f>
        <v>Mantención Preventiva Realizada</v>
      </c>
      <c r="L1226" s="46"/>
      <c r="M1226" s="46"/>
      <c r="N1226" s="46"/>
      <c r="O1226" s="46"/>
      <c r="P1226" s="46"/>
      <c r="Q1226" s="46"/>
    </row>
    <row r="1227" spans="1:17" hidden="1" x14ac:dyDescent="0.25">
      <c r="A1227" s="47" t="s">
        <v>1113</v>
      </c>
      <c r="B1227" s="46" t="str">
        <f>IFERROR(VLOOKUP($A1227,Equipos!$C$2:$M$967,2,FALSE()),"")</f>
        <v>Máquina Diálisis</v>
      </c>
      <c r="C1227" s="46" t="str">
        <f>IFERROR(VLOOKUP($A1227,Equipos!$C$2:$M$967,9,FALSE()),"")</f>
        <v>OV5APR17</v>
      </c>
      <c r="D1227" s="46" t="str">
        <f>IFERROR(VLOOKUP($A1227,Equipos!$C$2:$M$967,3,FALSE()),"")</f>
        <v>Hemodiálisis</v>
      </c>
      <c r="E1227" s="46" t="str">
        <f>IFERROR(VLOOKUP($A1227,Equipos!$C$2:$M$967,7,FALSE()),"")</f>
        <v>Fresenius</v>
      </c>
      <c r="F1227" s="46" t="str">
        <f>IFERROR(VLOOKUP($A1227,Equipos!$C$2:$M$967,8,FALSE()),"")</f>
        <v>4008B</v>
      </c>
      <c r="G1227" s="46" t="s">
        <v>298</v>
      </c>
      <c r="H1227" s="46" t="s">
        <v>460</v>
      </c>
      <c r="I1227" s="46"/>
      <c r="J1227" s="46" t="s">
        <v>297</v>
      </c>
      <c r="K1227" s="46" t="str">
        <f>IFERROR(VLOOKUP($J1227,Catálogos!$M$4:$N$17,2,FALSE()),"")</f>
        <v>Mantención Preventiva Realizada</v>
      </c>
      <c r="L1227" s="48">
        <v>46168</v>
      </c>
      <c r="M1227" s="46" t="s">
        <v>461</v>
      </c>
      <c r="N1227" s="46" t="s">
        <v>91</v>
      </c>
      <c r="O1227" s="46"/>
      <c r="P1227" s="46"/>
      <c r="Q1227" s="46"/>
    </row>
    <row r="1228" spans="1:17" hidden="1" x14ac:dyDescent="0.25">
      <c r="A1228" s="47" t="s">
        <v>1114</v>
      </c>
      <c r="B1228" s="46" t="str">
        <f>IFERROR(VLOOKUP($A1228,Equipos!$C$2:$M$967,2,FALSE()),"")</f>
        <v>Máquina Diálisis</v>
      </c>
      <c r="C1228" s="46" t="str">
        <f>IFERROR(VLOOKUP($A1228,Equipos!$C$2:$M$967,9,FALSE()),"")</f>
        <v>PA10283</v>
      </c>
      <c r="D1228" s="46" t="str">
        <f>IFERROR(VLOOKUP($A1228,Equipos!$C$2:$M$967,3,FALSE()),"")</f>
        <v>UPC Pediátrica</v>
      </c>
      <c r="E1228" s="46" t="str">
        <f>IFERROR(VLOOKUP($A1228,Equipos!$C$2:$M$967,7,FALSE()),"")</f>
        <v>Gambro</v>
      </c>
      <c r="F1228" s="46" t="str">
        <f>IFERROR(VLOOKUP($A1228,Equipos!$C$2:$M$967,8,FALSE()),"")</f>
        <v>Prismaflex</v>
      </c>
      <c r="G1228" s="46" t="s">
        <v>331</v>
      </c>
      <c r="H1228" s="46"/>
      <c r="I1228" s="46"/>
      <c r="J1228" s="46" t="s">
        <v>297</v>
      </c>
      <c r="K1228" s="46" t="str">
        <f>IFERROR(VLOOKUP($J1228,Catálogos!$M$4:$N$17,2,FALSE()),"")</f>
        <v>Mantención Preventiva Realizada</v>
      </c>
      <c r="L1228" s="46"/>
      <c r="M1228" s="46"/>
      <c r="N1228" s="46"/>
      <c r="O1228" s="46"/>
      <c r="P1228" s="46"/>
      <c r="Q1228" s="46"/>
    </row>
    <row r="1229" spans="1:17" hidden="1" x14ac:dyDescent="0.25">
      <c r="A1229" s="47" t="s">
        <v>1115</v>
      </c>
      <c r="B1229" s="46" t="str">
        <f>IFERROR(VLOOKUP($A1229,Equipos!$C$2:$M$967,2,FALSE()),"")</f>
        <v>Máquina Diálisis</v>
      </c>
      <c r="C1229" s="46" t="str">
        <f>IFERROR(VLOOKUP($A1229,Equipos!$C$2:$M$967,9,FALSE()),"")</f>
        <v>5SXAEL56</v>
      </c>
      <c r="D1229" s="46" t="str">
        <f>IFERROR(VLOOKUP($A1229,Equipos!$C$2:$M$967,3,FALSE()),"")</f>
        <v>UPC Adulto</v>
      </c>
      <c r="E1229" s="46" t="str">
        <f>IFERROR(VLOOKUP($A1229,Equipos!$C$2:$M$967,7,FALSE()),"")</f>
        <v>Fresenius</v>
      </c>
      <c r="F1229" s="46" t="str">
        <f>IFERROR(VLOOKUP($A1229,Equipos!$C$2:$M$967,8,FALSE()),"")</f>
        <v>4008S</v>
      </c>
      <c r="G1229" s="46" t="s">
        <v>331</v>
      </c>
      <c r="H1229" s="46" t="s">
        <v>460</v>
      </c>
      <c r="I1229" s="46"/>
      <c r="J1229" s="46" t="s">
        <v>297</v>
      </c>
      <c r="K1229" s="46" t="str">
        <f>IFERROR(VLOOKUP($J1229,Catálogos!$M$4:$N$17,2,FALSE()),"")</f>
        <v>Mantención Preventiva Realizada</v>
      </c>
      <c r="L1229" s="48">
        <v>46128</v>
      </c>
      <c r="M1229" s="46" t="s">
        <v>461</v>
      </c>
      <c r="N1229" s="46" t="s">
        <v>91</v>
      </c>
      <c r="O1229" s="46"/>
      <c r="P1229" s="46"/>
      <c r="Q1229" s="46"/>
    </row>
    <row r="1230" spans="1:17" hidden="1" x14ac:dyDescent="0.25">
      <c r="A1230" s="47" t="s">
        <v>1116</v>
      </c>
      <c r="B1230" s="46" t="str">
        <f>IFERROR(VLOOKUP($A1230,Equipos!$C$2:$M$967,2,FALSE()),"")</f>
        <v>Máquina Diálisis</v>
      </c>
      <c r="C1230" s="46" t="str">
        <f>IFERROR(VLOOKUP($A1230,Equipos!$C$2:$M$967,9,FALSE()),"")</f>
        <v>5SXAEL57</v>
      </c>
      <c r="D1230" s="46" t="str">
        <f>IFERROR(VLOOKUP($A1230,Equipos!$C$2:$M$967,3,FALSE()),"")</f>
        <v>UPC Adulto</v>
      </c>
      <c r="E1230" s="46" t="str">
        <f>IFERROR(VLOOKUP($A1230,Equipos!$C$2:$M$967,7,FALSE()),"")</f>
        <v>Fresenius</v>
      </c>
      <c r="F1230" s="46" t="str">
        <f>IFERROR(VLOOKUP($A1230,Equipos!$C$2:$M$967,8,FALSE()),"")</f>
        <v>4008S</v>
      </c>
      <c r="G1230" s="46" t="s">
        <v>331</v>
      </c>
      <c r="H1230" s="46"/>
      <c r="I1230" s="46"/>
      <c r="J1230" s="46" t="s">
        <v>297</v>
      </c>
      <c r="K1230" s="46" t="str">
        <f>IFERROR(VLOOKUP($J1230,Catálogos!$M$4:$N$17,2,FALSE()),"")</f>
        <v>Mantención Preventiva Realizada</v>
      </c>
      <c r="L1230" s="46"/>
      <c r="M1230" s="46"/>
      <c r="N1230" s="46"/>
      <c r="O1230" s="46"/>
      <c r="P1230" s="46"/>
      <c r="Q1230" s="46"/>
    </row>
    <row r="1231" spans="1:17" hidden="1" x14ac:dyDescent="0.25">
      <c r="A1231" s="47" t="s">
        <v>1117</v>
      </c>
      <c r="B1231" s="46" t="str">
        <f>IFERROR(VLOOKUP($A1231,Equipos!$C$2:$M$967,2,FALSE()),"")</f>
        <v>Máquina Diálisis</v>
      </c>
      <c r="C1231" s="46" t="str">
        <f>IFERROR(VLOOKUP($A1231,Equipos!$C$2:$M$967,9,FALSE()),"")</f>
        <v>5SXAEL58</v>
      </c>
      <c r="D1231" s="46" t="str">
        <f>IFERROR(VLOOKUP($A1231,Equipos!$C$2:$M$967,3,FALSE()),"")</f>
        <v>UPC Adulto</v>
      </c>
      <c r="E1231" s="46" t="str">
        <f>IFERROR(VLOOKUP($A1231,Equipos!$C$2:$M$967,7,FALSE()),"")</f>
        <v>Fresenius</v>
      </c>
      <c r="F1231" s="46" t="str">
        <f>IFERROR(VLOOKUP($A1231,Equipos!$C$2:$M$967,8,FALSE()),"")</f>
        <v>4008S</v>
      </c>
      <c r="G1231" s="46" t="s">
        <v>331</v>
      </c>
      <c r="H1231" s="46"/>
      <c r="I1231" s="46"/>
      <c r="J1231" s="46" t="s">
        <v>297</v>
      </c>
      <c r="K1231" s="46" t="str">
        <f>IFERROR(VLOOKUP($J1231,Catálogos!$M$4:$N$17,2,FALSE()),"")</f>
        <v>Mantención Preventiva Realizada</v>
      </c>
      <c r="L1231" s="46"/>
      <c r="M1231" s="46"/>
      <c r="N1231" s="46"/>
      <c r="O1231" s="46"/>
      <c r="P1231" s="46"/>
      <c r="Q1231" s="46"/>
    </row>
    <row r="1232" spans="1:17" hidden="1" x14ac:dyDescent="0.25">
      <c r="A1232" s="47" t="s">
        <v>1118</v>
      </c>
      <c r="B1232" s="46" t="str">
        <f>IFERROR(VLOOKUP($A1232,Equipos!$C$2:$M$967,2,FALSE()),"")</f>
        <v>Máquina Diálisis</v>
      </c>
      <c r="C1232" s="46" t="str">
        <f>IFERROR(VLOOKUP($A1232,Equipos!$C$2:$M$967,9,FALSE()),"")</f>
        <v>3SXA4HC6</v>
      </c>
      <c r="D1232" s="46" t="str">
        <f>IFERROR(VLOOKUP($A1232,Equipos!$C$2:$M$967,3,FALSE()),"")</f>
        <v>Hemodiálisis</v>
      </c>
      <c r="E1232" s="46" t="str">
        <f>IFERROR(VLOOKUP($A1232,Equipos!$C$2:$M$967,7,FALSE()),"")</f>
        <v>Fresenius</v>
      </c>
      <c r="F1232" s="46" t="str">
        <f>IFERROR(VLOOKUP($A1232,Equipos!$C$2:$M$967,8,FALSE()),"")</f>
        <v>4008S</v>
      </c>
      <c r="G1232" s="46" t="s">
        <v>298</v>
      </c>
      <c r="H1232" s="46" t="s">
        <v>460</v>
      </c>
      <c r="I1232" s="46"/>
      <c r="J1232" s="46" t="s">
        <v>297</v>
      </c>
      <c r="K1232" s="46" t="str">
        <f>IFERROR(VLOOKUP($J1232,Catálogos!$M$4:$N$17,2,FALSE()),"")</f>
        <v>Mantención Preventiva Realizada</v>
      </c>
      <c r="L1232" s="48">
        <v>46154</v>
      </c>
      <c r="M1232" s="46" t="s">
        <v>461</v>
      </c>
      <c r="N1232" s="46" t="s">
        <v>91</v>
      </c>
      <c r="O1232" s="46"/>
      <c r="P1232" s="46"/>
      <c r="Q1232" s="46"/>
    </row>
    <row r="1233" spans="1:17" hidden="1" x14ac:dyDescent="0.25">
      <c r="A1233" s="47" t="s">
        <v>1119</v>
      </c>
      <c r="B1233" s="46" t="str">
        <f>IFERROR(VLOOKUP($A1233,Equipos!$C$2:$M$967,2,FALSE()),"")</f>
        <v>Máquina Diálisis</v>
      </c>
      <c r="C1233" s="46" t="str">
        <f>IFERROR(VLOOKUP($A1233,Equipos!$C$2:$M$967,9,FALSE()),"")</f>
        <v>3SXA4HC2</v>
      </c>
      <c r="D1233" s="46" t="str">
        <f>IFERROR(VLOOKUP($A1233,Equipos!$C$2:$M$967,3,FALSE()),"")</f>
        <v>Hemodiálisis</v>
      </c>
      <c r="E1233" s="46" t="str">
        <f>IFERROR(VLOOKUP($A1233,Equipos!$C$2:$M$967,7,FALSE()),"")</f>
        <v>Fresenius</v>
      </c>
      <c r="F1233" s="46" t="str">
        <f>IFERROR(VLOOKUP($A1233,Equipos!$C$2:$M$967,8,FALSE()),"")</f>
        <v>4008S</v>
      </c>
      <c r="G1233" s="46" t="s">
        <v>298</v>
      </c>
      <c r="H1233" s="46" t="s">
        <v>460</v>
      </c>
      <c r="I1233" s="46"/>
      <c r="J1233" s="46" t="s">
        <v>297</v>
      </c>
      <c r="K1233" s="46" t="str">
        <f>IFERROR(VLOOKUP($J1233,Catálogos!$M$4:$N$17,2,FALSE()),"")</f>
        <v>Mantención Preventiva Realizada</v>
      </c>
      <c r="L1233" s="48">
        <v>46168</v>
      </c>
      <c r="M1233" s="46" t="s">
        <v>461</v>
      </c>
      <c r="N1233" s="46" t="s">
        <v>91</v>
      </c>
      <c r="O1233" s="46"/>
      <c r="P1233" s="46"/>
      <c r="Q1233" s="46"/>
    </row>
    <row r="1234" spans="1:17" hidden="1" x14ac:dyDescent="0.25">
      <c r="A1234" s="47" t="s">
        <v>1120</v>
      </c>
      <c r="B1234" s="46" t="str">
        <f>IFERROR(VLOOKUP($A1234,Equipos!$C$2:$M$967,2,FALSE()),"")</f>
        <v>Máquina Diálisis</v>
      </c>
      <c r="C1234" s="46" t="str">
        <f>IFERROR(VLOOKUP($A1234,Equipos!$C$2:$M$967,9,FALSE()),"")</f>
        <v>3SXA4HDK</v>
      </c>
      <c r="D1234" s="46" t="str">
        <f>IFERROR(VLOOKUP($A1234,Equipos!$C$2:$M$967,3,FALSE()),"")</f>
        <v>Hemodiálisis</v>
      </c>
      <c r="E1234" s="46" t="str">
        <f>IFERROR(VLOOKUP($A1234,Equipos!$C$2:$M$967,7,FALSE()),"")</f>
        <v>Fresenius</v>
      </c>
      <c r="F1234" s="46" t="str">
        <f>IFERROR(VLOOKUP($A1234,Equipos!$C$2:$M$967,8,FALSE()),"")</f>
        <v>4008S</v>
      </c>
      <c r="G1234" s="46" t="s">
        <v>298</v>
      </c>
      <c r="H1234" s="46"/>
      <c r="I1234" s="46"/>
      <c r="J1234" s="46" t="s">
        <v>297</v>
      </c>
      <c r="K1234" s="46" t="str">
        <f>IFERROR(VLOOKUP($J1234,Catálogos!$M$4:$N$17,2,FALSE()),"")</f>
        <v>Mantención Preventiva Realizada</v>
      </c>
      <c r="L1234" s="46"/>
      <c r="M1234" s="46"/>
      <c r="N1234" s="46"/>
      <c r="O1234" s="46"/>
      <c r="P1234" s="46"/>
      <c r="Q1234" s="46"/>
    </row>
    <row r="1235" spans="1:17" hidden="1" x14ac:dyDescent="0.25">
      <c r="A1235" s="47" t="s">
        <v>102</v>
      </c>
      <c r="B1235" s="46" t="str">
        <f>IFERROR(VLOOKUP($A1235,Equipos!$C$2:$M$967,2,FALSE()),"")</f>
        <v>Máquina Diálisis</v>
      </c>
      <c r="C1235" s="46" t="str">
        <f>IFERROR(VLOOKUP($A1235,Equipos!$C$2:$M$967,9,FALSE()),"")</f>
        <v>3SXA4HDJ</v>
      </c>
      <c r="D1235" s="46" t="str">
        <f>IFERROR(VLOOKUP($A1235,Equipos!$C$2:$M$967,3,FALSE()),"")</f>
        <v>Hemodiálisis</v>
      </c>
      <c r="E1235" s="46" t="str">
        <f>IFERROR(VLOOKUP($A1235,Equipos!$C$2:$M$967,7,FALSE()),"")</f>
        <v>Fresenius</v>
      </c>
      <c r="F1235" s="46" t="str">
        <f>IFERROR(VLOOKUP($A1235,Equipos!$C$2:$M$967,8,FALSE()),"")</f>
        <v>4008S</v>
      </c>
      <c r="G1235" s="46" t="s">
        <v>298</v>
      </c>
      <c r="H1235" s="46" t="s">
        <v>460</v>
      </c>
      <c r="I1235" s="46"/>
      <c r="J1235" s="46" t="s">
        <v>297</v>
      </c>
      <c r="K1235" s="46" t="str">
        <f>IFERROR(VLOOKUP($J1235,Catálogos!$M$4:$N$17,2,FALSE()),"")</f>
        <v>Mantención Preventiva Realizada</v>
      </c>
      <c r="L1235" s="48">
        <v>46170</v>
      </c>
      <c r="M1235" s="46" t="s">
        <v>461</v>
      </c>
      <c r="N1235" s="46" t="s">
        <v>91</v>
      </c>
      <c r="O1235" s="46"/>
      <c r="P1235" s="46"/>
      <c r="Q1235" s="46"/>
    </row>
    <row r="1236" spans="1:17" hidden="1" x14ac:dyDescent="0.25">
      <c r="A1236" s="47" t="s">
        <v>1121</v>
      </c>
      <c r="B1236" s="46" t="str">
        <f>IFERROR(VLOOKUP($A1236,Equipos!$C$2:$M$967,2,FALSE()),"")</f>
        <v>Máquina Diálisis</v>
      </c>
      <c r="C1236" s="46" t="str">
        <f>IFERROR(VLOOKUP($A1236,Equipos!$C$2:$M$967,9,FALSE()),"")</f>
        <v>3SXA4HD0</v>
      </c>
      <c r="D1236" s="46" t="str">
        <f>IFERROR(VLOOKUP($A1236,Equipos!$C$2:$M$967,3,FALSE()),"")</f>
        <v>Hemodiálisis</v>
      </c>
      <c r="E1236" s="46" t="str">
        <f>IFERROR(VLOOKUP($A1236,Equipos!$C$2:$M$967,7,FALSE()),"")</f>
        <v>Fresenius</v>
      </c>
      <c r="F1236" s="46" t="str">
        <f>IFERROR(VLOOKUP($A1236,Equipos!$C$2:$M$967,8,FALSE()),"")</f>
        <v>4008S</v>
      </c>
      <c r="G1236" s="46" t="s">
        <v>298</v>
      </c>
      <c r="H1236" s="46" t="s">
        <v>460</v>
      </c>
      <c r="I1236" s="46"/>
      <c r="J1236" s="46" t="s">
        <v>297</v>
      </c>
      <c r="K1236" s="46" t="str">
        <f>IFERROR(VLOOKUP($J1236,Catálogos!$M$4:$N$17,2,FALSE()),"")</f>
        <v>Mantención Preventiva Realizada</v>
      </c>
      <c r="L1236" s="48">
        <v>46168</v>
      </c>
      <c r="M1236" s="46" t="s">
        <v>461</v>
      </c>
      <c r="N1236" s="46" t="s">
        <v>91</v>
      </c>
      <c r="O1236" s="46"/>
      <c r="P1236" s="46"/>
      <c r="Q1236" s="46"/>
    </row>
    <row r="1237" spans="1:17" hidden="1" x14ac:dyDescent="0.25">
      <c r="A1237" s="47" t="s">
        <v>1122</v>
      </c>
      <c r="B1237" s="46" t="str">
        <f>IFERROR(VLOOKUP($A1237,Equipos!$C$2:$M$967,2,FALSE()),"")</f>
        <v>Máquina Diálisis</v>
      </c>
      <c r="C1237" s="46" t="str">
        <f>IFERROR(VLOOKUP($A1237,Equipos!$C$2:$M$967,9,FALSE()),"")</f>
        <v>3SXA4HD1</v>
      </c>
      <c r="D1237" s="46" t="str">
        <f>IFERROR(VLOOKUP($A1237,Equipos!$C$2:$M$967,3,FALSE()),"")</f>
        <v>Hemodiálisis</v>
      </c>
      <c r="E1237" s="46" t="str">
        <f>IFERROR(VLOOKUP($A1237,Equipos!$C$2:$M$967,7,FALSE()),"")</f>
        <v>Fresenius</v>
      </c>
      <c r="F1237" s="46" t="str">
        <f>IFERROR(VLOOKUP($A1237,Equipos!$C$2:$M$967,8,FALSE()),"")</f>
        <v>4008S</v>
      </c>
      <c r="G1237" s="46" t="s">
        <v>298</v>
      </c>
      <c r="H1237" s="46"/>
      <c r="I1237" s="46"/>
      <c r="J1237" s="46" t="s">
        <v>297</v>
      </c>
      <c r="K1237" s="46" t="str">
        <f>IFERROR(VLOOKUP($J1237,Catálogos!$M$4:$N$17,2,FALSE()),"")</f>
        <v>Mantención Preventiva Realizada</v>
      </c>
      <c r="L1237" s="46"/>
      <c r="M1237" s="46"/>
      <c r="N1237" s="46"/>
      <c r="O1237" s="46"/>
      <c r="P1237" s="46"/>
      <c r="Q1237" s="46"/>
    </row>
    <row r="1238" spans="1:17" hidden="1" x14ac:dyDescent="0.25">
      <c r="A1238" s="47" t="s">
        <v>1123</v>
      </c>
      <c r="B1238" s="46" t="str">
        <f>IFERROR(VLOOKUP($A1238,Equipos!$C$2:$M$967,2,FALSE()),"")</f>
        <v>Máquina Diálisis</v>
      </c>
      <c r="C1238" s="46" t="str">
        <f>IFERROR(VLOOKUP($A1238,Equipos!$C$2:$M$967,9,FALSE()),"")</f>
        <v>3SXA4HCJ</v>
      </c>
      <c r="D1238" s="46" t="str">
        <f>IFERROR(VLOOKUP($A1238,Equipos!$C$2:$M$967,3,FALSE()),"")</f>
        <v>Hemodiálisis</v>
      </c>
      <c r="E1238" s="46" t="str">
        <f>IFERROR(VLOOKUP($A1238,Equipos!$C$2:$M$967,7,FALSE()),"")</f>
        <v>Fresenius</v>
      </c>
      <c r="F1238" s="46" t="str">
        <f>IFERROR(VLOOKUP($A1238,Equipos!$C$2:$M$967,8,FALSE()),"")</f>
        <v>4008S</v>
      </c>
      <c r="G1238" s="46" t="s">
        <v>298</v>
      </c>
      <c r="H1238" s="46"/>
      <c r="I1238" s="46"/>
      <c r="J1238" s="46" t="s">
        <v>297</v>
      </c>
      <c r="K1238" s="46" t="str">
        <f>IFERROR(VLOOKUP($J1238,Catálogos!$M$4:$N$17,2,FALSE()),"")</f>
        <v>Mantención Preventiva Realizada</v>
      </c>
      <c r="L1238" s="46"/>
      <c r="M1238" s="46"/>
      <c r="N1238" s="46"/>
      <c r="O1238" s="46"/>
      <c r="P1238" s="46"/>
      <c r="Q1238" s="46"/>
    </row>
    <row r="1239" spans="1:17" hidden="1" x14ac:dyDescent="0.25">
      <c r="A1239" s="47" t="s">
        <v>1124</v>
      </c>
      <c r="B1239" s="46" t="str">
        <f>IFERROR(VLOOKUP($A1239,Equipos!$C$2:$M$967,2,FALSE()),"")</f>
        <v>Máquina Diálisis</v>
      </c>
      <c r="C1239" s="46" t="str">
        <f>IFERROR(VLOOKUP($A1239,Equipos!$C$2:$M$967,9,FALSE()),"")</f>
        <v>3SXA4HC9</v>
      </c>
      <c r="D1239" s="46" t="str">
        <f>IFERROR(VLOOKUP($A1239,Equipos!$C$2:$M$967,3,FALSE()),"")</f>
        <v>Hemodiálisis</v>
      </c>
      <c r="E1239" s="46" t="str">
        <f>IFERROR(VLOOKUP($A1239,Equipos!$C$2:$M$967,7,FALSE()),"")</f>
        <v>Fresenius</v>
      </c>
      <c r="F1239" s="46" t="str">
        <f>IFERROR(VLOOKUP($A1239,Equipos!$C$2:$M$967,8,FALSE()),"")</f>
        <v>4008S</v>
      </c>
      <c r="G1239" s="46" t="s">
        <v>298</v>
      </c>
      <c r="H1239" s="46"/>
      <c r="I1239" s="46"/>
      <c r="J1239" s="46" t="s">
        <v>297</v>
      </c>
      <c r="K1239" s="46" t="str">
        <f>IFERROR(VLOOKUP($J1239,Catálogos!$M$4:$N$17,2,FALSE()),"")</f>
        <v>Mantención Preventiva Realizada</v>
      </c>
      <c r="L1239" s="46"/>
      <c r="M1239" s="46"/>
      <c r="N1239" s="46"/>
      <c r="O1239" s="46"/>
      <c r="P1239" s="46"/>
      <c r="Q1239" s="46"/>
    </row>
    <row r="1240" spans="1:17" hidden="1" x14ac:dyDescent="0.25">
      <c r="A1240" s="47" t="s">
        <v>1125</v>
      </c>
      <c r="B1240" s="46" t="str">
        <f>IFERROR(VLOOKUP($A1240,Equipos!$C$2:$M$967,2,FALSE()),"")</f>
        <v>Máquina Diálisis</v>
      </c>
      <c r="C1240" s="46" t="str">
        <f>IFERROR(VLOOKUP($A1240,Equipos!$C$2:$M$967,9,FALSE()),"")</f>
        <v>3SXA4HC0</v>
      </c>
      <c r="D1240" s="46" t="str">
        <f>IFERROR(VLOOKUP($A1240,Equipos!$C$2:$M$967,3,FALSE()),"")</f>
        <v>Hemodiálisis</v>
      </c>
      <c r="E1240" s="46" t="str">
        <f>IFERROR(VLOOKUP($A1240,Equipos!$C$2:$M$967,7,FALSE()),"")</f>
        <v>Fresenius</v>
      </c>
      <c r="F1240" s="46" t="str">
        <f>IFERROR(VLOOKUP($A1240,Equipos!$C$2:$M$967,8,FALSE()),"")</f>
        <v>4008S</v>
      </c>
      <c r="G1240" s="46" t="s">
        <v>298</v>
      </c>
      <c r="H1240" s="46" t="s">
        <v>460</v>
      </c>
      <c r="I1240" s="46"/>
      <c r="J1240" s="46" t="s">
        <v>297</v>
      </c>
      <c r="K1240" s="46" t="str">
        <f>IFERROR(VLOOKUP($J1240,Catálogos!$M$4:$N$17,2,FALSE()),"")</f>
        <v>Mantención Preventiva Realizada</v>
      </c>
      <c r="L1240" s="48">
        <v>46168</v>
      </c>
      <c r="M1240" s="46" t="s">
        <v>461</v>
      </c>
      <c r="N1240" s="46" t="s">
        <v>91</v>
      </c>
      <c r="O1240" s="46"/>
      <c r="P1240" s="46"/>
      <c r="Q1240" s="46"/>
    </row>
    <row r="1241" spans="1:17" hidden="1" x14ac:dyDescent="0.25">
      <c r="A1241" s="47" t="s">
        <v>97</v>
      </c>
      <c r="B1241" s="46" t="str">
        <f>IFERROR(VLOOKUP($A1241,Equipos!$C$2:$M$967,2,FALSE()),"")</f>
        <v>Máquina Diálisis</v>
      </c>
      <c r="C1241" s="46" t="str">
        <f>IFERROR(VLOOKUP($A1241,Equipos!$C$2:$M$967,9,FALSE()),"")</f>
        <v>3SXA4HCP</v>
      </c>
      <c r="D1241" s="46" t="str">
        <f>IFERROR(VLOOKUP($A1241,Equipos!$C$2:$M$967,3,FALSE()),"")</f>
        <v>UPC Adulto</v>
      </c>
      <c r="E1241" s="46" t="str">
        <f>IFERROR(VLOOKUP($A1241,Equipos!$C$2:$M$967,7,FALSE()),"")</f>
        <v>Fresenius</v>
      </c>
      <c r="F1241" s="46" t="str">
        <f>IFERROR(VLOOKUP($A1241,Equipos!$C$2:$M$967,8,FALSE()),"")</f>
        <v>4008S</v>
      </c>
      <c r="G1241" s="46" t="s">
        <v>331</v>
      </c>
      <c r="H1241" s="46" t="s">
        <v>460</v>
      </c>
      <c r="I1241" s="46"/>
      <c r="J1241" s="46" t="s">
        <v>423</v>
      </c>
      <c r="K1241" s="46" t="str">
        <f>IFERROR(VLOOKUP($J1241,Catálogos!$M$4:$N$17,2,FALSE()),"")</f>
        <v>Reprogramada · No disponibilidad de horas hombre del servicio técnico externo</v>
      </c>
      <c r="L1241" s="48">
        <v>46142</v>
      </c>
      <c r="M1241" s="46" t="s">
        <v>461</v>
      </c>
      <c r="N1241" s="46" t="s">
        <v>91</v>
      </c>
      <c r="O1241" s="46"/>
      <c r="P1241" s="46"/>
      <c r="Q1241" s="46"/>
    </row>
    <row r="1242" spans="1:17" hidden="1" x14ac:dyDescent="0.25">
      <c r="A1242" s="47" t="s">
        <v>97</v>
      </c>
      <c r="B1242" s="46" t="str">
        <f>IFERROR(VLOOKUP($A1242,Equipos!$C$2:$M$967,2,FALSE()),"")</f>
        <v>Máquina Diálisis</v>
      </c>
      <c r="C1242" s="46" t="str">
        <f>IFERROR(VLOOKUP($A1242,Equipos!$C$2:$M$967,9,FALSE()),"")</f>
        <v>3SXA4HCP</v>
      </c>
      <c r="D1242" s="46" t="str">
        <f>IFERROR(VLOOKUP($A1242,Equipos!$C$2:$M$967,3,FALSE()),"")</f>
        <v>UPC Adulto</v>
      </c>
      <c r="E1242" s="46" t="str">
        <f>IFERROR(VLOOKUP($A1242,Equipos!$C$2:$M$967,7,FALSE()),"")</f>
        <v>Fresenius</v>
      </c>
      <c r="F1242" s="46" t="str">
        <f>IFERROR(VLOOKUP($A1242,Equipos!$C$2:$M$967,8,FALSE()),"")</f>
        <v>4008S</v>
      </c>
      <c r="G1242" s="46" t="s">
        <v>298</v>
      </c>
      <c r="H1242" s="46" t="s">
        <v>460</v>
      </c>
      <c r="I1242" s="46"/>
      <c r="J1242" s="46" t="s">
        <v>297</v>
      </c>
      <c r="K1242" s="46" t="str">
        <f>IFERROR(VLOOKUP($J1242,Catálogos!$M$4:$N$17,2,FALSE()),"")</f>
        <v>Mantención Preventiva Realizada</v>
      </c>
      <c r="L1242" s="48">
        <v>46156</v>
      </c>
      <c r="M1242" s="46" t="s">
        <v>461</v>
      </c>
      <c r="N1242" s="46" t="s">
        <v>91</v>
      </c>
      <c r="O1242" s="46"/>
      <c r="P1242" s="46"/>
      <c r="Q1242" s="46"/>
    </row>
    <row r="1243" spans="1:17" hidden="1" x14ac:dyDescent="0.25">
      <c r="A1243" s="47" t="s">
        <v>1126</v>
      </c>
      <c r="B1243" s="46" t="str">
        <f>IFERROR(VLOOKUP($A1243,Equipos!$C$2:$M$967,2,FALSE()),"")</f>
        <v>Máquina Diálisis</v>
      </c>
      <c r="C1243" s="46" t="str">
        <f>IFERROR(VLOOKUP($A1243,Equipos!$C$2:$M$967,9,FALSE()),"")</f>
        <v>9VSAMM17</v>
      </c>
      <c r="D1243" s="46" t="str">
        <f>IFERROR(VLOOKUP($A1243,Equipos!$C$2:$M$967,3,FALSE()),"")</f>
        <v>Hemodiálisis</v>
      </c>
      <c r="E1243" s="46" t="str">
        <f>IFERROR(VLOOKUP($A1243,Equipos!$C$2:$M$967,7,FALSE()),"")</f>
        <v>Fresenius</v>
      </c>
      <c r="F1243" s="46" t="str">
        <f>IFERROR(VLOOKUP($A1243,Equipos!$C$2:$M$967,8,FALSE()),"")</f>
        <v>5008S</v>
      </c>
      <c r="G1243" s="46" t="s">
        <v>298</v>
      </c>
      <c r="H1243" s="46"/>
      <c r="I1243" s="46"/>
      <c r="J1243" s="46" t="s">
        <v>277</v>
      </c>
      <c r="K1243" s="46" t="str">
        <f>IFERROR(VLOOKUP($J1243,Catálogos!$M$4:$N$17,2,FALSE()),"")</f>
        <v>Reprogramada · Equipo no operativo, a la espera de repuestos o accesorios</v>
      </c>
      <c r="L1243" s="46"/>
      <c r="M1243" s="46"/>
      <c r="N1243" s="46"/>
      <c r="O1243" s="46"/>
      <c r="P1243" s="46"/>
      <c r="Q1243" s="46"/>
    </row>
  </sheetData>
  <autoFilter ref="A1:Q1243" xr:uid="{00000000-0001-0000-0500-000000000000}">
    <filterColumn colId="0">
      <filters>
        <filter val="2-003526"/>
      </filters>
    </filterColumn>
  </autoFilter>
  <dataValidations count="1">
    <dataValidation type="list" allowBlank="1" sqref="O2:P1243" xr:uid="{00000000-0002-0000-0500-000006000000}">
      <formula1>"Sí,No"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xr:uid="{00000000-0002-0000-0500-000000000000}">
          <x14:formula1>
            <xm:f>Equipos!$C$2:$C$967</xm:f>
          </x14:formula1>
          <xm:sqref>A2:A1243</xm:sqref>
        </x14:dataValidation>
        <x14:dataValidation type="list" allowBlank="1" xr:uid="{00000000-0002-0000-0500-000001000000}">
          <x14:formula1>
            <xm:f>Catálogos!$P$4:$P$5</xm:f>
          </x14:formula1>
          <xm:sqref>H2:H1243</xm:sqref>
        </x14:dataValidation>
        <x14:dataValidation type="list" allowBlank="1" xr:uid="{00000000-0002-0000-0500-000002000000}">
          <x14:formula1>
            <xm:f>Catálogos!$A$17:$A$40</xm:f>
          </x14:formula1>
          <xm:sqref>I2:I1243</xm:sqref>
        </x14:dataValidation>
        <x14:dataValidation type="list" allowBlank="1" xr:uid="{00000000-0002-0000-0500-000003000000}">
          <x14:formula1>
            <xm:f>Catálogos!$M$4:$M$17</xm:f>
          </x14:formula1>
          <xm:sqref>J2:J1243</xm:sqref>
        </x14:dataValidation>
        <x14:dataValidation type="list" allowBlank="1" xr:uid="{00000000-0002-0000-0500-000004000000}">
          <x14:formula1>
            <xm:f>Catálogos!$B$4:$B$5</xm:f>
          </x14:formula1>
          <xm:sqref>M2:M1243</xm:sqref>
        </x14:dataValidation>
        <x14:dataValidation type="list" allowBlank="1" xr:uid="{00000000-0002-0000-0500-000005000000}">
          <x14:formula1>
            <xm:f>Catálogos!$A$4:$A$14</xm:f>
          </x14:formula1>
          <xm:sqref>N2:N1243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A94A6"/>
  </sheetPr>
  <dimension ref="A1:S92"/>
  <sheetViews>
    <sheetView zoomScaleNormal="100" workbookViewId="0">
      <selection activeCell="A17" sqref="A17"/>
    </sheetView>
  </sheetViews>
  <sheetFormatPr baseColWidth="10" defaultColWidth="8.7109375" defaultRowHeight="15" x14ac:dyDescent="0.25"/>
  <cols>
    <col min="1" max="6" width="26" customWidth="1"/>
    <col min="8" max="8" width="8" customWidth="1"/>
    <col min="9" max="9" width="32" customWidth="1"/>
    <col min="10" max="10" width="3" customWidth="1"/>
    <col min="11" max="11" width="16" customWidth="1"/>
    <col min="13" max="13" width="10" customWidth="1"/>
    <col min="14" max="14" width="42" customWidth="1"/>
    <col min="16" max="16" width="12" customWidth="1"/>
    <col min="18" max="18" width="12" customWidth="1"/>
    <col min="19" max="19" width="42" customWidth="1"/>
  </cols>
  <sheetData>
    <row r="1" spans="1:19" ht="16.5" customHeight="1" x14ac:dyDescent="0.25">
      <c r="A1" s="101" t="s">
        <v>1127</v>
      </c>
      <c r="B1" s="96"/>
      <c r="C1" s="96"/>
      <c r="D1" s="96"/>
      <c r="E1" s="96"/>
      <c r="F1" s="96"/>
    </row>
    <row r="3" spans="1:19" ht="15" customHeight="1" x14ac:dyDescent="0.25">
      <c r="A3" s="19" t="s">
        <v>1128</v>
      </c>
      <c r="B3" s="19" t="s">
        <v>1129</v>
      </c>
      <c r="C3" s="19" t="s">
        <v>1130</v>
      </c>
      <c r="D3" s="19" t="s">
        <v>1131</v>
      </c>
      <c r="E3" s="19" t="s">
        <v>1132</v>
      </c>
      <c r="F3" s="19" t="s">
        <v>1133</v>
      </c>
      <c r="H3" s="32" t="s">
        <v>1134</v>
      </c>
      <c r="I3" s="32" t="s">
        <v>1135</v>
      </c>
      <c r="K3" s="32" t="s">
        <v>273</v>
      </c>
      <c r="M3" s="44" t="s">
        <v>1136</v>
      </c>
      <c r="N3" s="44" t="s">
        <v>1137</v>
      </c>
      <c r="P3" s="44" t="s">
        <v>1138</v>
      </c>
      <c r="R3" s="44" t="s">
        <v>1139</v>
      </c>
      <c r="S3" s="44" t="s">
        <v>1140</v>
      </c>
    </row>
    <row r="4" spans="1:19" ht="15" customHeight="1" x14ac:dyDescent="0.25">
      <c r="A4" s="14" t="s">
        <v>1003</v>
      </c>
      <c r="B4" s="14" t="s">
        <v>461</v>
      </c>
      <c r="C4" s="14" t="s">
        <v>1141</v>
      </c>
      <c r="D4" s="14" t="s">
        <v>1142</v>
      </c>
      <c r="E4" s="14" t="s">
        <v>1143</v>
      </c>
      <c r="F4" s="14" t="s">
        <v>1144</v>
      </c>
      <c r="H4" s="33" t="s">
        <v>1145</v>
      </c>
      <c r="I4" s="33" t="s">
        <v>1146</v>
      </c>
      <c r="K4" s="33" t="s">
        <v>1147</v>
      </c>
      <c r="M4" s="33" t="s">
        <v>297</v>
      </c>
      <c r="N4" s="33" t="s">
        <v>1148</v>
      </c>
      <c r="P4" s="33" t="s">
        <v>460</v>
      </c>
      <c r="R4" s="33" t="s">
        <v>684</v>
      </c>
      <c r="S4" s="33" t="s">
        <v>1149</v>
      </c>
    </row>
    <row r="5" spans="1:19" ht="15" customHeight="1" x14ac:dyDescent="0.25">
      <c r="A5" s="14" t="s">
        <v>91</v>
      </c>
      <c r="B5" s="14" t="s">
        <v>513</v>
      </c>
      <c r="C5" s="14" t="s">
        <v>1150</v>
      </c>
      <c r="D5" s="14" t="s">
        <v>1151</v>
      </c>
      <c r="E5" s="14" t="s">
        <v>1152</v>
      </c>
      <c r="F5" s="14" t="s">
        <v>1153</v>
      </c>
      <c r="H5" s="33" t="s">
        <v>275</v>
      </c>
      <c r="I5" s="33" t="s">
        <v>1154</v>
      </c>
      <c r="K5" s="33" t="s">
        <v>1155</v>
      </c>
      <c r="M5" s="33" t="s">
        <v>684</v>
      </c>
      <c r="N5" s="33" t="s">
        <v>1156</v>
      </c>
      <c r="P5" s="33" t="s">
        <v>468</v>
      </c>
      <c r="R5" s="33" t="s">
        <v>278</v>
      </c>
      <c r="S5" s="33" t="s">
        <v>1157</v>
      </c>
    </row>
    <row r="6" spans="1:19" ht="15" customHeight="1" x14ac:dyDescent="0.25">
      <c r="A6" s="14" t="s">
        <v>905</v>
      </c>
      <c r="B6" s="14" t="s">
        <v>1158</v>
      </c>
      <c r="F6" s="14" t="s">
        <v>1159</v>
      </c>
      <c r="H6" s="33" t="s">
        <v>278</v>
      </c>
      <c r="I6" s="33" t="s">
        <v>1160</v>
      </c>
      <c r="K6" s="33" t="s">
        <v>1161</v>
      </c>
      <c r="M6" s="33" t="s">
        <v>278</v>
      </c>
      <c r="N6" s="33" t="s">
        <v>1162</v>
      </c>
      <c r="R6" s="33" t="s">
        <v>277</v>
      </c>
      <c r="S6" s="33" t="s">
        <v>1163</v>
      </c>
    </row>
    <row r="7" spans="1:19" ht="15" customHeight="1" x14ac:dyDescent="0.25">
      <c r="A7" s="14" t="s">
        <v>1164</v>
      </c>
      <c r="F7" s="14" t="s">
        <v>304</v>
      </c>
      <c r="H7" s="33" t="s">
        <v>277</v>
      </c>
      <c r="I7" s="33" t="s">
        <v>1165</v>
      </c>
      <c r="K7" s="33" t="s">
        <v>1166</v>
      </c>
      <c r="M7" s="33" t="s">
        <v>277</v>
      </c>
      <c r="N7" s="33" t="s">
        <v>1167</v>
      </c>
      <c r="R7" s="33" t="s">
        <v>1168</v>
      </c>
      <c r="S7" s="33" t="s">
        <v>1169</v>
      </c>
    </row>
    <row r="8" spans="1:19" ht="15" customHeight="1" x14ac:dyDescent="0.25">
      <c r="A8" s="14" t="s">
        <v>122</v>
      </c>
      <c r="H8" s="33" t="s">
        <v>276</v>
      </c>
      <c r="I8" s="33" t="s">
        <v>1170</v>
      </c>
      <c r="K8" s="33" t="s">
        <v>1171</v>
      </c>
      <c r="M8" s="33" t="s">
        <v>1168</v>
      </c>
      <c r="N8" s="33" t="s">
        <v>1172</v>
      </c>
      <c r="R8" s="33" t="s">
        <v>323</v>
      </c>
      <c r="S8" s="33" t="s">
        <v>1173</v>
      </c>
    </row>
    <row r="9" spans="1:19" ht="15" customHeight="1" x14ac:dyDescent="0.25">
      <c r="A9" s="14" t="s">
        <v>1174</v>
      </c>
      <c r="H9" s="33" t="s">
        <v>279</v>
      </c>
      <c r="I9" s="33" t="s">
        <v>304</v>
      </c>
      <c r="K9" s="33" t="s">
        <v>1175</v>
      </c>
      <c r="M9" s="33" t="s">
        <v>323</v>
      </c>
      <c r="N9" s="33" t="s">
        <v>1176</v>
      </c>
      <c r="R9" s="33" t="s">
        <v>423</v>
      </c>
      <c r="S9" s="33" t="s">
        <v>1177</v>
      </c>
    </row>
    <row r="10" spans="1:19" ht="15" customHeight="1" x14ac:dyDescent="0.25">
      <c r="A10" s="14" t="s">
        <v>1178</v>
      </c>
      <c r="M10" s="33" t="s">
        <v>423</v>
      </c>
      <c r="N10" s="33" t="s">
        <v>1179</v>
      </c>
      <c r="R10" s="33" t="s">
        <v>315</v>
      </c>
      <c r="S10" s="33" t="s">
        <v>1180</v>
      </c>
    </row>
    <row r="11" spans="1:19" ht="15" customHeight="1" x14ac:dyDescent="0.25">
      <c r="A11" s="14" t="s">
        <v>1181</v>
      </c>
      <c r="M11" s="33" t="s">
        <v>315</v>
      </c>
      <c r="N11" s="33" t="s">
        <v>1182</v>
      </c>
      <c r="R11" s="33" t="s">
        <v>987</v>
      </c>
      <c r="S11" s="33" t="s">
        <v>1183</v>
      </c>
    </row>
    <row r="12" spans="1:19" ht="15" customHeight="1" x14ac:dyDescent="0.25">
      <c r="A12" s="14" t="s">
        <v>113</v>
      </c>
      <c r="M12" s="33" t="s">
        <v>987</v>
      </c>
      <c r="N12" s="33" t="s">
        <v>1184</v>
      </c>
    </row>
    <row r="13" spans="1:19" ht="15" customHeight="1" x14ac:dyDescent="0.25">
      <c r="A13" s="14" t="s">
        <v>1185</v>
      </c>
      <c r="M13" s="33" t="s">
        <v>416</v>
      </c>
      <c r="N13" s="33" t="s">
        <v>1186</v>
      </c>
    </row>
    <row r="14" spans="1:19" ht="15" customHeight="1" x14ac:dyDescent="0.25">
      <c r="A14" s="14" t="s">
        <v>140</v>
      </c>
      <c r="M14" s="33" t="s">
        <v>1187</v>
      </c>
      <c r="N14" s="33" t="s">
        <v>1188</v>
      </c>
    </row>
    <row r="15" spans="1:19" x14ac:dyDescent="0.25">
      <c r="M15" s="33" t="s">
        <v>476</v>
      </c>
      <c r="N15" s="33" t="s">
        <v>1189</v>
      </c>
    </row>
    <row r="16" spans="1:19" ht="15" customHeight="1" x14ac:dyDescent="0.25">
      <c r="A16" s="20" t="s">
        <v>1190</v>
      </c>
      <c r="C16" s="20" t="s">
        <v>1191</v>
      </c>
      <c r="M16" s="33" t="s">
        <v>784</v>
      </c>
      <c r="N16" s="33" t="s">
        <v>1192</v>
      </c>
    </row>
    <row r="17" spans="1:14" ht="15" customHeight="1" x14ac:dyDescent="0.25">
      <c r="A17" s="18" t="s">
        <v>1193</v>
      </c>
      <c r="C17" s="14" t="s">
        <v>1194</v>
      </c>
      <c r="M17" s="33" t="s">
        <v>304</v>
      </c>
      <c r="N17" s="33" t="s">
        <v>1195</v>
      </c>
    </row>
    <row r="18" spans="1:14" ht="15" customHeight="1" x14ac:dyDescent="0.25">
      <c r="A18" s="28" t="s">
        <v>1196</v>
      </c>
      <c r="C18" s="14" t="s">
        <v>1197</v>
      </c>
    </row>
    <row r="19" spans="1:14" ht="15" customHeight="1" x14ac:dyDescent="0.25">
      <c r="A19" s="28" t="s">
        <v>1198</v>
      </c>
      <c r="C19" s="14" t="s">
        <v>1199</v>
      </c>
    </row>
    <row r="20" spans="1:14" ht="15" customHeight="1" x14ac:dyDescent="0.25">
      <c r="A20" s="28" t="s">
        <v>1200</v>
      </c>
      <c r="C20" s="14" t="s">
        <v>1201</v>
      </c>
    </row>
    <row r="21" spans="1:14" ht="15" customHeight="1" x14ac:dyDescent="0.25">
      <c r="A21" s="28" t="s">
        <v>1202</v>
      </c>
      <c r="C21" s="14" t="s">
        <v>1203</v>
      </c>
    </row>
    <row r="22" spans="1:14" ht="15" customHeight="1" x14ac:dyDescent="0.25">
      <c r="A22" s="18"/>
      <c r="C22" s="14" t="s">
        <v>1204</v>
      </c>
    </row>
    <row r="23" spans="1:14" ht="15" customHeight="1" x14ac:dyDescent="0.25">
      <c r="A23" s="18"/>
      <c r="C23" s="14" t="s">
        <v>1205</v>
      </c>
    </row>
    <row r="24" spans="1:14" ht="15" customHeight="1" x14ac:dyDescent="0.25">
      <c r="A24" s="18"/>
      <c r="C24" s="14" t="s">
        <v>1206</v>
      </c>
    </row>
    <row r="25" spans="1:14" ht="15" customHeight="1" x14ac:dyDescent="0.25">
      <c r="A25" s="18"/>
      <c r="C25" s="14" t="s">
        <v>1207</v>
      </c>
    </row>
    <row r="26" spans="1:14" ht="15" customHeight="1" x14ac:dyDescent="0.25">
      <c r="A26" s="18"/>
      <c r="C26" s="14" t="s">
        <v>1208</v>
      </c>
    </row>
    <row r="27" spans="1:14" ht="15" customHeight="1" x14ac:dyDescent="0.25">
      <c r="A27" s="18"/>
      <c r="C27" s="14" t="s">
        <v>1209</v>
      </c>
    </row>
    <row r="28" spans="1:14" ht="15" customHeight="1" x14ac:dyDescent="0.25">
      <c r="A28" s="18"/>
      <c r="C28" s="14" t="s">
        <v>1210</v>
      </c>
    </row>
    <row r="29" spans="1:14" ht="15" customHeight="1" x14ac:dyDescent="0.25">
      <c r="A29" s="18"/>
      <c r="C29" s="14" t="s">
        <v>1211</v>
      </c>
    </row>
    <row r="30" spans="1:14" ht="15" customHeight="1" x14ac:dyDescent="0.25">
      <c r="A30" s="18"/>
      <c r="C30" s="14" t="s">
        <v>1212</v>
      </c>
    </row>
    <row r="31" spans="1:14" ht="15" customHeight="1" x14ac:dyDescent="0.25">
      <c r="A31" s="18"/>
      <c r="C31" s="14" t="s">
        <v>1213</v>
      </c>
    </row>
    <row r="32" spans="1:14" ht="15" customHeight="1" x14ac:dyDescent="0.25">
      <c r="A32" s="18"/>
      <c r="C32" s="14" t="s">
        <v>1214</v>
      </c>
    </row>
    <row r="33" spans="1:3" ht="15" customHeight="1" x14ac:dyDescent="0.25">
      <c r="A33" s="18"/>
      <c r="C33" s="14" t="s">
        <v>1215</v>
      </c>
    </row>
    <row r="34" spans="1:3" ht="15" customHeight="1" x14ac:dyDescent="0.25">
      <c r="A34" s="18"/>
      <c r="C34" s="14" t="s">
        <v>1216</v>
      </c>
    </row>
    <row r="35" spans="1:3" ht="15" customHeight="1" x14ac:dyDescent="0.25">
      <c r="A35" s="18"/>
      <c r="C35" s="14" t="s">
        <v>1217</v>
      </c>
    </row>
    <row r="36" spans="1:3" ht="15" customHeight="1" x14ac:dyDescent="0.25">
      <c r="A36" s="18"/>
      <c r="C36" s="14" t="s">
        <v>1218</v>
      </c>
    </row>
    <row r="37" spans="1:3" ht="15" customHeight="1" x14ac:dyDescent="0.25">
      <c r="C37" s="14" t="s">
        <v>1219</v>
      </c>
    </row>
    <row r="38" spans="1:3" ht="15" customHeight="1" x14ac:dyDescent="0.25">
      <c r="A38" s="17" t="s">
        <v>1220</v>
      </c>
      <c r="C38" s="14" t="s">
        <v>1221</v>
      </c>
    </row>
    <row r="39" spans="1:3" ht="15" customHeight="1" x14ac:dyDescent="0.25">
      <c r="C39" s="14" t="s">
        <v>1222</v>
      </c>
    </row>
    <row r="40" spans="1:3" ht="15" customHeight="1" x14ac:dyDescent="0.25">
      <c r="C40" s="14" t="s">
        <v>1223</v>
      </c>
    </row>
    <row r="41" spans="1:3" ht="15" customHeight="1" x14ac:dyDescent="0.25">
      <c r="C41" s="14" t="s">
        <v>1224</v>
      </c>
    </row>
    <row r="42" spans="1:3" ht="15" customHeight="1" x14ac:dyDescent="0.25">
      <c r="C42" s="14" t="s">
        <v>1225</v>
      </c>
    </row>
    <row r="43" spans="1:3" ht="15" customHeight="1" x14ac:dyDescent="0.25">
      <c r="C43" s="14" t="s">
        <v>1226</v>
      </c>
    </row>
    <row r="44" spans="1:3" ht="15" customHeight="1" x14ac:dyDescent="0.25">
      <c r="C44" s="14" t="s">
        <v>1227</v>
      </c>
    </row>
    <row r="45" spans="1:3" ht="15" customHeight="1" x14ac:dyDescent="0.25">
      <c r="C45" s="14" t="s">
        <v>1228</v>
      </c>
    </row>
    <row r="46" spans="1:3" ht="15" customHeight="1" x14ac:dyDescent="0.25">
      <c r="C46" s="14" t="s">
        <v>1229</v>
      </c>
    </row>
    <row r="47" spans="1:3" ht="15" customHeight="1" x14ac:dyDescent="0.25">
      <c r="C47" s="14" t="s">
        <v>1230</v>
      </c>
    </row>
    <row r="48" spans="1:3" ht="15" customHeight="1" x14ac:dyDescent="0.25">
      <c r="C48" s="14" t="s">
        <v>1231</v>
      </c>
    </row>
    <row r="49" spans="3:3" ht="15" customHeight="1" x14ac:dyDescent="0.25">
      <c r="C49" s="14" t="s">
        <v>1232</v>
      </c>
    </row>
    <row r="50" spans="3:3" ht="15" customHeight="1" x14ac:dyDescent="0.25">
      <c r="C50" s="14" t="s">
        <v>1233</v>
      </c>
    </row>
    <row r="51" spans="3:3" ht="15" customHeight="1" x14ac:dyDescent="0.25">
      <c r="C51" s="14" t="s">
        <v>1234</v>
      </c>
    </row>
    <row r="52" spans="3:3" ht="15" customHeight="1" x14ac:dyDescent="0.25">
      <c r="C52" s="14" t="s">
        <v>1235</v>
      </c>
    </row>
    <row r="53" spans="3:3" ht="15" customHeight="1" x14ac:dyDescent="0.25">
      <c r="C53" s="14" t="s">
        <v>1236</v>
      </c>
    </row>
    <row r="54" spans="3:3" ht="15" customHeight="1" x14ac:dyDescent="0.25">
      <c r="C54" s="14" t="s">
        <v>1237</v>
      </c>
    </row>
    <row r="55" spans="3:3" ht="15" customHeight="1" x14ac:dyDescent="0.25">
      <c r="C55" s="14" t="s">
        <v>1238</v>
      </c>
    </row>
    <row r="56" spans="3:3" ht="15" customHeight="1" x14ac:dyDescent="0.25">
      <c r="C56" s="14" t="s">
        <v>1239</v>
      </c>
    </row>
    <row r="57" spans="3:3" ht="15" customHeight="1" x14ac:dyDescent="0.25">
      <c r="C57" s="14" t="s">
        <v>1240</v>
      </c>
    </row>
    <row r="58" spans="3:3" ht="15" customHeight="1" x14ac:dyDescent="0.25">
      <c r="C58" s="14" t="s">
        <v>1241</v>
      </c>
    </row>
    <row r="59" spans="3:3" ht="15" customHeight="1" x14ac:dyDescent="0.25">
      <c r="C59" s="14" t="s">
        <v>1242</v>
      </c>
    </row>
    <row r="60" spans="3:3" ht="15" customHeight="1" x14ac:dyDescent="0.25">
      <c r="C60" s="14" t="s">
        <v>1243</v>
      </c>
    </row>
    <row r="61" spans="3:3" ht="15" customHeight="1" x14ac:dyDescent="0.25">
      <c r="C61" s="14" t="s">
        <v>1244</v>
      </c>
    </row>
    <row r="62" spans="3:3" ht="15" customHeight="1" x14ac:dyDescent="0.25">
      <c r="C62" s="14" t="s">
        <v>1245</v>
      </c>
    </row>
    <row r="63" spans="3:3" ht="15" customHeight="1" x14ac:dyDescent="0.25">
      <c r="C63" s="14" t="s">
        <v>1246</v>
      </c>
    </row>
    <row r="64" spans="3:3" ht="15" customHeight="1" x14ac:dyDescent="0.25">
      <c r="C64" s="14" t="s">
        <v>1247</v>
      </c>
    </row>
    <row r="65" spans="3:3" ht="15" customHeight="1" x14ac:dyDescent="0.25">
      <c r="C65" s="14" t="s">
        <v>1248</v>
      </c>
    </row>
    <row r="66" spans="3:3" ht="15" customHeight="1" x14ac:dyDescent="0.25">
      <c r="C66" s="14" t="s">
        <v>1249</v>
      </c>
    </row>
    <row r="67" spans="3:3" ht="15" customHeight="1" x14ac:dyDescent="0.25">
      <c r="C67" s="14" t="s">
        <v>1250</v>
      </c>
    </row>
    <row r="68" spans="3:3" ht="15" customHeight="1" x14ac:dyDescent="0.25">
      <c r="C68" s="14" t="s">
        <v>1251</v>
      </c>
    </row>
    <row r="69" spans="3:3" ht="15" customHeight="1" x14ac:dyDescent="0.25">
      <c r="C69" s="14" t="s">
        <v>1252</v>
      </c>
    </row>
    <row r="70" spans="3:3" ht="15" customHeight="1" x14ac:dyDescent="0.25">
      <c r="C70" s="14" t="s">
        <v>1253</v>
      </c>
    </row>
    <row r="71" spans="3:3" ht="15" customHeight="1" x14ac:dyDescent="0.25">
      <c r="C71" s="14" t="s">
        <v>1254</v>
      </c>
    </row>
    <row r="72" spans="3:3" ht="15" customHeight="1" x14ac:dyDescent="0.25">
      <c r="C72" s="14" t="s">
        <v>1255</v>
      </c>
    </row>
    <row r="73" spans="3:3" ht="15" customHeight="1" x14ac:dyDescent="0.25">
      <c r="C73" s="14" t="s">
        <v>1256</v>
      </c>
    </row>
    <row r="74" spans="3:3" ht="15" customHeight="1" x14ac:dyDescent="0.25">
      <c r="C74" s="14" t="s">
        <v>1257</v>
      </c>
    </row>
    <row r="75" spans="3:3" ht="15" customHeight="1" x14ac:dyDescent="0.25">
      <c r="C75" s="14" t="s">
        <v>1258</v>
      </c>
    </row>
    <row r="76" spans="3:3" ht="15" customHeight="1" x14ac:dyDescent="0.25">
      <c r="C76" s="14" t="s">
        <v>1259</v>
      </c>
    </row>
    <row r="77" spans="3:3" ht="15" customHeight="1" x14ac:dyDescent="0.25">
      <c r="C77" s="14" t="s">
        <v>1260</v>
      </c>
    </row>
    <row r="78" spans="3:3" ht="15" customHeight="1" x14ac:dyDescent="0.25">
      <c r="C78" s="14" t="s">
        <v>1261</v>
      </c>
    </row>
    <row r="79" spans="3:3" ht="15" customHeight="1" x14ac:dyDescent="0.25">
      <c r="C79" s="14" t="s">
        <v>1262</v>
      </c>
    </row>
    <row r="80" spans="3:3" ht="15" customHeight="1" x14ac:dyDescent="0.25">
      <c r="C80" s="14" t="s">
        <v>1263</v>
      </c>
    </row>
    <row r="81" spans="3:3" ht="15" customHeight="1" x14ac:dyDescent="0.25">
      <c r="C81" s="14" t="s">
        <v>1264</v>
      </c>
    </row>
    <row r="82" spans="3:3" ht="15" customHeight="1" x14ac:dyDescent="0.25">
      <c r="C82" s="14" t="s">
        <v>1265</v>
      </c>
    </row>
    <row r="83" spans="3:3" ht="15" customHeight="1" x14ac:dyDescent="0.25">
      <c r="C83" s="14" t="s">
        <v>1266</v>
      </c>
    </row>
    <row r="84" spans="3:3" ht="15" customHeight="1" x14ac:dyDescent="0.25">
      <c r="C84" s="14" t="s">
        <v>1267</v>
      </c>
    </row>
    <row r="85" spans="3:3" ht="15" customHeight="1" x14ac:dyDescent="0.25">
      <c r="C85" s="14" t="s">
        <v>1268</v>
      </c>
    </row>
    <row r="86" spans="3:3" ht="15" customHeight="1" x14ac:dyDescent="0.25">
      <c r="C86" s="14" t="s">
        <v>1269</v>
      </c>
    </row>
    <row r="87" spans="3:3" ht="15" customHeight="1" x14ac:dyDescent="0.25">
      <c r="C87" s="14" t="s">
        <v>1270</v>
      </c>
    </row>
    <row r="88" spans="3:3" ht="15" customHeight="1" x14ac:dyDescent="0.25">
      <c r="C88" s="14" t="s">
        <v>1271</v>
      </c>
    </row>
    <row r="89" spans="3:3" ht="15" customHeight="1" x14ac:dyDescent="0.25">
      <c r="C89" s="14" t="s">
        <v>1272</v>
      </c>
    </row>
    <row r="90" spans="3:3" ht="15" customHeight="1" x14ac:dyDescent="0.25">
      <c r="C90" s="14" t="s">
        <v>1273</v>
      </c>
    </row>
    <row r="91" spans="3:3" ht="15" customHeight="1" x14ac:dyDescent="0.25">
      <c r="C91" s="14" t="s">
        <v>1274</v>
      </c>
    </row>
    <row r="92" spans="3:3" ht="15" customHeight="1" x14ac:dyDescent="0.25">
      <c r="C92" s="14" t="s">
        <v>1275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tabColor rgb="FF8A94A6"/>
  </sheetPr>
  <dimension ref="A1:M967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7109375" defaultRowHeight="15" x14ac:dyDescent="0.25"/>
  <cols>
    <col min="1" max="1" width="6" customWidth="1"/>
    <col min="2" max="2" width="10" customWidth="1"/>
    <col min="3" max="3" width="14" customWidth="1"/>
    <col min="4" max="4" width="26" customWidth="1"/>
    <col min="5" max="5" width="24" customWidth="1"/>
    <col min="6" max="6" width="20" customWidth="1"/>
    <col min="7" max="7" width="18" customWidth="1"/>
    <col min="8" max="8" width="16" customWidth="1"/>
    <col min="9" max="9" width="18" customWidth="1"/>
    <col min="10" max="10" width="22" customWidth="1"/>
    <col min="11" max="11" width="14" customWidth="1"/>
    <col min="12" max="12" width="12" customWidth="1"/>
    <col min="13" max="13" width="14" customWidth="1"/>
  </cols>
  <sheetData>
    <row r="1" spans="1:13" ht="27.75" customHeight="1" x14ac:dyDescent="0.25">
      <c r="A1" s="13" t="s">
        <v>1276</v>
      </c>
      <c r="B1" s="13" t="s">
        <v>1277</v>
      </c>
      <c r="C1" s="13" t="s">
        <v>65</v>
      </c>
      <c r="D1" s="13" t="s">
        <v>5</v>
      </c>
      <c r="E1" s="13" t="s">
        <v>6</v>
      </c>
      <c r="F1" s="13" t="s">
        <v>1278</v>
      </c>
      <c r="G1" s="13" t="s">
        <v>7</v>
      </c>
      <c r="H1" s="13" t="s">
        <v>1279</v>
      </c>
      <c r="I1" s="13" t="s">
        <v>8</v>
      </c>
      <c r="J1" s="13" t="s">
        <v>9</v>
      </c>
      <c r="K1" s="13" t="s">
        <v>10</v>
      </c>
      <c r="L1" s="13" t="s">
        <v>1280</v>
      </c>
      <c r="M1" s="13" t="s">
        <v>1281</v>
      </c>
    </row>
    <row r="2" spans="1:13" ht="15" hidden="1" customHeight="1" x14ac:dyDescent="0.25">
      <c r="A2" s="21" t="s">
        <v>1282</v>
      </c>
      <c r="B2" s="22" t="s">
        <v>1282</v>
      </c>
      <c r="C2" s="22" t="s">
        <v>295</v>
      </c>
      <c r="D2" s="21" t="s">
        <v>1283</v>
      </c>
      <c r="E2" s="21" t="s">
        <v>1225</v>
      </c>
      <c r="F2" s="21" t="s">
        <v>1284</v>
      </c>
      <c r="G2" s="21" t="s">
        <v>1285</v>
      </c>
      <c r="H2" s="21" t="s">
        <v>1286</v>
      </c>
      <c r="I2" s="21" t="s">
        <v>1287</v>
      </c>
      <c r="J2" s="21" t="s">
        <v>1288</v>
      </c>
      <c r="K2" s="22" t="s">
        <v>1289</v>
      </c>
      <c r="L2" s="21" t="s">
        <v>1290</v>
      </c>
      <c r="M2" s="21" t="s">
        <v>1291</v>
      </c>
    </row>
    <row r="3" spans="1:13" ht="15" hidden="1" customHeight="1" x14ac:dyDescent="0.25">
      <c r="A3" s="21" t="s">
        <v>1292</v>
      </c>
      <c r="B3" s="22" t="s">
        <v>1292</v>
      </c>
      <c r="C3" s="22" t="s">
        <v>299</v>
      </c>
      <c r="D3" s="21" t="s">
        <v>1283</v>
      </c>
      <c r="E3" s="21" t="s">
        <v>1225</v>
      </c>
      <c r="F3" s="21" t="s">
        <v>1284</v>
      </c>
      <c r="G3" s="21" t="s">
        <v>1293</v>
      </c>
      <c r="H3" s="21" t="s">
        <v>1286</v>
      </c>
      <c r="I3" s="21" t="s">
        <v>1294</v>
      </c>
      <c r="J3" s="21" t="s">
        <v>1295</v>
      </c>
      <c r="K3" s="22" t="s">
        <v>1296</v>
      </c>
      <c r="L3" s="21" t="s">
        <v>1290</v>
      </c>
      <c r="M3" s="21" t="s">
        <v>1291</v>
      </c>
    </row>
    <row r="4" spans="1:13" ht="15" hidden="1" customHeight="1" x14ac:dyDescent="0.25">
      <c r="A4" s="21" t="s">
        <v>1297</v>
      </c>
      <c r="B4" s="22" t="s">
        <v>1297</v>
      </c>
      <c r="C4" s="22" t="s">
        <v>300</v>
      </c>
      <c r="D4" s="21" t="s">
        <v>1283</v>
      </c>
      <c r="E4" s="21" t="s">
        <v>1225</v>
      </c>
      <c r="F4" s="21" t="s">
        <v>1284</v>
      </c>
      <c r="G4" s="21" t="s">
        <v>1298</v>
      </c>
      <c r="H4" s="21" t="s">
        <v>1286</v>
      </c>
      <c r="I4" s="21" t="s">
        <v>1294</v>
      </c>
      <c r="J4" s="21" t="s">
        <v>1295</v>
      </c>
      <c r="K4" s="22" t="s">
        <v>1299</v>
      </c>
      <c r="L4" s="21" t="s">
        <v>1290</v>
      </c>
      <c r="M4" s="21" t="s">
        <v>1291</v>
      </c>
    </row>
    <row r="5" spans="1:13" ht="15" hidden="1" customHeight="1" x14ac:dyDescent="0.25">
      <c r="A5" s="21" t="s">
        <v>1300</v>
      </c>
      <c r="B5" s="22" t="s">
        <v>1300</v>
      </c>
      <c r="C5" s="22" t="s">
        <v>301</v>
      </c>
      <c r="D5" s="21" t="s">
        <v>1283</v>
      </c>
      <c r="E5" s="21" t="s">
        <v>1225</v>
      </c>
      <c r="F5" s="21" t="s">
        <v>1284</v>
      </c>
      <c r="G5" s="21" t="s">
        <v>1301</v>
      </c>
      <c r="H5" s="21" t="s">
        <v>1286</v>
      </c>
      <c r="I5" s="21" t="s">
        <v>1287</v>
      </c>
      <c r="J5" s="21" t="s">
        <v>1288</v>
      </c>
      <c r="K5" s="22" t="s">
        <v>1302</v>
      </c>
      <c r="L5" s="21" t="s">
        <v>1290</v>
      </c>
      <c r="M5" s="21" t="s">
        <v>1291</v>
      </c>
    </row>
    <row r="6" spans="1:13" ht="15" hidden="1" customHeight="1" x14ac:dyDescent="0.25">
      <c r="A6" s="21" t="s">
        <v>1303</v>
      </c>
      <c r="B6" s="22" t="s">
        <v>1303</v>
      </c>
      <c r="C6" s="22" t="s">
        <v>302</v>
      </c>
      <c r="D6" s="21" t="s">
        <v>1283</v>
      </c>
      <c r="E6" s="21" t="s">
        <v>1225</v>
      </c>
      <c r="F6" s="21" t="s">
        <v>1284</v>
      </c>
      <c r="G6" s="21" t="s">
        <v>1304</v>
      </c>
      <c r="H6" s="21" t="s">
        <v>1286</v>
      </c>
      <c r="I6" s="21" t="s">
        <v>1294</v>
      </c>
      <c r="J6" s="21" t="s">
        <v>1295</v>
      </c>
      <c r="K6" s="22" t="s">
        <v>1305</v>
      </c>
      <c r="L6" s="21" t="s">
        <v>1290</v>
      </c>
      <c r="M6" s="21" t="s">
        <v>1291</v>
      </c>
    </row>
    <row r="7" spans="1:13" ht="15" hidden="1" customHeight="1" x14ac:dyDescent="0.25">
      <c r="A7" s="21" t="s">
        <v>1306</v>
      </c>
      <c r="B7" s="22" t="s">
        <v>1306</v>
      </c>
      <c r="C7" s="22"/>
      <c r="D7" s="21" t="s">
        <v>1283</v>
      </c>
      <c r="E7" s="21" t="s">
        <v>1225</v>
      </c>
      <c r="F7" s="21" t="s">
        <v>1284</v>
      </c>
      <c r="G7" s="21"/>
      <c r="H7" s="21" t="s">
        <v>1307</v>
      </c>
      <c r="I7" s="21" t="s">
        <v>1308</v>
      </c>
      <c r="J7" s="21" t="s">
        <v>1309</v>
      </c>
      <c r="K7" s="22" t="s">
        <v>1310</v>
      </c>
      <c r="L7" s="21" t="s">
        <v>1311</v>
      </c>
      <c r="M7" s="21"/>
    </row>
    <row r="8" spans="1:13" ht="15" hidden="1" customHeight="1" x14ac:dyDescent="0.25">
      <c r="A8" s="21" t="s">
        <v>1312</v>
      </c>
      <c r="B8" s="22" t="s">
        <v>1312</v>
      </c>
      <c r="C8" s="22" t="s">
        <v>305</v>
      </c>
      <c r="D8" s="21" t="s">
        <v>1283</v>
      </c>
      <c r="E8" s="21" t="s">
        <v>1225</v>
      </c>
      <c r="F8" s="21" t="s">
        <v>1284</v>
      </c>
      <c r="G8" s="21" t="s">
        <v>1313</v>
      </c>
      <c r="H8" s="21" t="s">
        <v>1314</v>
      </c>
      <c r="I8" s="21" t="s">
        <v>1315</v>
      </c>
      <c r="J8" s="21" t="s">
        <v>1316</v>
      </c>
      <c r="K8" s="22" t="s">
        <v>1317</v>
      </c>
      <c r="L8" s="21" t="s">
        <v>1318</v>
      </c>
      <c r="M8" s="21" t="s">
        <v>1319</v>
      </c>
    </row>
    <row r="9" spans="1:13" ht="15" hidden="1" customHeight="1" x14ac:dyDescent="0.25">
      <c r="A9" s="21" t="s">
        <v>1320</v>
      </c>
      <c r="B9" s="22" t="s">
        <v>1320</v>
      </c>
      <c r="C9" s="22" t="s">
        <v>306</v>
      </c>
      <c r="D9" s="21" t="s">
        <v>1283</v>
      </c>
      <c r="E9" s="21" t="s">
        <v>1225</v>
      </c>
      <c r="F9" s="21" t="s">
        <v>1284</v>
      </c>
      <c r="G9" s="21" t="s">
        <v>1321</v>
      </c>
      <c r="H9" s="21" t="s">
        <v>1286</v>
      </c>
      <c r="I9" s="21" t="s">
        <v>1287</v>
      </c>
      <c r="J9" s="21" t="s">
        <v>1288</v>
      </c>
      <c r="K9" s="22" t="s">
        <v>1322</v>
      </c>
      <c r="L9" s="21" t="s">
        <v>1290</v>
      </c>
      <c r="M9" s="21" t="s">
        <v>1291</v>
      </c>
    </row>
    <row r="10" spans="1:13" ht="15" hidden="1" customHeight="1" x14ac:dyDescent="0.25">
      <c r="A10" s="21" t="s">
        <v>1323</v>
      </c>
      <c r="B10" s="22" t="s">
        <v>1323</v>
      </c>
      <c r="C10" s="22" t="s">
        <v>307</v>
      </c>
      <c r="D10" s="21" t="s">
        <v>1283</v>
      </c>
      <c r="E10" s="21" t="s">
        <v>1225</v>
      </c>
      <c r="F10" s="21" t="s">
        <v>1284</v>
      </c>
      <c r="G10" s="21" t="s">
        <v>1324</v>
      </c>
      <c r="H10" s="21" t="s">
        <v>1286</v>
      </c>
      <c r="I10" s="21" t="s">
        <v>1294</v>
      </c>
      <c r="J10" s="21" t="s">
        <v>1295</v>
      </c>
      <c r="K10" s="22" t="s">
        <v>1325</v>
      </c>
      <c r="L10" s="21" t="s">
        <v>1290</v>
      </c>
      <c r="M10" s="21" t="s">
        <v>1291</v>
      </c>
    </row>
    <row r="11" spans="1:13" ht="15" hidden="1" customHeight="1" x14ac:dyDescent="0.25">
      <c r="A11" s="21" t="s">
        <v>1326</v>
      </c>
      <c r="B11" s="22" t="s">
        <v>1326</v>
      </c>
      <c r="C11" s="22"/>
      <c r="D11" s="21" t="s">
        <v>1283</v>
      </c>
      <c r="E11" s="21"/>
      <c r="F11" s="21"/>
      <c r="G11" s="21"/>
      <c r="H11" s="21"/>
      <c r="I11" s="21"/>
      <c r="J11" s="21"/>
      <c r="K11" s="22"/>
      <c r="L11" s="21"/>
      <c r="M11" s="21"/>
    </row>
    <row r="12" spans="1:13" ht="15" hidden="1" customHeight="1" x14ac:dyDescent="0.25">
      <c r="A12" s="21" t="s">
        <v>1327</v>
      </c>
      <c r="B12" s="22" t="s">
        <v>1327</v>
      </c>
      <c r="C12" s="22" t="s">
        <v>308</v>
      </c>
      <c r="D12" s="21" t="s">
        <v>1283</v>
      </c>
      <c r="E12" s="21" t="s">
        <v>1246</v>
      </c>
      <c r="F12" s="21" t="s">
        <v>1246</v>
      </c>
      <c r="G12" s="21" t="s">
        <v>1328</v>
      </c>
      <c r="H12" s="21" t="s">
        <v>1286</v>
      </c>
      <c r="I12" s="21" t="s">
        <v>1329</v>
      </c>
      <c r="J12" s="21" t="s">
        <v>1330</v>
      </c>
      <c r="K12" s="22" t="s">
        <v>1331</v>
      </c>
      <c r="L12" s="21" t="s">
        <v>1332</v>
      </c>
      <c r="M12" s="21" t="s">
        <v>1319</v>
      </c>
    </row>
    <row r="13" spans="1:13" ht="15" hidden="1" customHeight="1" x14ac:dyDescent="0.25">
      <c r="A13" s="21" t="s">
        <v>1333</v>
      </c>
      <c r="B13" s="22" t="s">
        <v>1333</v>
      </c>
      <c r="C13" s="22"/>
      <c r="D13" s="21" t="s">
        <v>1283</v>
      </c>
      <c r="E13" s="21"/>
      <c r="F13" s="21"/>
      <c r="G13" s="21"/>
      <c r="H13" s="21"/>
      <c r="I13" s="21"/>
      <c r="J13" s="21"/>
      <c r="K13" s="22"/>
      <c r="L13" s="21"/>
      <c r="M13" s="21"/>
    </row>
    <row r="14" spans="1:13" ht="15" hidden="1" customHeight="1" x14ac:dyDescent="0.25">
      <c r="A14" s="21" t="s">
        <v>1334</v>
      </c>
      <c r="B14" s="22" t="s">
        <v>1334</v>
      </c>
      <c r="C14" s="22"/>
      <c r="D14" s="21" t="s">
        <v>1283</v>
      </c>
      <c r="E14" s="21"/>
      <c r="F14" s="21"/>
      <c r="G14" s="21"/>
      <c r="H14" s="21"/>
      <c r="I14" s="21"/>
      <c r="J14" s="21"/>
      <c r="K14" s="22"/>
      <c r="L14" s="21"/>
      <c r="M14" s="21"/>
    </row>
    <row r="15" spans="1:13" ht="15" hidden="1" customHeight="1" x14ac:dyDescent="0.25">
      <c r="A15" s="21" t="s">
        <v>1335</v>
      </c>
      <c r="B15" s="22" t="s">
        <v>1335</v>
      </c>
      <c r="C15" s="22"/>
      <c r="D15" s="21" t="s">
        <v>1283</v>
      </c>
      <c r="E15" s="21"/>
      <c r="F15" s="21"/>
      <c r="G15" s="21"/>
      <c r="H15" s="21"/>
      <c r="I15" s="21"/>
      <c r="J15" s="21"/>
      <c r="K15" s="22"/>
      <c r="L15" s="21"/>
      <c r="M15" s="21"/>
    </row>
    <row r="16" spans="1:13" ht="15" hidden="1" customHeight="1" x14ac:dyDescent="0.25">
      <c r="A16" s="21" t="s">
        <v>1336</v>
      </c>
      <c r="B16" s="22" t="s">
        <v>1336</v>
      </c>
      <c r="C16" s="22"/>
      <c r="D16" s="21" t="s">
        <v>1283</v>
      </c>
      <c r="E16" s="21"/>
      <c r="F16" s="21"/>
      <c r="G16" s="21"/>
      <c r="H16" s="21"/>
      <c r="I16" s="21"/>
      <c r="J16" s="21"/>
      <c r="K16" s="22"/>
      <c r="L16" s="21"/>
      <c r="M16" s="21"/>
    </row>
    <row r="17" spans="1:13" ht="15" hidden="1" customHeight="1" x14ac:dyDescent="0.25">
      <c r="A17" s="21" t="s">
        <v>1337</v>
      </c>
      <c r="B17" s="22" t="s">
        <v>1337</v>
      </c>
      <c r="C17" s="22" t="s">
        <v>309</v>
      </c>
      <c r="D17" s="21" t="s">
        <v>1283</v>
      </c>
      <c r="E17" s="21" t="s">
        <v>1225</v>
      </c>
      <c r="F17" s="21" t="s">
        <v>1284</v>
      </c>
      <c r="G17" s="21" t="s">
        <v>1338</v>
      </c>
      <c r="H17" s="21" t="s">
        <v>1286</v>
      </c>
      <c r="I17" s="21" t="s">
        <v>1287</v>
      </c>
      <c r="J17" s="21" t="s">
        <v>1288</v>
      </c>
      <c r="K17" s="22" t="s">
        <v>1339</v>
      </c>
      <c r="L17" s="21" t="s">
        <v>1290</v>
      </c>
      <c r="M17" s="21" t="s">
        <v>1291</v>
      </c>
    </row>
    <row r="18" spans="1:13" ht="15" hidden="1" customHeight="1" x14ac:dyDescent="0.25">
      <c r="A18" s="21" t="s">
        <v>1340</v>
      </c>
      <c r="B18" s="22" t="s">
        <v>1340</v>
      </c>
      <c r="C18" s="22"/>
      <c r="D18" s="21" t="s">
        <v>1283</v>
      </c>
      <c r="E18" s="21"/>
      <c r="F18" s="21"/>
      <c r="G18" s="21"/>
      <c r="H18" s="21"/>
      <c r="I18" s="21"/>
      <c r="J18" s="21"/>
      <c r="K18" s="22"/>
      <c r="L18" s="21"/>
      <c r="M18" s="21"/>
    </row>
    <row r="19" spans="1:13" ht="15" hidden="1" customHeight="1" x14ac:dyDescent="0.25">
      <c r="A19" s="21" t="s">
        <v>1341</v>
      </c>
      <c r="B19" s="22" t="s">
        <v>1341</v>
      </c>
      <c r="C19" s="22" t="s">
        <v>310</v>
      </c>
      <c r="D19" s="21" t="s">
        <v>1283</v>
      </c>
      <c r="E19" s="21" t="s">
        <v>1225</v>
      </c>
      <c r="F19" s="21" t="s">
        <v>1284</v>
      </c>
      <c r="G19" s="21" t="s">
        <v>1342</v>
      </c>
      <c r="H19" s="21" t="s">
        <v>1314</v>
      </c>
      <c r="I19" s="21" t="s">
        <v>1287</v>
      </c>
      <c r="J19" s="21" t="s">
        <v>1288</v>
      </c>
      <c r="K19" s="22" t="s">
        <v>1343</v>
      </c>
      <c r="L19" s="21" t="s">
        <v>1344</v>
      </c>
      <c r="M19" s="21" t="s">
        <v>1291</v>
      </c>
    </row>
    <row r="20" spans="1:13" ht="15" hidden="1" customHeight="1" x14ac:dyDescent="0.25">
      <c r="A20" s="21" t="s">
        <v>1345</v>
      </c>
      <c r="B20" s="22" t="s">
        <v>1345</v>
      </c>
      <c r="C20" s="22" t="s">
        <v>311</v>
      </c>
      <c r="D20" s="21" t="s">
        <v>1283</v>
      </c>
      <c r="E20" s="21" t="s">
        <v>1225</v>
      </c>
      <c r="F20" s="21" t="s">
        <v>1284</v>
      </c>
      <c r="G20" s="21" t="s">
        <v>1346</v>
      </c>
      <c r="H20" s="21" t="s">
        <v>1314</v>
      </c>
      <c r="I20" s="21" t="s">
        <v>1287</v>
      </c>
      <c r="J20" s="21" t="s">
        <v>1288</v>
      </c>
      <c r="K20" s="22" t="s">
        <v>1347</v>
      </c>
      <c r="L20" s="21" t="s">
        <v>1344</v>
      </c>
      <c r="M20" s="21" t="s">
        <v>1291</v>
      </c>
    </row>
    <row r="21" spans="1:13" ht="15" hidden="1" customHeight="1" x14ac:dyDescent="0.25">
      <c r="A21" s="21" t="s">
        <v>1348</v>
      </c>
      <c r="B21" s="22" t="s">
        <v>1348</v>
      </c>
      <c r="C21" s="22" t="s">
        <v>312</v>
      </c>
      <c r="D21" s="21" t="s">
        <v>1283</v>
      </c>
      <c r="E21" s="21" t="s">
        <v>1225</v>
      </c>
      <c r="F21" s="21" t="s">
        <v>1284</v>
      </c>
      <c r="G21" s="21" t="s">
        <v>1349</v>
      </c>
      <c r="H21" s="21" t="s">
        <v>1314</v>
      </c>
      <c r="I21" s="21" t="s">
        <v>1287</v>
      </c>
      <c r="J21" s="21" t="s">
        <v>1288</v>
      </c>
      <c r="K21" s="22" t="s">
        <v>1350</v>
      </c>
      <c r="L21" s="21" t="s">
        <v>1344</v>
      </c>
      <c r="M21" s="21" t="s">
        <v>1291</v>
      </c>
    </row>
    <row r="22" spans="1:13" ht="15" hidden="1" customHeight="1" x14ac:dyDescent="0.25">
      <c r="A22" s="21" t="s">
        <v>1351</v>
      </c>
      <c r="B22" s="22" t="s">
        <v>1351</v>
      </c>
      <c r="C22" s="22" t="s">
        <v>313</v>
      </c>
      <c r="D22" s="21" t="s">
        <v>1283</v>
      </c>
      <c r="E22" s="21" t="s">
        <v>1225</v>
      </c>
      <c r="F22" s="21" t="s">
        <v>1284</v>
      </c>
      <c r="G22" s="21" t="s">
        <v>1352</v>
      </c>
      <c r="H22" s="21" t="s">
        <v>1314</v>
      </c>
      <c r="I22" s="21" t="s">
        <v>1287</v>
      </c>
      <c r="J22" s="21" t="s">
        <v>1288</v>
      </c>
      <c r="K22" s="22" t="s">
        <v>1353</v>
      </c>
      <c r="L22" s="21" t="s">
        <v>1344</v>
      </c>
      <c r="M22" s="21" t="s">
        <v>1291</v>
      </c>
    </row>
    <row r="23" spans="1:13" ht="15" hidden="1" customHeight="1" x14ac:dyDescent="0.25">
      <c r="A23" s="21" t="s">
        <v>1354</v>
      </c>
      <c r="B23" s="22" t="s">
        <v>1354</v>
      </c>
      <c r="C23" s="22"/>
      <c r="D23" s="21" t="s">
        <v>1283</v>
      </c>
      <c r="E23" s="21"/>
      <c r="F23" s="21"/>
      <c r="G23" s="21"/>
      <c r="H23" s="21"/>
      <c r="I23" s="21"/>
      <c r="J23" s="21"/>
      <c r="K23" s="22"/>
      <c r="L23" s="21"/>
      <c r="M23" s="21"/>
    </row>
    <row r="24" spans="1:13" ht="15" hidden="1" customHeight="1" x14ac:dyDescent="0.25">
      <c r="A24" s="21" t="s">
        <v>1355</v>
      </c>
      <c r="B24" s="22" t="s">
        <v>1355</v>
      </c>
      <c r="C24" s="22"/>
      <c r="D24" s="21" t="s">
        <v>1283</v>
      </c>
      <c r="E24" s="21"/>
      <c r="F24" s="21"/>
      <c r="G24" s="21"/>
      <c r="H24" s="21"/>
      <c r="I24" s="21"/>
      <c r="J24" s="21"/>
      <c r="K24" s="22"/>
      <c r="L24" s="21"/>
      <c r="M24" s="21"/>
    </row>
    <row r="25" spans="1:13" ht="15" hidden="1" customHeight="1" x14ac:dyDescent="0.25">
      <c r="A25" s="21" t="s">
        <v>1356</v>
      </c>
      <c r="B25" s="22" t="s">
        <v>1356</v>
      </c>
      <c r="C25" s="22" t="s">
        <v>314</v>
      </c>
      <c r="D25" s="21" t="s">
        <v>1283</v>
      </c>
      <c r="E25" s="21" t="s">
        <v>1225</v>
      </c>
      <c r="F25" s="21" t="s">
        <v>1284</v>
      </c>
      <c r="G25" s="21" t="s">
        <v>1357</v>
      </c>
      <c r="H25" s="21" t="s">
        <v>1286</v>
      </c>
      <c r="I25" s="21" t="s">
        <v>1287</v>
      </c>
      <c r="J25" s="21" t="s">
        <v>1288</v>
      </c>
      <c r="K25" s="22" t="s">
        <v>1358</v>
      </c>
      <c r="L25" s="21" t="s">
        <v>1290</v>
      </c>
      <c r="M25" s="21" t="s">
        <v>1291</v>
      </c>
    </row>
    <row r="26" spans="1:13" ht="15" hidden="1" customHeight="1" x14ac:dyDescent="0.25">
      <c r="A26" s="21" t="s">
        <v>1359</v>
      </c>
      <c r="B26" s="22" t="s">
        <v>1359</v>
      </c>
      <c r="C26" s="22"/>
      <c r="D26" s="21" t="s">
        <v>1283</v>
      </c>
      <c r="E26" s="21"/>
      <c r="F26" s="21"/>
      <c r="G26" s="21"/>
      <c r="H26" s="21"/>
      <c r="I26" s="21"/>
      <c r="J26" s="21"/>
      <c r="K26" s="22"/>
      <c r="L26" s="21"/>
      <c r="M26" s="21"/>
    </row>
    <row r="27" spans="1:13" ht="15" hidden="1" customHeight="1" x14ac:dyDescent="0.25">
      <c r="A27" s="21" t="s">
        <v>1360</v>
      </c>
      <c r="B27" s="22" t="s">
        <v>1360</v>
      </c>
      <c r="C27" s="22"/>
      <c r="D27" s="21" t="s">
        <v>1283</v>
      </c>
      <c r="E27" s="21"/>
      <c r="F27" s="21"/>
      <c r="G27" s="21"/>
      <c r="H27" s="21"/>
      <c r="I27" s="21"/>
      <c r="J27" s="21"/>
      <c r="K27" s="22"/>
      <c r="L27" s="21"/>
      <c r="M27" s="21"/>
    </row>
    <row r="28" spans="1:13" ht="15" hidden="1" customHeight="1" x14ac:dyDescent="0.25">
      <c r="A28" s="21" t="s">
        <v>1361</v>
      </c>
      <c r="B28" s="22" t="s">
        <v>1361</v>
      </c>
      <c r="C28" s="22"/>
      <c r="D28" s="21" t="s">
        <v>1283</v>
      </c>
      <c r="E28" s="21"/>
      <c r="F28" s="21"/>
      <c r="G28" s="21"/>
      <c r="H28" s="21"/>
      <c r="I28" s="21"/>
      <c r="J28" s="21"/>
      <c r="K28" s="22"/>
      <c r="L28" s="21"/>
      <c r="M28" s="21"/>
    </row>
    <row r="29" spans="1:13" ht="15" hidden="1" customHeight="1" x14ac:dyDescent="0.25">
      <c r="A29" s="21" t="s">
        <v>1362</v>
      </c>
      <c r="B29" s="22" t="s">
        <v>1362</v>
      </c>
      <c r="C29" s="22"/>
      <c r="D29" s="21" t="s">
        <v>1283</v>
      </c>
      <c r="E29" s="21"/>
      <c r="F29" s="21"/>
      <c r="G29" s="21"/>
      <c r="H29" s="21"/>
      <c r="I29" s="21"/>
      <c r="J29" s="21"/>
      <c r="K29" s="22"/>
      <c r="L29" s="21"/>
      <c r="M29" s="21"/>
    </row>
    <row r="30" spans="1:13" ht="15" hidden="1" customHeight="1" x14ac:dyDescent="0.25">
      <c r="A30" s="21" t="s">
        <v>1363</v>
      </c>
      <c r="B30" s="22" t="s">
        <v>1363</v>
      </c>
      <c r="C30" s="22"/>
      <c r="D30" s="21" t="s">
        <v>1283</v>
      </c>
      <c r="E30" s="21"/>
      <c r="F30" s="21"/>
      <c r="G30" s="21"/>
      <c r="H30" s="21"/>
      <c r="I30" s="21"/>
      <c r="J30" s="21"/>
      <c r="K30" s="22"/>
      <c r="L30" s="21"/>
      <c r="M30" s="21"/>
    </row>
    <row r="31" spans="1:13" ht="15" hidden="1" customHeight="1" x14ac:dyDescent="0.25">
      <c r="A31" s="21" t="s">
        <v>1364</v>
      </c>
      <c r="B31" s="22" t="s">
        <v>1364</v>
      </c>
      <c r="C31" s="22"/>
      <c r="D31" s="21" t="s">
        <v>1283</v>
      </c>
      <c r="E31" s="21"/>
      <c r="F31" s="21"/>
      <c r="G31" s="21"/>
      <c r="H31" s="21"/>
      <c r="I31" s="21"/>
      <c r="J31" s="21"/>
      <c r="K31" s="22"/>
      <c r="L31" s="21"/>
      <c r="M31" s="21"/>
    </row>
    <row r="32" spans="1:13" ht="15" hidden="1" customHeight="1" x14ac:dyDescent="0.25">
      <c r="A32" s="21" t="s">
        <v>1365</v>
      </c>
      <c r="B32" s="22" t="s">
        <v>1365</v>
      </c>
      <c r="C32" s="22" t="s">
        <v>317</v>
      </c>
      <c r="D32" s="21" t="s">
        <v>1283</v>
      </c>
      <c r="E32" s="21" t="s">
        <v>1225</v>
      </c>
      <c r="F32" s="21" t="s">
        <v>1366</v>
      </c>
      <c r="G32" s="21"/>
      <c r="H32" s="21" t="s">
        <v>1314</v>
      </c>
      <c r="I32" s="21" t="s">
        <v>1287</v>
      </c>
      <c r="J32" s="21" t="s">
        <v>1316</v>
      </c>
      <c r="K32" s="22" t="s">
        <v>1367</v>
      </c>
      <c r="L32" s="21" t="s">
        <v>1368</v>
      </c>
      <c r="M32" s="21" t="s">
        <v>1319</v>
      </c>
    </row>
    <row r="33" spans="1:13" ht="15" hidden="1" customHeight="1" x14ac:dyDescent="0.25">
      <c r="A33" s="21" t="s">
        <v>1369</v>
      </c>
      <c r="B33" s="22" t="s">
        <v>1369</v>
      </c>
      <c r="C33" s="22" t="s">
        <v>318</v>
      </c>
      <c r="D33" s="21" t="s">
        <v>1283</v>
      </c>
      <c r="E33" s="21" t="s">
        <v>1225</v>
      </c>
      <c r="F33" s="21" t="s">
        <v>1284</v>
      </c>
      <c r="G33" s="21" t="s">
        <v>1370</v>
      </c>
      <c r="H33" s="21" t="s">
        <v>1286</v>
      </c>
      <c r="I33" s="21" t="s">
        <v>1287</v>
      </c>
      <c r="J33" s="21" t="s">
        <v>1288</v>
      </c>
      <c r="K33" s="22" t="s">
        <v>1371</v>
      </c>
      <c r="L33" s="21" t="s">
        <v>1290</v>
      </c>
      <c r="M33" s="21" t="s">
        <v>1291</v>
      </c>
    </row>
    <row r="34" spans="1:13" ht="15" hidden="1" customHeight="1" x14ac:dyDescent="0.25">
      <c r="A34" s="21" t="s">
        <v>1372</v>
      </c>
      <c r="B34" s="22" t="s">
        <v>1372</v>
      </c>
      <c r="C34" s="22" t="s">
        <v>319</v>
      </c>
      <c r="D34" s="21" t="s">
        <v>1283</v>
      </c>
      <c r="E34" s="21" t="s">
        <v>1225</v>
      </c>
      <c r="F34" s="21" t="s">
        <v>1284</v>
      </c>
      <c r="G34" s="21" t="s">
        <v>1293</v>
      </c>
      <c r="H34" s="21" t="s">
        <v>1286</v>
      </c>
      <c r="I34" s="21" t="s">
        <v>1287</v>
      </c>
      <c r="J34" s="21" t="s">
        <v>1288</v>
      </c>
      <c r="K34" s="22" t="s">
        <v>1373</v>
      </c>
      <c r="L34" s="21" t="s">
        <v>1290</v>
      </c>
      <c r="M34" s="21" t="s">
        <v>1291</v>
      </c>
    </row>
    <row r="35" spans="1:13" ht="15" hidden="1" customHeight="1" x14ac:dyDescent="0.25">
      <c r="A35" s="21" t="s">
        <v>1374</v>
      </c>
      <c r="B35" s="22" t="s">
        <v>1374</v>
      </c>
      <c r="C35" s="22" t="s">
        <v>320</v>
      </c>
      <c r="D35" s="21" t="s">
        <v>1283</v>
      </c>
      <c r="E35" s="21" t="s">
        <v>1225</v>
      </c>
      <c r="F35" s="21" t="s">
        <v>1284</v>
      </c>
      <c r="G35" s="21" t="s">
        <v>1375</v>
      </c>
      <c r="H35" s="21" t="s">
        <v>1286</v>
      </c>
      <c r="I35" s="21" t="s">
        <v>1287</v>
      </c>
      <c r="J35" s="21" t="s">
        <v>1288</v>
      </c>
      <c r="K35" s="22" t="s">
        <v>1376</v>
      </c>
      <c r="L35" s="21" t="s">
        <v>1290</v>
      </c>
      <c r="M35" s="21" t="s">
        <v>1291</v>
      </c>
    </row>
    <row r="36" spans="1:13" ht="15" hidden="1" customHeight="1" x14ac:dyDescent="0.25">
      <c r="A36" s="21" t="s">
        <v>1377</v>
      </c>
      <c r="B36" s="22" t="s">
        <v>1377</v>
      </c>
      <c r="C36" s="22" t="s">
        <v>321</v>
      </c>
      <c r="D36" s="21" t="s">
        <v>1283</v>
      </c>
      <c r="E36" s="21" t="s">
        <v>1225</v>
      </c>
      <c r="F36" s="21" t="s">
        <v>1284</v>
      </c>
      <c r="G36" s="21" t="s">
        <v>1378</v>
      </c>
      <c r="H36" s="21" t="s">
        <v>1286</v>
      </c>
      <c r="I36" s="21" t="s">
        <v>1287</v>
      </c>
      <c r="J36" s="21" t="s">
        <v>1288</v>
      </c>
      <c r="K36" s="22" t="s">
        <v>1379</v>
      </c>
      <c r="L36" s="21" t="s">
        <v>1290</v>
      </c>
      <c r="M36" s="21" t="s">
        <v>1291</v>
      </c>
    </row>
    <row r="37" spans="1:13" ht="15" hidden="1" customHeight="1" x14ac:dyDescent="0.25">
      <c r="A37" s="21" t="s">
        <v>1380</v>
      </c>
      <c r="B37" s="22" t="s">
        <v>1380</v>
      </c>
      <c r="C37" s="22" t="s">
        <v>322</v>
      </c>
      <c r="D37" s="21" t="s">
        <v>1283</v>
      </c>
      <c r="E37" s="21" t="s">
        <v>1225</v>
      </c>
      <c r="F37" s="21" t="s">
        <v>1284</v>
      </c>
      <c r="G37" s="21" t="s">
        <v>1381</v>
      </c>
      <c r="H37" s="21" t="s">
        <v>1286</v>
      </c>
      <c r="I37" s="21" t="s">
        <v>1287</v>
      </c>
      <c r="J37" s="21" t="s">
        <v>1288</v>
      </c>
      <c r="K37" s="22" t="s">
        <v>1382</v>
      </c>
      <c r="L37" s="21" t="s">
        <v>1290</v>
      </c>
      <c r="M37" s="21" t="s">
        <v>1291</v>
      </c>
    </row>
    <row r="38" spans="1:13" ht="15" hidden="1" customHeight="1" x14ac:dyDescent="0.25">
      <c r="A38" s="21" t="s">
        <v>1383</v>
      </c>
      <c r="B38" s="22" t="s">
        <v>1383</v>
      </c>
      <c r="C38" s="22" t="s">
        <v>325</v>
      </c>
      <c r="D38" s="21" t="s">
        <v>1283</v>
      </c>
      <c r="E38" s="21" t="s">
        <v>1225</v>
      </c>
      <c r="F38" s="21" t="s">
        <v>1284</v>
      </c>
      <c r="G38" s="21" t="s">
        <v>1293</v>
      </c>
      <c r="H38" s="21" t="s">
        <v>1286</v>
      </c>
      <c r="I38" s="21" t="s">
        <v>1287</v>
      </c>
      <c r="J38" s="21" t="s">
        <v>1288</v>
      </c>
      <c r="K38" s="22" t="s">
        <v>1384</v>
      </c>
      <c r="L38" s="21" t="s">
        <v>1290</v>
      </c>
      <c r="M38" s="21" t="s">
        <v>1291</v>
      </c>
    </row>
    <row r="39" spans="1:13" ht="15" hidden="1" customHeight="1" x14ac:dyDescent="0.25">
      <c r="A39" s="21" t="s">
        <v>1385</v>
      </c>
      <c r="B39" s="22" t="s">
        <v>1385</v>
      </c>
      <c r="C39" s="22" t="s">
        <v>326</v>
      </c>
      <c r="D39" s="21" t="s">
        <v>1283</v>
      </c>
      <c r="E39" s="21" t="s">
        <v>1225</v>
      </c>
      <c r="F39" s="21" t="s">
        <v>1284</v>
      </c>
      <c r="G39" s="21" t="s">
        <v>1386</v>
      </c>
      <c r="H39" s="21" t="s">
        <v>1286</v>
      </c>
      <c r="I39" s="21" t="s">
        <v>1287</v>
      </c>
      <c r="J39" s="21" t="s">
        <v>1288</v>
      </c>
      <c r="K39" s="22" t="s">
        <v>1387</v>
      </c>
      <c r="L39" s="21" t="s">
        <v>1290</v>
      </c>
      <c r="M39" s="21" t="s">
        <v>1291</v>
      </c>
    </row>
    <row r="40" spans="1:13" ht="15" hidden="1" customHeight="1" x14ac:dyDescent="0.25">
      <c r="A40" s="21" t="s">
        <v>1388</v>
      </c>
      <c r="B40" s="22" t="s">
        <v>1388</v>
      </c>
      <c r="C40" s="22" t="s">
        <v>327</v>
      </c>
      <c r="D40" s="21" t="s">
        <v>1283</v>
      </c>
      <c r="E40" s="21" t="s">
        <v>1225</v>
      </c>
      <c r="F40" s="21" t="s">
        <v>1284</v>
      </c>
      <c r="G40" s="21" t="s">
        <v>1389</v>
      </c>
      <c r="H40" s="21" t="s">
        <v>1286</v>
      </c>
      <c r="I40" s="21" t="s">
        <v>1287</v>
      </c>
      <c r="J40" s="21" t="s">
        <v>1288</v>
      </c>
      <c r="K40" s="22" t="s">
        <v>1390</v>
      </c>
      <c r="L40" s="21" t="s">
        <v>1290</v>
      </c>
      <c r="M40" s="21" t="s">
        <v>1291</v>
      </c>
    </row>
    <row r="41" spans="1:13" ht="15" hidden="1" customHeight="1" x14ac:dyDescent="0.25">
      <c r="A41" s="21" t="s">
        <v>1391</v>
      </c>
      <c r="B41" s="22" t="s">
        <v>1391</v>
      </c>
      <c r="C41" s="22" t="s">
        <v>328</v>
      </c>
      <c r="D41" s="21" t="s">
        <v>1283</v>
      </c>
      <c r="E41" s="21" t="s">
        <v>1225</v>
      </c>
      <c r="F41" s="21" t="s">
        <v>1284</v>
      </c>
      <c r="G41" s="21" t="s">
        <v>1392</v>
      </c>
      <c r="H41" s="21" t="s">
        <v>1286</v>
      </c>
      <c r="I41" s="21" t="s">
        <v>1287</v>
      </c>
      <c r="J41" s="21" t="s">
        <v>1288</v>
      </c>
      <c r="K41" s="22" t="s">
        <v>1393</v>
      </c>
      <c r="L41" s="21" t="s">
        <v>1290</v>
      </c>
      <c r="M41" s="21" t="s">
        <v>1291</v>
      </c>
    </row>
    <row r="42" spans="1:13" ht="15" hidden="1" customHeight="1" x14ac:dyDescent="0.25">
      <c r="A42" s="21" t="s">
        <v>1394</v>
      </c>
      <c r="B42" s="22" t="s">
        <v>1394</v>
      </c>
      <c r="C42" s="22" t="s">
        <v>329</v>
      </c>
      <c r="D42" s="21" t="s">
        <v>1283</v>
      </c>
      <c r="E42" s="21" t="s">
        <v>1225</v>
      </c>
      <c r="F42" s="21" t="s">
        <v>1284</v>
      </c>
      <c r="G42" s="21" t="s">
        <v>1395</v>
      </c>
      <c r="H42" s="21" t="s">
        <v>1286</v>
      </c>
      <c r="I42" s="21" t="s">
        <v>1287</v>
      </c>
      <c r="J42" s="21" t="s">
        <v>1288</v>
      </c>
      <c r="K42" s="22" t="s">
        <v>1396</v>
      </c>
      <c r="L42" s="21" t="s">
        <v>1290</v>
      </c>
      <c r="M42" s="21" t="s">
        <v>1291</v>
      </c>
    </row>
    <row r="43" spans="1:13" ht="15" hidden="1" customHeight="1" x14ac:dyDescent="0.25">
      <c r="A43" s="21" t="s">
        <v>1397</v>
      </c>
      <c r="B43" s="22" t="s">
        <v>1282</v>
      </c>
      <c r="C43" s="22" t="s">
        <v>330</v>
      </c>
      <c r="D43" s="21" t="s">
        <v>1398</v>
      </c>
      <c r="E43" s="21" t="s">
        <v>1250</v>
      </c>
      <c r="F43" s="21"/>
      <c r="G43" s="21"/>
      <c r="H43" s="21" t="s">
        <v>1314</v>
      </c>
      <c r="I43" s="21" t="s">
        <v>1399</v>
      </c>
      <c r="J43" s="21" t="s">
        <v>1400</v>
      </c>
      <c r="K43" s="22" t="s">
        <v>1401</v>
      </c>
      <c r="L43" s="21" t="s">
        <v>1402</v>
      </c>
      <c r="M43" s="21"/>
    </row>
    <row r="44" spans="1:13" ht="15" hidden="1" customHeight="1" x14ac:dyDescent="0.25">
      <c r="A44" s="21" t="s">
        <v>1403</v>
      </c>
      <c r="B44" s="22" t="s">
        <v>1292</v>
      </c>
      <c r="C44" s="22" t="s">
        <v>332</v>
      </c>
      <c r="D44" s="21" t="s">
        <v>1404</v>
      </c>
      <c r="E44" s="21" t="s">
        <v>1228</v>
      </c>
      <c r="F44" s="21" t="s">
        <v>1405</v>
      </c>
      <c r="G44" s="21" t="s">
        <v>1406</v>
      </c>
      <c r="H44" s="21" t="s">
        <v>1314</v>
      </c>
      <c r="I44" s="21" t="s">
        <v>1407</v>
      </c>
      <c r="J44" s="21" t="s">
        <v>1408</v>
      </c>
      <c r="K44" s="22" t="s">
        <v>1409</v>
      </c>
      <c r="L44" s="21" t="s">
        <v>1344</v>
      </c>
      <c r="M44" s="21"/>
    </row>
    <row r="45" spans="1:13" ht="15" hidden="1" customHeight="1" x14ac:dyDescent="0.25">
      <c r="A45" s="21" t="s">
        <v>1410</v>
      </c>
      <c r="B45" s="22" t="s">
        <v>1297</v>
      </c>
      <c r="C45" s="22" t="s">
        <v>333</v>
      </c>
      <c r="D45" s="21" t="s">
        <v>1404</v>
      </c>
      <c r="E45" s="21" t="s">
        <v>1257</v>
      </c>
      <c r="F45" s="21" t="s">
        <v>1411</v>
      </c>
      <c r="G45" s="21" t="s">
        <v>1412</v>
      </c>
      <c r="H45" s="21" t="s">
        <v>1314</v>
      </c>
      <c r="I45" s="21" t="s">
        <v>1407</v>
      </c>
      <c r="J45" s="21" t="s">
        <v>1408</v>
      </c>
      <c r="K45" s="22" t="s">
        <v>1413</v>
      </c>
      <c r="L45" s="21" t="s">
        <v>1344</v>
      </c>
      <c r="M45" s="21"/>
    </row>
    <row r="46" spans="1:13" ht="15" hidden="1" customHeight="1" x14ac:dyDescent="0.25">
      <c r="A46" s="21" t="s">
        <v>1414</v>
      </c>
      <c r="B46" s="22" t="s">
        <v>1300</v>
      </c>
      <c r="C46" s="22" t="s">
        <v>334</v>
      </c>
      <c r="D46" s="21" t="s">
        <v>1404</v>
      </c>
      <c r="E46" s="21" t="s">
        <v>1218</v>
      </c>
      <c r="F46" s="21" t="s">
        <v>1415</v>
      </c>
      <c r="G46" s="21" t="s">
        <v>1416</v>
      </c>
      <c r="H46" s="21" t="s">
        <v>1314</v>
      </c>
      <c r="I46" s="21" t="s">
        <v>1417</v>
      </c>
      <c r="J46" s="21" t="s">
        <v>1418</v>
      </c>
      <c r="K46" s="22" t="s">
        <v>1419</v>
      </c>
      <c r="L46" s="21" t="s">
        <v>1420</v>
      </c>
      <c r="M46" s="21"/>
    </row>
    <row r="47" spans="1:13" ht="15" hidden="1" customHeight="1" x14ac:dyDescent="0.25">
      <c r="A47" s="21" t="s">
        <v>1421</v>
      </c>
      <c r="B47" s="22" t="s">
        <v>1303</v>
      </c>
      <c r="C47" s="22" t="s">
        <v>336</v>
      </c>
      <c r="D47" s="21" t="s">
        <v>1398</v>
      </c>
      <c r="E47" s="21" t="s">
        <v>1208</v>
      </c>
      <c r="F47" s="21" t="s">
        <v>1208</v>
      </c>
      <c r="G47" s="21" t="s">
        <v>1208</v>
      </c>
      <c r="H47" s="21" t="s">
        <v>1314</v>
      </c>
      <c r="I47" s="21" t="s">
        <v>1422</v>
      </c>
      <c r="J47" s="21" t="s">
        <v>1423</v>
      </c>
      <c r="K47" s="22" t="s">
        <v>1424</v>
      </c>
      <c r="L47" s="21" t="s">
        <v>1425</v>
      </c>
      <c r="M47" s="21"/>
    </row>
    <row r="48" spans="1:13" ht="15" hidden="1" customHeight="1" x14ac:dyDescent="0.25">
      <c r="A48" s="21" t="s">
        <v>1426</v>
      </c>
      <c r="B48" s="22" t="s">
        <v>1306</v>
      </c>
      <c r="C48" s="22" t="s">
        <v>337</v>
      </c>
      <c r="D48" s="21" t="s">
        <v>1398</v>
      </c>
      <c r="E48" s="21" t="s">
        <v>1264</v>
      </c>
      <c r="F48" s="21" t="s">
        <v>1427</v>
      </c>
      <c r="G48" s="21" t="s">
        <v>1428</v>
      </c>
      <c r="H48" s="21" t="s">
        <v>1314</v>
      </c>
      <c r="I48" s="21" t="s">
        <v>1417</v>
      </c>
      <c r="J48" s="21" t="s">
        <v>1429</v>
      </c>
      <c r="K48" s="22" t="s">
        <v>1430</v>
      </c>
      <c r="L48" s="21" t="s">
        <v>1431</v>
      </c>
      <c r="M48" s="21"/>
    </row>
    <row r="49" spans="1:13" ht="15" hidden="1" customHeight="1" x14ac:dyDescent="0.25">
      <c r="A49" s="21" t="s">
        <v>1432</v>
      </c>
      <c r="B49" s="22" t="s">
        <v>1312</v>
      </c>
      <c r="C49" s="22" t="s">
        <v>338</v>
      </c>
      <c r="D49" s="21" t="s">
        <v>1398</v>
      </c>
      <c r="E49" s="21" t="s">
        <v>1246</v>
      </c>
      <c r="F49" s="21" t="s">
        <v>1246</v>
      </c>
      <c r="G49" s="21" t="s">
        <v>1433</v>
      </c>
      <c r="H49" s="21" t="s">
        <v>1314</v>
      </c>
      <c r="I49" s="21" t="s">
        <v>1399</v>
      </c>
      <c r="J49" s="21" t="s">
        <v>1434</v>
      </c>
      <c r="K49" s="22" t="s">
        <v>1435</v>
      </c>
      <c r="L49" s="21" t="s">
        <v>1311</v>
      </c>
      <c r="M49" s="21"/>
    </row>
    <row r="50" spans="1:13" ht="15" hidden="1" customHeight="1" x14ac:dyDescent="0.25">
      <c r="A50" s="21" t="s">
        <v>1436</v>
      </c>
      <c r="B50" s="22" t="s">
        <v>1320</v>
      </c>
      <c r="C50" s="22" t="s">
        <v>339</v>
      </c>
      <c r="D50" s="21" t="s">
        <v>1404</v>
      </c>
      <c r="E50" s="21" t="s">
        <v>1272</v>
      </c>
      <c r="F50" s="21" t="s">
        <v>1272</v>
      </c>
      <c r="G50" s="21" t="s">
        <v>1437</v>
      </c>
      <c r="H50" s="21" t="s">
        <v>1314</v>
      </c>
      <c r="I50" s="21" t="s">
        <v>1417</v>
      </c>
      <c r="J50" s="21" t="s">
        <v>1418</v>
      </c>
      <c r="K50" s="22" t="s">
        <v>1438</v>
      </c>
      <c r="L50" s="21" t="s">
        <v>1420</v>
      </c>
      <c r="M50" s="21"/>
    </row>
    <row r="51" spans="1:13" ht="15" hidden="1" customHeight="1" x14ac:dyDescent="0.25">
      <c r="A51" s="21" t="s">
        <v>1439</v>
      </c>
      <c r="B51" s="22" t="s">
        <v>1323</v>
      </c>
      <c r="C51" s="22" t="s">
        <v>340</v>
      </c>
      <c r="D51" s="21" t="s">
        <v>1404</v>
      </c>
      <c r="E51" s="21" t="s">
        <v>1207</v>
      </c>
      <c r="F51" s="21" t="s">
        <v>1207</v>
      </c>
      <c r="G51" s="21" t="s">
        <v>1440</v>
      </c>
      <c r="H51" s="21" t="s">
        <v>1314</v>
      </c>
      <c r="I51" s="21" t="s">
        <v>1422</v>
      </c>
      <c r="J51" s="21" t="s">
        <v>1408</v>
      </c>
      <c r="K51" s="22" t="s">
        <v>1441</v>
      </c>
      <c r="L51" s="21" t="s">
        <v>1344</v>
      </c>
      <c r="M51" s="21"/>
    </row>
    <row r="52" spans="1:13" ht="15" hidden="1" customHeight="1" x14ac:dyDescent="0.25">
      <c r="A52" s="21" t="s">
        <v>1442</v>
      </c>
      <c r="B52" s="22" t="s">
        <v>1326</v>
      </c>
      <c r="C52" s="22" t="s">
        <v>341</v>
      </c>
      <c r="D52" s="21" t="s">
        <v>1404</v>
      </c>
      <c r="E52" s="21" t="s">
        <v>1254</v>
      </c>
      <c r="F52" s="21" t="s">
        <v>1443</v>
      </c>
      <c r="G52" s="21" t="s">
        <v>1444</v>
      </c>
      <c r="H52" s="21" t="s">
        <v>1314</v>
      </c>
      <c r="I52" s="21" t="s">
        <v>1417</v>
      </c>
      <c r="J52" s="21" t="s">
        <v>1418</v>
      </c>
      <c r="K52" s="22" t="s">
        <v>1445</v>
      </c>
      <c r="L52" s="21" t="s">
        <v>1446</v>
      </c>
      <c r="M52" s="21"/>
    </row>
    <row r="53" spans="1:13" ht="15" hidden="1" customHeight="1" x14ac:dyDescent="0.25">
      <c r="A53" s="21" t="s">
        <v>1447</v>
      </c>
      <c r="B53" s="22" t="s">
        <v>1327</v>
      </c>
      <c r="C53" s="22" t="s">
        <v>342</v>
      </c>
      <c r="D53" s="21" t="s">
        <v>1404</v>
      </c>
      <c r="E53" s="21" t="s">
        <v>1240</v>
      </c>
      <c r="F53" s="21" t="s">
        <v>1448</v>
      </c>
      <c r="G53" s="21" t="s">
        <v>1449</v>
      </c>
      <c r="H53" s="21" t="s">
        <v>1314</v>
      </c>
      <c r="I53" s="21" t="s">
        <v>1417</v>
      </c>
      <c r="J53" s="21" t="s">
        <v>1418</v>
      </c>
      <c r="K53" s="22" t="s">
        <v>1450</v>
      </c>
      <c r="L53" s="21" t="s">
        <v>1451</v>
      </c>
      <c r="M53" s="21"/>
    </row>
    <row r="54" spans="1:13" ht="15" hidden="1" customHeight="1" x14ac:dyDescent="0.25">
      <c r="A54" s="21" t="s">
        <v>1452</v>
      </c>
      <c r="B54" s="22" t="s">
        <v>1333</v>
      </c>
      <c r="C54" s="22" t="s">
        <v>343</v>
      </c>
      <c r="D54" s="21" t="s">
        <v>1404</v>
      </c>
      <c r="E54" s="21" t="s">
        <v>1227</v>
      </c>
      <c r="F54" s="21" t="s">
        <v>1227</v>
      </c>
      <c r="G54" s="21" t="s">
        <v>1453</v>
      </c>
      <c r="H54" s="21" t="s">
        <v>1314</v>
      </c>
      <c r="I54" s="21" t="s">
        <v>1422</v>
      </c>
      <c r="J54" s="21" t="s">
        <v>1454</v>
      </c>
      <c r="K54" s="22" t="s">
        <v>1455</v>
      </c>
      <c r="L54" s="21" t="s">
        <v>1451</v>
      </c>
      <c r="M54" s="21"/>
    </row>
    <row r="55" spans="1:13" ht="15" hidden="1" customHeight="1" x14ac:dyDescent="0.25">
      <c r="A55" s="21" t="s">
        <v>1456</v>
      </c>
      <c r="B55" s="22" t="s">
        <v>1334</v>
      </c>
      <c r="C55" s="22" t="s">
        <v>344</v>
      </c>
      <c r="D55" s="21" t="s">
        <v>1404</v>
      </c>
      <c r="E55" s="21" t="s">
        <v>1227</v>
      </c>
      <c r="F55" s="21" t="s">
        <v>1457</v>
      </c>
      <c r="G55" s="21" t="s">
        <v>1457</v>
      </c>
      <c r="H55" s="21" t="s">
        <v>1314</v>
      </c>
      <c r="I55" s="21" t="s">
        <v>1458</v>
      </c>
      <c r="J55" s="21" t="s">
        <v>1459</v>
      </c>
      <c r="K55" s="22" t="s">
        <v>1460</v>
      </c>
      <c r="L55" s="21" t="s">
        <v>1344</v>
      </c>
      <c r="M55" s="21"/>
    </row>
    <row r="56" spans="1:13" ht="15" hidden="1" customHeight="1" x14ac:dyDescent="0.25">
      <c r="A56" s="21" t="s">
        <v>1461</v>
      </c>
      <c r="B56" s="22" t="s">
        <v>1335</v>
      </c>
      <c r="C56" s="22" t="s">
        <v>345</v>
      </c>
      <c r="D56" s="21" t="s">
        <v>1404</v>
      </c>
      <c r="E56" s="21" t="s">
        <v>1204</v>
      </c>
      <c r="F56" s="21" t="s">
        <v>1462</v>
      </c>
      <c r="G56" s="21" t="s">
        <v>1463</v>
      </c>
      <c r="H56" s="21" t="s">
        <v>1314</v>
      </c>
      <c r="I56" s="21" t="s">
        <v>1458</v>
      </c>
      <c r="J56" s="21" t="s">
        <v>1459</v>
      </c>
      <c r="K56" s="22" t="s">
        <v>1464</v>
      </c>
      <c r="L56" s="21" t="s">
        <v>1465</v>
      </c>
      <c r="M56" s="21"/>
    </row>
    <row r="57" spans="1:13" ht="15" hidden="1" customHeight="1" x14ac:dyDescent="0.25">
      <c r="A57" s="21" t="s">
        <v>1466</v>
      </c>
      <c r="B57" s="22" t="s">
        <v>1336</v>
      </c>
      <c r="C57" s="22" t="s">
        <v>346</v>
      </c>
      <c r="D57" s="21" t="s">
        <v>1404</v>
      </c>
      <c r="E57" s="21" t="s">
        <v>1234</v>
      </c>
      <c r="F57" s="21" t="s">
        <v>1467</v>
      </c>
      <c r="G57" s="21" t="s">
        <v>1468</v>
      </c>
      <c r="H57" s="21" t="s">
        <v>1314</v>
      </c>
      <c r="I57" s="21" t="s">
        <v>1417</v>
      </c>
      <c r="J57" s="21" t="s">
        <v>1418</v>
      </c>
      <c r="K57" s="22" t="s">
        <v>1469</v>
      </c>
      <c r="L57" s="21" t="s">
        <v>1446</v>
      </c>
      <c r="M57" s="21"/>
    </row>
    <row r="58" spans="1:13" ht="15" hidden="1" customHeight="1" x14ac:dyDescent="0.25">
      <c r="A58" s="21" t="s">
        <v>1470</v>
      </c>
      <c r="B58" s="22" t="s">
        <v>1337</v>
      </c>
      <c r="C58" s="22" t="s">
        <v>347</v>
      </c>
      <c r="D58" s="21" t="s">
        <v>1404</v>
      </c>
      <c r="E58" s="21" t="s">
        <v>1204</v>
      </c>
      <c r="F58" s="21"/>
      <c r="G58" s="21" t="s">
        <v>1471</v>
      </c>
      <c r="H58" s="21" t="s">
        <v>1314</v>
      </c>
      <c r="I58" s="21" t="s">
        <v>1417</v>
      </c>
      <c r="J58" s="21" t="s">
        <v>1418</v>
      </c>
      <c r="K58" s="22" t="s">
        <v>1472</v>
      </c>
      <c r="L58" s="21" t="s">
        <v>1446</v>
      </c>
      <c r="M58" s="21"/>
    </row>
    <row r="59" spans="1:13" ht="15" hidden="1" customHeight="1" x14ac:dyDescent="0.25">
      <c r="A59" s="21" t="s">
        <v>1473</v>
      </c>
      <c r="B59" s="22" t="s">
        <v>1340</v>
      </c>
      <c r="C59" s="22" t="s">
        <v>348</v>
      </c>
      <c r="D59" s="21" t="s">
        <v>1404</v>
      </c>
      <c r="E59" s="21" t="s">
        <v>1232</v>
      </c>
      <c r="F59" s="21" t="s">
        <v>1232</v>
      </c>
      <c r="G59" s="21"/>
      <c r="H59" s="21" t="s">
        <v>1314</v>
      </c>
      <c r="I59" s="21" t="s">
        <v>1417</v>
      </c>
      <c r="J59" s="21" t="s">
        <v>1418</v>
      </c>
      <c r="K59" s="22" t="s">
        <v>1474</v>
      </c>
      <c r="L59" s="21" t="s">
        <v>1420</v>
      </c>
      <c r="M59" s="21"/>
    </row>
    <row r="60" spans="1:13" ht="15" hidden="1" customHeight="1" x14ac:dyDescent="0.25">
      <c r="A60" s="21" t="s">
        <v>1475</v>
      </c>
      <c r="B60" s="22" t="s">
        <v>1341</v>
      </c>
      <c r="C60" s="22" t="s">
        <v>349</v>
      </c>
      <c r="D60" s="21" t="s">
        <v>1404</v>
      </c>
      <c r="E60" s="21" t="s">
        <v>1232</v>
      </c>
      <c r="F60" s="21" t="s">
        <v>1476</v>
      </c>
      <c r="G60" s="21"/>
      <c r="H60" s="21" t="s">
        <v>1314</v>
      </c>
      <c r="I60" s="21" t="s">
        <v>1417</v>
      </c>
      <c r="J60" s="21" t="s">
        <v>1418</v>
      </c>
      <c r="K60" s="22" t="s">
        <v>1477</v>
      </c>
      <c r="L60" s="21" t="s">
        <v>1451</v>
      </c>
      <c r="M60" s="21"/>
    </row>
    <row r="61" spans="1:13" ht="15" hidden="1" customHeight="1" x14ac:dyDescent="0.25">
      <c r="A61" s="21" t="s">
        <v>1478</v>
      </c>
      <c r="B61" s="22" t="s">
        <v>1345</v>
      </c>
      <c r="C61" s="22" t="s">
        <v>350</v>
      </c>
      <c r="D61" s="21" t="s">
        <v>1404</v>
      </c>
      <c r="E61" s="21" t="s">
        <v>1244</v>
      </c>
      <c r="F61" s="21" t="s">
        <v>1479</v>
      </c>
      <c r="G61" s="21" t="s">
        <v>1480</v>
      </c>
      <c r="H61" s="21" t="s">
        <v>1314</v>
      </c>
      <c r="I61" s="21" t="s">
        <v>1417</v>
      </c>
      <c r="J61" s="21" t="s">
        <v>1418</v>
      </c>
      <c r="K61" s="22" t="s">
        <v>1481</v>
      </c>
      <c r="L61" s="21" t="s">
        <v>1446</v>
      </c>
      <c r="M61" s="21"/>
    </row>
    <row r="62" spans="1:13" ht="15" hidden="1" customHeight="1" x14ac:dyDescent="0.25">
      <c r="A62" s="21" t="s">
        <v>1482</v>
      </c>
      <c r="B62" s="22" t="s">
        <v>1348</v>
      </c>
      <c r="C62" s="22" t="s">
        <v>351</v>
      </c>
      <c r="D62" s="21" t="s">
        <v>1404</v>
      </c>
      <c r="E62" s="21" t="s">
        <v>1244</v>
      </c>
      <c r="F62" s="21" t="s">
        <v>1483</v>
      </c>
      <c r="G62" s="21" t="s">
        <v>1484</v>
      </c>
      <c r="H62" s="21" t="s">
        <v>1314</v>
      </c>
      <c r="I62" s="21" t="s">
        <v>1417</v>
      </c>
      <c r="J62" s="21" t="s">
        <v>1485</v>
      </c>
      <c r="K62" s="22" t="s">
        <v>1486</v>
      </c>
      <c r="L62" s="21" t="s">
        <v>1446</v>
      </c>
      <c r="M62" s="21"/>
    </row>
    <row r="63" spans="1:13" ht="15" hidden="1" customHeight="1" x14ac:dyDescent="0.25">
      <c r="A63" s="21" t="s">
        <v>1487</v>
      </c>
      <c r="B63" s="22" t="s">
        <v>1351</v>
      </c>
      <c r="C63" s="22" t="s">
        <v>352</v>
      </c>
      <c r="D63" s="21" t="s">
        <v>1404</v>
      </c>
      <c r="E63" s="21" t="s">
        <v>1214</v>
      </c>
      <c r="F63" s="21" t="s">
        <v>1488</v>
      </c>
      <c r="G63" s="21" t="s">
        <v>1489</v>
      </c>
      <c r="H63" s="21" t="s">
        <v>1314</v>
      </c>
      <c r="I63" s="21" t="s">
        <v>1417</v>
      </c>
      <c r="J63" s="21" t="s">
        <v>1485</v>
      </c>
      <c r="K63" s="22" t="s">
        <v>1490</v>
      </c>
      <c r="L63" s="21" t="s">
        <v>1446</v>
      </c>
      <c r="M63" s="21"/>
    </row>
    <row r="64" spans="1:13" ht="15" hidden="1" customHeight="1" x14ac:dyDescent="0.25">
      <c r="A64" s="21" t="s">
        <v>1491</v>
      </c>
      <c r="B64" s="22" t="s">
        <v>1354</v>
      </c>
      <c r="C64" s="22" t="s">
        <v>353</v>
      </c>
      <c r="D64" s="21" t="s">
        <v>1404</v>
      </c>
      <c r="E64" s="21" t="s">
        <v>1214</v>
      </c>
      <c r="F64" s="21" t="s">
        <v>1488</v>
      </c>
      <c r="G64" s="21" t="s">
        <v>1492</v>
      </c>
      <c r="H64" s="21" t="s">
        <v>1314</v>
      </c>
      <c r="I64" s="21" t="s">
        <v>1417</v>
      </c>
      <c r="J64" s="21" t="s">
        <v>1485</v>
      </c>
      <c r="K64" s="22" t="s">
        <v>1493</v>
      </c>
      <c r="L64" s="21" t="s">
        <v>1446</v>
      </c>
      <c r="M64" s="21"/>
    </row>
    <row r="65" spans="1:13" ht="15" hidden="1" customHeight="1" x14ac:dyDescent="0.25">
      <c r="A65" s="21" t="s">
        <v>1494</v>
      </c>
      <c r="B65" s="22" t="s">
        <v>1355</v>
      </c>
      <c r="C65" s="22" t="s">
        <v>354</v>
      </c>
      <c r="D65" s="21" t="s">
        <v>1404</v>
      </c>
      <c r="E65" s="21" t="s">
        <v>1251</v>
      </c>
      <c r="F65" s="21" t="s">
        <v>1251</v>
      </c>
      <c r="G65" s="21" t="s">
        <v>1495</v>
      </c>
      <c r="H65" s="21" t="s">
        <v>1314</v>
      </c>
      <c r="I65" s="21" t="s">
        <v>1417</v>
      </c>
      <c r="J65" s="21" t="s">
        <v>1418</v>
      </c>
      <c r="K65" s="22" t="s">
        <v>1496</v>
      </c>
      <c r="L65" s="21" t="s">
        <v>1420</v>
      </c>
      <c r="M65" s="21"/>
    </row>
    <row r="66" spans="1:13" ht="15" hidden="1" customHeight="1" x14ac:dyDescent="0.25">
      <c r="A66" s="21" t="s">
        <v>1497</v>
      </c>
      <c r="B66" s="22" t="s">
        <v>1356</v>
      </c>
      <c r="C66" s="22" t="s">
        <v>355</v>
      </c>
      <c r="D66" s="21" t="s">
        <v>1404</v>
      </c>
      <c r="E66" s="21" t="s">
        <v>1226</v>
      </c>
      <c r="F66" s="21" t="s">
        <v>1226</v>
      </c>
      <c r="G66" s="21" t="s">
        <v>1498</v>
      </c>
      <c r="H66" s="21" t="s">
        <v>1314</v>
      </c>
      <c r="I66" s="21" t="s">
        <v>1417</v>
      </c>
      <c r="J66" s="21" t="s">
        <v>1485</v>
      </c>
      <c r="K66" s="22" t="s">
        <v>1499</v>
      </c>
      <c r="L66" s="21" t="s">
        <v>1500</v>
      </c>
      <c r="M66" s="21"/>
    </row>
    <row r="67" spans="1:13" ht="15" hidden="1" customHeight="1" x14ac:dyDescent="0.25">
      <c r="A67" s="21" t="s">
        <v>1501</v>
      </c>
      <c r="B67" s="22" t="s">
        <v>1359</v>
      </c>
      <c r="C67" s="22" t="s">
        <v>356</v>
      </c>
      <c r="D67" s="21" t="s">
        <v>1404</v>
      </c>
      <c r="E67" s="21" t="s">
        <v>1204</v>
      </c>
      <c r="F67" s="21" t="s">
        <v>1502</v>
      </c>
      <c r="G67" s="21" t="s">
        <v>1503</v>
      </c>
      <c r="H67" s="21" t="s">
        <v>1314</v>
      </c>
      <c r="I67" s="21" t="s">
        <v>1417</v>
      </c>
      <c r="J67" s="21" t="s">
        <v>1418</v>
      </c>
      <c r="K67" s="22" t="s">
        <v>1504</v>
      </c>
      <c r="L67" s="21" t="s">
        <v>1420</v>
      </c>
      <c r="M67" s="21"/>
    </row>
    <row r="68" spans="1:13" ht="15" hidden="1" customHeight="1" x14ac:dyDescent="0.25">
      <c r="A68" s="21" t="s">
        <v>1505</v>
      </c>
      <c r="B68" s="22" t="s">
        <v>1360</v>
      </c>
      <c r="C68" s="22" t="s">
        <v>357</v>
      </c>
      <c r="D68" s="21" t="s">
        <v>1404</v>
      </c>
      <c r="E68" s="21" t="s">
        <v>1252</v>
      </c>
      <c r="F68" s="21" t="s">
        <v>1506</v>
      </c>
      <c r="G68" s="21" t="s">
        <v>1507</v>
      </c>
      <c r="H68" s="21" t="s">
        <v>1314</v>
      </c>
      <c r="I68" s="21" t="s">
        <v>1417</v>
      </c>
      <c r="J68" s="21" t="s">
        <v>1418</v>
      </c>
      <c r="K68" s="22" t="s">
        <v>1508</v>
      </c>
      <c r="L68" s="21" t="s">
        <v>1465</v>
      </c>
      <c r="M68" s="21"/>
    </row>
    <row r="69" spans="1:13" ht="15" hidden="1" customHeight="1" x14ac:dyDescent="0.25">
      <c r="A69" s="21" t="s">
        <v>1509</v>
      </c>
      <c r="B69" s="22" t="s">
        <v>1361</v>
      </c>
      <c r="C69" s="22" t="s">
        <v>358</v>
      </c>
      <c r="D69" s="21" t="s">
        <v>1404</v>
      </c>
      <c r="E69" s="21" t="s">
        <v>1209</v>
      </c>
      <c r="F69" s="21" t="s">
        <v>1209</v>
      </c>
      <c r="G69" s="21"/>
      <c r="H69" s="21" t="s">
        <v>1314</v>
      </c>
      <c r="I69" s="21" t="s">
        <v>1407</v>
      </c>
      <c r="J69" s="21" t="s">
        <v>1408</v>
      </c>
      <c r="K69" s="22" t="s">
        <v>1510</v>
      </c>
      <c r="L69" s="21" t="s">
        <v>1344</v>
      </c>
      <c r="M69" s="21"/>
    </row>
    <row r="70" spans="1:13" ht="15" hidden="1" customHeight="1" x14ac:dyDescent="0.25">
      <c r="A70" s="21" t="s">
        <v>1511</v>
      </c>
      <c r="B70" s="22" t="s">
        <v>1362</v>
      </c>
      <c r="C70" s="22" t="s">
        <v>359</v>
      </c>
      <c r="D70" s="21" t="s">
        <v>1404</v>
      </c>
      <c r="E70" s="21" t="s">
        <v>1225</v>
      </c>
      <c r="F70" s="21" t="s">
        <v>1284</v>
      </c>
      <c r="G70" s="21"/>
      <c r="H70" s="21" t="s">
        <v>1314</v>
      </c>
      <c r="I70" s="21" t="s">
        <v>1407</v>
      </c>
      <c r="J70" s="21" t="s">
        <v>1408</v>
      </c>
      <c r="K70" s="22" t="s">
        <v>1512</v>
      </c>
      <c r="L70" s="21" t="s">
        <v>1344</v>
      </c>
      <c r="M70" s="21"/>
    </row>
    <row r="71" spans="1:13" ht="15" hidden="1" customHeight="1" x14ac:dyDescent="0.25">
      <c r="A71" s="21" t="s">
        <v>1513</v>
      </c>
      <c r="B71" s="22" t="s">
        <v>1363</v>
      </c>
      <c r="C71" s="22" t="s">
        <v>360</v>
      </c>
      <c r="D71" s="21" t="s">
        <v>1404</v>
      </c>
      <c r="E71" s="21" t="s">
        <v>1214</v>
      </c>
      <c r="F71" s="21" t="s">
        <v>1488</v>
      </c>
      <c r="G71" s="21" t="s">
        <v>1492</v>
      </c>
      <c r="H71" s="21" t="s">
        <v>1514</v>
      </c>
      <c r="I71" s="21" t="s">
        <v>1417</v>
      </c>
      <c r="J71" s="21" t="s">
        <v>1515</v>
      </c>
      <c r="K71" s="22" t="s">
        <v>1516</v>
      </c>
      <c r="L71" s="21" t="s">
        <v>1311</v>
      </c>
      <c r="M71" s="21"/>
    </row>
    <row r="72" spans="1:13" ht="15" hidden="1" customHeight="1" x14ac:dyDescent="0.25">
      <c r="A72" s="21" t="s">
        <v>1517</v>
      </c>
      <c r="B72" s="22" t="s">
        <v>1364</v>
      </c>
      <c r="C72" s="22" t="s">
        <v>361</v>
      </c>
      <c r="D72" s="21" t="s">
        <v>1404</v>
      </c>
      <c r="E72" s="21" t="s">
        <v>1245</v>
      </c>
      <c r="F72" s="21" t="s">
        <v>1518</v>
      </c>
      <c r="G72" s="21" t="s">
        <v>1519</v>
      </c>
      <c r="H72" s="21" t="s">
        <v>1314</v>
      </c>
      <c r="I72" s="21" t="s">
        <v>1407</v>
      </c>
      <c r="J72" s="21" t="s">
        <v>1408</v>
      </c>
      <c r="K72" s="22" t="s">
        <v>1520</v>
      </c>
      <c r="L72" s="21" t="s">
        <v>1521</v>
      </c>
      <c r="M72" s="21"/>
    </row>
    <row r="73" spans="1:13" ht="15" hidden="1" customHeight="1" x14ac:dyDescent="0.25">
      <c r="A73" s="21" t="s">
        <v>1522</v>
      </c>
      <c r="B73" s="22" t="s">
        <v>1365</v>
      </c>
      <c r="C73" s="22" t="s">
        <v>362</v>
      </c>
      <c r="D73" s="21" t="s">
        <v>1404</v>
      </c>
      <c r="E73" s="21" t="s">
        <v>1240</v>
      </c>
      <c r="F73" s="21" t="s">
        <v>1523</v>
      </c>
      <c r="G73" s="21" t="s">
        <v>1507</v>
      </c>
      <c r="H73" s="21" t="s">
        <v>1314</v>
      </c>
      <c r="I73" s="21" t="s">
        <v>1417</v>
      </c>
      <c r="J73" s="21" t="s">
        <v>1418</v>
      </c>
      <c r="K73" s="22" t="s">
        <v>1524</v>
      </c>
      <c r="L73" s="21" t="s">
        <v>1420</v>
      </c>
      <c r="M73" s="21"/>
    </row>
    <row r="74" spans="1:13" ht="15" hidden="1" customHeight="1" x14ac:dyDescent="0.25">
      <c r="A74" s="21" t="s">
        <v>1525</v>
      </c>
      <c r="B74" s="22" t="s">
        <v>1369</v>
      </c>
      <c r="C74" s="22" t="s">
        <v>363</v>
      </c>
      <c r="D74" s="21" t="s">
        <v>1404</v>
      </c>
      <c r="E74" s="21" t="s">
        <v>1251</v>
      </c>
      <c r="F74" s="21"/>
      <c r="G74" s="21"/>
      <c r="H74" s="21" t="s">
        <v>1314</v>
      </c>
      <c r="I74" s="21" t="s">
        <v>1417</v>
      </c>
      <c r="J74" s="21" t="s">
        <v>1526</v>
      </c>
      <c r="K74" s="22" t="s">
        <v>1527</v>
      </c>
      <c r="L74" s="21" t="s">
        <v>1311</v>
      </c>
      <c r="M74" s="21"/>
    </row>
    <row r="75" spans="1:13" ht="15" hidden="1" customHeight="1" x14ac:dyDescent="0.25">
      <c r="A75" s="21" t="s">
        <v>1528</v>
      </c>
      <c r="B75" s="22" t="s">
        <v>1372</v>
      </c>
      <c r="C75" s="22" t="s">
        <v>364</v>
      </c>
      <c r="D75" s="21" t="s">
        <v>1404</v>
      </c>
      <c r="E75" s="21" t="s">
        <v>1240</v>
      </c>
      <c r="F75" s="21" t="s">
        <v>1529</v>
      </c>
      <c r="G75" s="21" t="s">
        <v>1313</v>
      </c>
      <c r="H75" s="21" t="s">
        <v>1314</v>
      </c>
      <c r="I75" s="21" t="s">
        <v>1417</v>
      </c>
      <c r="J75" s="21" t="s">
        <v>1485</v>
      </c>
      <c r="K75" s="22" t="s">
        <v>1530</v>
      </c>
      <c r="L75" s="21" t="s">
        <v>1451</v>
      </c>
      <c r="M75" s="21"/>
    </row>
    <row r="76" spans="1:13" ht="15" hidden="1" customHeight="1" x14ac:dyDescent="0.25">
      <c r="A76" s="21" t="s">
        <v>1531</v>
      </c>
      <c r="B76" s="22" t="s">
        <v>1374</v>
      </c>
      <c r="C76" s="22" t="s">
        <v>365</v>
      </c>
      <c r="D76" s="21" t="s">
        <v>1404</v>
      </c>
      <c r="E76" s="21" t="s">
        <v>1254</v>
      </c>
      <c r="F76" s="21" t="s">
        <v>1532</v>
      </c>
      <c r="G76" s="21" t="s">
        <v>1533</v>
      </c>
      <c r="H76" s="21" t="s">
        <v>1314</v>
      </c>
      <c r="I76" s="21" t="s">
        <v>1422</v>
      </c>
      <c r="J76" s="21" t="s">
        <v>1534</v>
      </c>
      <c r="K76" s="22" t="s">
        <v>1535</v>
      </c>
      <c r="L76" s="21" t="s">
        <v>1431</v>
      </c>
      <c r="M76" s="21"/>
    </row>
    <row r="77" spans="1:13" ht="15" hidden="1" customHeight="1" x14ac:dyDescent="0.25">
      <c r="A77" s="21" t="s">
        <v>1536</v>
      </c>
      <c r="B77" s="22" t="s">
        <v>1377</v>
      </c>
      <c r="C77" s="22" t="s">
        <v>366</v>
      </c>
      <c r="D77" s="21" t="s">
        <v>1404</v>
      </c>
      <c r="E77" s="21" t="s">
        <v>1216</v>
      </c>
      <c r="F77" s="21" t="s">
        <v>1537</v>
      </c>
      <c r="G77" s="21" t="s">
        <v>1538</v>
      </c>
      <c r="H77" s="21" t="s">
        <v>1314</v>
      </c>
      <c r="I77" s="21" t="s">
        <v>1417</v>
      </c>
      <c r="J77" s="21" t="s">
        <v>1418</v>
      </c>
      <c r="K77" s="22" t="s">
        <v>1539</v>
      </c>
      <c r="L77" s="21" t="s">
        <v>1420</v>
      </c>
      <c r="M77" s="21"/>
    </row>
    <row r="78" spans="1:13" ht="15" hidden="1" customHeight="1" x14ac:dyDescent="0.25">
      <c r="A78" s="21" t="s">
        <v>1540</v>
      </c>
      <c r="B78" s="22" t="s">
        <v>1380</v>
      </c>
      <c r="C78" s="22" t="s">
        <v>367</v>
      </c>
      <c r="D78" s="21" t="s">
        <v>1404</v>
      </c>
      <c r="E78" s="21" t="s">
        <v>1216</v>
      </c>
      <c r="F78" s="21" t="s">
        <v>1537</v>
      </c>
      <c r="G78" s="21" t="s">
        <v>1541</v>
      </c>
      <c r="H78" s="21" t="s">
        <v>1314</v>
      </c>
      <c r="I78" s="21" t="s">
        <v>1417</v>
      </c>
      <c r="J78" s="21" t="s">
        <v>1485</v>
      </c>
      <c r="K78" s="22" t="s">
        <v>1542</v>
      </c>
      <c r="L78" s="21" t="s">
        <v>1543</v>
      </c>
      <c r="M78" s="21"/>
    </row>
    <row r="79" spans="1:13" ht="15" hidden="1" customHeight="1" x14ac:dyDescent="0.25">
      <c r="A79" s="21" t="s">
        <v>1544</v>
      </c>
      <c r="B79" s="22" t="s">
        <v>1383</v>
      </c>
      <c r="C79" s="22" t="s">
        <v>368</v>
      </c>
      <c r="D79" s="21" t="s">
        <v>1404</v>
      </c>
      <c r="E79" s="21" t="s">
        <v>1250</v>
      </c>
      <c r="F79" s="21"/>
      <c r="G79" s="21"/>
      <c r="H79" s="21" t="s">
        <v>1314</v>
      </c>
      <c r="I79" s="21" t="s">
        <v>1399</v>
      </c>
      <c r="J79" s="21" t="s">
        <v>1545</v>
      </c>
      <c r="K79" s="22" t="s">
        <v>1546</v>
      </c>
      <c r="L79" s="21" t="s">
        <v>1402</v>
      </c>
      <c r="M79" s="21"/>
    </row>
    <row r="80" spans="1:13" ht="15" hidden="1" customHeight="1" x14ac:dyDescent="0.25">
      <c r="A80" s="21" t="s">
        <v>1547</v>
      </c>
      <c r="B80" s="22" t="s">
        <v>1385</v>
      </c>
      <c r="C80" s="22" t="s">
        <v>369</v>
      </c>
      <c r="D80" s="21" t="s">
        <v>1404</v>
      </c>
      <c r="E80" s="21" t="s">
        <v>1205</v>
      </c>
      <c r="F80" s="21" t="s">
        <v>1205</v>
      </c>
      <c r="G80" s="21" t="s">
        <v>1548</v>
      </c>
      <c r="H80" s="21" t="s">
        <v>1314</v>
      </c>
      <c r="I80" s="21" t="s">
        <v>1417</v>
      </c>
      <c r="J80" s="21" t="s">
        <v>1418</v>
      </c>
      <c r="K80" s="22" t="s">
        <v>1549</v>
      </c>
      <c r="L80" s="21" t="s">
        <v>1420</v>
      </c>
      <c r="M80" s="21"/>
    </row>
    <row r="81" spans="1:13" ht="15" hidden="1" customHeight="1" x14ac:dyDescent="0.25">
      <c r="A81" s="21" t="s">
        <v>1550</v>
      </c>
      <c r="B81" s="22" t="s">
        <v>1388</v>
      </c>
      <c r="C81" s="22" t="s">
        <v>370</v>
      </c>
      <c r="D81" s="21" t="s">
        <v>1404</v>
      </c>
      <c r="E81" s="21" t="s">
        <v>1224</v>
      </c>
      <c r="F81" s="21" t="s">
        <v>1224</v>
      </c>
      <c r="G81" s="21" t="s">
        <v>1551</v>
      </c>
      <c r="H81" s="21" t="s">
        <v>1314</v>
      </c>
      <c r="I81" s="21" t="s">
        <v>1417</v>
      </c>
      <c r="J81" s="21" t="s">
        <v>1418</v>
      </c>
      <c r="K81" s="22" t="s">
        <v>1552</v>
      </c>
      <c r="L81" s="21" t="s">
        <v>1446</v>
      </c>
      <c r="M81" s="21"/>
    </row>
    <row r="82" spans="1:13" ht="15" hidden="1" customHeight="1" x14ac:dyDescent="0.25">
      <c r="A82" s="21" t="s">
        <v>1553</v>
      </c>
      <c r="B82" s="22" t="s">
        <v>1391</v>
      </c>
      <c r="C82" s="22" t="s">
        <v>371</v>
      </c>
      <c r="D82" s="21" t="s">
        <v>1404</v>
      </c>
      <c r="E82" s="21" t="s">
        <v>1204</v>
      </c>
      <c r="F82" s="21" t="s">
        <v>1502</v>
      </c>
      <c r="G82" s="21" t="s">
        <v>1554</v>
      </c>
      <c r="H82" s="21" t="s">
        <v>1314</v>
      </c>
      <c r="I82" s="21" t="s">
        <v>1417</v>
      </c>
      <c r="J82" s="21" t="s">
        <v>1418</v>
      </c>
      <c r="K82" s="22" t="s">
        <v>1555</v>
      </c>
      <c r="L82" s="21" t="s">
        <v>1500</v>
      </c>
      <c r="M82" s="21"/>
    </row>
    <row r="83" spans="1:13" ht="15" hidden="1" customHeight="1" x14ac:dyDescent="0.25">
      <c r="A83" s="21" t="s">
        <v>1556</v>
      </c>
      <c r="B83" s="22" t="s">
        <v>1394</v>
      </c>
      <c r="C83" s="22"/>
      <c r="D83" s="21" t="s">
        <v>1404</v>
      </c>
      <c r="E83" s="21"/>
      <c r="F83" s="21"/>
      <c r="G83" s="21"/>
      <c r="H83" s="21"/>
      <c r="I83" s="21"/>
      <c r="J83" s="21"/>
      <c r="K83" s="22"/>
      <c r="L83" s="21"/>
      <c r="M83" s="21"/>
    </row>
    <row r="84" spans="1:13" ht="15" hidden="1" customHeight="1" x14ac:dyDescent="0.25">
      <c r="A84" s="21" t="s">
        <v>1557</v>
      </c>
      <c r="B84" s="22" t="s">
        <v>1397</v>
      </c>
      <c r="C84" s="22" t="s">
        <v>372</v>
      </c>
      <c r="D84" s="21" t="s">
        <v>1404</v>
      </c>
      <c r="E84" s="21" t="s">
        <v>1245</v>
      </c>
      <c r="F84" s="21" t="s">
        <v>1518</v>
      </c>
      <c r="G84" s="21" t="s">
        <v>1519</v>
      </c>
      <c r="H84" s="21" t="s">
        <v>1314</v>
      </c>
      <c r="I84" s="21" t="s">
        <v>1417</v>
      </c>
      <c r="J84" s="21" t="s">
        <v>1418</v>
      </c>
      <c r="K84" s="22" t="s">
        <v>1558</v>
      </c>
      <c r="L84" s="21" t="s">
        <v>1420</v>
      </c>
      <c r="M84" s="21"/>
    </row>
    <row r="85" spans="1:13" ht="15" hidden="1" customHeight="1" x14ac:dyDescent="0.25">
      <c r="A85" s="21" t="s">
        <v>1559</v>
      </c>
      <c r="B85" s="22" t="s">
        <v>1403</v>
      </c>
      <c r="C85" s="22"/>
      <c r="D85" s="21" t="s">
        <v>1404</v>
      </c>
      <c r="E85" s="21"/>
      <c r="F85" s="21"/>
      <c r="G85" s="21"/>
      <c r="H85" s="21"/>
      <c r="I85" s="21"/>
      <c r="J85" s="21"/>
      <c r="K85" s="22"/>
      <c r="L85" s="21"/>
      <c r="M85" s="21"/>
    </row>
    <row r="86" spans="1:13" ht="15" hidden="1" customHeight="1" x14ac:dyDescent="0.25">
      <c r="A86" s="21" t="s">
        <v>1560</v>
      </c>
      <c r="B86" s="22" t="s">
        <v>1410</v>
      </c>
      <c r="C86" s="22" t="s">
        <v>373</v>
      </c>
      <c r="D86" s="21" t="s">
        <v>1404</v>
      </c>
      <c r="E86" s="21" t="s">
        <v>1275</v>
      </c>
      <c r="F86" s="21" t="s">
        <v>1561</v>
      </c>
      <c r="G86" s="21" t="s">
        <v>1562</v>
      </c>
      <c r="H86" s="21" t="s">
        <v>1314</v>
      </c>
      <c r="I86" s="21" t="s">
        <v>1407</v>
      </c>
      <c r="J86" s="21" t="s">
        <v>1408</v>
      </c>
      <c r="K86" s="22" t="s">
        <v>1563</v>
      </c>
      <c r="L86" s="21" t="s">
        <v>1344</v>
      </c>
      <c r="M86" s="21"/>
    </row>
    <row r="87" spans="1:13" ht="15" hidden="1" customHeight="1" x14ac:dyDescent="0.25">
      <c r="A87" s="21" t="s">
        <v>1564</v>
      </c>
      <c r="B87" s="22" t="s">
        <v>1414</v>
      </c>
      <c r="C87" s="22"/>
      <c r="D87" s="21" t="s">
        <v>1404</v>
      </c>
      <c r="E87" s="21"/>
      <c r="F87" s="21"/>
      <c r="G87" s="21"/>
      <c r="H87" s="21"/>
      <c r="I87" s="21"/>
      <c r="J87" s="21"/>
      <c r="K87" s="22"/>
      <c r="L87" s="21"/>
      <c r="M87" s="21"/>
    </row>
    <row r="88" spans="1:13" ht="15" hidden="1" customHeight="1" x14ac:dyDescent="0.25">
      <c r="A88" s="21" t="s">
        <v>1565</v>
      </c>
      <c r="B88" s="22" t="s">
        <v>1421</v>
      </c>
      <c r="C88" s="22" t="s">
        <v>374</v>
      </c>
      <c r="D88" s="21" t="s">
        <v>1404</v>
      </c>
      <c r="E88" s="21" t="s">
        <v>1234</v>
      </c>
      <c r="F88" s="21" t="s">
        <v>1566</v>
      </c>
      <c r="G88" s="21"/>
      <c r="H88" s="21" t="s">
        <v>1314</v>
      </c>
      <c r="I88" s="21" t="s">
        <v>1567</v>
      </c>
      <c r="J88" s="21" t="s">
        <v>1568</v>
      </c>
      <c r="K88" s="22" t="s">
        <v>1569</v>
      </c>
      <c r="L88" s="21" t="s">
        <v>1425</v>
      </c>
      <c r="M88" s="21"/>
    </row>
    <row r="89" spans="1:13" ht="15" hidden="1" customHeight="1" x14ac:dyDescent="0.25">
      <c r="A89" s="21" t="s">
        <v>1570</v>
      </c>
      <c r="B89" s="22" t="s">
        <v>1426</v>
      </c>
      <c r="C89" s="22" t="s">
        <v>375</v>
      </c>
      <c r="D89" s="21" t="s">
        <v>1404</v>
      </c>
      <c r="E89" s="21" t="s">
        <v>1258</v>
      </c>
      <c r="F89" s="21" t="s">
        <v>1206</v>
      </c>
      <c r="G89" s="21" t="s">
        <v>1571</v>
      </c>
      <c r="H89" s="21" t="s">
        <v>1314</v>
      </c>
      <c r="I89" s="21" t="s">
        <v>1458</v>
      </c>
      <c r="J89" s="21" t="s">
        <v>1459</v>
      </c>
      <c r="K89" s="22" t="s">
        <v>1572</v>
      </c>
      <c r="L89" s="21" t="s">
        <v>1344</v>
      </c>
      <c r="M89" s="21"/>
    </row>
    <row r="90" spans="1:13" ht="15" hidden="1" customHeight="1" x14ac:dyDescent="0.25">
      <c r="A90" s="21" t="s">
        <v>1573</v>
      </c>
      <c r="B90" s="22" t="s">
        <v>1432</v>
      </c>
      <c r="C90" s="22" t="s">
        <v>376</v>
      </c>
      <c r="D90" s="21" t="s">
        <v>1398</v>
      </c>
      <c r="E90" s="21" t="s">
        <v>1246</v>
      </c>
      <c r="F90" s="21" t="s">
        <v>1246</v>
      </c>
      <c r="G90" s="21" t="s">
        <v>1574</v>
      </c>
      <c r="H90" s="21" t="s">
        <v>1575</v>
      </c>
      <c r="I90" s="21" t="s">
        <v>1422</v>
      </c>
      <c r="J90" s="21" t="s">
        <v>1423</v>
      </c>
      <c r="K90" s="22" t="s">
        <v>1576</v>
      </c>
      <c r="L90" s="21" t="s">
        <v>1425</v>
      </c>
      <c r="M90" s="21"/>
    </row>
    <row r="91" spans="1:13" ht="15" hidden="1" customHeight="1" x14ac:dyDescent="0.25">
      <c r="A91" s="21" t="s">
        <v>1577</v>
      </c>
      <c r="B91" s="22" t="s">
        <v>1436</v>
      </c>
      <c r="C91" s="22" t="s">
        <v>377</v>
      </c>
      <c r="D91" s="21" t="s">
        <v>1404</v>
      </c>
      <c r="E91" s="21" t="s">
        <v>1246</v>
      </c>
      <c r="F91" s="21" t="s">
        <v>1246</v>
      </c>
      <c r="G91" s="21" t="s">
        <v>1578</v>
      </c>
      <c r="H91" s="21" t="s">
        <v>1314</v>
      </c>
      <c r="I91" s="21" t="s">
        <v>1417</v>
      </c>
      <c r="J91" s="21" t="s">
        <v>1579</v>
      </c>
      <c r="K91" s="22" t="s">
        <v>1580</v>
      </c>
      <c r="L91" s="21" t="s">
        <v>1290</v>
      </c>
      <c r="M91" s="21"/>
    </row>
    <row r="92" spans="1:13" ht="15" hidden="1" customHeight="1" x14ac:dyDescent="0.25">
      <c r="A92" s="21" t="s">
        <v>1581</v>
      </c>
      <c r="B92" s="22" t="s">
        <v>1439</v>
      </c>
      <c r="C92" s="22" t="s">
        <v>378</v>
      </c>
      <c r="D92" s="21" t="s">
        <v>1404</v>
      </c>
      <c r="E92" s="21" t="s">
        <v>1246</v>
      </c>
      <c r="F92" s="21" t="s">
        <v>1246</v>
      </c>
      <c r="G92" s="21" t="s">
        <v>1582</v>
      </c>
      <c r="H92" s="21" t="s">
        <v>1314</v>
      </c>
      <c r="I92" s="21" t="s">
        <v>1407</v>
      </c>
      <c r="J92" s="21" t="s">
        <v>1408</v>
      </c>
      <c r="K92" s="22" t="s">
        <v>1583</v>
      </c>
      <c r="L92" s="21" t="s">
        <v>1344</v>
      </c>
      <c r="M92" s="21"/>
    </row>
    <row r="93" spans="1:13" ht="15" hidden="1" customHeight="1" x14ac:dyDescent="0.25">
      <c r="A93" s="21" t="s">
        <v>1584</v>
      </c>
      <c r="B93" s="22" t="s">
        <v>1442</v>
      </c>
      <c r="C93" s="22" t="s">
        <v>379</v>
      </c>
      <c r="D93" s="21" t="s">
        <v>1398</v>
      </c>
      <c r="E93" s="21" t="s">
        <v>1208</v>
      </c>
      <c r="F93" s="21" t="s">
        <v>1208</v>
      </c>
      <c r="G93" s="21" t="s">
        <v>1585</v>
      </c>
      <c r="H93" s="21" t="s">
        <v>1314</v>
      </c>
      <c r="I93" s="21" t="s">
        <v>1399</v>
      </c>
      <c r="J93" s="21" t="s">
        <v>1400</v>
      </c>
      <c r="K93" s="22" t="s">
        <v>1586</v>
      </c>
      <c r="L93" s="21" t="s">
        <v>1332</v>
      </c>
      <c r="M93" s="21"/>
    </row>
    <row r="94" spans="1:13" ht="15" hidden="1" customHeight="1" x14ac:dyDescent="0.25">
      <c r="A94" s="21" t="s">
        <v>1587</v>
      </c>
      <c r="B94" s="22" t="s">
        <v>1447</v>
      </c>
      <c r="C94" s="22" t="s">
        <v>380</v>
      </c>
      <c r="D94" s="21" t="s">
        <v>1404</v>
      </c>
      <c r="E94" s="21" t="s">
        <v>1234</v>
      </c>
      <c r="F94" s="21" t="s">
        <v>1588</v>
      </c>
      <c r="G94" s="21" t="s">
        <v>1468</v>
      </c>
      <c r="H94" s="21" t="s">
        <v>1314</v>
      </c>
      <c r="I94" s="21" t="s">
        <v>1458</v>
      </c>
      <c r="J94" s="21" t="s">
        <v>1459</v>
      </c>
      <c r="K94" s="22" t="s">
        <v>1589</v>
      </c>
      <c r="L94" s="21" t="s">
        <v>1344</v>
      </c>
      <c r="M94" s="21"/>
    </row>
    <row r="95" spans="1:13" ht="15" hidden="1" customHeight="1" x14ac:dyDescent="0.25">
      <c r="A95" s="21" t="s">
        <v>1590</v>
      </c>
      <c r="B95" s="22" t="s">
        <v>1452</v>
      </c>
      <c r="C95" s="22" t="s">
        <v>381</v>
      </c>
      <c r="D95" s="21" t="s">
        <v>1398</v>
      </c>
      <c r="E95" s="21" t="s">
        <v>1194</v>
      </c>
      <c r="F95" s="21" t="s">
        <v>1591</v>
      </c>
      <c r="G95" s="21"/>
      <c r="H95" s="21" t="s">
        <v>1314</v>
      </c>
      <c r="I95" s="21" t="s">
        <v>1417</v>
      </c>
      <c r="J95" s="21" t="s">
        <v>1592</v>
      </c>
      <c r="K95" s="22" t="s">
        <v>1593</v>
      </c>
      <c r="L95" s="21" t="s">
        <v>1311</v>
      </c>
      <c r="M95" s="21"/>
    </row>
    <row r="96" spans="1:13" ht="15" hidden="1" customHeight="1" x14ac:dyDescent="0.25">
      <c r="A96" s="21" t="s">
        <v>1594</v>
      </c>
      <c r="B96" s="22" t="s">
        <v>1456</v>
      </c>
      <c r="C96" s="22" t="s">
        <v>382</v>
      </c>
      <c r="D96" s="21" t="s">
        <v>1398</v>
      </c>
      <c r="E96" s="21" t="s">
        <v>1242</v>
      </c>
      <c r="F96" s="21" t="s">
        <v>1242</v>
      </c>
      <c r="G96" s="21" t="s">
        <v>1595</v>
      </c>
      <c r="H96" s="21" t="s">
        <v>1314</v>
      </c>
      <c r="I96" s="21" t="s">
        <v>1596</v>
      </c>
      <c r="J96" s="21" t="s">
        <v>1597</v>
      </c>
      <c r="K96" s="22" t="s">
        <v>1598</v>
      </c>
      <c r="L96" s="21" t="s">
        <v>1599</v>
      </c>
      <c r="M96" s="21"/>
    </row>
    <row r="97" spans="1:13" ht="15" hidden="1" customHeight="1" x14ac:dyDescent="0.25">
      <c r="A97" s="21" t="s">
        <v>1600</v>
      </c>
      <c r="B97" s="22" t="s">
        <v>1461</v>
      </c>
      <c r="C97" s="22" t="s">
        <v>383</v>
      </c>
      <c r="D97" s="21" t="s">
        <v>1398</v>
      </c>
      <c r="E97" s="21" t="s">
        <v>1242</v>
      </c>
      <c r="F97" s="21" t="s">
        <v>1242</v>
      </c>
      <c r="G97" s="21" t="s">
        <v>1601</v>
      </c>
      <c r="H97" s="21" t="s">
        <v>1314</v>
      </c>
      <c r="I97" s="21" t="s">
        <v>1596</v>
      </c>
      <c r="J97" s="21" t="s">
        <v>1597</v>
      </c>
      <c r="K97" s="22" t="s">
        <v>1602</v>
      </c>
      <c r="L97" s="21" t="s">
        <v>1599</v>
      </c>
      <c r="M97" s="21"/>
    </row>
    <row r="98" spans="1:13" ht="15" hidden="1" customHeight="1" x14ac:dyDescent="0.25">
      <c r="A98" s="21" t="s">
        <v>1603</v>
      </c>
      <c r="B98" s="22" t="s">
        <v>1466</v>
      </c>
      <c r="C98" s="22" t="s">
        <v>384</v>
      </c>
      <c r="D98" s="21" t="s">
        <v>1398</v>
      </c>
      <c r="E98" s="21" t="s">
        <v>1242</v>
      </c>
      <c r="F98" s="21" t="s">
        <v>1242</v>
      </c>
      <c r="G98" s="21" t="s">
        <v>1272</v>
      </c>
      <c r="H98" s="21" t="s">
        <v>1314</v>
      </c>
      <c r="I98" s="21" t="s">
        <v>1596</v>
      </c>
      <c r="J98" s="21" t="s">
        <v>1597</v>
      </c>
      <c r="K98" s="22" t="s">
        <v>1604</v>
      </c>
      <c r="L98" s="21" t="s">
        <v>1599</v>
      </c>
      <c r="M98" s="21"/>
    </row>
    <row r="99" spans="1:13" ht="15" hidden="1" customHeight="1" x14ac:dyDescent="0.25">
      <c r="A99" s="21" t="s">
        <v>1605</v>
      </c>
      <c r="B99" s="22" t="s">
        <v>1470</v>
      </c>
      <c r="C99" s="22" t="s">
        <v>385</v>
      </c>
      <c r="D99" s="21" t="s">
        <v>1398</v>
      </c>
      <c r="E99" s="21" t="s">
        <v>1243</v>
      </c>
      <c r="F99" s="21" t="s">
        <v>1242</v>
      </c>
      <c r="G99" s="21" t="s">
        <v>1606</v>
      </c>
      <c r="H99" s="21" t="s">
        <v>1314</v>
      </c>
      <c r="I99" s="21" t="s">
        <v>1596</v>
      </c>
      <c r="J99" s="21" t="s">
        <v>1597</v>
      </c>
      <c r="K99" s="22" t="s">
        <v>1607</v>
      </c>
      <c r="L99" s="21" t="s">
        <v>1599</v>
      </c>
      <c r="M99" s="21"/>
    </row>
    <row r="100" spans="1:13" ht="15" hidden="1" customHeight="1" x14ac:dyDescent="0.25">
      <c r="A100" s="21" t="s">
        <v>1608</v>
      </c>
      <c r="B100" s="22" t="s">
        <v>1473</v>
      </c>
      <c r="C100" s="22" t="s">
        <v>386</v>
      </c>
      <c r="D100" s="21" t="s">
        <v>1398</v>
      </c>
      <c r="E100" s="21" t="s">
        <v>1242</v>
      </c>
      <c r="F100" s="21" t="s">
        <v>1242</v>
      </c>
      <c r="G100" s="21" t="s">
        <v>1609</v>
      </c>
      <c r="H100" s="21" t="s">
        <v>1314</v>
      </c>
      <c r="I100" s="21" t="s">
        <v>1596</v>
      </c>
      <c r="J100" s="21" t="s">
        <v>1597</v>
      </c>
      <c r="K100" s="22" t="s">
        <v>1610</v>
      </c>
      <c r="L100" s="21" t="s">
        <v>1599</v>
      </c>
      <c r="M100" s="21"/>
    </row>
    <row r="101" spans="1:13" ht="15" hidden="1" customHeight="1" x14ac:dyDescent="0.25">
      <c r="A101" s="21" t="s">
        <v>1611</v>
      </c>
      <c r="B101" s="22" t="s">
        <v>1475</v>
      </c>
      <c r="C101" s="22" t="s">
        <v>387</v>
      </c>
      <c r="D101" s="21" t="s">
        <v>1398</v>
      </c>
      <c r="E101" s="21" t="s">
        <v>1242</v>
      </c>
      <c r="F101" s="21" t="s">
        <v>1242</v>
      </c>
      <c r="G101" s="21" t="s">
        <v>1612</v>
      </c>
      <c r="H101" s="21" t="s">
        <v>1314</v>
      </c>
      <c r="I101" s="21" t="s">
        <v>1596</v>
      </c>
      <c r="J101" s="21" t="s">
        <v>1597</v>
      </c>
      <c r="K101" s="22" t="s">
        <v>1613</v>
      </c>
      <c r="L101" s="21" t="s">
        <v>1599</v>
      </c>
      <c r="M101" s="21"/>
    </row>
    <row r="102" spans="1:13" ht="15" hidden="1" customHeight="1" x14ac:dyDescent="0.25">
      <c r="A102" s="21" t="s">
        <v>1614</v>
      </c>
      <c r="B102" s="22" t="s">
        <v>1478</v>
      </c>
      <c r="C102" s="22" t="s">
        <v>388</v>
      </c>
      <c r="D102" s="21" t="s">
        <v>1398</v>
      </c>
      <c r="E102" s="21" t="s">
        <v>1242</v>
      </c>
      <c r="F102" s="21" t="s">
        <v>1242</v>
      </c>
      <c r="G102" s="21" t="s">
        <v>1615</v>
      </c>
      <c r="H102" s="21" t="s">
        <v>1314</v>
      </c>
      <c r="I102" s="21" t="s">
        <v>1596</v>
      </c>
      <c r="J102" s="21" t="s">
        <v>1597</v>
      </c>
      <c r="K102" s="22" t="s">
        <v>1616</v>
      </c>
      <c r="L102" s="21" t="s">
        <v>1599</v>
      </c>
      <c r="M102" s="21"/>
    </row>
    <row r="103" spans="1:13" ht="15" hidden="1" customHeight="1" x14ac:dyDescent="0.25">
      <c r="A103" s="21" t="s">
        <v>1617</v>
      </c>
      <c r="B103" s="22" t="s">
        <v>1482</v>
      </c>
      <c r="C103" s="22" t="s">
        <v>389</v>
      </c>
      <c r="D103" s="21" t="s">
        <v>1398</v>
      </c>
      <c r="E103" s="21" t="s">
        <v>1242</v>
      </c>
      <c r="F103" s="21" t="s">
        <v>1242</v>
      </c>
      <c r="G103" s="21" t="s">
        <v>1618</v>
      </c>
      <c r="H103" s="21" t="s">
        <v>1314</v>
      </c>
      <c r="I103" s="21" t="s">
        <v>1596</v>
      </c>
      <c r="J103" s="21" t="s">
        <v>1597</v>
      </c>
      <c r="K103" s="22" t="s">
        <v>1619</v>
      </c>
      <c r="L103" s="21" t="s">
        <v>1599</v>
      </c>
      <c r="M103" s="21"/>
    </row>
    <row r="104" spans="1:13" ht="15" hidden="1" customHeight="1" x14ac:dyDescent="0.25">
      <c r="A104" s="21" t="s">
        <v>1620</v>
      </c>
      <c r="B104" s="22" t="s">
        <v>1487</v>
      </c>
      <c r="C104" s="22" t="s">
        <v>390</v>
      </c>
      <c r="D104" s="21" t="s">
        <v>1398</v>
      </c>
      <c r="E104" s="21" t="s">
        <v>1194</v>
      </c>
      <c r="F104" s="21" t="s">
        <v>1591</v>
      </c>
      <c r="G104" s="21"/>
      <c r="H104" s="21" t="s">
        <v>1314</v>
      </c>
      <c r="I104" s="21" t="s">
        <v>1417</v>
      </c>
      <c r="J104" s="21" t="s">
        <v>1592</v>
      </c>
      <c r="K104" s="22" t="s">
        <v>1621</v>
      </c>
      <c r="L104" s="21" t="s">
        <v>1311</v>
      </c>
      <c r="M104" s="21"/>
    </row>
    <row r="105" spans="1:13" ht="15" hidden="1" customHeight="1" x14ac:dyDescent="0.25">
      <c r="A105" s="21" t="s">
        <v>1622</v>
      </c>
      <c r="B105" s="22" t="s">
        <v>1491</v>
      </c>
      <c r="C105" s="22" t="s">
        <v>391</v>
      </c>
      <c r="D105" s="21" t="s">
        <v>1404</v>
      </c>
      <c r="E105" s="21" t="s">
        <v>1212</v>
      </c>
      <c r="F105" s="21" t="s">
        <v>1211</v>
      </c>
      <c r="G105" s="21" t="s">
        <v>1623</v>
      </c>
      <c r="H105" s="21" t="s">
        <v>1624</v>
      </c>
      <c r="I105" s="21" t="s">
        <v>1399</v>
      </c>
      <c r="J105" s="21" t="s">
        <v>1625</v>
      </c>
      <c r="K105" s="22" t="s">
        <v>1626</v>
      </c>
      <c r="L105" s="21" t="s">
        <v>1627</v>
      </c>
      <c r="M105" s="21"/>
    </row>
    <row r="106" spans="1:13" ht="15" hidden="1" customHeight="1" x14ac:dyDescent="0.25">
      <c r="A106" s="21" t="s">
        <v>1628</v>
      </c>
      <c r="B106" s="22" t="s">
        <v>1494</v>
      </c>
      <c r="C106" s="22" t="s">
        <v>392</v>
      </c>
      <c r="D106" s="21" t="s">
        <v>1404</v>
      </c>
      <c r="E106" s="21" t="s">
        <v>1272</v>
      </c>
      <c r="F106" s="21" t="s">
        <v>1272</v>
      </c>
      <c r="G106" s="21" t="s">
        <v>1629</v>
      </c>
      <c r="H106" s="21" t="s">
        <v>1624</v>
      </c>
      <c r="I106" s="21" t="s">
        <v>1399</v>
      </c>
      <c r="J106" s="21" t="s">
        <v>1625</v>
      </c>
      <c r="K106" s="22" t="s">
        <v>1630</v>
      </c>
      <c r="L106" s="21" t="s">
        <v>1627</v>
      </c>
      <c r="M106" s="21"/>
    </row>
    <row r="107" spans="1:13" ht="15" hidden="1" customHeight="1" x14ac:dyDescent="0.25">
      <c r="A107" s="21" t="s">
        <v>1631</v>
      </c>
      <c r="B107" s="22" t="s">
        <v>1497</v>
      </c>
      <c r="C107" s="22" t="s">
        <v>393</v>
      </c>
      <c r="D107" s="21" t="s">
        <v>1404</v>
      </c>
      <c r="E107" s="21" t="s">
        <v>1204</v>
      </c>
      <c r="F107" s="21" t="s">
        <v>1632</v>
      </c>
      <c r="G107" s="21" t="s">
        <v>1633</v>
      </c>
      <c r="H107" s="21" t="s">
        <v>1314</v>
      </c>
      <c r="I107" s="21" t="s">
        <v>1407</v>
      </c>
      <c r="J107" s="21" t="s">
        <v>1408</v>
      </c>
      <c r="K107" s="22" t="s">
        <v>1634</v>
      </c>
      <c r="L107" s="21" t="s">
        <v>1368</v>
      </c>
      <c r="M107" s="21"/>
    </row>
    <row r="108" spans="1:13" ht="15" hidden="1" customHeight="1" x14ac:dyDescent="0.25">
      <c r="A108" s="21" t="s">
        <v>1635</v>
      </c>
      <c r="B108" s="22" t="s">
        <v>1501</v>
      </c>
      <c r="C108" s="22" t="s">
        <v>394</v>
      </c>
      <c r="D108" s="21" t="s">
        <v>1404</v>
      </c>
      <c r="E108" s="21" t="s">
        <v>1258</v>
      </c>
      <c r="F108" s="21" t="s">
        <v>1636</v>
      </c>
      <c r="G108" s="21" t="s">
        <v>1313</v>
      </c>
      <c r="H108" s="21" t="s">
        <v>1314</v>
      </c>
      <c r="I108" s="21" t="s">
        <v>1407</v>
      </c>
      <c r="J108" s="21" t="s">
        <v>1408</v>
      </c>
      <c r="K108" s="22" t="s">
        <v>1637</v>
      </c>
      <c r="L108" s="21" t="s">
        <v>1368</v>
      </c>
      <c r="M108" s="21"/>
    </row>
    <row r="109" spans="1:13" ht="15" hidden="1" customHeight="1" x14ac:dyDescent="0.25">
      <c r="A109" s="21" t="s">
        <v>1638</v>
      </c>
      <c r="B109" s="22" t="s">
        <v>1505</v>
      </c>
      <c r="C109" s="22" t="s">
        <v>395</v>
      </c>
      <c r="D109" s="21" t="s">
        <v>1404</v>
      </c>
      <c r="E109" s="21" t="s">
        <v>1206</v>
      </c>
      <c r="F109" s="21" t="s">
        <v>1206</v>
      </c>
      <c r="G109" s="21" t="s">
        <v>1639</v>
      </c>
      <c r="H109" s="21" t="s">
        <v>1314</v>
      </c>
      <c r="I109" s="21" t="s">
        <v>1407</v>
      </c>
      <c r="J109" s="21" t="s">
        <v>1408</v>
      </c>
      <c r="K109" s="22" t="s">
        <v>1640</v>
      </c>
      <c r="L109" s="21" t="s">
        <v>1641</v>
      </c>
      <c r="M109" s="21"/>
    </row>
    <row r="110" spans="1:13" ht="15" hidden="1" customHeight="1" x14ac:dyDescent="0.25">
      <c r="A110" s="21" t="s">
        <v>1642</v>
      </c>
      <c r="B110" s="22" t="s">
        <v>1509</v>
      </c>
      <c r="C110" s="22" t="s">
        <v>396</v>
      </c>
      <c r="D110" s="21" t="s">
        <v>1404</v>
      </c>
      <c r="E110" s="21" t="s">
        <v>1246</v>
      </c>
      <c r="F110" s="21" t="s">
        <v>1246</v>
      </c>
      <c r="G110" s="21" t="s">
        <v>1643</v>
      </c>
      <c r="H110" s="21" t="s">
        <v>1314</v>
      </c>
      <c r="I110" s="21" t="s">
        <v>1644</v>
      </c>
      <c r="J110" s="21" t="s">
        <v>1645</v>
      </c>
      <c r="K110" s="22" t="s">
        <v>1646</v>
      </c>
      <c r="L110" s="21" t="s">
        <v>1368</v>
      </c>
      <c r="M110" s="21"/>
    </row>
    <row r="111" spans="1:13" ht="15" hidden="1" customHeight="1" x14ac:dyDescent="0.25">
      <c r="A111" s="21" t="s">
        <v>1647</v>
      </c>
      <c r="B111" s="22" t="s">
        <v>1511</v>
      </c>
      <c r="C111" s="22" t="s">
        <v>397</v>
      </c>
      <c r="D111" s="21" t="s">
        <v>1404</v>
      </c>
      <c r="E111" s="21" t="s">
        <v>1272</v>
      </c>
      <c r="F111" s="21" t="s">
        <v>1648</v>
      </c>
      <c r="G111" s="21"/>
      <c r="H111" s="21" t="s">
        <v>1314</v>
      </c>
      <c r="I111" s="21" t="s">
        <v>1417</v>
      </c>
      <c r="J111" s="21" t="s">
        <v>1649</v>
      </c>
      <c r="K111" s="22" t="s">
        <v>1650</v>
      </c>
      <c r="L111" s="21" t="s">
        <v>1311</v>
      </c>
      <c r="M111" s="21"/>
    </row>
    <row r="112" spans="1:13" ht="15" hidden="1" customHeight="1" x14ac:dyDescent="0.25">
      <c r="A112" s="21" t="s">
        <v>1651</v>
      </c>
      <c r="B112" s="22" t="s">
        <v>1513</v>
      </c>
      <c r="C112" s="22" t="s">
        <v>398</v>
      </c>
      <c r="D112" s="21" t="s">
        <v>1404</v>
      </c>
      <c r="E112" s="21" t="s">
        <v>1254</v>
      </c>
      <c r="F112" s="21" t="s">
        <v>1443</v>
      </c>
      <c r="G112" s="21" t="s">
        <v>1444</v>
      </c>
      <c r="H112" s="21" t="s">
        <v>1314</v>
      </c>
      <c r="I112" s="21" t="s">
        <v>1399</v>
      </c>
      <c r="J112" s="21" t="s">
        <v>1625</v>
      </c>
      <c r="K112" s="22" t="s">
        <v>1652</v>
      </c>
      <c r="L112" s="21" t="s">
        <v>1368</v>
      </c>
      <c r="M112" s="21"/>
    </row>
    <row r="113" spans="1:13" ht="15" hidden="1" customHeight="1" x14ac:dyDescent="0.25">
      <c r="A113" s="21" t="s">
        <v>1653</v>
      </c>
      <c r="B113" s="22" t="s">
        <v>1517</v>
      </c>
      <c r="C113" s="22" t="s">
        <v>399</v>
      </c>
      <c r="D113" s="21" t="s">
        <v>1404</v>
      </c>
      <c r="E113" s="21" t="s">
        <v>1254</v>
      </c>
      <c r="F113" s="21" t="s">
        <v>1532</v>
      </c>
      <c r="G113" s="21" t="s">
        <v>1654</v>
      </c>
      <c r="H113" s="21" t="s">
        <v>1314</v>
      </c>
      <c r="I113" s="21" t="s">
        <v>1399</v>
      </c>
      <c r="J113" s="21" t="s">
        <v>1625</v>
      </c>
      <c r="K113" s="22" t="s">
        <v>1655</v>
      </c>
      <c r="L113" s="21" t="s">
        <v>1368</v>
      </c>
      <c r="M113" s="21"/>
    </row>
    <row r="114" spans="1:13" ht="15" hidden="1" customHeight="1" x14ac:dyDescent="0.25">
      <c r="A114" s="21" t="s">
        <v>1656</v>
      </c>
      <c r="B114" s="22" t="s">
        <v>1522</v>
      </c>
      <c r="C114" s="22" t="s">
        <v>400</v>
      </c>
      <c r="D114" s="21" t="s">
        <v>1404</v>
      </c>
      <c r="E114" s="21" t="s">
        <v>1254</v>
      </c>
      <c r="F114" s="21" t="s">
        <v>1443</v>
      </c>
      <c r="G114" s="21" t="s">
        <v>1657</v>
      </c>
      <c r="H114" s="21" t="s">
        <v>1314</v>
      </c>
      <c r="I114" s="21" t="s">
        <v>1399</v>
      </c>
      <c r="J114" s="21" t="s">
        <v>1625</v>
      </c>
      <c r="K114" s="22" t="s">
        <v>1658</v>
      </c>
      <c r="L114" s="21" t="s">
        <v>1368</v>
      </c>
      <c r="M114" s="21"/>
    </row>
    <row r="115" spans="1:13" ht="15" hidden="1" customHeight="1" x14ac:dyDescent="0.25">
      <c r="A115" s="21" t="s">
        <v>1659</v>
      </c>
      <c r="B115" s="22" t="s">
        <v>1525</v>
      </c>
      <c r="C115" s="22" t="s">
        <v>401</v>
      </c>
      <c r="D115" s="21" t="s">
        <v>1404</v>
      </c>
      <c r="E115" s="21" t="s">
        <v>1255</v>
      </c>
      <c r="F115" s="21" t="s">
        <v>1660</v>
      </c>
      <c r="G115" s="21" t="s">
        <v>1661</v>
      </c>
      <c r="H115" s="21" t="s">
        <v>1314</v>
      </c>
      <c r="I115" s="21" t="s">
        <v>1399</v>
      </c>
      <c r="J115" s="21" t="s">
        <v>1625</v>
      </c>
      <c r="K115" s="22" t="s">
        <v>1662</v>
      </c>
      <c r="L115" s="21" t="s">
        <v>1368</v>
      </c>
      <c r="M115" s="21"/>
    </row>
    <row r="116" spans="1:13" ht="15" hidden="1" customHeight="1" x14ac:dyDescent="0.25">
      <c r="A116" s="21" t="s">
        <v>1663</v>
      </c>
      <c r="B116" s="22" t="s">
        <v>1528</v>
      </c>
      <c r="C116" s="22" t="s">
        <v>402</v>
      </c>
      <c r="D116" s="21" t="s">
        <v>1404</v>
      </c>
      <c r="E116" s="21" t="s">
        <v>1254</v>
      </c>
      <c r="F116" s="21" t="s">
        <v>1443</v>
      </c>
      <c r="G116" s="21" t="s">
        <v>1664</v>
      </c>
      <c r="H116" s="21" t="s">
        <v>1314</v>
      </c>
      <c r="I116" s="21" t="s">
        <v>1399</v>
      </c>
      <c r="J116" s="21" t="s">
        <v>1625</v>
      </c>
      <c r="K116" s="22" t="s">
        <v>1665</v>
      </c>
      <c r="L116" s="21" t="s">
        <v>1368</v>
      </c>
      <c r="M116" s="21"/>
    </row>
    <row r="117" spans="1:13" ht="15" hidden="1" customHeight="1" x14ac:dyDescent="0.25">
      <c r="A117" s="21" t="s">
        <v>1666</v>
      </c>
      <c r="B117" s="22" t="s">
        <v>1531</v>
      </c>
      <c r="C117" s="22" t="s">
        <v>403</v>
      </c>
      <c r="D117" s="21" t="s">
        <v>1404</v>
      </c>
      <c r="E117" s="21" t="s">
        <v>1246</v>
      </c>
      <c r="F117" s="21" t="s">
        <v>1246</v>
      </c>
      <c r="G117" s="21"/>
      <c r="H117" s="21" t="s">
        <v>1314</v>
      </c>
      <c r="I117" s="21" t="s">
        <v>1667</v>
      </c>
      <c r="J117" s="21" t="s">
        <v>1579</v>
      </c>
      <c r="K117" s="22" t="s">
        <v>1668</v>
      </c>
      <c r="L117" s="21" t="s">
        <v>1641</v>
      </c>
      <c r="M117" s="21"/>
    </row>
    <row r="118" spans="1:13" ht="15" hidden="1" customHeight="1" x14ac:dyDescent="0.25">
      <c r="A118" s="21" t="s">
        <v>1669</v>
      </c>
      <c r="B118" s="22" t="s">
        <v>1536</v>
      </c>
      <c r="C118" s="22" t="s">
        <v>404</v>
      </c>
      <c r="D118" s="21" t="s">
        <v>1404</v>
      </c>
      <c r="E118" s="21" t="s">
        <v>1265</v>
      </c>
      <c r="F118" s="21" t="s">
        <v>1265</v>
      </c>
      <c r="G118" s="21" t="s">
        <v>1670</v>
      </c>
      <c r="H118" s="21" t="s">
        <v>1314</v>
      </c>
      <c r="I118" s="21" t="s">
        <v>1667</v>
      </c>
      <c r="J118" s="21" t="s">
        <v>1579</v>
      </c>
      <c r="K118" s="22" t="s">
        <v>1671</v>
      </c>
      <c r="L118" s="21" t="s">
        <v>1641</v>
      </c>
      <c r="M118" s="21"/>
    </row>
    <row r="119" spans="1:13" ht="15" hidden="1" customHeight="1" x14ac:dyDescent="0.25">
      <c r="A119" s="21" t="s">
        <v>1672</v>
      </c>
      <c r="B119" s="22" t="s">
        <v>1540</v>
      </c>
      <c r="C119" s="22" t="s">
        <v>405</v>
      </c>
      <c r="D119" s="21" t="s">
        <v>1404</v>
      </c>
      <c r="E119" s="21" t="s">
        <v>1673</v>
      </c>
      <c r="F119" s="21" t="s">
        <v>1674</v>
      </c>
      <c r="G119" s="21"/>
      <c r="H119" s="21" t="s">
        <v>1314</v>
      </c>
      <c r="I119" s="21" t="s">
        <v>1422</v>
      </c>
      <c r="J119" s="21" t="s">
        <v>1408</v>
      </c>
      <c r="K119" s="22" t="s">
        <v>1675</v>
      </c>
      <c r="L119" s="21" t="s">
        <v>1676</v>
      </c>
      <c r="M119" s="21"/>
    </row>
    <row r="120" spans="1:13" ht="15" hidden="1" customHeight="1" x14ac:dyDescent="0.25">
      <c r="A120" s="21" t="s">
        <v>1677</v>
      </c>
      <c r="B120" s="22" t="s">
        <v>1544</v>
      </c>
      <c r="C120" s="22" t="s">
        <v>406</v>
      </c>
      <c r="D120" s="21" t="s">
        <v>1404</v>
      </c>
      <c r="E120" s="21" t="s">
        <v>1263</v>
      </c>
      <c r="F120" s="21" t="s">
        <v>1678</v>
      </c>
      <c r="G120" s="21"/>
      <c r="H120" s="21" t="s">
        <v>1314</v>
      </c>
      <c r="I120" s="21" t="s">
        <v>1422</v>
      </c>
      <c r="J120" s="21" t="s">
        <v>1408</v>
      </c>
      <c r="K120" s="22" t="s">
        <v>1679</v>
      </c>
      <c r="L120" s="21" t="s">
        <v>1676</v>
      </c>
      <c r="M120" s="21"/>
    </row>
    <row r="121" spans="1:13" ht="15" hidden="1" customHeight="1" x14ac:dyDescent="0.25">
      <c r="A121" s="21" t="s">
        <v>1680</v>
      </c>
      <c r="B121" s="22" t="s">
        <v>1547</v>
      </c>
      <c r="C121" s="22" t="s">
        <v>407</v>
      </c>
      <c r="D121" s="21" t="s">
        <v>1404</v>
      </c>
      <c r="E121" s="21" t="s">
        <v>1230</v>
      </c>
      <c r="F121" s="21" t="s">
        <v>1681</v>
      </c>
      <c r="G121" s="21" t="s">
        <v>1507</v>
      </c>
      <c r="H121" s="21" t="s">
        <v>1314</v>
      </c>
      <c r="I121" s="21" t="s">
        <v>1422</v>
      </c>
      <c r="J121" s="21" t="s">
        <v>1408</v>
      </c>
      <c r="K121" s="22" t="s">
        <v>1682</v>
      </c>
      <c r="L121" s="21" t="s">
        <v>1676</v>
      </c>
      <c r="M121" s="21"/>
    </row>
    <row r="122" spans="1:13" ht="15" hidden="1" customHeight="1" x14ac:dyDescent="0.25">
      <c r="A122" s="21" t="s">
        <v>1683</v>
      </c>
      <c r="B122" s="22" t="s">
        <v>1550</v>
      </c>
      <c r="C122" s="22" t="s">
        <v>408</v>
      </c>
      <c r="D122" s="21" t="s">
        <v>1404</v>
      </c>
      <c r="E122" s="21" t="s">
        <v>1232</v>
      </c>
      <c r="F122" s="21" t="s">
        <v>1476</v>
      </c>
      <c r="G122" s="21"/>
      <c r="H122" s="21" t="s">
        <v>1314</v>
      </c>
      <c r="I122" s="21" t="s">
        <v>1422</v>
      </c>
      <c r="J122" s="21" t="s">
        <v>1408</v>
      </c>
      <c r="K122" s="22" t="s">
        <v>1684</v>
      </c>
      <c r="L122" s="21" t="s">
        <v>1676</v>
      </c>
      <c r="M122" s="21"/>
    </row>
    <row r="123" spans="1:13" ht="15" hidden="1" customHeight="1" x14ac:dyDescent="0.25">
      <c r="A123" s="21" t="s">
        <v>1685</v>
      </c>
      <c r="B123" s="22" t="s">
        <v>1553</v>
      </c>
      <c r="C123" s="22" t="s">
        <v>409</v>
      </c>
      <c r="D123" s="21" t="s">
        <v>1404</v>
      </c>
      <c r="E123" s="21" t="s">
        <v>1234</v>
      </c>
      <c r="F123" s="21" t="s">
        <v>1588</v>
      </c>
      <c r="G123" s="21"/>
      <c r="H123" s="21" t="s">
        <v>1314</v>
      </c>
      <c r="I123" s="21" t="s">
        <v>1422</v>
      </c>
      <c r="J123" s="21" t="s">
        <v>1408</v>
      </c>
      <c r="K123" s="22" t="s">
        <v>1686</v>
      </c>
      <c r="L123" s="21" t="s">
        <v>1676</v>
      </c>
      <c r="M123" s="21"/>
    </row>
    <row r="124" spans="1:13" ht="15" hidden="1" customHeight="1" x14ac:dyDescent="0.25">
      <c r="A124" s="21" t="s">
        <v>1687</v>
      </c>
      <c r="B124" s="22" t="s">
        <v>1556</v>
      </c>
      <c r="C124" s="22" t="s">
        <v>410</v>
      </c>
      <c r="D124" s="21" t="s">
        <v>1404</v>
      </c>
      <c r="E124" s="21" t="s">
        <v>1234</v>
      </c>
      <c r="F124" s="21" t="s">
        <v>1588</v>
      </c>
      <c r="G124" s="21"/>
      <c r="H124" s="21" t="s">
        <v>1314</v>
      </c>
      <c r="I124" s="21" t="s">
        <v>1422</v>
      </c>
      <c r="J124" s="21" t="s">
        <v>1408</v>
      </c>
      <c r="K124" s="22" t="s">
        <v>1688</v>
      </c>
      <c r="L124" s="21" t="s">
        <v>1676</v>
      </c>
      <c r="M124" s="21"/>
    </row>
    <row r="125" spans="1:13" ht="15" hidden="1" customHeight="1" x14ac:dyDescent="0.25">
      <c r="A125" s="21" t="s">
        <v>1689</v>
      </c>
      <c r="B125" s="22" t="s">
        <v>1557</v>
      </c>
      <c r="C125" s="22" t="s">
        <v>411</v>
      </c>
      <c r="D125" s="21" t="s">
        <v>1404</v>
      </c>
      <c r="E125" s="21" t="s">
        <v>1258</v>
      </c>
      <c r="F125" s="21" t="s">
        <v>1690</v>
      </c>
      <c r="G125" s="21" t="s">
        <v>1313</v>
      </c>
      <c r="H125" s="21" t="s">
        <v>1314</v>
      </c>
      <c r="I125" s="21" t="s">
        <v>1422</v>
      </c>
      <c r="J125" s="21" t="s">
        <v>1408</v>
      </c>
      <c r="K125" s="22" t="s">
        <v>1691</v>
      </c>
      <c r="L125" s="21" t="s">
        <v>1676</v>
      </c>
      <c r="M125" s="21"/>
    </row>
    <row r="126" spans="1:13" ht="15" hidden="1" customHeight="1" x14ac:dyDescent="0.25">
      <c r="A126" s="21" t="s">
        <v>1692</v>
      </c>
      <c r="B126" s="22" t="s">
        <v>1559</v>
      </c>
      <c r="C126" s="22" t="s">
        <v>412</v>
      </c>
      <c r="D126" s="21" t="s">
        <v>1404</v>
      </c>
      <c r="E126" s="21" t="s">
        <v>1199</v>
      </c>
      <c r="F126" s="21" t="s">
        <v>1693</v>
      </c>
      <c r="G126" s="21" t="s">
        <v>1694</v>
      </c>
      <c r="H126" s="21" t="s">
        <v>1695</v>
      </c>
      <c r="I126" s="21" t="s">
        <v>1417</v>
      </c>
      <c r="J126" s="21" t="s">
        <v>1418</v>
      </c>
      <c r="K126" s="22" t="s">
        <v>1696</v>
      </c>
      <c r="L126" s="21" t="s">
        <v>1431</v>
      </c>
      <c r="M126" s="21"/>
    </row>
    <row r="127" spans="1:13" ht="15" hidden="1" customHeight="1" x14ac:dyDescent="0.25">
      <c r="A127" s="21" t="s">
        <v>1697</v>
      </c>
      <c r="B127" s="22" t="s">
        <v>1560</v>
      </c>
      <c r="C127" s="22" t="s">
        <v>413</v>
      </c>
      <c r="D127" s="21" t="s">
        <v>1404</v>
      </c>
      <c r="E127" s="21" t="s">
        <v>1252</v>
      </c>
      <c r="F127" s="21" t="s">
        <v>1698</v>
      </c>
      <c r="G127" s="21" t="s">
        <v>1507</v>
      </c>
      <c r="H127" s="21" t="s">
        <v>1695</v>
      </c>
      <c r="I127" s="21" t="s">
        <v>1417</v>
      </c>
      <c r="J127" s="21" t="s">
        <v>1418</v>
      </c>
      <c r="K127" s="22" t="s">
        <v>1699</v>
      </c>
      <c r="L127" s="21" t="s">
        <v>1431</v>
      </c>
      <c r="M127" s="21"/>
    </row>
    <row r="128" spans="1:13" ht="15" hidden="1" customHeight="1" x14ac:dyDescent="0.25">
      <c r="A128" s="21" t="s">
        <v>1700</v>
      </c>
      <c r="B128" s="22" t="s">
        <v>1564</v>
      </c>
      <c r="C128" s="22" t="s">
        <v>414</v>
      </c>
      <c r="D128" s="21" t="s">
        <v>1404</v>
      </c>
      <c r="E128" s="21" t="s">
        <v>1265</v>
      </c>
      <c r="F128" s="21" t="s">
        <v>1265</v>
      </c>
      <c r="G128" s="21" t="s">
        <v>1701</v>
      </c>
      <c r="H128" s="21" t="s">
        <v>1314</v>
      </c>
      <c r="I128" s="21" t="s">
        <v>1417</v>
      </c>
      <c r="J128" s="21" t="s">
        <v>1702</v>
      </c>
      <c r="K128" s="22" t="s">
        <v>1703</v>
      </c>
      <c r="L128" s="21" t="s">
        <v>1431</v>
      </c>
      <c r="M128" s="21"/>
    </row>
    <row r="129" spans="1:13" ht="15" hidden="1" customHeight="1" x14ac:dyDescent="0.25">
      <c r="A129" s="21" t="s">
        <v>1704</v>
      </c>
      <c r="B129" s="22" t="s">
        <v>1565</v>
      </c>
      <c r="C129" s="22" t="s">
        <v>415</v>
      </c>
      <c r="D129" s="21" t="s">
        <v>1404</v>
      </c>
      <c r="E129" s="21" t="s">
        <v>1246</v>
      </c>
      <c r="F129" s="21" t="s">
        <v>1246</v>
      </c>
      <c r="G129" s="21" t="s">
        <v>1643</v>
      </c>
      <c r="H129" s="21" t="s">
        <v>1314</v>
      </c>
      <c r="I129" s="21" t="s">
        <v>1422</v>
      </c>
      <c r="J129" s="21" t="s">
        <v>1534</v>
      </c>
      <c r="K129" s="22" t="s">
        <v>1705</v>
      </c>
      <c r="L129" s="21" t="s">
        <v>1706</v>
      </c>
      <c r="M129" s="21"/>
    </row>
    <row r="130" spans="1:13" ht="15" hidden="1" customHeight="1" x14ac:dyDescent="0.25">
      <c r="A130" s="21" t="s">
        <v>1707</v>
      </c>
      <c r="B130" s="22" t="s">
        <v>1570</v>
      </c>
      <c r="C130" s="22" t="s">
        <v>1708</v>
      </c>
      <c r="D130" s="21" t="s">
        <v>1404</v>
      </c>
      <c r="E130" s="21" t="s">
        <v>1247</v>
      </c>
      <c r="F130" s="21" t="s">
        <v>1246</v>
      </c>
      <c r="G130" s="21" t="s">
        <v>1643</v>
      </c>
      <c r="H130" s="21" t="s">
        <v>1314</v>
      </c>
      <c r="I130" s="21" t="s">
        <v>1417</v>
      </c>
      <c r="J130" s="21" t="s">
        <v>1515</v>
      </c>
      <c r="K130" s="22" t="s">
        <v>1709</v>
      </c>
      <c r="L130" s="21" t="s">
        <v>1706</v>
      </c>
      <c r="M130" s="21"/>
    </row>
    <row r="131" spans="1:13" ht="15" hidden="1" customHeight="1" x14ac:dyDescent="0.25">
      <c r="A131" s="21" t="s">
        <v>1710</v>
      </c>
      <c r="B131" s="22" t="s">
        <v>1573</v>
      </c>
      <c r="C131" s="22" t="s">
        <v>417</v>
      </c>
      <c r="D131" s="21" t="s">
        <v>1398</v>
      </c>
      <c r="E131" s="21" t="s">
        <v>1246</v>
      </c>
      <c r="F131" s="21" t="s">
        <v>1246</v>
      </c>
      <c r="G131" s="21" t="s">
        <v>1246</v>
      </c>
      <c r="H131" s="21" t="s">
        <v>1314</v>
      </c>
      <c r="I131" s="21" t="s">
        <v>1417</v>
      </c>
      <c r="J131" s="21" t="s">
        <v>1592</v>
      </c>
      <c r="K131" s="22" t="s">
        <v>1711</v>
      </c>
      <c r="L131" s="21" t="s">
        <v>1706</v>
      </c>
      <c r="M131" s="21"/>
    </row>
    <row r="132" spans="1:13" ht="15" hidden="1" customHeight="1" x14ac:dyDescent="0.25">
      <c r="A132" s="21" t="s">
        <v>1712</v>
      </c>
      <c r="B132" s="22" t="s">
        <v>1577</v>
      </c>
      <c r="C132" s="22" t="s">
        <v>418</v>
      </c>
      <c r="D132" s="21" t="s">
        <v>1404</v>
      </c>
      <c r="E132" s="21" t="s">
        <v>1216</v>
      </c>
      <c r="F132" s="21" t="s">
        <v>1537</v>
      </c>
      <c r="G132" s="21" t="s">
        <v>1713</v>
      </c>
      <c r="H132" s="21" t="s">
        <v>1286</v>
      </c>
      <c r="I132" s="21" t="s">
        <v>1417</v>
      </c>
      <c r="J132" s="21" t="s">
        <v>1515</v>
      </c>
      <c r="K132" s="22" t="s">
        <v>1714</v>
      </c>
      <c r="L132" s="21" t="s">
        <v>1706</v>
      </c>
      <c r="M132" s="21"/>
    </row>
    <row r="133" spans="1:13" ht="15" hidden="1" customHeight="1" x14ac:dyDescent="0.25">
      <c r="A133" s="21" t="s">
        <v>1715</v>
      </c>
      <c r="B133" s="22" t="s">
        <v>1581</v>
      </c>
      <c r="C133" s="22" t="s">
        <v>419</v>
      </c>
      <c r="D133" s="21" t="s">
        <v>1404</v>
      </c>
      <c r="E133" s="21" t="s">
        <v>1216</v>
      </c>
      <c r="F133" s="21" t="s">
        <v>1537</v>
      </c>
      <c r="G133" s="21" t="s">
        <v>1716</v>
      </c>
      <c r="H133" s="21" t="s">
        <v>1286</v>
      </c>
      <c r="I133" s="21" t="s">
        <v>1417</v>
      </c>
      <c r="J133" s="21" t="s">
        <v>1515</v>
      </c>
      <c r="K133" s="22" t="s">
        <v>1717</v>
      </c>
      <c r="L133" s="21" t="s">
        <v>1706</v>
      </c>
      <c r="M133" s="21"/>
    </row>
    <row r="134" spans="1:13" ht="15" hidden="1" customHeight="1" x14ac:dyDescent="0.25">
      <c r="A134" s="21" t="s">
        <v>1718</v>
      </c>
      <c r="B134" s="22" t="s">
        <v>1584</v>
      </c>
      <c r="C134" s="22" t="s">
        <v>420</v>
      </c>
      <c r="D134" s="21" t="s">
        <v>1398</v>
      </c>
      <c r="E134" s="21" t="s">
        <v>1208</v>
      </c>
      <c r="F134" s="21" t="s">
        <v>1208</v>
      </c>
      <c r="G134" s="21" t="s">
        <v>1719</v>
      </c>
      <c r="H134" s="21" t="s">
        <v>1720</v>
      </c>
      <c r="I134" s="21" t="s">
        <v>1422</v>
      </c>
      <c r="J134" s="21" t="s">
        <v>1423</v>
      </c>
      <c r="K134" s="22" t="s">
        <v>1721</v>
      </c>
      <c r="L134" s="21" t="s">
        <v>1706</v>
      </c>
      <c r="M134" s="21"/>
    </row>
    <row r="135" spans="1:13" ht="15" hidden="1" customHeight="1" x14ac:dyDescent="0.25">
      <c r="A135" s="21" t="s">
        <v>1722</v>
      </c>
      <c r="B135" s="22" t="s">
        <v>1587</v>
      </c>
      <c r="C135" s="22" t="s">
        <v>421</v>
      </c>
      <c r="D135" s="21" t="s">
        <v>1404</v>
      </c>
      <c r="E135" s="21" t="s">
        <v>1210</v>
      </c>
      <c r="F135" s="21" t="s">
        <v>1210</v>
      </c>
      <c r="G135" s="21" t="s">
        <v>1723</v>
      </c>
      <c r="H135" s="21" t="s">
        <v>1314</v>
      </c>
      <c r="I135" s="21" t="s">
        <v>1417</v>
      </c>
      <c r="J135" s="21" t="s">
        <v>1515</v>
      </c>
      <c r="K135" s="22" t="s">
        <v>1724</v>
      </c>
      <c r="L135" s="21" t="s">
        <v>1706</v>
      </c>
      <c r="M135" s="21"/>
    </row>
    <row r="136" spans="1:13" ht="15" hidden="1" customHeight="1" x14ac:dyDescent="0.25">
      <c r="A136" s="21" t="s">
        <v>1725</v>
      </c>
      <c r="B136" s="22" t="s">
        <v>1282</v>
      </c>
      <c r="C136" s="22" t="s">
        <v>422</v>
      </c>
      <c r="D136" s="21" t="s">
        <v>125</v>
      </c>
      <c r="E136" s="21" t="s">
        <v>1227</v>
      </c>
      <c r="F136" s="21" t="s">
        <v>1227</v>
      </c>
      <c r="G136" s="21" t="s">
        <v>1726</v>
      </c>
      <c r="H136" s="21" t="s">
        <v>1314</v>
      </c>
      <c r="I136" s="21" t="s">
        <v>1727</v>
      </c>
      <c r="J136" s="21" t="s">
        <v>1728</v>
      </c>
      <c r="K136" s="22" t="s">
        <v>1729</v>
      </c>
      <c r="L136" s="21" t="s">
        <v>1290</v>
      </c>
      <c r="M136" s="21"/>
    </row>
    <row r="137" spans="1:13" ht="15" hidden="1" customHeight="1" x14ac:dyDescent="0.25">
      <c r="A137" s="21" t="s">
        <v>1730</v>
      </c>
      <c r="B137" s="22" t="s">
        <v>1292</v>
      </c>
      <c r="C137" s="22" t="s">
        <v>424</v>
      </c>
      <c r="D137" s="21" t="s">
        <v>125</v>
      </c>
      <c r="E137" s="21" t="s">
        <v>1227</v>
      </c>
      <c r="F137" s="21" t="s">
        <v>1227</v>
      </c>
      <c r="G137" s="21"/>
      <c r="H137" s="21" t="s">
        <v>1314</v>
      </c>
      <c r="I137" s="21" t="s">
        <v>1727</v>
      </c>
      <c r="J137" s="21" t="s">
        <v>1731</v>
      </c>
      <c r="K137" s="22" t="s">
        <v>1732</v>
      </c>
      <c r="L137" s="21" t="s">
        <v>1733</v>
      </c>
      <c r="M137" s="21"/>
    </row>
    <row r="138" spans="1:13" ht="15" hidden="1" customHeight="1" x14ac:dyDescent="0.25">
      <c r="A138" s="21" t="s">
        <v>1734</v>
      </c>
      <c r="B138" s="22" t="s">
        <v>1297</v>
      </c>
      <c r="C138" s="22" t="s">
        <v>425</v>
      </c>
      <c r="D138" s="21" t="s">
        <v>125</v>
      </c>
      <c r="E138" s="21" t="s">
        <v>1250</v>
      </c>
      <c r="F138" s="21"/>
      <c r="G138" s="21"/>
      <c r="H138" s="21" t="s">
        <v>1314</v>
      </c>
      <c r="I138" s="21" t="s">
        <v>1735</v>
      </c>
      <c r="J138" s="21" t="s">
        <v>1736</v>
      </c>
      <c r="K138" s="22" t="s">
        <v>1737</v>
      </c>
      <c r="L138" s="21" t="s">
        <v>1311</v>
      </c>
      <c r="M138" s="21"/>
    </row>
    <row r="139" spans="1:13" ht="15" hidden="1" customHeight="1" x14ac:dyDescent="0.25">
      <c r="A139" s="21" t="s">
        <v>1738</v>
      </c>
      <c r="B139" s="22" t="s">
        <v>1300</v>
      </c>
      <c r="C139" s="22" t="s">
        <v>426</v>
      </c>
      <c r="D139" s="21" t="s">
        <v>125</v>
      </c>
      <c r="E139" s="21" t="s">
        <v>1235</v>
      </c>
      <c r="F139" s="21" t="s">
        <v>1206</v>
      </c>
      <c r="G139" s="21" t="s">
        <v>1739</v>
      </c>
      <c r="H139" s="21" t="s">
        <v>1314</v>
      </c>
      <c r="I139" s="21" t="s">
        <v>1727</v>
      </c>
      <c r="J139" s="21" t="s">
        <v>1740</v>
      </c>
      <c r="K139" s="22" t="s">
        <v>1741</v>
      </c>
      <c r="L139" s="21" t="s">
        <v>1446</v>
      </c>
      <c r="M139" s="21"/>
    </row>
    <row r="140" spans="1:13" ht="15" hidden="1" customHeight="1" x14ac:dyDescent="0.25">
      <c r="A140" s="21" t="s">
        <v>1742</v>
      </c>
      <c r="B140" s="22" t="s">
        <v>1303</v>
      </c>
      <c r="C140" s="22" t="s">
        <v>427</v>
      </c>
      <c r="D140" s="21" t="s">
        <v>125</v>
      </c>
      <c r="E140" s="21" t="s">
        <v>1237</v>
      </c>
      <c r="F140" s="21" t="s">
        <v>1488</v>
      </c>
      <c r="G140" s="21" t="s">
        <v>1489</v>
      </c>
      <c r="H140" s="21" t="s">
        <v>1314</v>
      </c>
      <c r="I140" s="21" t="s">
        <v>1727</v>
      </c>
      <c r="J140" s="21" t="s">
        <v>1743</v>
      </c>
      <c r="K140" s="22" t="s">
        <v>1744</v>
      </c>
      <c r="L140" s="21" t="s">
        <v>1446</v>
      </c>
      <c r="M140" s="21"/>
    </row>
    <row r="141" spans="1:13" ht="15" hidden="1" customHeight="1" x14ac:dyDescent="0.25">
      <c r="A141" s="21" t="s">
        <v>1745</v>
      </c>
      <c r="B141" s="22" t="s">
        <v>1306</v>
      </c>
      <c r="C141" s="22"/>
      <c r="D141" s="21" t="s">
        <v>125</v>
      </c>
      <c r="E141" s="21"/>
      <c r="F141" s="21"/>
      <c r="G141" s="21"/>
      <c r="H141" s="21"/>
      <c r="I141" s="21"/>
      <c r="J141" s="21"/>
      <c r="K141" s="22"/>
      <c r="L141" s="21"/>
      <c r="M141" s="21"/>
    </row>
    <row r="142" spans="1:13" ht="15" hidden="1" customHeight="1" x14ac:dyDescent="0.25">
      <c r="A142" s="21" t="s">
        <v>1746</v>
      </c>
      <c r="B142" s="22" t="s">
        <v>1312</v>
      </c>
      <c r="C142" s="22" t="s">
        <v>428</v>
      </c>
      <c r="D142" s="21" t="s">
        <v>125</v>
      </c>
      <c r="E142" s="21" t="s">
        <v>1234</v>
      </c>
      <c r="F142" s="21" t="s">
        <v>1588</v>
      </c>
      <c r="G142" s="21" t="s">
        <v>1313</v>
      </c>
      <c r="H142" s="21" t="s">
        <v>1314</v>
      </c>
      <c r="I142" s="21" t="s">
        <v>1727</v>
      </c>
      <c r="J142" s="21" t="s">
        <v>1747</v>
      </c>
      <c r="K142" s="22" t="s">
        <v>1748</v>
      </c>
      <c r="L142" s="21" t="s">
        <v>1543</v>
      </c>
      <c r="M142" s="21"/>
    </row>
    <row r="143" spans="1:13" ht="15" hidden="1" customHeight="1" x14ac:dyDescent="0.25">
      <c r="A143" s="21" t="s">
        <v>1749</v>
      </c>
      <c r="B143" s="22" t="s">
        <v>1320</v>
      </c>
      <c r="C143" s="22" t="s">
        <v>429</v>
      </c>
      <c r="D143" s="21" t="s">
        <v>125</v>
      </c>
      <c r="E143" s="21" t="s">
        <v>1238</v>
      </c>
      <c r="F143" s="21" t="s">
        <v>1232</v>
      </c>
      <c r="G143" s="21" t="s">
        <v>1750</v>
      </c>
      <c r="H143" s="21" t="s">
        <v>1286</v>
      </c>
      <c r="I143" s="21" t="s">
        <v>1735</v>
      </c>
      <c r="J143" s="21" t="s">
        <v>1728</v>
      </c>
      <c r="K143" s="22" t="s">
        <v>1751</v>
      </c>
      <c r="L143" s="21" t="s">
        <v>1676</v>
      </c>
      <c r="M143" s="21"/>
    </row>
    <row r="144" spans="1:13" ht="15" hidden="1" customHeight="1" x14ac:dyDescent="0.25">
      <c r="A144" s="21" t="s">
        <v>1752</v>
      </c>
      <c r="B144" s="22" t="s">
        <v>1323</v>
      </c>
      <c r="C144" s="22" t="s">
        <v>430</v>
      </c>
      <c r="D144" s="21" t="s">
        <v>125</v>
      </c>
      <c r="E144" s="21" t="s">
        <v>1237</v>
      </c>
      <c r="F144" s="21" t="s">
        <v>1214</v>
      </c>
      <c r="G144" s="21" t="s">
        <v>1753</v>
      </c>
      <c r="H144" s="21" t="s">
        <v>1314</v>
      </c>
      <c r="I144" s="21" t="s">
        <v>1727</v>
      </c>
      <c r="J144" s="21" t="s">
        <v>1743</v>
      </c>
      <c r="K144" s="22" t="s">
        <v>1754</v>
      </c>
      <c r="L144" s="21" t="s">
        <v>1451</v>
      </c>
      <c r="M144" s="21"/>
    </row>
    <row r="145" spans="1:13" ht="15" hidden="1" customHeight="1" x14ac:dyDescent="0.25">
      <c r="A145" s="21" t="s">
        <v>1755</v>
      </c>
      <c r="B145" s="22" t="s">
        <v>1326</v>
      </c>
      <c r="C145" s="22" t="s">
        <v>431</v>
      </c>
      <c r="D145" s="21" t="s">
        <v>125</v>
      </c>
      <c r="E145" s="21" t="s">
        <v>1234</v>
      </c>
      <c r="F145" s="21" t="s">
        <v>1588</v>
      </c>
      <c r="G145" s="21" t="s">
        <v>1756</v>
      </c>
      <c r="H145" s="21" t="s">
        <v>1314</v>
      </c>
      <c r="I145" s="21" t="s">
        <v>1727</v>
      </c>
      <c r="J145" s="21" t="s">
        <v>1747</v>
      </c>
      <c r="K145" s="22" t="s">
        <v>1757</v>
      </c>
      <c r="L145" s="21" t="s">
        <v>1521</v>
      </c>
      <c r="M145" s="21"/>
    </row>
    <row r="146" spans="1:13" ht="15" hidden="1" customHeight="1" x14ac:dyDescent="0.25">
      <c r="A146" s="21" t="s">
        <v>1758</v>
      </c>
      <c r="B146" s="22" t="s">
        <v>1327</v>
      </c>
      <c r="C146" s="22"/>
      <c r="D146" s="21" t="s">
        <v>125</v>
      </c>
      <c r="E146" s="21"/>
      <c r="F146" s="21"/>
      <c r="G146" s="21"/>
      <c r="H146" s="21"/>
      <c r="I146" s="21"/>
      <c r="J146" s="21"/>
      <c r="K146" s="22"/>
      <c r="L146" s="21"/>
      <c r="M146" s="21"/>
    </row>
    <row r="147" spans="1:13" ht="15" hidden="1" customHeight="1" x14ac:dyDescent="0.25">
      <c r="A147" s="21" t="s">
        <v>1759</v>
      </c>
      <c r="B147" s="22" t="s">
        <v>1333</v>
      </c>
      <c r="C147" s="22" t="s">
        <v>127</v>
      </c>
      <c r="D147" s="21" t="s">
        <v>125</v>
      </c>
      <c r="E147" s="21" t="s">
        <v>1234</v>
      </c>
      <c r="F147" s="21" t="s">
        <v>1588</v>
      </c>
      <c r="G147" s="21" t="s">
        <v>1664</v>
      </c>
      <c r="H147" s="21" t="s">
        <v>1286</v>
      </c>
      <c r="I147" s="21" t="s">
        <v>1735</v>
      </c>
      <c r="J147" s="21" t="s">
        <v>1728</v>
      </c>
      <c r="K147" s="22" t="s">
        <v>126</v>
      </c>
      <c r="L147" s="21" t="s">
        <v>1676</v>
      </c>
      <c r="M147" s="21"/>
    </row>
    <row r="148" spans="1:13" ht="15" hidden="1" customHeight="1" x14ac:dyDescent="0.25">
      <c r="A148" s="21" t="s">
        <v>1760</v>
      </c>
      <c r="B148" s="22" t="s">
        <v>1334</v>
      </c>
      <c r="C148" s="22" t="s">
        <v>432</v>
      </c>
      <c r="D148" s="21" t="s">
        <v>125</v>
      </c>
      <c r="E148" s="21" t="s">
        <v>1234</v>
      </c>
      <c r="F148" s="21" t="s">
        <v>1588</v>
      </c>
      <c r="G148" s="21" t="s">
        <v>1761</v>
      </c>
      <c r="H148" s="21" t="s">
        <v>1286</v>
      </c>
      <c r="I148" s="21" t="s">
        <v>1735</v>
      </c>
      <c r="J148" s="21" t="s">
        <v>1728</v>
      </c>
      <c r="K148" s="22" t="s">
        <v>1762</v>
      </c>
      <c r="L148" s="21" t="s">
        <v>1676</v>
      </c>
      <c r="M148" s="21"/>
    </row>
    <row r="149" spans="1:13" ht="15" hidden="1" customHeight="1" x14ac:dyDescent="0.25">
      <c r="A149" s="21" t="s">
        <v>1763</v>
      </c>
      <c r="B149" s="22" t="s">
        <v>1335</v>
      </c>
      <c r="C149" s="22" t="s">
        <v>433</v>
      </c>
      <c r="D149" s="21" t="s">
        <v>125</v>
      </c>
      <c r="E149" s="21" t="s">
        <v>1234</v>
      </c>
      <c r="F149" s="21" t="s">
        <v>1588</v>
      </c>
      <c r="G149" s="21" t="s">
        <v>1764</v>
      </c>
      <c r="H149" s="21" t="s">
        <v>1314</v>
      </c>
      <c r="I149" s="21" t="s">
        <v>1735</v>
      </c>
      <c r="J149" s="21" t="s">
        <v>1743</v>
      </c>
      <c r="K149" s="22" t="s">
        <v>1765</v>
      </c>
      <c r="L149" s="21" t="s">
        <v>1521</v>
      </c>
      <c r="M149" s="21"/>
    </row>
    <row r="150" spans="1:13" ht="15" hidden="1" customHeight="1" x14ac:dyDescent="0.25">
      <c r="A150" s="21" t="s">
        <v>1766</v>
      </c>
      <c r="B150" s="22" t="s">
        <v>1336</v>
      </c>
      <c r="C150" s="22"/>
      <c r="D150" s="21" t="s">
        <v>125</v>
      </c>
      <c r="E150" s="21"/>
      <c r="F150" s="21"/>
      <c r="G150" s="21"/>
      <c r="H150" s="21"/>
      <c r="I150" s="21"/>
      <c r="J150" s="21"/>
      <c r="K150" s="22"/>
      <c r="L150" s="21"/>
      <c r="M150" s="21"/>
    </row>
    <row r="151" spans="1:13" ht="15" hidden="1" customHeight="1" x14ac:dyDescent="0.25">
      <c r="A151" s="21" t="s">
        <v>1767</v>
      </c>
      <c r="B151" s="22" t="s">
        <v>1337</v>
      </c>
      <c r="C151" s="22" t="s">
        <v>434</v>
      </c>
      <c r="D151" s="21" t="s">
        <v>125</v>
      </c>
      <c r="E151" s="21" t="s">
        <v>1234</v>
      </c>
      <c r="F151" s="21" t="s">
        <v>1588</v>
      </c>
      <c r="G151" s="21" t="s">
        <v>1768</v>
      </c>
      <c r="H151" s="21" t="s">
        <v>1314</v>
      </c>
      <c r="I151" s="21" t="s">
        <v>1727</v>
      </c>
      <c r="J151" s="21" t="s">
        <v>1743</v>
      </c>
      <c r="K151" s="22" t="s">
        <v>1769</v>
      </c>
      <c r="L151" s="21" t="s">
        <v>1344</v>
      </c>
      <c r="M151" s="21"/>
    </row>
    <row r="152" spans="1:13" ht="15" hidden="1" customHeight="1" x14ac:dyDescent="0.25">
      <c r="A152" s="21" t="s">
        <v>1770</v>
      </c>
      <c r="B152" s="22" t="s">
        <v>1340</v>
      </c>
      <c r="C152" s="22"/>
      <c r="D152" s="21" t="s">
        <v>125</v>
      </c>
      <c r="E152" s="21"/>
      <c r="F152" s="21"/>
      <c r="G152" s="21"/>
      <c r="H152" s="21"/>
      <c r="I152" s="21"/>
      <c r="J152" s="21"/>
      <c r="K152" s="22"/>
      <c r="L152" s="21"/>
      <c r="M152" s="21"/>
    </row>
    <row r="153" spans="1:13" ht="15" hidden="1" customHeight="1" x14ac:dyDescent="0.25">
      <c r="A153" s="21" t="s">
        <v>1771</v>
      </c>
      <c r="B153" s="22" t="s">
        <v>1341</v>
      </c>
      <c r="C153" s="22" t="s">
        <v>435</v>
      </c>
      <c r="D153" s="21" t="s">
        <v>125</v>
      </c>
      <c r="E153" s="21" t="s">
        <v>1234</v>
      </c>
      <c r="F153" s="21" t="s">
        <v>1588</v>
      </c>
      <c r="G153" s="21" t="s">
        <v>1664</v>
      </c>
      <c r="H153" s="21" t="s">
        <v>1314</v>
      </c>
      <c r="I153" s="21" t="s">
        <v>1735</v>
      </c>
      <c r="J153" s="21" t="s">
        <v>1740</v>
      </c>
      <c r="K153" s="22" t="s">
        <v>1772</v>
      </c>
      <c r="L153" s="21" t="s">
        <v>1446</v>
      </c>
      <c r="M153" s="21"/>
    </row>
    <row r="154" spans="1:13" ht="15" hidden="1" customHeight="1" x14ac:dyDescent="0.25">
      <c r="A154" s="21" t="s">
        <v>1773</v>
      </c>
      <c r="B154" s="22" t="s">
        <v>1345</v>
      </c>
      <c r="C154" s="22" t="s">
        <v>436</v>
      </c>
      <c r="D154" s="21" t="s">
        <v>125</v>
      </c>
      <c r="E154" s="21" t="s">
        <v>1214</v>
      </c>
      <c r="F154" s="21" t="s">
        <v>1488</v>
      </c>
      <c r="G154" s="21" t="s">
        <v>1774</v>
      </c>
      <c r="H154" s="21" t="s">
        <v>1314</v>
      </c>
      <c r="I154" s="21" t="s">
        <v>1775</v>
      </c>
      <c r="J154" s="21" t="s">
        <v>1776</v>
      </c>
      <c r="K154" s="22" t="s">
        <v>1777</v>
      </c>
      <c r="L154" s="21" t="s">
        <v>1344</v>
      </c>
      <c r="M154" s="21"/>
    </row>
    <row r="155" spans="1:13" ht="15" hidden="1" customHeight="1" x14ac:dyDescent="0.25">
      <c r="A155" s="21" t="s">
        <v>1778</v>
      </c>
      <c r="B155" s="22" t="s">
        <v>1348</v>
      </c>
      <c r="C155" s="22"/>
      <c r="D155" s="21" t="s">
        <v>125</v>
      </c>
      <c r="E155" s="21"/>
      <c r="F155" s="21"/>
      <c r="G155" s="21"/>
      <c r="H155" s="21"/>
      <c r="I155" s="21"/>
      <c r="J155" s="21"/>
      <c r="K155" s="22"/>
      <c r="L155" s="21"/>
      <c r="M155" s="21"/>
    </row>
    <row r="156" spans="1:13" ht="15" hidden="1" customHeight="1" x14ac:dyDescent="0.25">
      <c r="A156" s="21" t="s">
        <v>1779</v>
      </c>
      <c r="B156" s="22" t="s">
        <v>1351</v>
      </c>
      <c r="C156" s="22" t="s">
        <v>437</v>
      </c>
      <c r="D156" s="21" t="s">
        <v>125</v>
      </c>
      <c r="E156" s="21" t="s">
        <v>1229</v>
      </c>
      <c r="F156" s="21" t="s">
        <v>1780</v>
      </c>
      <c r="G156" s="21" t="s">
        <v>1781</v>
      </c>
      <c r="H156" s="21" t="s">
        <v>1314</v>
      </c>
      <c r="I156" s="21" t="s">
        <v>1735</v>
      </c>
      <c r="J156" s="21" t="s">
        <v>1747</v>
      </c>
      <c r="K156" s="22" t="s">
        <v>1782</v>
      </c>
      <c r="L156" s="21" t="s">
        <v>1543</v>
      </c>
      <c r="M156" s="21"/>
    </row>
    <row r="157" spans="1:13" ht="15" hidden="1" customHeight="1" x14ac:dyDescent="0.25">
      <c r="A157" s="21" t="s">
        <v>1783</v>
      </c>
      <c r="B157" s="22" t="s">
        <v>1354</v>
      </c>
      <c r="C157" s="22" t="s">
        <v>438</v>
      </c>
      <c r="D157" s="21" t="s">
        <v>125</v>
      </c>
      <c r="E157" s="21" t="s">
        <v>1227</v>
      </c>
      <c r="F157" s="21" t="s">
        <v>1227</v>
      </c>
      <c r="G157" s="21" t="s">
        <v>1784</v>
      </c>
      <c r="H157" s="21" t="s">
        <v>1314</v>
      </c>
      <c r="I157" s="21" t="s">
        <v>1735</v>
      </c>
      <c r="J157" s="21" t="s">
        <v>1728</v>
      </c>
      <c r="K157" s="22" t="s">
        <v>1785</v>
      </c>
      <c r="L157" s="21" t="s">
        <v>1368</v>
      </c>
      <c r="M157" s="21"/>
    </row>
    <row r="158" spans="1:13" ht="15" hidden="1" customHeight="1" x14ac:dyDescent="0.25">
      <c r="A158" s="21" t="s">
        <v>1786</v>
      </c>
      <c r="B158" s="22" t="s">
        <v>1355</v>
      </c>
      <c r="C158" s="22" t="s">
        <v>439</v>
      </c>
      <c r="D158" s="21" t="s">
        <v>125</v>
      </c>
      <c r="E158" s="21" t="s">
        <v>1234</v>
      </c>
      <c r="F158" s="21" t="s">
        <v>1588</v>
      </c>
      <c r="G158" s="21" t="s">
        <v>1784</v>
      </c>
      <c r="H158" s="21" t="s">
        <v>1314</v>
      </c>
      <c r="I158" s="21" t="s">
        <v>1727</v>
      </c>
      <c r="J158" s="21" t="s">
        <v>1728</v>
      </c>
      <c r="K158" s="22" t="s">
        <v>1787</v>
      </c>
      <c r="L158" s="21" t="s">
        <v>1368</v>
      </c>
      <c r="M158" s="21"/>
    </row>
    <row r="159" spans="1:13" ht="15" hidden="1" customHeight="1" x14ac:dyDescent="0.25">
      <c r="A159" s="21" t="s">
        <v>1788</v>
      </c>
      <c r="B159" s="22" t="s">
        <v>1356</v>
      </c>
      <c r="C159" s="22" t="s">
        <v>440</v>
      </c>
      <c r="D159" s="21" t="s">
        <v>125</v>
      </c>
      <c r="E159" s="21" t="s">
        <v>1234</v>
      </c>
      <c r="F159" s="21" t="s">
        <v>1227</v>
      </c>
      <c r="G159" s="21" t="s">
        <v>1784</v>
      </c>
      <c r="H159" s="21" t="s">
        <v>1314</v>
      </c>
      <c r="I159" s="21" t="s">
        <v>1727</v>
      </c>
      <c r="J159" s="21" t="s">
        <v>1728</v>
      </c>
      <c r="K159" s="22" t="s">
        <v>1789</v>
      </c>
      <c r="L159" s="21" t="s">
        <v>1368</v>
      </c>
      <c r="M159" s="21"/>
    </row>
    <row r="160" spans="1:13" ht="15" hidden="1" customHeight="1" x14ac:dyDescent="0.25">
      <c r="A160" s="21" t="s">
        <v>1790</v>
      </c>
      <c r="B160" s="22" t="s">
        <v>1359</v>
      </c>
      <c r="C160" s="22" t="s">
        <v>441</v>
      </c>
      <c r="D160" s="21" t="s">
        <v>125</v>
      </c>
      <c r="E160" s="21" t="s">
        <v>1234</v>
      </c>
      <c r="F160" s="21" t="s">
        <v>1781</v>
      </c>
      <c r="G160" s="21" t="s">
        <v>1791</v>
      </c>
      <c r="H160" s="21" t="s">
        <v>1314</v>
      </c>
      <c r="I160" s="21" t="s">
        <v>1735</v>
      </c>
      <c r="J160" s="21" t="s">
        <v>1728</v>
      </c>
      <c r="K160" s="22" t="s">
        <v>1792</v>
      </c>
      <c r="L160" s="21" t="s">
        <v>1676</v>
      </c>
      <c r="M160" s="21"/>
    </row>
    <row r="161" spans="1:13" ht="15" hidden="1" customHeight="1" x14ac:dyDescent="0.25">
      <c r="A161" s="21" t="s">
        <v>1793</v>
      </c>
      <c r="B161" s="22" t="s">
        <v>1360</v>
      </c>
      <c r="C161" s="22" t="s">
        <v>442</v>
      </c>
      <c r="D161" s="21" t="s">
        <v>125</v>
      </c>
      <c r="E161" s="21" t="s">
        <v>1238</v>
      </c>
      <c r="F161" s="21" t="s">
        <v>1232</v>
      </c>
      <c r="G161" s="21" t="s">
        <v>1794</v>
      </c>
      <c r="H161" s="21" t="s">
        <v>1314</v>
      </c>
      <c r="I161" s="21" t="s">
        <v>1735</v>
      </c>
      <c r="J161" s="21" t="s">
        <v>1747</v>
      </c>
      <c r="K161" s="22" t="s">
        <v>1795</v>
      </c>
      <c r="L161" s="21" t="s">
        <v>1676</v>
      </c>
      <c r="M161" s="21"/>
    </row>
    <row r="162" spans="1:13" ht="15" hidden="1" customHeight="1" x14ac:dyDescent="0.25">
      <c r="A162" s="21" t="s">
        <v>1796</v>
      </c>
      <c r="B162" s="22" t="s">
        <v>1361</v>
      </c>
      <c r="C162" s="22" t="s">
        <v>443</v>
      </c>
      <c r="D162" s="21" t="s">
        <v>125</v>
      </c>
      <c r="E162" s="21" t="s">
        <v>1234</v>
      </c>
      <c r="F162" s="21" t="s">
        <v>1588</v>
      </c>
      <c r="G162" s="21" t="s">
        <v>1726</v>
      </c>
      <c r="H162" s="21" t="s">
        <v>1314</v>
      </c>
      <c r="I162" s="21" t="s">
        <v>1735</v>
      </c>
      <c r="J162" s="21" t="s">
        <v>1731</v>
      </c>
      <c r="K162" s="22" t="s">
        <v>1797</v>
      </c>
      <c r="L162" s="21" t="s">
        <v>1676</v>
      </c>
      <c r="M162" s="21"/>
    </row>
    <row r="163" spans="1:13" ht="15" hidden="1" customHeight="1" x14ac:dyDescent="0.25">
      <c r="A163" s="21" t="s">
        <v>1798</v>
      </c>
      <c r="B163" s="22" t="s">
        <v>1362</v>
      </c>
      <c r="C163" s="22" t="s">
        <v>444</v>
      </c>
      <c r="D163" s="21" t="s">
        <v>125</v>
      </c>
      <c r="E163" s="21" t="s">
        <v>1234</v>
      </c>
      <c r="F163" s="21" t="s">
        <v>1588</v>
      </c>
      <c r="G163" s="21" t="s">
        <v>1799</v>
      </c>
      <c r="H163" s="21" t="s">
        <v>1314</v>
      </c>
      <c r="I163" s="21" t="s">
        <v>1735</v>
      </c>
      <c r="J163" s="21" t="s">
        <v>1731</v>
      </c>
      <c r="K163" s="22" t="s">
        <v>1800</v>
      </c>
      <c r="L163" s="21" t="s">
        <v>1676</v>
      </c>
      <c r="M163" s="21"/>
    </row>
    <row r="164" spans="1:13" ht="15" hidden="1" customHeight="1" x14ac:dyDescent="0.25">
      <c r="A164" s="21" t="s">
        <v>1801</v>
      </c>
      <c r="B164" s="22" t="s">
        <v>1363</v>
      </c>
      <c r="C164" s="22" t="s">
        <v>445</v>
      </c>
      <c r="D164" s="21" t="s">
        <v>125</v>
      </c>
      <c r="E164" s="21" t="s">
        <v>1234</v>
      </c>
      <c r="F164" s="21" t="s">
        <v>1588</v>
      </c>
      <c r="G164" s="21" t="s">
        <v>1802</v>
      </c>
      <c r="H164" s="21" t="s">
        <v>1314</v>
      </c>
      <c r="I164" s="21" t="s">
        <v>1735</v>
      </c>
      <c r="J164" s="21" t="s">
        <v>1731</v>
      </c>
      <c r="K164" s="22" t="s">
        <v>1803</v>
      </c>
      <c r="L164" s="21" t="s">
        <v>1676</v>
      </c>
      <c r="M164" s="21"/>
    </row>
    <row r="165" spans="1:13" ht="15" hidden="1" customHeight="1" x14ac:dyDescent="0.25">
      <c r="A165" s="21" t="s">
        <v>1804</v>
      </c>
      <c r="B165" s="22" t="s">
        <v>1364</v>
      </c>
      <c r="C165" s="22" t="s">
        <v>446</v>
      </c>
      <c r="D165" s="21" t="s">
        <v>125</v>
      </c>
      <c r="E165" s="21" t="s">
        <v>1234</v>
      </c>
      <c r="F165" s="21" t="s">
        <v>1588</v>
      </c>
      <c r="G165" s="21" t="s">
        <v>1805</v>
      </c>
      <c r="H165" s="21" t="s">
        <v>1314</v>
      </c>
      <c r="I165" s="21" t="s">
        <v>1735</v>
      </c>
      <c r="J165" s="21" t="s">
        <v>1747</v>
      </c>
      <c r="K165" s="22" t="s">
        <v>1806</v>
      </c>
      <c r="L165" s="21" t="s">
        <v>1676</v>
      </c>
      <c r="M165" s="21"/>
    </row>
    <row r="166" spans="1:13" ht="15" hidden="1" customHeight="1" x14ac:dyDescent="0.25">
      <c r="A166" s="21" t="s">
        <v>1807</v>
      </c>
      <c r="B166" s="22" t="s">
        <v>1365</v>
      </c>
      <c r="C166" s="22" t="s">
        <v>447</v>
      </c>
      <c r="D166" s="21" t="s">
        <v>125</v>
      </c>
      <c r="E166" s="21" t="s">
        <v>1234</v>
      </c>
      <c r="F166" s="21" t="s">
        <v>1588</v>
      </c>
      <c r="G166" s="21" t="s">
        <v>1808</v>
      </c>
      <c r="H166" s="21" t="s">
        <v>1314</v>
      </c>
      <c r="I166" s="21" t="s">
        <v>1735</v>
      </c>
      <c r="J166" s="21" t="s">
        <v>1747</v>
      </c>
      <c r="K166" s="22" t="s">
        <v>1809</v>
      </c>
      <c r="L166" s="21" t="s">
        <v>1676</v>
      </c>
      <c r="M166" s="21"/>
    </row>
    <row r="167" spans="1:13" ht="15" hidden="1" customHeight="1" x14ac:dyDescent="0.25">
      <c r="A167" s="21" t="s">
        <v>1810</v>
      </c>
      <c r="B167" s="22" t="s">
        <v>1369</v>
      </c>
      <c r="C167" s="22" t="s">
        <v>448</v>
      </c>
      <c r="D167" s="21" t="s">
        <v>125</v>
      </c>
      <c r="E167" s="21" t="s">
        <v>1237</v>
      </c>
      <c r="F167" s="21" t="s">
        <v>1488</v>
      </c>
      <c r="G167" s="21" t="s">
        <v>1774</v>
      </c>
      <c r="H167" s="21" t="s">
        <v>1314</v>
      </c>
      <c r="I167" s="21" t="s">
        <v>1735</v>
      </c>
      <c r="J167" s="21" t="s">
        <v>1811</v>
      </c>
      <c r="K167" s="22" t="s">
        <v>1812</v>
      </c>
      <c r="L167" s="21" t="s">
        <v>1676</v>
      </c>
      <c r="M167" s="21"/>
    </row>
    <row r="168" spans="1:13" ht="15" hidden="1" customHeight="1" x14ac:dyDescent="0.25">
      <c r="A168" s="21" t="s">
        <v>1813</v>
      </c>
      <c r="B168" s="22" t="s">
        <v>1282</v>
      </c>
      <c r="C168" s="22" t="s">
        <v>449</v>
      </c>
      <c r="D168" s="21" t="s">
        <v>1814</v>
      </c>
      <c r="E168" s="21" t="s">
        <v>1254</v>
      </c>
      <c r="F168" s="21" t="s">
        <v>1443</v>
      </c>
      <c r="G168" s="21" t="s">
        <v>1815</v>
      </c>
      <c r="H168" s="21" t="s">
        <v>1314</v>
      </c>
      <c r="I168" s="21" t="s">
        <v>1816</v>
      </c>
      <c r="J168" s="21" t="s">
        <v>1817</v>
      </c>
      <c r="K168" s="22" t="s">
        <v>1818</v>
      </c>
      <c r="L168" s="21" t="s">
        <v>1465</v>
      </c>
      <c r="M168" s="21" t="s">
        <v>1819</v>
      </c>
    </row>
    <row r="169" spans="1:13" ht="15" hidden="1" customHeight="1" x14ac:dyDescent="0.25">
      <c r="A169" s="21" t="s">
        <v>1820</v>
      </c>
      <c r="B169" s="22" t="s">
        <v>1292</v>
      </c>
      <c r="C169" s="22" t="s">
        <v>450</v>
      </c>
      <c r="D169" s="21" t="s">
        <v>1814</v>
      </c>
      <c r="E169" s="21" t="s">
        <v>1254</v>
      </c>
      <c r="F169" s="21" t="s">
        <v>1254</v>
      </c>
      <c r="G169" s="21"/>
      <c r="H169" s="21" t="s">
        <v>1821</v>
      </c>
      <c r="I169" s="21" t="s">
        <v>1822</v>
      </c>
      <c r="J169" s="21" t="s">
        <v>1823</v>
      </c>
      <c r="K169" s="22" t="s">
        <v>1824</v>
      </c>
      <c r="L169" s="21" t="s">
        <v>1706</v>
      </c>
      <c r="M169" s="21" t="s">
        <v>1825</v>
      </c>
    </row>
    <row r="170" spans="1:13" ht="15" hidden="1" customHeight="1" x14ac:dyDescent="0.25">
      <c r="A170" s="21" t="s">
        <v>1826</v>
      </c>
      <c r="B170" s="22" t="s">
        <v>1297</v>
      </c>
      <c r="C170" s="22" t="s">
        <v>451</v>
      </c>
      <c r="D170" s="21" t="s">
        <v>1814</v>
      </c>
      <c r="E170" s="21" t="s">
        <v>1254</v>
      </c>
      <c r="F170" s="21"/>
      <c r="G170" s="21"/>
      <c r="H170" s="21" t="s">
        <v>1827</v>
      </c>
      <c r="I170" s="21" t="s">
        <v>1735</v>
      </c>
      <c r="J170" s="21" t="s">
        <v>1828</v>
      </c>
      <c r="K170" s="22" t="s">
        <v>1829</v>
      </c>
      <c r="L170" s="21" t="s">
        <v>1402</v>
      </c>
      <c r="M170" s="21" t="s">
        <v>1830</v>
      </c>
    </row>
    <row r="171" spans="1:13" ht="15" hidden="1" customHeight="1" x14ac:dyDescent="0.25">
      <c r="A171" s="21" t="s">
        <v>1831</v>
      </c>
      <c r="B171" s="22" t="s">
        <v>1300</v>
      </c>
      <c r="C171" s="22" t="s">
        <v>452</v>
      </c>
      <c r="D171" s="21" t="s">
        <v>1814</v>
      </c>
      <c r="E171" s="21" t="s">
        <v>1254</v>
      </c>
      <c r="F171" s="21" t="s">
        <v>1443</v>
      </c>
      <c r="G171" s="21" t="s">
        <v>1832</v>
      </c>
      <c r="H171" s="21" t="s">
        <v>1314</v>
      </c>
      <c r="I171" s="21" t="s">
        <v>1816</v>
      </c>
      <c r="J171" s="21" t="s">
        <v>1833</v>
      </c>
      <c r="K171" s="22" t="s">
        <v>1834</v>
      </c>
      <c r="L171" s="21" t="s">
        <v>1465</v>
      </c>
      <c r="M171" s="21" t="s">
        <v>1819</v>
      </c>
    </row>
    <row r="172" spans="1:13" ht="15" hidden="1" customHeight="1" x14ac:dyDescent="0.25">
      <c r="A172" s="21" t="s">
        <v>1835</v>
      </c>
      <c r="B172" s="22" t="s">
        <v>1303</v>
      </c>
      <c r="C172" s="22" t="s">
        <v>453</v>
      </c>
      <c r="D172" s="21" t="s">
        <v>1814</v>
      </c>
      <c r="E172" s="21" t="s">
        <v>1254</v>
      </c>
      <c r="F172" s="21" t="s">
        <v>1443</v>
      </c>
      <c r="G172" s="21" t="s">
        <v>1832</v>
      </c>
      <c r="H172" s="21" t="s">
        <v>1314</v>
      </c>
      <c r="I172" s="21" t="s">
        <v>1816</v>
      </c>
      <c r="J172" s="21" t="s">
        <v>1817</v>
      </c>
      <c r="K172" s="22" t="s">
        <v>1836</v>
      </c>
      <c r="L172" s="21" t="s">
        <v>1465</v>
      </c>
      <c r="M172" s="21" t="s">
        <v>1819</v>
      </c>
    </row>
    <row r="173" spans="1:13" ht="15" hidden="1" customHeight="1" x14ac:dyDescent="0.25">
      <c r="A173" s="21" t="s">
        <v>1837</v>
      </c>
      <c r="B173" s="22" t="s">
        <v>1306</v>
      </c>
      <c r="C173" s="22" t="s">
        <v>454</v>
      </c>
      <c r="D173" s="21" t="s">
        <v>1814</v>
      </c>
      <c r="E173" s="21" t="s">
        <v>1258</v>
      </c>
      <c r="F173" s="21" t="s">
        <v>1636</v>
      </c>
      <c r="G173" s="21"/>
      <c r="H173" s="21" t="s">
        <v>1821</v>
      </c>
      <c r="I173" s="21" t="s">
        <v>1816</v>
      </c>
      <c r="J173" s="21" t="s">
        <v>1838</v>
      </c>
      <c r="K173" s="22" t="s">
        <v>1839</v>
      </c>
      <c r="L173" s="21" t="s">
        <v>1425</v>
      </c>
      <c r="M173" s="21" t="s">
        <v>1819</v>
      </c>
    </row>
    <row r="174" spans="1:13" ht="15" hidden="1" customHeight="1" x14ac:dyDescent="0.25">
      <c r="A174" s="21" t="s">
        <v>1840</v>
      </c>
      <c r="B174" s="22" t="s">
        <v>1312</v>
      </c>
      <c r="C174" s="22" t="s">
        <v>455</v>
      </c>
      <c r="D174" s="21" t="s">
        <v>1814</v>
      </c>
      <c r="E174" s="21" t="s">
        <v>1258</v>
      </c>
      <c r="F174" s="21" t="s">
        <v>1258</v>
      </c>
      <c r="G174" s="21"/>
      <c r="H174" s="21" t="s">
        <v>1821</v>
      </c>
      <c r="I174" s="21" t="s">
        <v>1822</v>
      </c>
      <c r="J174" s="21" t="s">
        <v>1823</v>
      </c>
      <c r="K174" s="22" t="s">
        <v>1841</v>
      </c>
      <c r="L174" s="21" t="s">
        <v>1706</v>
      </c>
      <c r="M174" s="21" t="s">
        <v>1825</v>
      </c>
    </row>
    <row r="175" spans="1:13" ht="15" hidden="1" customHeight="1" x14ac:dyDescent="0.25">
      <c r="A175" s="21" t="s">
        <v>1842</v>
      </c>
      <c r="B175" s="22" t="s">
        <v>1320</v>
      </c>
      <c r="C175" s="22" t="s">
        <v>456</v>
      </c>
      <c r="D175" s="21" t="s">
        <v>1814</v>
      </c>
      <c r="E175" s="21" t="s">
        <v>1258</v>
      </c>
      <c r="F175" s="21" t="s">
        <v>1636</v>
      </c>
      <c r="G175" s="21"/>
      <c r="H175" s="21" t="s">
        <v>1821</v>
      </c>
      <c r="I175" s="21" t="s">
        <v>1816</v>
      </c>
      <c r="J175" s="21" t="s">
        <v>1838</v>
      </c>
      <c r="K175" s="22" t="s">
        <v>1843</v>
      </c>
      <c r="L175" s="21" t="s">
        <v>1425</v>
      </c>
      <c r="M175" s="21" t="s">
        <v>1819</v>
      </c>
    </row>
    <row r="176" spans="1:13" ht="15" hidden="1" customHeight="1" x14ac:dyDescent="0.25">
      <c r="A176" s="21" t="s">
        <v>1844</v>
      </c>
      <c r="B176" s="22" t="s">
        <v>1323</v>
      </c>
      <c r="C176" s="22" t="s">
        <v>457</v>
      </c>
      <c r="D176" s="21" t="s">
        <v>1814</v>
      </c>
      <c r="E176" s="21" t="s">
        <v>1254</v>
      </c>
      <c r="F176" s="21"/>
      <c r="G176" s="21"/>
      <c r="H176" s="21" t="s">
        <v>1845</v>
      </c>
      <c r="I176" s="21" t="s">
        <v>1846</v>
      </c>
      <c r="J176" s="21" t="s">
        <v>1847</v>
      </c>
      <c r="K176" s="22" t="s">
        <v>1848</v>
      </c>
      <c r="L176" s="21" t="s">
        <v>1402</v>
      </c>
      <c r="M176" s="21" t="s">
        <v>1825</v>
      </c>
    </row>
    <row r="177" spans="1:13" ht="15" hidden="1" customHeight="1" x14ac:dyDescent="0.25">
      <c r="A177" s="21" t="s">
        <v>1849</v>
      </c>
      <c r="B177" s="22" t="s">
        <v>1326</v>
      </c>
      <c r="C177" s="22" t="s">
        <v>458</v>
      </c>
      <c r="D177" s="21" t="s">
        <v>1814</v>
      </c>
      <c r="E177" s="21" t="s">
        <v>1258</v>
      </c>
      <c r="F177" s="21" t="s">
        <v>1636</v>
      </c>
      <c r="G177" s="21"/>
      <c r="H177" s="21" t="s">
        <v>1821</v>
      </c>
      <c r="I177" s="21" t="s">
        <v>1816</v>
      </c>
      <c r="J177" s="21" t="s">
        <v>1838</v>
      </c>
      <c r="K177" s="22" t="s">
        <v>1850</v>
      </c>
      <c r="L177" s="21" t="s">
        <v>1425</v>
      </c>
      <c r="M177" s="21" t="s">
        <v>1819</v>
      </c>
    </row>
    <row r="178" spans="1:13" ht="15" hidden="1" customHeight="1" x14ac:dyDescent="0.25">
      <c r="A178" s="21" t="s">
        <v>1851</v>
      </c>
      <c r="B178" s="22" t="s">
        <v>1327</v>
      </c>
      <c r="C178" s="22" t="s">
        <v>459</v>
      </c>
      <c r="D178" s="21" t="s">
        <v>1814</v>
      </c>
      <c r="E178" s="21" t="s">
        <v>1258</v>
      </c>
      <c r="F178" s="21"/>
      <c r="G178" s="21"/>
      <c r="H178" s="21" t="s">
        <v>1852</v>
      </c>
      <c r="I178" s="21" t="s">
        <v>1816</v>
      </c>
      <c r="J178" s="21" t="s">
        <v>1853</v>
      </c>
      <c r="K178" s="22" t="s">
        <v>1854</v>
      </c>
      <c r="L178" s="21" t="s">
        <v>1402</v>
      </c>
      <c r="M178" s="21" t="s">
        <v>1819</v>
      </c>
    </row>
    <row r="179" spans="1:13" ht="15" hidden="1" customHeight="1" x14ac:dyDescent="0.25">
      <c r="A179" s="21" t="s">
        <v>1855</v>
      </c>
      <c r="B179" s="22" t="s">
        <v>1333</v>
      </c>
      <c r="C179" s="22"/>
      <c r="D179" s="21" t="s">
        <v>1814</v>
      </c>
      <c r="E179" s="21"/>
      <c r="F179" s="21"/>
      <c r="G179" s="21"/>
      <c r="H179" s="21"/>
      <c r="I179" s="21"/>
      <c r="J179" s="21"/>
      <c r="K179" s="22"/>
      <c r="L179" s="21"/>
      <c r="M179" s="21"/>
    </row>
    <row r="180" spans="1:13" ht="15" hidden="1" customHeight="1" x14ac:dyDescent="0.25">
      <c r="A180" s="21" t="s">
        <v>1856</v>
      </c>
      <c r="B180" s="22" t="s">
        <v>1334</v>
      </c>
      <c r="C180" s="22"/>
      <c r="D180" s="21" t="s">
        <v>1814</v>
      </c>
      <c r="E180" s="21"/>
      <c r="F180" s="21"/>
      <c r="G180" s="21"/>
      <c r="H180" s="21"/>
      <c r="I180" s="21"/>
      <c r="J180" s="21"/>
      <c r="K180" s="22"/>
      <c r="L180" s="21"/>
      <c r="M180" s="21"/>
    </row>
    <row r="181" spans="1:13" ht="15" hidden="1" customHeight="1" x14ac:dyDescent="0.25">
      <c r="A181" s="21" t="s">
        <v>1857</v>
      </c>
      <c r="B181" s="22" t="s">
        <v>1335</v>
      </c>
      <c r="C181" s="22"/>
      <c r="D181" s="21" t="s">
        <v>1814</v>
      </c>
      <c r="E181" s="21"/>
      <c r="F181" s="21"/>
      <c r="G181" s="21"/>
      <c r="H181" s="21"/>
      <c r="I181" s="21"/>
      <c r="J181" s="21"/>
      <c r="K181" s="22"/>
      <c r="L181" s="21"/>
      <c r="M181" s="21"/>
    </row>
    <row r="182" spans="1:13" ht="15" hidden="1" customHeight="1" x14ac:dyDescent="0.25">
      <c r="A182" s="21" t="s">
        <v>1858</v>
      </c>
      <c r="B182" s="22" t="s">
        <v>1336</v>
      </c>
      <c r="C182" s="22"/>
      <c r="D182" s="21" t="s">
        <v>1814</v>
      </c>
      <c r="E182" s="21"/>
      <c r="F182" s="21"/>
      <c r="G182" s="21"/>
      <c r="H182" s="21"/>
      <c r="I182" s="21"/>
      <c r="J182" s="21"/>
      <c r="K182" s="22"/>
      <c r="L182" s="21"/>
      <c r="M182" s="21"/>
    </row>
    <row r="183" spans="1:13" ht="15" customHeight="1" x14ac:dyDescent="0.25">
      <c r="A183" s="21" t="s">
        <v>1859</v>
      </c>
      <c r="B183" s="22" t="s">
        <v>1337</v>
      </c>
      <c r="C183" s="22" t="s">
        <v>147</v>
      </c>
      <c r="D183" s="21" t="s">
        <v>1814</v>
      </c>
      <c r="E183" s="21" t="s">
        <v>1254</v>
      </c>
      <c r="F183" s="21" t="s">
        <v>1443</v>
      </c>
      <c r="G183" s="21" t="s">
        <v>1860</v>
      </c>
      <c r="H183" s="21" t="s">
        <v>1314</v>
      </c>
      <c r="I183" s="21" t="s">
        <v>1727</v>
      </c>
      <c r="J183" s="21" t="s">
        <v>1861</v>
      </c>
      <c r="K183" s="22" t="s">
        <v>146</v>
      </c>
      <c r="L183" s="21" t="s">
        <v>1521</v>
      </c>
      <c r="M183" s="21" t="s">
        <v>1825</v>
      </c>
    </row>
    <row r="184" spans="1:13" ht="15" hidden="1" customHeight="1" x14ac:dyDescent="0.25">
      <c r="A184" s="21" t="s">
        <v>1862</v>
      </c>
      <c r="B184" s="22" t="s">
        <v>1340</v>
      </c>
      <c r="C184" s="22" t="s">
        <v>184</v>
      </c>
      <c r="D184" s="21" t="s">
        <v>1814</v>
      </c>
      <c r="E184" s="21" t="s">
        <v>1263</v>
      </c>
      <c r="F184" s="21" t="s">
        <v>1674</v>
      </c>
      <c r="G184" s="21" t="s">
        <v>1863</v>
      </c>
      <c r="H184" s="21" t="s">
        <v>1286</v>
      </c>
      <c r="I184" s="21" t="s">
        <v>1735</v>
      </c>
      <c r="J184" s="21" t="s">
        <v>1864</v>
      </c>
      <c r="K184" s="22" t="s">
        <v>183</v>
      </c>
      <c r="L184" s="21" t="s">
        <v>1290</v>
      </c>
      <c r="M184" s="21" t="s">
        <v>1819</v>
      </c>
    </row>
    <row r="185" spans="1:13" ht="15" hidden="1" customHeight="1" x14ac:dyDescent="0.25">
      <c r="A185" s="21" t="s">
        <v>1865</v>
      </c>
      <c r="B185" s="22" t="s">
        <v>1341</v>
      </c>
      <c r="C185" s="22"/>
      <c r="D185" s="21" t="s">
        <v>1814</v>
      </c>
      <c r="E185" s="21"/>
      <c r="F185" s="21"/>
      <c r="G185" s="21"/>
      <c r="H185" s="21"/>
      <c r="I185" s="21"/>
      <c r="J185" s="21"/>
      <c r="K185" s="22"/>
      <c r="L185" s="21"/>
      <c r="M185" s="21"/>
    </row>
    <row r="186" spans="1:13" ht="15" hidden="1" customHeight="1" x14ac:dyDescent="0.25">
      <c r="A186" s="21" t="s">
        <v>1866</v>
      </c>
      <c r="B186" s="22" t="s">
        <v>1345</v>
      </c>
      <c r="C186" s="22"/>
      <c r="D186" s="21" t="s">
        <v>1814</v>
      </c>
      <c r="E186" s="21"/>
      <c r="F186" s="21"/>
      <c r="G186" s="21"/>
      <c r="H186" s="21"/>
      <c r="I186" s="21"/>
      <c r="J186" s="21"/>
      <c r="K186" s="22"/>
      <c r="L186" s="21"/>
      <c r="M186" s="21"/>
    </row>
    <row r="187" spans="1:13" ht="15" hidden="1" customHeight="1" x14ac:dyDescent="0.25">
      <c r="A187" s="21" t="s">
        <v>1867</v>
      </c>
      <c r="B187" s="22" t="s">
        <v>1348</v>
      </c>
      <c r="C187" s="22"/>
      <c r="D187" s="21" t="s">
        <v>1814</v>
      </c>
      <c r="E187" s="21"/>
      <c r="F187" s="21"/>
      <c r="G187" s="21"/>
      <c r="H187" s="21"/>
      <c r="I187" s="21"/>
      <c r="J187" s="21"/>
      <c r="K187" s="22"/>
      <c r="L187" s="21"/>
      <c r="M187" s="21"/>
    </row>
    <row r="188" spans="1:13" ht="15" hidden="1" customHeight="1" x14ac:dyDescent="0.25">
      <c r="A188" s="21" t="s">
        <v>1868</v>
      </c>
      <c r="B188" s="22" t="s">
        <v>1351</v>
      </c>
      <c r="C188" s="22" t="s">
        <v>462</v>
      </c>
      <c r="D188" s="21" t="s">
        <v>1814</v>
      </c>
      <c r="E188" s="21" t="s">
        <v>1258</v>
      </c>
      <c r="F188" s="21" t="s">
        <v>1636</v>
      </c>
      <c r="G188" s="21" t="s">
        <v>1293</v>
      </c>
      <c r="H188" s="21" t="s">
        <v>1314</v>
      </c>
      <c r="I188" s="21" t="s">
        <v>1816</v>
      </c>
      <c r="J188" s="21" t="s">
        <v>1817</v>
      </c>
      <c r="K188" s="22" t="s">
        <v>1869</v>
      </c>
      <c r="L188" s="21" t="s">
        <v>1446</v>
      </c>
      <c r="M188" s="21" t="s">
        <v>1819</v>
      </c>
    </row>
    <row r="189" spans="1:13" ht="15" hidden="1" customHeight="1" x14ac:dyDescent="0.25">
      <c r="A189" s="21" t="s">
        <v>1870</v>
      </c>
      <c r="B189" s="22" t="s">
        <v>1354</v>
      </c>
      <c r="C189" s="22" t="s">
        <v>463</v>
      </c>
      <c r="D189" s="21" t="s">
        <v>1814</v>
      </c>
      <c r="E189" s="21" t="s">
        <v>1246</v>
      </c>
      <c r="F189" s="21" t="s">
        <v>1246</v>
      </c>
      <c r="G189" s="21"/>
      <c r="H189" s="21" t="s">
        <v>1314</v>
      </c>
      <c r="I189" s="21" t="s">
        <v>1871</v>
      </c>
      <c r="J189" s="21" t="s">
        <v>1872</v>
      </c>
      <c r="K189" s="22" t="s">
        <v>1873</v>
      </c>
      <c r="L189" s="21" t="s">
        <v>1311</v>
      </c>
      <c r="M189" s="21"/>
    </row>
    <row r="190" spans="1:13" ht="15" hidden="1" customHeight="1" x14ac:dyDescent="0.25">
      <c r="A190" s="21" t="s">
        <v>1874</v>
      </c>
      <c r="B190" s="22" t="s">
        <v>1355</v>
      </c>
      <c r="C190" s="22"/>
      <c r="D190" s="21" t="s">
        <v>1814</v>
      </c>
      <c r="E190" s="21"/>
      <c r="F190" s="21"/>
      <c r="G190" s="21"/>
      <c r="H190" s="21"/>
      <c r="I190" s="21"/>
      <c r="J190" s="21"/>
      <c r="K190" s="22"/>
      <c r="L190" s="21"/>
      <c r="M190" s="21"/>
    </row>
    <row r="191" spans="1:13" ht="15" hidden="1" customHeight="1" x14ac:dyDescent="0.25">
      <c r="A191" s="21" t="s">
        <v>1875</v>
      </c>
      <c r="B191" s="22" t="s">
        <v>1356</v>
      </c>
      <c r="C191" s="22"/>
      <c r="D191" s="21" t="s">
        <v>1814</v>
      </c>
      <c r="E191" s="21"/>
      <c r="F191" s="21"/>
      <c r="G191" s="21"/>
      <c r="H191" s="21"/>
      <c r="I191" s="21"/>
      <c r="J191" s="21"/>
      <c r="K191" s="22"/>
      <c r="L191" s="21"/>
      <c r="M191" s="21"/>
    </row>
    <row r="192" spans="1:13" ht="15" hidden="1" customHeight="1" x14ac:dyDescent="0.25">
      <c r="A192" s="21" t="s">
        <v>1876</v>
      </c>
      <c r="B192" s="22" t="s">
        <v>1359</v>
      </c>
      <c r="C192" s="22" t="s">
        <v>464</v>
      </c>
      <c r="D192" s="21" t="s">
        <v>1814</v>
      </c>
      <c r="E192" s="21" t="s">
        <v>1258</v>
      </c>
      <c r="F192" s="21" t="s">
        <v>1636</v>
      </c>
      <c r="G192" s="21" t="s">
        <v>1293</v>
      </c>
      <c r="H192" s="21" t="s">
        <v>1314</v>
      </c>
      <c r="I192" s="21" t="s">
        <v>1816</v>
      </c>
      <c r="J192" s="21" t="s">
        <v>1833</v>
      </c>
      <c r="K192" s="22" t="s">
        <v>1877</v>
      </c>
      <c r="L192" s="21" t="s">
        <v>1446</v>
      </c>
      <c r="M192" s="21" t="s">
        <v>1819</v>
      </c>
    </row>
    <row r="193" spans="1:13" ht="15" hidden="1" customHeight="1" x14ac:dyDescent="0.25">
      <c r="A193" s="21" t="s">
        <v>1878</v>
      </c>
      <c r="B193" s="22" t="s">
        <v>1360</v>
      </c>
      <c r="C193" s="22" t="s">
        <v>465</v>
      </c>
      <c r="D193" s="21" t="s">
        <v>1814</v>
      </c>
      <c r="E193" s="21" t="s">
        <v>1258</v>
      </c>
      <c r="F193" s="21" t="s">
        <v>1636</v>
      </c>
      <c r="G193" s="21" t="s">
        <v>1293</v>
      </c>
      <c r="H193" s="21" t="s">
        <v>1314</v>
      </c>
      <c r="I193" s="21" t="s">
        <v>1816</v>
      </c>
      <c r="J193" s="21" t="s">
        <v>1833</v>
      </c>
      <c r="K193" s="22" t="s">
        <v>1879</v>
      </c>
      <c r="L193" s="21" t="s">
        <v>1446</v>
      </c>
      <c r="M193" s="21" t="s">
        <v>1819</v>
      </c>
    </row>
    <row r="194" spans="1:13" ht="15" hidden="1" customHeight="1" x14ac:dyDescent="0.25">
      <c r="A194" s="21" t="s">
        <v>1880</v>
      </c>
      <c r="B194" s="22" t="s">
        <v>1361</v>
      </c>
      <c r="C194" s="22"/>
      <c r="D194" s="21" t="s">
        <v>1814</v>
      </c>
      <c r="E194" s="21"/>
      <c r="F194" s="21"/>
      <c r="G194" s="21"/>
      <c r="H194" s="21"/>
      <c r="I194" s="21"/>
      <c r="J194" s="21"/>
      <c r="K194" s="22"/>
      <c r="L194" s="21"/>
      <c r="M194" s="21"/>
    </row>
    <row r="195" spans="1:13" ht="15" hidden="1" customHeight="1" x14ac:dyDescent="0.25">
      <c r="A195" s="21" t="s">
        <v>1881</v>
      </c>
      <c r="B195" s="22" t="s">
        <v>1362</v>
      </c>
      <c r="C195" s="22" t="s">
        <v>467</v>
      </c>
      <c r="D195" s="21" t="s">
        <v>1882</v>
      </c>
      <c r="E195" s="21" t="s">
        <v>1673</v>
      </c>
      <c r="F195" s="21" t="s">
        <v>1674</v>
      </c>
      <c r="G195" s="21" t="s">
        <v>1883</v>
      </c>
      <c r="H195" s="21" t="s">
        <v>1314</v>
      </c>
      <c r="I195" s="21" t="s">
        <v>1884</v>
      </c>
      <c r="J195" s="21" t="s">
        <v>1885</v>
      </c>
      <c r="K195" s="22" t="s">
        <v>1886</v>
      </c>
      <c r="L195" s="21" t="s">
        <v>1500</v>
      </c>
      <c r="M195" s="21" t="s">
        <v>1819</v>
      </c>
    </row>
    <row r="196" spans="1:13" ht="15" hidden="1" customHeight="1" x14ac:dyDescent="0.25">
      <c r="A196" s="21" t="s">
        <v>1887</v>
      </c>
      <c r="B196" s="22" t="s">
        <v>1363</v>
      </c>
      <c r="C196" s="22" t="s">
        <v>236</v>
      </c>
      <c r="D196" s="21" t="s">
        <v>1814</v>
      </c>
      <c r="E196" s="21" t="s">
        <v>1254</v>
      </c>
      <c r="F196" s="21" t="s">
        <v>1443</v>
      </c>
      <c r="G196" s="21" t="s">
        <v>1888</v>
      </c>
      <c r="H196" s="21" t="s">
        <v>1314</v>
      </c>
      <c r="I196" s="21" t="s">
        <v>1735</v>
      </c>
      <c r="J196" s="21" t="s">
        <v>1889</v>
      </c>
      <c r="K196" s="22" t="s">
        <v>235</v>
      </c>
      <c r="L196" s="21" t="s">
        <v>1431</v>
      </c>
      <c r="M196" s="21" t="s">
        <v>1819</v>
      </c>
    </row>
    <row r="197" spans="1:13" ht="15" hidden="1" customHeight="1" x14ac:dyDescent="0.25">
      <c r="A197" s="21" t="s">
        <v>1890</v>
      </c>
      <c r="B197" s="22" t="s">
        <v>1364</v>
      </c>
      <c r="C197" s="22" t="s">
        <v>469</v>
      </c>
      <c r="D197" s="21" t="s">
        <v>1814</v>
      </c>
      <c r="E197" s="21" t="s">
        <v>1254</v>
      </c>
      <c r="F197" s="21" t="s">
        <v>1443</v>
      </c>
      <c r="G197" s="21"/>
      <c r="H197" s="21" t="s">
        <v>1821</v>
      </c>
      <c r="I197" s="21" t="s">
        <v>1822</v>
      </c>
      <c r="J197" s="21" t="s">
        <v>1891</v>
      </c>
      <c r="K197" s="22" t="s">
        <v>1892</v>
      </c>
      <c r="L197" s="21" t="s">
        <v>1706</v>
      </c>
      <c r="M197" s="21" t="s">
        <v>1819</v>
      </c>
    </row>
    <row r="198" spans="1:13" ht="15" hidden="1" customHeight="1" x14ac:dyDescent="0.25">
      <c r="A198" s="21" t="s">
        <v>1893</v>
      </c>
      <c r="B198" s="22" t="s">
        <v>1365</v>
      </c>
      <c r="C198" s="22"/>
      <c r="D198" s="21" t="s">
        <v>1814</v>
      </c>
      <c r="E198" s="21"/>
      <c r="F198" s="21"/>
      <c r="G198" s="21"/>
      <c r="H198" s="21"/>
      <c r="I198" s="21"/>
      <c r="J198" s="21"/>
      <c r="K198" s="22"/>
      <c r="L198" s="21"/>
      <c r="M198" s="21"/>
    </row>
    <row r="199" spans="1:13" ht="15" hidden="1" customHeight="1" x14ac:dyDescent="0.25">
      <c r="A199" s="21" t="s">
        <v>1894</v>
      </c>
      <c r="B199" s="22" t="s">
        <v>1369</v>
      </c>
      <c r="C199" s="22" t="s">
        <v>470</v>
      </c>
      <c r="D199" s="21" t="s">
        <v>1814</v>
      </c>
      <c r="E199" s="21" t="s">
        <v>1673</v>
      </c>
      <c r="F199" s="21" t="s">
        <v>1674</v>
      </c>
      <c r="G199" s="21" t="s">
        <v>1883</v>
      </c>
      <c r="H199" s="21" t="s">
        <v>1314</v>
      </c>
      <c r="I199" s="21" t="s">
        <v>1895</v>
      </c>
      <c r="J199" s="21" t="s">
        <v>1896</v>
      </c>
      <c r="K199" s="22" t="s">
        <v>1897</v>
      </c>
      <c r="L199" s="21" t="s">
        <v>1898</v>
      </c>
      <c r="M199" s="21" t="s">
        <v>1819</v>
      </c>
    </row>
    <row r="200" spans="1:13" ht="15" hidden="1" customHeight="1" x14ac:dyDescent="0.25">
      <c r="A200" s="21" t="s">
        <v>1899</v>
      </c>
      <c r="B200" s="22" t="s">
        <v>1372</v>
      </c>
      <c r="C200" s="22" t="s">
        <v>471</v>
      </c>
      <c r="D200" s="21" t="s">
        <v>1814</v>
      </c>
      <c r="E200" s="21" t="s">
        <v>1673</v>
      </c>
      <c r="F200" s="21" t="s">
        <v>1674</v>
      </c>
      <c r="G200" s="21" t="s">
        <v>1883</v>
      </c>
      <c r="H200" s="21" t="s">
        <v>1314</v>
      </c>
      <c r="I200" s="21" t="s">
        <v>1895</v>
      </c>
      <c r="J200" s="21" t="s">
        <v>1896</v>
      </c>
      <c r="K200" s="22" t="s">
        <v>1900</v>
      </c>
      <c r="L200" s="21" t="s">
        <v>1451</v>
      </c>
      <c r="M200" s="21" t="s">
        <v>1819</v>
      </c>
    </row>
    <row r="201" spans="1:13" ht="15" hidden="1" customHeight="1" x14ac:dyDescent="0.25">
      <c r="A201" s="21" t="s">
        <v>1901</v>
      </c>
      <c r="B201" s="22" t="s">
        <v>1374</v>
      </c>
      <c r="C201" s="22"/>
      <c r="D201" s="21" t="s">
        <v>1814</v>
      </c>
      <c r="E201" s="21"/>
      <c r="F201" s="21"/>
      <c r="G201" s="21"/>
      <c r="H201" s="21"/>
      <c r="I201" s="21"/>
      <c r="J201" s="21"/>
      <c r="K201" s="22"/>
      <c r="L201" s="21"/>
      <c r="M201" s="21"/>
    </row>
    <row r="202" spans="1:13" ht="15" hidden="1" customHeight="1" x14ac:dyDescent="0.25">
      <c r="A202" s="21" t="s">
        <v>1902</v>
      </c>
      <c r="B202" s="22" t="s">
        <v>1377</v>
      </c>
      <c r="C202" s="22" t="s">
        <v>472</v>
      </c>
      <c r="D202" s="21" t="s">
        <v>1814</v>
      </c>
      <c r="E202" s="21" t="s">
        <v>1673</v>
      </c>
      <c r="F202" s="21" t="s">
        <v>1674</v>
      </c>
      <c r="G202" s="21" t="s">
        <v>1883</v>
      </c>
      <c r="H202" s="21" t="s">
        <v>1314</v>
      </c>
      <c r="I202" s="21" t="s">
        <v>1895</v>
      </c>
      <c r="J202" s="21" t="s">
        <v>1903</v>
      </c>
      <c r="K202" s="22" t="s">
        <v>1904</v>
      </c>
      <c r="L202" s="21" t="s">
        <v>1451</v>
      </c>
      <c r="M202" s="21" t="s">
        <v>1819</v>
      </c>
    </row>
    <row r="203" spans="1:13" ht="15" hidden="1" customHeight="1" x14ac:dyDescent="0.25">
      <c r="A203" s="21" t="s">
        <v>1905</v>
      </c>
      <c r="B203" s="22" t="s">
        <v>1380</v>
      </c>
      <c r="C203" s="22"/>
      <c r="D203" s="21" t="s">
        <v>1814</v>
      </c>
      <c r="E203" s="21"/>
      <c r="F203" s="21"/>
      <c r="G203" s="21"/>
      <c r="H203" s="21"/>
      <c r="I203" s="21"/>
      <c r="J203" s="21"/>
      <c r="K203" s="22"/>
      <c r="L203" s="21"/>
      <c r="M203" s="21"/>
    </row>
    <row r="204" spans="1:13" ht="15" hidden="1" customHeight="1" x14ac:dyDescent="0.25">
      <c r="A204" s="21" t="s">
        <v>1906</v>
      </c>
      <c r="B204" s="22" t="s">
        <v>1383</v>
      </c>
      <c r="C204" s="22" t="s">
        <v>473</v>
      </c>
      <c r="D204" s="21" t="s">
        <v>1814</v>
      </c>
      <c r="E204" s="21" t="s">
        <v>1263</v>
      </c>
      <c r="F204" s="21" t="s">
        <v>1263</v>
      </c>
      <c r="G204" s="21" t="s">
        <v>1907</v>
      </c>
      <c r="H204" s="21" t="s">
        <v>1908</v>
      </c>
      <c r="I204" s="21" t="s">
        <v>1909</v>
      </c>
      <c r="J204" s="21" t="s">
        <v>1910</v>
      </c>
      <c r="K204" s="22" t="s">
        <v>1911</v>
      </c>
      <c r="L204" s="21" t="s">
        <v>1431</v>
      </c>
      <c r="M204" s="21" t="s">
        <v>1830</v>
      </c>
    </row>
    <row r="205" spans="1:13" ht="15" hidden="1" customHeight="1" x14ac:dyDescent="0.25">
      <c r="A205" s="21" t="s">
        <v>1912</v>
      </c>
      <c r="B205" s="22" t="s">
        <v>1385</v>
      </c>
      <c r="C205" s="22" t="s">
        <v>186</v>
      </c>
      <c r="D205" s="21" t="s">
        <v>1814</v>
      </c>
      <c r="E205" s="21" t="s">
        <v>1673</v>
      </c>
      <c r="F205" s="21" t="s">
        <v>1674</v>
      </c>
      <c r="G205" s="21" t="s">
        <v>1863</v>
      </c>
      <c r="H205" s="21" t="s">
        <v>1286</v>
      </c>
      <c r="I205" s="21" t="s">
        <v>1735</v>
      </c>
      <c r="J205" s="21" t="s">
        <v>1864</v>
      </c>
      <c r="K205" s="22" t="s">
        <v>185</v>
      </c>
      <c r="L205" s="21" t="s">
        <v>1290</v>
      </c>
      <c r="M205" s="21" t="s">
        <v>1819</v>
      </c>
    </row>
    <row r="206" spans="1:13" ht="15" hidden="1" customHeight="1" x14ac:dyDescent="0.25">
      <c r="A206" s="21" t="s">
        <v>1913</v>
      </c>
      <c r="B206" s="22" t="s">
        <v>1388</v>
      </c>
      <c r="C206" s="22" t="s">
        <v>221</v>
      </c>
      <c r="D206" s="21" t="s">
        <v>1814</v>
      </c>
      <c r="E206" s="21" t="s">
        <v>1673</v>
      </c>
      <c r="F206" s="21" t="s">
        <v>1674</v>
      </c>
      <c r="G206" s="21" t="s">
        <v>1863</v>
      </c>
      <c r="H206" s="21" t="s">
        <v>1286</v>
      </c>
      <c r="I206" s="21" t="s">
        <v>1735</v>
      </c>
      <c r="J206" s="21" t="s">
        <v>1864</v>
      </c>
      <c r="K206" s="22" t="s">
        <v>220</v>
      </c>
      <c r="L206" s="21" t="s">
        <v>1290</v>
      </c>
      <c r="M206" s="21" t="s">
        <v>1819</v>
      </c>
    </row>
    <row r="207" spans="1:13" ht="15" hidden="1" customHeight="1" x14ac:dyDescent="0.25">
      <c r="A207" s="21" t="s">
        <v>1914</v>
      </c>
      <c r="B207" s="22" t="s">
        <v>1391</v>
      </c>
      <c r="C207" s="22" t="s">
        <v>191</v>
      </c>
      <c r="D207" s="21" t="s">
        <v>1814</v>
      </c>
      <c r="E207" s="21" t="s">
        <v>1673</v>
      </c>
      <c r="F207" s="21" t="s">
        <v>1674</v>
      </c>
      <c r="G207" s="21" t="s">
        <v>1863</v>
      </c>
      <c r="H207" s="21" t="s">
        <v>1286</v>
      </c>
      <c r="I207" s="21" t="s">
        <v>1735</v>
      </c>
      <c r="J207" s="21" t="s">
        <v>1864</v>
      </c>
      <c r="K207" s="22" t="s">
        <v>190</v>
      </c>
      <c r="L207" s="21" t="s">
        <v>1290</v>
      </c>
      <c r="M207" s="21" t="s">
        <v>1819</v>
      </c>
    </row>
    <row r="208" spans="1:13" ht="15" hidden="1" customHeight="1" x14ac:dyDescent="0.25">
      <c r="A208" s="21" t="s">
        <v>1915</v>
      </c>
      <c r="B208" s="22" t="s">
        <v>1394</v>
      </c>
      <c r="C208" s="22" t="s">
        <v>193</v>
      </c>
      <c r="D208" s="21" t="s">
        <v>1814</v>
      </c>
      <c r="E208" s="21" t="s">
        <v>1263</v>
      </c>
      <c r="F208" s="21" t="s">
        <v>1674</v>
      </c>
      <c r="G208" s="21" t="s">
        <v>1863</v>
      </c>
      <c r="H208" s="21" t="s">
        <v>1286</v>
      </c>
      <c r="I208" s="21" t="s">
        <v>1735</v>
      </c>
      <c r="J208" s="21" t="s">
        <v>1864</v>
      </c>
      <c r="K208" s="22" t="s">
        <v>192</v>
      </c>
      <c r="L208" s="21" t="s">
        <v>1290</v>
      </c>
      <c r="M208" s="21" t="s">
        <v>1819</v>
      </c>
    </row>
    <row r="209" spans="1:13" ht="15" hidden="1" customHeight="1" x14ac:dyDescent="0.25">
      <c r="A209" s="21" t="s">
        <v>1916</v>
      </c>
      <c r="B209" s="22" t="s">
        <v>1397</v>
      </c>
      <c r="C209" s="22" t="s">
        <v>1917</v>
      </c>
      <c r="D209" s="21" t="s">
        <v>1814</v>
      </c>
      <c r="E209" s="21" t="s">
        <v>1263</v>
      </c>
      <c r="F209" s="21" t="s">
        <v>1674</v>
      </c>
      <c r="G209" s="21" t="s">
        <v>1863</v>
      </c>
      <c r="H209" s="21" t="s">
        <v>1286</v>
      </c>
      <c r="I209" s="21" t="s">
        <v>1735</v>
      </c>
      <c r="J209" s="21" t="s">
        <v>1864</v>
      </c>
      <c r="K209" s="22" t="s">
        <v>1918</v>
      </c>
      <c r="L209" s="21" t="s">
        <v>1290</v>
      </c>
      <c r="M209" s="21" t="s">
        <v>1819</v>
      </c>
    </row>
    <row r="210" spans="1:13" ht="15" hidden="1" customHeight="1" x14ac:dyDescent="0.25">
      <c r="A210" s="21" t="s">
        <v>1919</v>
      </c>
      <c r="B210" s="22" t="s">
        <v>1403</v>
      </c>
      <c r="C210" s="22" t="s">
        <v>181</v>
      </c>
      <c r="D210" s="21" t="s">
        <v>1814</v>
      </c>
      <c r="E210" s="21" t="s">
        <v>1263</v>
      </c>
      <c r="F210" s="21" t="s">
        <v>1674</v>
      </c>
      <c r="G210" s="21" t="s">
        <v>1863</v>
      </c>
      <c r="H210" s="21" t="s">
        <v>1286</v>
      </c>
      <c r="I210" s="21" t="s">
        <v>1735</v>
      </c>
      <c r="J210" s="21" t="s">
        <v>1864</v>
      </c>
      <c r="K210" s="22" t="s">
        <v>180</v>
      </c>
      <c r="L210" s="21" t="s">
        <v>1290</v>
      </c>
      <c r="M210" s="21" t="s">
        <v>1819</v>
      </c>
    </row>
    <row r="211" spans="1:13" ht="15" hidden="1" customHeight="1" x14ac:dyDescent="0.25">
      <c r="A211" s="21" t="s">
        <v>1920</v>
      </c>
      <c r="B211" s="22" t="s">
        <v>1410</v>
      </c>
      <c r="C211" s="22" t="s">
        <v>474</v>
      </c>
      <c r="D211" s="21" t="s">
        <v>1814</v>
      </c>
      <c r="E211" s="21" t="s">
        <v>1254</v>
      </c>
      <c r="F211" s="21" t="s">
        <v>1443</v>
      </c>
      <c r="G211" s="21" t="s">
        <v>1832</v>
      </c>
      <c r="H211" s="21" t="s">
        <v>1314</v>
      </c>
      <c r="I211" s="21" t="s">
        <v>1727</v>
      </c>
      <c r="J211" s="21" t="s">
        <v>1921</v>
      </c>
      <c r="K211" s="22" t="s">
        <v>1922</v>
      </c>
      <c r="L211" s="21" t="s">
        <v>1446</v>
      </c>
      <c r="M211" s="21" t="s">
        <v>1830</v>
      </c>
    </row>
    <row r="212" spans="1:13" ht="15" hidden="1" customHeight="1" x14ac:dyDescent="0.25">
      <c r="A212" s="21" t="s">
        <v>1923</v>
      </c>
      <c r="B212" s="22" t="s">
        <v>1414</v>
      </c>
      <c r="C212" s="22" t="s">
        <v>475</v>
      </c>
      <c r="D212" s="21" t="s">
        <v>1814</v>
      </c>
      <c r="E212" s="21" t="s">
        <v>1225</v>
      </c>
      <c r="F212" s="21" t="s">
        <v>1284</v>
      </c>
      <c r="G212" s="21"/>
      <c r="H212" s="21" t="s">
        <v>1314</v>
      </c>
      <c r="I212" s="21" t="s">
        <v>1727</v>
      </c>
      <c r="J212" s="21" t="s">
        <v>1924</v>
      </c>
      <c r="K212" s="22" t="s">
        <v>1925</v>
      </c>
      <c r="L212" s="21" t="s">
        <v>1344</v>
      </c>
      <c r="M212" s="21" t="s">
        <v>1819</v>
      </c>
    </row>
    <row r="213" spans="1:13" ht="15" hidden="1" customHeight="1" x14ac:dyDescent="0.25">
      <c r="A213" s="21" t="s">
        <v>1926</v>
      </c>
      <c r="B213" s="22" t="s">
        <v>1421</v>
      </c>
      <c r="C213" s="22" t="s">
        <v>477</v>
      </c>
      <c r="D213" s="21" t="s">
        <v>1882</v>
      </c>
      <c r="E213" s="21" t="s">
        <v>1225</v>
      </c>
      <c r="F213" s="21" t="s">
        <v>1284</v>
      </c>
      <c r="G213" s="21"/>
      <c r="H213" s="21" t="s">
        <v>1314</v>
      </c>
      <c r="I213" s="21" t="s">
        <v>1884</v>
      </c>
      <c r="J213" s="21" t="s">
        <v>1927</v>
      </c>
      <c r="K213" s="22" t="s">
        <v>1928</v>
      </c>
      <c r="L213" s="21" t="s">
        <v>1898</v>
      </c>
      <c r="M213" s="21" t="s">
        <v>1819</v>
      </c>
    </row>
    <row r="214" spans="1:13" ht="15" hidden="1" customHeight="1" x14ac:dyDescent="0.25">
      <c r="A214" s="21" t="s">
        <v>1929</v>
      </c>
      <c r="B214" s="22" t="s">
        <v>1426</v>
      </c>
      <c r="C214" s="22" t="s">
        <v>478</v>
      </c>
      <c r="D214" s="21" t="s">
        <v>1882</v>
      </c>
      <c r="E214" s="21" t="s">
        <v>1263</v>
      </c>
      <c r="F214" s="21" t="s">
        <v>1674</v>
      </c>
      <c r="G214" s="21" t="s">
        <v>1883</v>
      </c>
      <c r="H214" s="21" t="s">
        <v>1314</v>
      </c>
      <c r="I214" s="21" t="s">
        <v>1884</v>
      </c>
      <c r="J214" s="21" t="s">
        <v>1930</v>
      </c>
      <c r="K214" s="22" t="s">
        <v>1931</v>
      </c>
      <c r="L214" s="21" t="s">
        <v>1446</v>
      </c>
      <c r="M214" s="21" t="s">
        <v>1819</v>
      </c>
    </row>
    <row r="215" spans="1:13" ht="15" hidden="1" customHeight="1" x14ac:dyDescent="0.25">
      <c r="A215" s="21" t="s">
        <v>1932</v>
      </c>
      <c r="B215" s="22" t="s">
        <v>1432</v>
      </c>
      <c r="C215" s="22" t="s">
        <v>479</v>
      </c>
      <c r="D215" s="21" t="s">
        <v>1814</v>
      </c>
      <c r="E215" s="21" t="s">
        <v>1263</v>
      </c>
      <c r="F215" s="21" t="s">
        <v>1263</v>
      </c>
      <c r="G215" s="21" t="s">
        <v>1907</v>
      </c>
      <c r="H215" s="21" t="s">
        <v>1908</v>
      </c>
      <c r="I215" s="21" t="s">
        <v>1909</v>
      </c>
      <c r="J215" s="21" t="s">
        <v>1910</v>
      </c>
      <c r="K215" s="22" t="s">
        <v>1933</v>
      </c>
      <c r="L215" s="21" t="s">
        <v>1431</v>
      </c>
      <c r="M215" s="21" t="s">
        <v>1830</v>
      </c>
    </row>
    <row r="216" spans="1:13" ht="15" hidden="1" customHeight="1" x14ac:dyDescent="0.25">
      <c r="A216" s="21" t="s">
        <v>1934</v>
      </c>
      <c r="B216" s="22" t="s">
        <v>1436</v>
      </c>
      <c r="C216" s="22" t="s">
        <v>480</v>
      </c>
      <c r="D216" s="21" t="s">
        <v>1814</v>
      </c>
      <c r="E216" s="21" t="s">
        <v>1271</v>
      </c>
      <c r="F216" s="21" t="s">
        <v>1272</v>
      </c>
      <c r="G216" s="21" t="s">
        <v>1670</v>
      </c>
      <c r="H216" s="21" t="s">
        <v>1908</v>
      </c>
      <c r="I216" s="21" t="s">
        <v>1909</v>
      </c>
      <c r="J216" s="21" t="s">
        <v>1910</v>
      </c>
      <c r="K216" s="22" t="s">
        <v>1935</v>
      </c>
      <c r="L216" s="21" t="s">
        <v>1431</v>
      </c>
      <c r="M216" s="21" t="s">
        <v>1830</v>
      </c>
    </row>
    <row r="217" spans="1:13" ht="15" hidden="1" customHeight="1" x14ac:dyDescent="0.25">
      <c r="A217" s="21" t="s">
        <v>1936</v>
      </c>
      <c r="B217" s="22" t="s">
        <v>1439</v>
      </c>
      <c r="C217" s="22" t="s">
        <v>481</v>
      </c>
      <c r="D217" s="21" t="s">
        <v>1814</v>
      </c>
      <c r="E217" s="21" t="s">
        <v>1265</v>
      </c>
      <c r="F217" s="21" t="s">
        <v>1265</v>
      </c>
      <c r="G217" s="21" t="s">
        <v>1937</v>
      </c>
      <c r="H217" s="21" t="s">
        <v>1938</v>
      </c>
      <c r="I217" s="21" t="s">
        <v>1735</v>
      </c>
      <c r="J217" s="21" t="s">
        <v>1921</v>
      </c>
      <c r="K217" s="22" t="s">
        <v>1939</v>
      </c>
      <c r="L217" s="21" t="s">
        <v>1676</v>
      </c>
      <c r="M217" s="21" t="s">
        <v>1830</v>
      </c>
    </row>
    <row r="218" spans="1:13" ht="15" hidden="1" customHeight="1" x14ac:dyDescent="0.25">
      <c r="A218" s="21" t="s">
        <v>1940</v>
      </c>
      <c r="B218" s="22" t="s">
        <v>1442</v>
      </c>
      <c r="C218" s="22" t="s">
        <v>482</v>
      </c>
      <c r="D218" s="21" t="s">
        <v>1814</v>
      </c>
      <c r="E218" s="21" t="s">
        <v>1258</v>
      </c>
      <c r="F218" s="21" t="s">
        <v>1636</v>
      </c>
      <c r="G218" s="21" t="s">
        <v>1293</v>
      </c>
      <c r="H218" s="21" t="s">
        <v>1314</v>
      </c>
      <c r="I218" s="21" t="s">
        <v>1909</v>
      </c>
      <c r="J218" s="21" t="s">
        <v>1941</v>
      </c>
      <c r="K218" s="22" t="s">
        <v>1942</v>
      </c>
      <c r="L218" s="21" t="s">
        <v>1676</v>
      </c>
      <c r="M218" s="21" t="s">
        <v>1830</v>
      </c>
    </row>
    <row r="219" spans="1:13" ht="15" hidden="1" customHeight="1" x14ac:dyDescent="0.25">
      <c r="A219" s="21" t="s">
        <v>1943</v>
      </c>
      <c r="B219" s="22" t="s">
        <v>1447</v>
      </c>
      <c r="C219" s="22" t="s">
        <v>483</v>
      </c>
      <c r="D219" s="21" t="s">
        <v>1814</v>
      </c>
      <c r="E219" s="21" t="s">
        <v>1265</v>
      </c>
      <c r="F219" s="21" t="s">
        <v>1265</v>
      </c>
      <c r="G219" s="21" t="s">
        <v>1937</v>
      </c>
      <c r="H219" s="21" t="s">
        <v>1908</v>
      </c>
      <c r="I219" s="21" t="s">
        <v>1909</v>
      </c>
      <c r="J219" s="21" t="s">
        <v>1910</v>
      </c>
      <c r="K219" s="22" t="s">
        <v>1944</v>
      </c>
      <c r="L219" s="21" t="s">
        <v>1431</v>
      </c>
      <c r="M219" s="21" t="s">
        <v>1830</v>
      </c>
    </row>
    <row r="220" spans="1:13" ht="15" hidden="1" customHeight="1" x14ac:dyDescent="0.25">
      <c r="A220" s="21" t="s">
        <v>1945</v>
      </c>
      <c r="B220" s="22" t="s">
        <v>1452</v>
      </c>
      <c r="C220" s="22" t="s">
        <v>484</v>
      </c>
      <c r="D220" s="21" t="s">
        <v>1814</v>
      </c>
      <c r="E220" s="21" t="s">
        <v>1225</v>
      </c>
      <c r="F220" s="21" t="s">
        <v>1284</v>
      </c>
      <c r="G220" s="21"/>
      <c r="H220" s="21" t="s">
        <v>1286</v>
      </c>
      <c r="I220" s="21" t="s">
        <v>1735</v>
      </c>
      <c r="J220" s="21" t="s">
        <v>1924</v>
      </c>
      <c r="K220" s="22" t="s">
        <v>1946</v>
      </c>
      <c r="L220" s="21" t="s">
        <v>1290</v>
      </c>
      <c r="M220" s="21" t="s">
        <v>1819</v>
      </c>
    </row>
    <row r="221" spans="1:13" ht="15" hidden="1" customHeight="1" x14ac:dyDescent="0.25">
      <c r="A221" s="21" t="s">
        <v>1947</v>
      </c>
      <c r="B221" s="22" t="s">
        <v>1456</v>
      </c>
      <c r="C221" s="22" t="s">
        <v>485</v>
      </c>
      <c r="D221" s="21" t="s">
        <v>1814</v>
      </c>
      <c r="E221" s="21" t="s">
        <v>1263</v>
      </c>
      <c r="F221" s="21" t="s">
        <v>1263</v>
      </c>
      <c r="G221" s="21" t="s">
        <v>1907</v>
      </c>
      <c r="H221" s="21" t="s">
        <v>1908</v>
      </c>
      <c r="I221" s="21" t="s">
        <v>1909</v>
      </c>
      <c r="J221" s="21" t="s">
        <v>1910</v>
      </c>
      <c r="K221" s="22" t="s">
        <v>1948</v>
      </c>
      <c r="L221" s="21" t="s">
        <v>1431</v>
      </c>
      <c r="M221" s="21" t="s">
        <v>1830</v>
      </c>
    </row>
    <row r="222" spans="1:13" ht="15" hidden="1" customHeight="1" x14ac:dyDescent="0.25">
      <c r="A222" s="21" t="s">
        <v>1949</v>
      </c>
      <c r="B222" s="22" t="s">
        <v>1461</v>
      </c>
      <c r="C222" s="22" t="s">
        <v>486</v>
      </c>
      <c r="D222" s="21" t="s">
        <v>1814</v>
      </c>
      <c r="E222" s="21" t="s">
        <v>1225</v>
      </c>
      <c r="F222" s="21" t="s">
        <v>1284</v>
      </c>
      <c r="G222" s="21"/>
      <c r="H222" s="21" t="s">
        <v>1286</v>
      </c>
      <c r="I222" s="21" t="s">
        <v>1735</v>
      </c>
      <c r="J222" s="21" t="s">
        <v>1924</v>
      </c>
      <c r="K222" s="22" t="s">
        <v>1950</v>
      </c>
      <c r="L222" s="21" t="s">
        <v>1290</v>
      </c>
      <c r="M222" s="21" t="s">
        <v>1819</v>
      </c>
    </row>
    <row r="223" spans="1:13" ht="15" hidden="1" customHeight="1" x14ac:dyDescent="0.25">
      <c r="A223" s="21" t="s">
        <v>1951</v>
      </c>
      <c r="B223" s="22" t="s">
        <v>1466</v>
      </c>
      <c r="C223" s="22"/>
      <c r="D223" s="21" t="s">
        <v>1814</v>
      </c>
      <c r="E223" s="21"/>
      <c r="F223" s="21"/>
      <c r="G223" s="21"/>
      <c r="H223" s="21"/>
      <c r="I223" s="21"/>
      <c r="J223" s="21"/>
      <c r="K223" s="22"/>
      <c r="L223" s="21"/>
      <c r="M223" s="21"/>
    </row>
    <row r="224" spans="1:13" ht="15" hidden="1" customHeight="1" x14ac:dyDescent="0.25">
      <c r="A224" s="21" t="s">
        <v>1952</v>
      </c>
      <c r="B224" s="22" t="s">
        <v>1470</v>
      </c>
      <c r="C224" s="22"/>
      <c r="D224" s="21" t="s">
        <v>1814</v>
      </c>
      <c r="E224" s="21"/>
      <c r="F224" s="21"/>
      <c r="G224" s="21"/>
      <c r="H224" s="21"/>
      <c r="I224" s="21"/>
      <c r="J224" s="21"/>
      <c r="K224" s="22"/>
      <c r="L224" s="21"/>
      <c r="M224" s="21"/>
    </row>
    <row r="225" spans="1:13" ht="15" hidden="1" customHeight="1" x14ac:dyDescent="0.25">
      <c r="A225" s="21" t="s">
        <v>1953</v>
      </c>
      <c r="B225" s="22" t="s">
        <v>1473</v>
      </c>
      <c r="C225" s="22"/>
      <c r="D225" s="21" t="s">
        <v>1814</v>
      </c>
      <c r="E225" s="21"/>
      <c r="F225" s="21"/>
      <c r="G225" s="21"/>
      <c r="H225" s="21"/>
      <c r="I225" s="21"/>
      <c r="J225" s="21"/>
      <c r="K225" s="22"/>
      <c r="L225" s="21"/>
      <c r="M225" s="21"/>
    </row>
    <row r="226" spans="1:13" ht="15" hidden="1" customHeight="1" x14ac:dyDescent="0.25">
      <c r="A226" s="21" t="s">
        <v>1954</v>
      </c>
      <c r="B226" s="22" t="s">
        <v>1475</v>
      </c>
      <c r="C226" s="22"/>
      <c r="D226" s="21" t="s">
        <v>1814</v>
      </c>
      <c r="E226" s="21"/>
      <c r="F226" s="21"/>
      <c r="G226" s="21"/>
      <c r="H226" s="21"/>
      <c r="I226" s="21"/>
      <c r="J226" s="21"/>
      <c r="K226" s="22"/>
      <c r="L226" s="21"/>
      <c r="M226" s="21"/>
    </row>
    <row r="227" spans="1:13" ht="15" hidden="1" customHeight="1" x14ac:dyDescent="0.25">
      <c r="A227" s="21" t="s">
        <v>1955</v>
      </c>
      <c r="B227" s="22" t="s">
        <v>1478</v>
      </c>
      <c r="C227" s="22" t="s">
        <v>487</v>
      </c>
      <c r="D227" s="21" t="s">
        <v>1814</v>
      </c>
      <c r="E227" s="21" t="s">
        <v>1246</v>
      </c>
      <c r="F227" s="21" t="s">
        <v>1246</v>
      </c>
      <c r="G227" s="21"/>
      <c r="H227" s="21" t="s">
        <v>1286</v>
      </c>
      <c r="I227" s="21" t="s">
        <v>1956</v>
      </c>
      <c r="J227" s="21" t="s">
        <v>1957</v>
      </c>
      <c r="K227" s="22" t="s">
        <v>1958</v>
      </c>
      <c r="L227" s="21" t="s">
        <v>1332</v>
      </c>
      <c r="M227" s="21" t="s">
        <v>1825</v>
      </c>
    </row>
    <row r="228" spans="1:13" ht="15" hidden="1" customHeight="1" x14ac:dyDescent="0.25">
      <c r="A228" s="21" t="s">
        <v>1959</v>
      </c>
      <c r="B228" s="22" t="s">
        <v>1482</v>
      </c>
      <c r="C228" s="22" t="s">
        <v>488</v>
      </c>
      <c r="D228" s="21" t="s">
        <v>1814</v>
      </c>
      <c r="E228" s="21" t="s">
        <v>1265</v>
      </c>
      <c r="F228" s="21" t="s">
        <v>1265</v>
      </c>
      <c r="G228" s="21" t="s">
        <v>1937</v>
      </c>
      <c r="H228" s="21" t="s">
        <v>1314</v>
      </c>
      <c r="I228" s="21" t="s">
        <v>1735</v>
      </c>
      <c r="J228" s="21" t="s">
        <v>1861</v>
      </c>
      <c r="K228" s="22" t="s">
        <v>1960</v>
      </c>
      <c r="L228" s="21" t="s">
        <v>1521</v>
      </c>
      <c r="M228" s="21" t="s">
        <v>1825</v>
      </c>
    </row>
    <row r="229" spans="1:13" ht="15" hidden="1" customHeight="1" x14ac:dyDescent="0.25">
      <c r="A229" s="21" t="s">
        <v>1961</v>
      </c>
      <c r="B229" s="22" t="s">
        <v>1487</v>
      </c>
      <c r="C229" s="22"/>
      <c r="D229" s="21" t="s">
        <v>1814</v>
      </c>
      <c r="E229" s="21" t="s">
        <v>1254</v>
      </c>
      <c r="F229" s="21" t="s">
        <v>1532</v>
      </c>
      <c r="G229" s="21"/>
      <c r="H229" s="21" t="s">
        <v>1962</v>
      </c>
      <c r="I229" s="21" t="s">
        <v>1909</v>
      </c>
      <c r="J229" s="21" t="s">
        <v>1963</v>
      </c>
      <c r="K229" s="22" t="s">
        <v>1964</v>
      </c>
      <c r="L229" s="21" t="s">
        <v>1311</v>
      </c>
      <c r="M229" s="21"/>
    </row>
    <row r="230" spans="1:13" ht="15" hidden="1" customHeight="1" x14ac:dyDescent="0.25">
      <c r="A230" s="21" t="s">
        <v>1965</v>
      </c>
      <c r="B230" s="22" t="s">
        <v>1491</v>
      </c>
      <c r="C230" s="22" t="s">
        <v>489</v>
      </c>
      <c r="D230" s="21" t="s">
        <v>1814</v>
      </c>
      <c r="E230" s="21" t="s">
        <v>1254</v>
      </c>
      <c r="F230" s="21" t="s">
        <v>1443</v>
      </c>
      <c r="G230" s="21"/>
      <c r="H230" s="21" t="s">
        <v>1314</v>
      </c>
      <c r="I230" s="21" t="s">
        <v>1816</v>
      </c>
      <c r="J230" s="21" t="s">
        <v>1817</v>
      </c>
      <c r="K230" s="22" t="s">
        <v>1966</v>
      </c>
      <c r="L230" s="21" t="s">
        <v>1465</v>
      </c>
      <c r="M230" s="21" t="s">
        <v>1819</v>
      </c>
    </row>
    <row r="231" spans="1:13" ht="15" hidden="1" customHeight="1" x14ac:dyDescent="0.25">
      <c r="A231" s="21" t="s">
        <v>1967</v>
      </c>
      <c r="B231" s="22" t="s">
        <v>1494</v>
      </c>
      <c r="C231" s="22" t="s">
        <v>490</v>
      </c>
      <c r="D231" s="21" t="s">
        <v>1814</v>
      </c>
      <c r="E231" s="21" t="s">
        <v>1258</v>
      </c>
      <c r="F231" s="21" t="s">
        <v>1636</v>
      </c>
      <c r="G231" s="21"/>
      <c r="H231" s="21" t="s">
        <v>1821</v>
      </c>
      <c r="I231" s="21" t="s">
        <v>1816</v>
      </c>
      <c r="J231" s="21" t="s">
        <v>1838</v>
      </c>
      <c r="K231" s="22" t="s">
        <v>1968</v>
      </c>
      <c r="L231" s="21" t="s">
        <v>1425</v>
      </c>
      <c r="M231" s="21" t="s">
        <v>1819</v>
      </c>
    </row>
    <row r="232" spans="1:13" ht="15" hidden="1" customHeight="1" x14ac:dyDescent="0.25">
      <c r="A232" s="21" t="s">
        <v>1969</v>
      </c>
      <c r="B232" s="22" t="s">
        <v>1497</v>
      </c>
      <c r="C232" s="22" t="s">
        <v>491</v>
      </c>
      <c r="D232" s="21" t="s">
        <v>1814</v>
      </c>
      <c r="E232" s="21" t="s">
        <v>1246</v>
      </c>
      <c r="F232" s="21" t="s">
        <v>1246</v>
      </c>
      <c r="G232" s="21"/>
      <c r="H232" s="21" t="s">
        <v>1286</v>
      </c>
      <c r="I232" s="21" t="s">
        <v>1956</v>
      </c>
      <c r="J232" s="21" t="s">
        <v>1957</v>
      </c>
      <c r="K232" s="22" t="s">
        <v>1970</v>
      </c>
      <c r="L232" s="21" t="s">
        <v>1332</v>
      </c>
      <c r="M232" s="21" t="s">
        <v>1825</v>
      </c>
    </row>
    <row r="233" spans="1:13" ht="15" hidden="1" customHeight="1" x14ac:dyDescent="0.25">
      <c r="A233" s="21" t="s">
        <v>1971</v>
      </c>
      <c r="B233" s="22" t="s">
        <v>1501</v>
      </c>
      <c r="C233" s="22" t="s">
        <v>492</v>
      </c>
      <c r="D233" s="21" t="s">
        <v>1814</v>
      </c>
      <c r="E233" s="21" t="s">
        <v>1225</v>
      </c>
      <c r="F233" s="21" t="s">
        <v>1284</v>
      </c>
      <c r="G233" s="21"/>
      <c r="H233" s="21" t="s">
        <v>1286</v>
      </c>
      <c r="I233" s="21" t="s">
        <v>1735</v>
      </c>
      <c r="J233" s="21" t="s">
        <v>1924</v>
      </c>
      <c r="K233" s="22" t="s">
        <v>1972</v>
      </c>
      <c r="L233" s="21" t="s">
        <v>1290</v>
      </c>
      <c r="M233" s="21" t="s">
        <v>1819</v>
      </c>
    </row>
    <row r="234" spans="1:13" ht="15" hidden="1" customHeight="1" x14ac:dyDescent="0.25">
      <c r="A234" s="21" t="s">
        <v>1973</v>
      </c>
      <c r="B234" s="22" t="s">
        <v>1505</v>
      </c>
      <c r="C234" s="22" t="s">
        <v>493</v>
      </c>
      <c r="D234" s="21" t="s">
        <v>1814</v>
      </c>
      <c r="E234" s="21" t="s">
        <v>1265</v>
      </c>
      <c r="F234" s="21" t="s">
        <v>1265</v>
      </c>
      <c r="G234" s="21"/>
      <c r="H234" s="21" t="s">
        <v>1314</v>
      </c>
      <c r="I234" s="21" t="s">
        <v>1956</v>
      </c>
      <c r="J234" s="21" t="s">
        <v>1974</v>
      </c>
      <c r="K234" s="22" t="s">
        <v>1975</v>
      </c>
      <c r="L234" s="21" t="s">
        <v>1733</v>
      </c>
      <c r="M234" s="21" t="s">
        <v>1825</v>
      </c>
    </row>
    <row r="235" spans="1:13" ht="15" hidden="1" customHeight="1" x14ac:dyDescent="0.25">
      <c r="A235" s="21" t="s">
        <v>1976</v>
      </c>
      <c r="B235" s="22" t="s">
        <v>1509</v>
      </c>
      <c r="C235" s="22"/>
      <c r="D235" s="21" t="s">
        <v>1814</v>
      </c>
      <c r="E235" s="21"/>
      <c r="F235" s="21"/>
      <c r="G235" s="21"/>
      <c r="H235" s="21"/>
      <c r="I235" s="21"/>
      <c r="J235" s="21"/>
      <c r="K235" s="22"/>
      <c r="L235" s="21"/>
      <c r="M235" s="21"/>
    </row>
    <row r="236" spans="1:13" ht="15" hidden="1" customHeight="1" x14ac:dyDescent="0.25">
      <c r="A236" s="21" t="s">
        <v>1977</v>
      </c>
      <c r="B236" s="22" t="s">
        <v>1511</v>
      </c>
      <c r="C236" s="22" t="s">
        <v>494</v>
      </c>
      <c r="D236" s="21" t="s">
        <v>1814</v>
      </c>
      <c r="E236" s="21" t="s">
        <v>1270</v>
      </c>
      <c r="F236" s="21" t="s">
        <v>1258</v>
      </c>
      <c r="G236" s="21" t="s">
        <v>1258</v>
      </c>
      <c r="H236" s="21" t="s">
        <v>1314</v>
      </c>
      <c r="I236" s="21" t="s">
        <v>1816</v>
      </c>
      <c r="J236" s="21" t="s">
        <v>1817</v>
      </c>
      <c r="K236" s="22" t="s">
        <v>1978</v>
      </c>
      <c r="L236" s="21" t="s">
        <v>1627</v>
      </c>
      <c r="M236" s="21" t="s">
        <v>1819</v>
      </c>
    </row>
    <row r="237" spans="1:13" ht="15" hidden="1" customHeight="1" x14ac:dyDescent="0.25">
      <c r="A237" s="21" t="s">
        <v>1979</v>
      </c>
      <c r="B237" s="22" t="s">
        <v>1513</v>
      </c>
      <c r="C237" s="22" t="s">
        <v>495</v>
      </c>
      <c r="D237" s="21" t="s">
        <v>1814</v>
      </c>
      <c r="E237" s="21" t="s">
        <v>1254</v>
      </c>
      <c r="F237" s="21" t="s">
        <v>1443</v>
      </c>
      <c r="G237" s="21" t="s">
        <v>1832</v>
      </c>
      <c r="H237" s="21" t="s">
        <v>1314</v>
      </c>
      <c r="I237" s="21" t="s">
        <v>1727</v>
      </c>
      <c r="J237" s="21" t="s">
        <v>1861</v>
      </c>
      <c r="K237" s="22" t="s">
        <v>1980</v>
      </c>
      <c r="L237" s="21" t="s">
        <v>1368</v>
      </c>
      <c r="M237" s="21" t="s">
        <v>1825</v>
      </c>
    </row>
    <row r="238" spans="1:13" ht="15" hidden="1" customHeight="1" x14ac:dyDescent="0.25">
      <c r="A238" s="21" t="s">
        <v>1981</v>
      </c>
      <c r="B238" s="22" t="s">
        <v>1517</v>
      </c>
      <c r="C238" s="22" t="s">
        <v>159</v>
      </c>
      <c r="D238" s="21" t="s">
        <v>1814</v>
      </c>
      <c r="E238" s="21" t="s">
        <v>1254</v>
      </c>
      <c r="F238" s="21" t="s">
        <v>1443</v>
      </c>
      <c r="G238" s="21" t="s">
        <v>1832</v>
      </c>
      <c r="H238" s="21" t="s">
        <v>1314</v>
      </c>
      <c r="I238" s="21" t="s">
        <v>1727</v>
      </c>
      <c r="J238" s="21" t="s">
        <v>1861</v>
      </c>
      <c r="K238" s="22" t="s">
        <v>158</v>
      </c>
      <c r="L238" s="21" t="s">
        <v>1368</v>
      </c>
      <c r="M238" s="21" t="s">
        <v>1825</v>
      </c>
    </row>
    <row r="239" spans="1:13" ht="15" hidden="1" customHeight="1" x14ac:dyDescent="0.25">
      <c r="A239" s="21" t="s">
        <v>1982</v>
      </c>
      <c r="B239" s="22" t="s">
        <v>1522</v>
      </c>
      <c r="C239" s="22" t="s">
        <v>496</v>
      </c>
      <c r="D239" s="21" t="s">
        <v>1814</v>
      </c>
      <c r="E239" s="21" t="s">
        <v>1254</v>
      </c>
      <c r="F239" s="21" t="s">
        <v>1443</v>
      </c>
      <c r="G239" s="21"/>
      <c r="H239" s="21" t="s">
        <v>1314</v>
      </c>
      <c r="I239" s="21" t="s">
        <v>1735</v>
      </c>
      <c r="J239" s="21" t="s">
        <v>1921</v>
      </c>
      <c r="K239" s="22" t="s">
        <v>1983</v>
      </c>
      <c r="L239" s="21" t="s">
        <v>1368</v>
      </c>
      <c r="M239" s="21" t="s">
        <v>1830</v>
      </c>
    </row>
    <row r="240" spans="1:13" ht="15" hidden="1" customHeight="1" x14ac:dyDescent="0.25">
      <c r="A240" s="21" t="s">
        <v>1984</v>
      </c>
      <c r="B240" s="22" t="s">
        <v>1525</v>
      </c>
      <c r="C240" s="22" t="s">
        <v>3</v>
      </c>
      <c r="D240" s="21" t="s">
        <v>1814</v>
      </c>
      <c r="E240" s="21" t="s">
        <v>1254</v>
      </c>
      <c r="F240" s="21" t="s">
        <v>1443</v>
      </c>
      <c r="G240" s="21" t="s">
        <v>1832</v>
      </c>
      <c r="H240" s="21" t="s">
        <v>1314</v>
      </c>
      <c r="I240" s="21" t="s">
        <v>1735</v>
      </c>
      <c r="J240" s="21" t="s">
        <v>1921</v>
      </c>
      <c r="K240" s="22" t="s">
        <v>112</v>
      </c>
      <c r="L240" s="21" t="s">
        <v>1368</v>
      </c>
      <c r="M240" s="21" t="s">
        <v>1830</v>
      </c>
    </row>
    <row r="241" spans="1:13" ht="15" hidden="1" customHeight="1" x14ac:dyDescent="0.25">
      <c r="A241" s="21" t="s">
        <v>1985</v>
      </c>
      <c r="B241" s="22" t="s">
        <v>1528</v>
      </c>
      <c r="C241" s="22" t="s">
        <v>497</v>
      </c>
      <c r="D241" s="21" t="s">
        <v>1814</v>
      </c>
      <c r="E241" s="21" t="s">
        <v>1254</v>
      </c>
      <c r="F241" s="21" t="s">
        <v>1443</v>
      </c>
      <c r="G241" s="21" t="s">
        <v>1832</v>
      </c>
      <c r="H241" s="21" t="s">
        <v>1314</v>
      </c>
      <c r="I241" s="21" t="s">
        <v>1735</v>
      </c>
      <c r="J241" s="21" t="s">
        <v>1921</v>
      </c>
      <c r="K241" s="22" t="s">
        <v>1986</v>
      </c>
      <c r="L241" s="21" t="s">
        <v>1368</v>
      </c>
      <c r="M241" s="21" t="s">
        <v>1830</v>
      </c>
    </row>
    <row r="242" spans="1:13" ht="15" hidden="1" customHeight="1" x14ac:dyDescent="0.25">
      <c r="A242" s="21" t="s">
        <v>1987</v>
      </c>
      <c r="B242" s="22" t="s">
        <v>1531</v>
      </c>
      <c r="C242" s="22" t="s">
        <v>238</v>
      </c>
      <c r="D242" s="21" t="s">
        <v>1814</v>
      </c>
      <c r="E242" s="21" t="s">
        <v>1254</v>
      </c>
      <c r="F242" s="21" t="s">
        <v>1443</v>
      </c>
      <c r="G242" s="21" t="s">
        <v>1832</v>
      </c>
      <c r="H242" s="21" t="s">
        <v>1314</v>
      </c>
      <c r="I242" s="21" t="s">
        <v>1735</v>
      </c>
      <c r="J242" s="21" t="s">
        <v>1921</v>
      </c>
      <c r="K242" s="22" t="s">
        <v>237</v>
      </c>
      <c r="L242" s="21" t="s">
        <v>1368</v>
      </c>
      <c r="M242" s="21" t="s">
        <v>1830</v>
      </c>
    </row>
    <row r="243" spans="1:13" ht="15" hidden="1" customHeight="1" x14ac:dyDescent="0.25">
      <c r="A243" s="21" t="s">
        <v>1988</v>
      </c>
      <c r="B243" s="22" t="s">
        <v>1536</v>
      </c>
      <c r="C243" s="22" t="s">
        <v>498</v>
      </c>
      <c r="D243" s="21" t="s">
        <v>1814</v>
      </c>
      <c r="E243" s="21" t="s">
        <v>1254</v>
      </c>
      <c r="F243" s="21" t="s">
        <v>1443</v>
      </c>
      <c r="G243" s="21"/>
      <c r="H243" s="21" t="s">
        <v>1314</v>
      </c>
      <c r="I243" s="21" t="s">
        <v>1735</v>
      </c>
      <c r="J243" s="21" t="s">
        <v>1921</v>
      </c>
      <c r="K243" s="22" t="s">
        <v>1989</v>
      </c>
      <c r="L243" s="21" t="s">
        <v>1368</v>
      </c>
      <c r="M243" s="21" t="s">
        <v>1830</v>
      </c>
    </row>
    <row r="244" spans="1:13" ht="15" hidden="1" customHeight="1" x14ac:dyDescent="0.25">
      <c r="A244" s="21" t="s">
        <v>1990</v>
      </c>
      <c r="B244" s="22" t="s">
        <v>1540</v>
      </c>
      <c r="C244" s="22" t="s">
        <v>173</v>
      </c>
      <c r="D244" s="21" t="s">
        <v>1814</v>
      </c>
      <c r="E244" s="21" t="s">
        <v>1254</v>
      </c>
      <c r="F244" s="21" t="s">
        <v>1443</v>
      </c>
      <c r="G244" s="21" t="s">
        <v>1991</v>
      </c>
      <c r="H244" s="21" t="s">
        <v>1314</v>
      </c>
      <c r="I244" s="21" t="s">
        <v>1735</v>
      </c>
      <c r="J244" s="21" t="s">
        <v>1864</v>
      </c>
      <c r="K244" s="22" t="s">
        <v>172</v>
      </c>
      <c r="L244" s="21" t="s">
        <v>1641</v>
      </c>
      <c r="M244" s="21" t="s">
        <v>1819</v>
      </c>
    </row>
    <row r="245" spans="1:13" ht="15" hidden="1" customHeight="1" x14ac:dyDescent="0.25">
      <c r="A245" s="21" t="s">
        <v>1992</v>
      </c>
      <c r="B245" s="22" t="s">
        <v>1544</v>
      </c>
      <c r="C245" s="22" t="s">
        <v>179</v>
      </c>
      <c r="D245" s="21" t="s">
        <v>1814</v>
      </c>
      <c r="E245" s="21" t="s">
        <v>1254</v>
      </c>
      <c r="F245" s="21" t="s">
        <v>1443</v>
      </c>
      <c r="G245" s="21" t="s">
        <v>1991</v>
      </c>
      <c r="H245" s="21" t="s">
        <v>1314</v>
      </c>
      <c r="I245" s="21" t="s">
        <v>1735</v>
      </c>
      <c r="J245" s="21" t="s">
        <v>1864</v>
      </c>
      <c r="K245" s="22" t="s">
        <v>178</v>
      </c>
      <c r="L245" s="21" t="s">
        <v>1641</v>
      </c>
      <c r="M245" s="21" t="s">
        <v>1819</v>
      </c>
    </row>
    <row r="246" spans="1:13" ht="15" hidden="1" customHeight="1" x14ac:dyDescent="0.25">
      <c r="A246" s="21" t="s">
        <v>1993</v>
      </c>
      <c r="B246" s="22" t="s">
        <v>1547</v>
      </c>
      <c r="C246" s="22" t="s">
        <v>176</v>
      </c>
      <c r="D246" s="21" t="s">
        <v>1814</v>
      </c>
      <c r="E246" s="21" t="s">
        <v>1254</v>
      </c>
      <c r="F246" s="21" t="s">
        <v>1443</v>
      </c>
      <c r="G246" s="21" t="s">
        <v>1991</v>
      </c>
      <c r="H246" s="21" t="s">
        <v>1314</v>
      </c>
      <c r="I246" s="21" t="s">
        <v>1735</v>
      </c>
      <c r="J246" s="21" t="s">
        <v>1864</v>
      </c>
      <c r="K246" s="22" t="s">
        <v>175</v>
      </c>
      <c r="L246" s="21" t="s">
        <v>1641</v>
      </c>
      <c r="M246" s="21" t="s">
        <v>1819</v>
      </c>
    </row>
    <row r="247" spans="1:13" ht="15" hidden="1" customHeight="1" x14ac:dyDescent="0.25">
      <c r="A247" s="21" t="s">
        <v>1994</v>
      </c>
      <c r="B247" s="22" t="s">
        <v>1550</v>
      </c>
      <c r="C247" s="22" t="s">
        <v>1995</v>
      </c>
      <c r="D247" s="21" t="s">
        <v>1814</v>
      </c>
      <c r="E247" s="21" t="s">
        <v>1254</v>
      </c>
      <c r="F247" s="21" t="s">
        <v>1443</v>
      </c>
      <c r="G247" s="21" t="s">
        <v>1991</v>
      </c>
      <c r="H247" s="21" t="s">
        <v>1314</v>
      </c>
      <c r="I247" s="21" t="s">
        <v>1735</v>
      </c>
      <c r="J247" s="21" t="s">
        <v>1864</v>
      </c>
      <c r="K247" s="22" t="s">
        <v>1996</v>
      </c>
      <c r="L247" s="21" t="s">
        <v>1641</v>
      </c>
      <c r="M247" s="21" t="s">
        <v>1819</v>
      </c>
    </row>
    <row r="248" spans="1:13" ht="15" hidden="1" customHeight="1" x14ac:dyDescent="0.25">
      <c r="A248" s="21" t="s">
        <v>1997</v>
      </c>
      <c r="B248" s="22" t="s">
        <v>1553</v>
      </c>
      <c r="C248" s="22" t="s">
        <v>68</v>
      </c>
      <c r="D248" s="21" t="s">
        <v>1814</v>
      </c>
      <c r="E248" s="21" t="s">
        <v>1254</v>
      </c>
      <c r="F248" s="21" t="s">
        <v>1443</v>
      </c>
      <c r="G248" s="21" t="s">
        <v>1991</v>
      </c>
      <c r="H248" s="21" t="s">
        <v>1314</v>
      </c>
      <c r="I248" s="21" t="s">
        <v>1735</v>
      </c>
      <c r="J248" s="21" t="s">
        <v>1864</v>
      </c>
      <c r="K248" s="22" t="s">
        <v>239</v>
      </c>
      <c r="L248" s="21" t="s">
        <v>1641</v>
      </c>
      <c r="M248" s="21" t="s">
        <v>1819</v>
      </c>
    </row>
    <row r="249" spans="1:13" ht="15" hidden="1" customHeight="1" x14ac:dyDescent="0.25">
      <c r="A249" s="21" t="s">
        <v>1998</v>
      </c>
      <c r="B249" s="22" t="s">
        <v>1556</v>
      </c>
      <c r="C249" s="22" t="s">
        <v>1999</v>
      </c>
      <c r="D249" s="21" t="s">
        <v>1814</v>
      </c>
      <c r="E249" s="21" t="s">
        <v>1254</v>
      </c>
      <c r="F249" s="21" t="s">
        <v>1443</v>
      </c>
      <c r="G249" s="21" t="s">
        <v>1991</v>
      </c>
      <c r="H249" s="21" t="s">
        <v>1314</v>
      </c>
      <c r="I249" s="21" t="s">
        <v>1735</v>
      </c>
      <c r="J249" s="21" t="s">
        <v>1864</v>
      </c>
      <c r="K249" s="22" t="s">
        <v>2000</v>
      </c>
      <c r="L249" s="21" t="s">
        <v>1641</v>
      </c>
      <c r="M249" s="21" t="s">
        <v>1819</v>
      </c>
    </row>
    <row r="250" spans="1:13" ht="15" hidden="1" customHeight="1" x14ac:dyDescent="0.25">
      <c r="A250" s="21" t="s">
        <v>2001</v>
      </c>
      <c r="B250" s="22" t="s">
        <v>1557</v>
      </c>
      <c r="C250" s="22" t="s">
        <v>166</v>
      </c>
      <c r="D250" s="21" t="s">
        <v>1814</v>
      </c>
      <c r="E250" s="21" t="s">
        <v>1254</v>
      </c>
      <c r="F250" s="21" t="s">
        <v>1443</v>
      </c>
      <c r="G250" s="21" t="s">
        <v>1991</v>
      </c>
      <c r="H250" s="21" t="s">
        <v>1314</v>
      </c>
      <c r="I250" s="21" t="s">
        <v>1735</v>
      </c>
      <c r="J250" s="21" t="s">
        <v>1864</v>
      </c>
      <c r="K250" s="22" t="s">
        <v>165</v>
      </c>
      <c r="L250" s="21" t="s">
        <v>1641</v>
      </c>
      <c r="M250" s="21" t="s">
        <v>1819</v>
      </c>
    </row>
    <row r="251" spans="1:13" ht="15" hidden="1" customHeight="1" x14ac:dyDescent="0.25">
      <c r="A251" s="21" t="s">
        <v>2002</v>
      </c>
      <c r="B251" s="22" t="s">
        <v>1559</v>
      </c>
      <c r="C251" s="22" t="s">
        <v>2003</v>
      </c>
      <c r="D251" s="21" t="s">
        <v>1814</v>
      </c>
      <c r="E251" s="21" t="s">
        <v>1254</v>
      </c>
      <c r="F251" s="21" t="s">
        <v>1443</v>
      </c>
      <c r="G251" s="21" t="s">
        <v>1991</v>
      </c>
      <c r="H251" s="21" t="s">
        <v>1314</v>
      </c>
      <c r="I251" s="21" t="s">
        <v>1735</v>
      </c>
      <c r="J251" s="21" t="s">
        <v>1864</v>
      </c>
      <c r="K251" s="22" t="s">
        <v>2004</v>
      </c>
      <c r="L251" s="21" t="s">
        <v>1641</v>
      </c>
      <c r="M251" s="21" t="s">
        <v>1819</v>
      </c>
    </row>
    <row r="252" spans="1:13" ht="15" hidden="1" customHeight="1" x14ac:dyDescent="0.25">
      <c r="A252" s="21" t="s">
        <v>2005</v>
      </c>
      <c r="B252" s="22" t="s">
        <v>1560</v>
      </c>
      <c r="C252" s="22" t="s">
        <v>170</v>
      </c>
      <c r="D252" s="21" t="s">
        <v>1814</v>
      </c>
      <c r="E252" s="21" t="s">
        <v>1254</v>
      </c>
      <c r="F252" s="21" t="s">
        <v>1443</v>
      </c>
      <c r="G252" s="21" t="s">
        <v>1991</v>
      </c>
      <c r="H252" s="21" t="s">
        <v>1314</v>
      </c>
      <c r="I252" s="21" t="s">
        <v>1735</v>
      </c>
      <c r="J252" s="21" t="s">
        <v>1864</v>
      </c>
      <c r="K252" s="22" t="s">
        <v>169</v>
      </c>
      <c r="L252" s="21" t="s">
        <v>1641</v>
      </c>
      <c r="M252" s="21" t="s">
        <v>1819</v>
      </c>
    </row>
    <row r="253" spans="1:13" ht="15" hidden="1" customHeight="1" x14ac:dyDescent="0.25">
      <c r="A253" s="21" t="s">
        <v>2006</v>
      </c>
      <c r="B253" s="22" t="s">
        <v>1564</v>
      </c>
      <c r="C253" s="22" t="s">
        <v>2007</v>
      </c>
      <c r="D253" s="21" t="s">
        <v>1814</v>
      </c>
      <c r="E253" s="21" t="s">
        <v>1254</v>
      </c>
      <c r="F253" s="21" t="s">
        <v>1443</v>
      </c>
      <c r="G253" s="21" t="s">
        <v>1991</v>
      </c>
      <c r="H253" s="21" t="s">
        <v>1314</v>
      </c>
      <c r="I253" s="21" t="s">
        <v>1735</v>
      </c>
      <c r="J253" s="21" t="s">
        <v>1864</v>
      </c>
      <c r="K253" s="22" t="s">
        <v>2008</v>
      </c>
      <c r="L253" s="21" t="s">
        <v>1641</v>
      </c>
      <c r="M253" s="21" t="s">
        <v>1819</v>
      </c>
    </row>
    <row r="254" spans="1:13" ht="15" hidden="1" customHeight="1" x14ac:dyDescent="0.25">
      <c r="A254" s="21" t="s">
        <v>2009</v>
      </c>
      <c r="B254" s="22" t="s">
        <v>1565</v>
      </c>
      <c r="C254" s="22" t="s">
        <v>2010</v>
      </c>
      <c r="D254" s="21" t="s">
        <v>1814</v>
      </c>
      <c r="E254" s="21" t="s">
        <v>1254</v>
      </c>
      <c r="F254" s="21" t="s">
        <v>1443</v>
      </c>
      <c r="G254" s="21" t="s">
        <v>1991</v>
      </c>
      <c r="H254" s="21" t="s">
        <v>1314</v>
      </c>
      <c r="I254" s="21" t="s">
        <v>1735</v>
      </c>
      <c r="J254" s="21" t="s">
        <v>1864</v>
      </c>
      <c r="K254" s="22" t="s">
        <v>2011</v>
      </c>
      <c r="L254" s="21" t="s">
        <v>1641</v>
      </c>
      <c r="M254" s="21" t="s">
        <v>1819</v>
      </c>
    </row>
    <row r="255" spans="1:13" ht="15" hidden="1" customHeight="1" x14ac:dyDescent="0.25">
      <c r="A255" s="21" t="s">
        <v>2012</v>
      </c>
      <c r="B255" s="22" t="s">
        <v>1570</v>
      </c>
      <c r="C255" s="22" t="s">
        <v>164</v>
      </c>
      <c r="D255" s="21" t="s">
        <v>1814</v>
      </c>
      <c r="E255" s="21" t="s">
        <v>1254</v>
      </c>
      <c r="F255" s="21" t="s">
        <v>1443</v>
      </c>
      <c r="G255" s="21" t="s">
        <v>1991</v>
      </c>
      <c r="H255" s="21" t="s">
        <v>1314</v>
      </c>
      <c r="I255" s="21" t="s">
        <v>1735</v>
      </c>
      <c r="J255" s="21" t="s">
        <v>1864</v>
      </c>
      <c r="K255" s="22" t="s">
        <v>163</v>
      </c>
      <c r="L255" s="21" t="s">
        <v>1641</v>
      </c>
      <c r="M255" s="21" t="s">
        <v>1819</v>
      </c>
    </row>
    <row r="256" spans="1:13" ht="15" hidden="1" customHeight="1" x14ac:dyDescent="0.25">
      <c r="A256" s="21" t="s">
        <v>2013</v>
      </c>
      <c r="B256" s="22" t="s">
        <v>1573</v>
      </c>
      <c r="C256" s="22" t="s">
        <v>500</v>
      </c>
      <c r="D256" s="21" t="s">
        <v>1814</v>
      </c>
      <c r="E256" s="21" t="s">
        <v>1254</v>
      </c>
      <c r="F256" s="21" t="s">
        <v>1443</v>
      </c>
      <c r="G256" s="21" t="s">
        <v>1991</v>
      </c>
      <c r="H256" s="21" t="s">
        <v>1314</v>
      </c>
      <c r="I256" s="21" t="s">
        <v>1735</v>
      </c>
      <c r="J256" s="21" t="s">
        <v>1864</v>
      </c>
      <c r="K256" s="22" t="s">
        <v>2014</v>
      </c>
      <c r="L256" s="21" t="s">
        <v>1641</v>
      </c>
      <c r="M256" s="21" t="s">
        <v>1819</v>
      </c>
    </row>
    <row r="257" spans="1:13" ht="15" hidden="1" customHeight="1" x14ac:dyDescent="0.25">
      <c r="A257" s="21" t="s">
        <v>2015</v>
      </c>
      <c r="B257" s="22" t="s">
        <v>1577</v>
      </c>
      <c r="C257" s="22" t="s">
        <v>2016</v>
      </c>
      <c r="D257" s="21" t="s">
        <v>1814</v>
      </c>
      <c r="E257" s="21" t="s">
        <v>1254</v>
      </c>
      <c r="F257" s="21" t="s">
        <v>1443</v>
      </c>
      <c r="G257" s="21" t="s">
        <v>1991</v>
      </c>
      <c r="H257" s="21" t="s">
        <v>1314</v>
      </c>
      <c r="I257" s="21" t="s">
        <v>1735</v>
      </c>
      <c r="J257" s="21" t="s">
        <v>1864</v>
      </c>
      <c r="K257" s="22" t="s">
        <v>2017</v>
      </c>
      <c r="L257" s="21" t="s">
        <v>1641</v>
      </c>
      <c r="M257" s="21" t="s">
        <v>1819</v>
      </c>
    </row>
    <row r="258" spans="1:13" ht="15" hidden="1" customHeight="1" x14ac:dyDescent="0.25">
      <c r="A258" s="21" t="s">
        <v>2018</v>
      </c>
      <c r="B258" s="22" t="s">
        <v>1581</v>
      </c>
      <c r="C258" s="22"/>
      <c r="D258" s="21" t="s">
        <v>1814</v>
      </c>
      <c r="E258" s="21"/>
      <c r="F258" s="21"/>
      <c r="G258" s="21"/>
      <c r="H258" s="21"/>
      <c r="I258" s="21"/>
      <c r="J258" s="21"/>
      <c r="K258" s="22"/>
      <c r="L258" s="21"/>
      <c r="M258" s="21"/>
    </row>
    <row r="259" spans="1:13" ht="15" hidden="1" customHeight="1" x14ac:dyDescent="0.25">
      <c r="A259" s="21" t="s">
        <v>2019</v>
      </c>
      <c r="B259" s="22" t="s">
        <v>1584</v>
      </c>
      <c r="C259" s="22" t="s">
        <v>501</v>
      </c>
      <c r="D259" s="21" t="s">
        <v>1814</v>
      </c>
      <c r="E259" s="21" t="s">
        <v>1254</v>
      </c>
      <c r="F259" s="21" t="s">
        <v>1443</v>
      </c>
      <c r="G259" s="21"/>
      <c r="H259" s="21" t="s">
        <v>1821</v>
      </c>
      <c r="I259" s="21" t="s">
        <v>1822</v>
      </c>
      <c r="J259" s="21" t="s">
        <v>1891</v>
      </c>
      <c r="K259" s="22" t="s">
        <v>2020</v>
      </c>
      <c r="L259" s="21" t="s">
        <v>1706</v>
      </c>
      <c r="M259" s="21" t="s">
        <v>1819</v>
      </c>
    </row>
    <row r="260" spans="1:13" ht="15" hidden="1" customHeight="1" x14ac:dyDescent="0.25">
      <c r="A260" s="21" t="s">
        <v>2021</v>
      </c>
      <c r="B260" s="22" t="s">
        <v>1587</v>
      </c>
      <c r="C260" s="22" t="s">
        <v>502</v>
      </c>
      <c r="D260" s="21" t="s">
        <v>1814</v>
      </c>
      <c r="E260" s="21" t="s">
        <v>1254</v>
      </c>
      <c r="F260" s="21" t="s">
        <v>1443</v>
      </c>
      <c r="G260" s="21" t="s">
        <v>1832</v>
      </c>
      <c r="H260" s="21" t="s">
        <v>1314</v>
      </c>
      <c r="I260" s="21" t="s">
        <v>1895</v>
      </c>
      <c r="J260" s="21" t="s">
        <v>1903</v>
      </c>
      <c r="K260" s="22" t="s">
        <v>2022</v>
      </c>
      <c r="L260" s="21" t="s">
        <v>1641</v>
      </c>
      <c r="M260" s="21" t="s">
        <v>1819</v>
      </c>
    </row>
    <row r="261" spans="1:13" ht="15" hidden="1" customHeight="1" x14ac:dyDescent="0.25">
      <c r="A261" s="21" t="s">
        <v>2023</v>
      </c>
      <c r="B261" s="22" t="s">
        <v>1590</v>
      </c>
      <c r="C261" s="22"/>
      <c r="D261" s="21" t="s">
        <v>1814</v>
      </c>
      <c r="E261" s="21"/>
      <c r="F261" s="21"/>
      <c r="G261" s="21"/>
      <c r="H261" s="21"/>
      <c r="I261" s="21"/>
      <c r="J261" s="21"/>
      <c r="K261" s="22"/>
      <c r="L261" s="21"/>
      <c r="M261" s="21"/>
    </row>
    <row r="262" spans="1:13" ht="15" hidden="1" customHeight="1" x14ac:dyDescent="0.25">
      <c r="A262" s="21" t="s">
        <v>2024</v>
      </c>
      <c r="B262" s="22" t="s">
        <v>1594</v>
      </c>
      <c r="C262" s="22" t="s">
        <v>503</v>
      </c>
      <c r="D262" s="21" t="s">
        <v>1814</v>
      </c>
      <c r="E262" s="21" t="s">
        <v>1254</v>
      </c>
      <c r="F262" s="21" t="s">
        <v>1443</v>
      </c>
      <c r="G262" s="21"/>
      <c r="H262" s="21" t="s">
        <v>1821</v>
      </c>
      <c r="I262" s="21" t="s">
        <v>1822</v>
      </c>
      <c r="J262" s="21" t="s">
        <v>1891</v>
      </c>
      <c r="K262" s="22" t="s">
        <v>2025</v>
      </c>
      <c r="L262" s="21" t="s">
        <v>1706</v>
      </c>
      <c r="M262" s="21" t="s">
        <v>1819</v>
      </c>
    </row>
    <row r="263" spans="1:13" ht="15" hidden="1" customHeight="1" x14ac:dyDescent="0.25">
      <c r="A263" s="21" t="s">
        <v>2026</v>
      </c>
      <c r="B263" s="22" t="s">
        <v>1600</v>
      </c>
      <c r="C263" s="22" t="s">
        <v>504</v>
      </c>
      <c r="D263" s="21" t="s">
        <v>1814</v>
      </c>
      <c r="E263" s="21" t="s">
        <v>1270</v>
      </c>
      <c r="F263" s="21" t="s">
        <v>1258</v>
      </c>
      <c r="G263" s="21" t="s">
        <v>1258</v>
      </c>
      <c r="H263" s="21" t="s">
        <v>1314</v>
      </c>
      <c r="I263" s="21" t="s">
        <v>2027</v>
      </c>
      <c r="J263" s="21" t="s">
        <v>1872</v>
      </c>
      <c r="K263" s="22" t="s">
        <v>2028</v>
      </c>
      <c r="L263" s="21" t="s">
        <v>1641</v>
      </c>
      <c r="M263" s="21" t="s">
        <v>1825</v>
      </c>
    </row>
    <row r="264" spans="1:13" ht="15" hidden="1" customHeight="1" x14ac:dyDescent="0.25">
      <c r="A264" s="21" t="s">
        <v>2029</v>
      </c>
      <c r="B264" s="22" t="s">
        <v>1603</v>
      </c>
      <c r="C264" s="22" t="s">
        <v>195</v>
      </c>
      <c r="D264" s="21" t="s">
        <v>1814</v>
      </c>
      <c r="E264" s="21" t="s">
        <v>1225</v>
      </c>
      <c r="F264" s="21" t="s">
        <v>1284</v>
      </c>
      <c r="G264" s="21"/>
      <c r="H264" s="21" t="s">
        <v>1286</v>
      </c>
      <c r="I264" s="21" t="s">
        <v>1735</v>
      </c>
      <c r="J264" s="21" t="s">
        <v>1924</v>
      </c>
      <c r="K264" s="22" t="s">
        <v>194</v>
      </c>
      <c r="L264" s="21" t="s">
        <v>1290</v>
      </c>
      <c r="M264" s="21" t="s">
        <v>1819</v>
      </c>
    </row>
    <row r="265" spans="1:13" ht="15" hidden="1" customHeight="1" x14ac:dyDescent="0.25">
      <c r="A265" s="21" t="s">
        <v>2030</v>
      </c>
      <c r="B265" s="22" t="s">
        <v>1605</v>
      </c>
      <c r="C265" s="22" t="s">
        <v>505</v>
      </c>
      <c r="D265" s="21" t="s">
        <v>1814</v>
      </c>
      <c r="E265" s="21" t="s">
        <v>1225</v>
      </c>
      <c r="F265" s="21" t="s">
        <v>1284</v>
      </c>
      <c r="G265" s="21"/>
      <c r="H265" s="21" t="s">
        <v>1286</v>
      </c>
      <c r="I265" s="21" t="s">
        <v>1735</v>
      </c>
      <c r="J265" s="21" t="s">
        <v>1924</v>
      </c>
      <c r="K265" s="22" t="s">
        <v>2031</v>
      </c>
      <c r="L265" s="21" t="s">
        <v>1290</v>
      </c>
      <c r="M265" s="21" t="s">
        <v>1819</v>
      </c>
    </row>
    <row r="266" spans="1:13" ht="15" hidden="1" customHeight="1" x14ac:dyDescent="0.25">
      <c r="A266" s="21" t="s">
        <v>2032</v>
      </c>
      <c r="B266" s="22" t="s">
        <v>1608</v>
      </c>
      <c r="C266" s="22" t="s">
        <v>202</v>
      </c>
      <c r="D266" s="21" t="s">
        <v>1814</v>
      </c>
      <c r="E266" s="21" t="s">
        <v>1225</v>
      </c>
      <c r="F266" s="21" t="s">
        <v>1284</v>
      </c>
      <c r="G266" s="21"/>
      <c r="H266" s="21" t="s">
        <v>1286</v>
      </c>
      <c r="I266" s="21" t="s">
        <v>1735</v>
      </c>
      <c r="J266" s="21" t="s">
        <v>1924</v>
      </c>
      <c r="K266" s="22" t="s">
        <v>201</v>
      </c>
      <c r="L266" s="21" t="s">
        <v>1290</v>
      </c>
      <c r="M266" s="21" t="s">
        <v>1819</v>
      </c>
    </row>
    <row r="267" spans="1:13" ht="15" hidden="1" customHeight="1" x14ac:dyDescent="0.25">
      <c r="A267" s="21" t="s">
        <v>2033</v>
      </c>
      <c r="B267" s="22" t="s">
        <v>1611</v>
      </c>
      <c r="C267" s="22" t="s">
        <v>506</v>
      </c>
      <c r="D267" s="21" t="s">
        <v>1814</v>
      </c>
      <c r="E267" s="21" t="s">
        <v>1225</v>
      </c>
      <c r="F267" s="21" t="s">
        <v>1284</v>
      </c>
      <c r="G267" s="21"/>
      <c r="H267" s="21" t="s">
        <v>1286</v>
      </c>
      <c r="I267" s="21" t="s">
        <v>1735</v>
      </c>
      <c r="J267" s="21" t="s">
        <v>1924</v>
      </c>
      <c r="K267" s="22" t="s">
        <v>2034</v>
      </c>
      <c r="L267" s="21" t="s">
        <v>1290</v>
      </c>
      <c r="M267" s="21" t="s">
        <v>1819</v>
      </c>
    </row>
    <row r="268" spans="1:13" ht="15" hidden="1" customHeight="1" x14ac:dyDescent="0.25">
      <c r="A268" s="21" t="s">
        <v>2035</v>
      </c>
      <c r="B268" s="22" t="s">
        <v>1614</v>
      </c>
      <c r="C268" s="22" t="s">
        <v>205</v>
      </c>
      <c r="D268" s="21" t="s">
        <v>1814</v>
      </c>
      <c r="E268" s="21" t="s">
        <v>1225</v>
      </c>
      <c r="F268" s="21" t="s">
        <v>1284</v>
      </c>
      <c r="G268" s="21"/>
      <c r="H268" s="21" t="s">
        <v>1286</v>
      </c>
      <c r="I268" s="21" t="s">
        <v>1735</v>
      </c>
      <c r="J268" s="21" t="s">
        <v>1924</v>
      </c>
      <c r="K268" s="22" t="s">
        <v>204</v>
      </c>
      <c r="L268" s="21" t="s">
        <v>1290</v>
      </c>
      <c r="M268" s="21" t="s">
        <v>1819</v>
      </c>
    </row>
    <row r="269" spans="1:13" ht="15" hidden="1" customHeight="1" x14ac:dyDescent="0.25">
      <c r="A269" s="21" t="s">
        <v>2036</v>
      </c>
      <c r="B269" s="22" t="s">
        <v>1617</v>
      </c>
      <c r="C269" s="22" t="s">
        <v>207</v>
      </c>
      <c r="D269" s="21" t="s">
        <v>1814</v>
      </c>
      <c r="E269" s="21" t="s">
        <v>1225</v>
      </c>
      <c r="F269" s="21" t="s">
        <v>1284</v>
      </c>
      <c r="G269" s="21"/>
      <c r="H269" s="21" t="s">
        <v>1286</v>
      </c>
      <c r="I269" s="21" t="s">
        <v>1735</v>
      </c>
      <c r="J269" s="21" t="s">
        <v>1924</v>
      </c>
      <c r="K269" s="22" t="s">
        <v>206</v>
      </c>
      <c r="L269" s="21" t="s">
        <v>1290</v>
      </c>
      <c r="M269" s="21" t="s">
        <v>1819</v>
      </c>
    </row>
    <row r="270" spans="1:13" ht="15" hidden="1" customHeight="1" x14ac:dyDescent="0.25">
      <c r="A270" s="21" t="s">
        <v>2037</v>
      </c>
      <c r="B270" s="22" t="s">
        <v>1620</v>
      </c>
      <c r="C270" s="22" t="s">
        <v>200</v>
      </c>
      <c r="D270" s="21" t="s">
        <v>1814</v>
      </c>
      <c r="E270" s="21" t="s">
        <v>1225</v>
      </c>
      <c r="F270" s="21" t="s">
        <v>1284</v>
      </c>
      <c r="G270" s="21"/>
      <c r="H270" s="21" t="s">
        <v>1286</v>
      </c>
      <c r="I270" s="21" t="s">
        <v>1735</v>
      </c>
      <c r="J270" s="21" t="s">
        <v>1924</v>
      </c>
      <c r="K270" s="22" t="s">
        <v>199</v>
      </c>
      <c r="L270" s="21" t="s">
        <v>1290</v>
      </c>
      <c r="M270" s="21" t="s">
        <v>1819</v>
      </c>
    </row>
    <row r="271" spans="1:13" ht="15" hidden="1" customHeight="1" x14ac:dyDescent="0.25">
      <c r="A271" s="21" t="s">
        <v>2038</v>
      </c>
      <c r="B271" s="22" t="s">
        <v>1622</v>
      </c>
      <c r="C271" s="22" t="s">
        <v>507</v>
      </c>
      <c r="D271" s="21" t="s">
        <v>1814</v>
      </c>
      <c r="E271" s="21" t="s">
        <v>1225</v>
      </c>
      <c r="F271" s="21" t="s">
        <v>1284</v>
      </c>
      <c r="G271" s="21"/>
      <c r="H271" s="21" t="s">
        <v>1286</v>
      </c>
      <c r="I271" s="21" t="s">
        <v>1735</v>
      </c>
      <c r="J271" s="21" t="s">
        <v>1924</v>
      </c>
      <c r="K271" s="22" t="s">
        <v>2039</v>
      </c>
      <c r="L271" s="21" t="s">
        <v>1290</v>
      </c>
      <c r="M271" s="21" t="s">
        <v>1819</v>
      </c>
    </row>
    <row r="272" spans="1:13" ht="15" hidden="1" customHeight="1" x14ac:dyDescent="0.25">
      <c r="A272" s="21" t="s">
        <v>2040</v>
      </c>
      <c r="B272" s="22" t="s">
        <v>1628</v>
      </c>
      <c r="C272" s="22" t="s">
        <v>2041</v>
      </c>
      <c r="D272" s="21" t="s">
        <v>1814</v>
      </c>
      <c r="E272" s="21" t="s">
        <v>1225</v>
      </c>
      <c r="F272" s="21" t="s">
        <v>1284</v>
      </c>
      <c r="G272" s="21"/>
      <c r="H272" s="21" t="s">
        <v>1286</v>
      </c>
      <c r="I272" s="21" t="s">
        <v>1735</v>
      </c>
      <c r="J272" s="21" t="s">
        <v>1924</v>
      </c>
      <c r="K272" s="22" t="s">
        <v>2042</v>
      </c>
      <c r="L272" s="21" t="s">
        <v>1290</v>
      </c>
      <c r="M272" s="21" t="s">
        <v>1819</v>
      </c>
    </row>
    <row r="273" spans="1:13" ht="15" hidden="1" customHeight="1" x14ac:dyDescent="0.25">
      <c r="A273" s="21" t="s">
        <v>2043</v>
      </c>
      <c r="B273" s="22" t="s">
        <v>1631</v>
      </c>
      <c r="C273" s="22" t="s">
        <v>508</v>
      </c>
      <c r="D273" s="21" t="s">
        <v>1814</v>
      </c>
      <c r="E273" s="21" t="s">
        <v>1225</v>
      </c>
      <c r="F273" s="21" t="s">
        <v>1284</v>
      </c>
      <c r="G273" s="21"/>
      <c r="H273" s="21" t="s">
        <v>1286</v>
      </c>
      <c r="I273" s="21" t="s">
        <v>1735</v>
      </c>
      <c r="J273" s="21" t="s">
        <v>1924</v>
      </c>
      <c r="K273" s="22" t="s">
        <v>2044</v>
      </c>
      <c r="L273" s="21" t="s">
        <v>1290</v>
      </c>
      <c r="M273" s="21" t="s">
        <v>1819</v>
      </c>
    </row>
    <row r="274" spans="1:13" ht="15" hidden="1" customHeight="1" x14ac:dyDescent="0.25">
      <c r="A274" s="21" t="s">
        <v>2045</v>
      </c>
      <c r="B274" s="22" t="s">
        <v>1635</v>
      </c>
      <c r="C274" s="22" t="s">
        <v>189</v>
      </c>
      <c r="D274" s="21" t="s">
        <v>1814</v>
      </c>
      <c r="E274" s="21" t="s">
        <v>1225</v>
      </c>
      <c r="F274" s="21" t="s">
        <v>1284</v>
      </c>
      <c r="G274" s="21"/>
      <c r="H274" s="21" t="s">
        <v>1286</v>
      </c>
      <c r="I274" s="21" t="s">
        <v>1735</v>
      </c>
      <c r="J274" s="21" t="s">
        <v>1924</v>
      </c>
      <c r="K274" s="22" t="s">
        <v>188</v>
      </c>
      <c r="L274" s="21" t="s">
        <v>1290</v>
      </c>
      <c r="M274" s="21" t="s">
        <v>1819</v>
      </c>
    </row>
    <row r="275" spans="1:13" ht="15" hidden="1" customHeight="1" x14ac:dyDescent="0.25">
      <c r="A275" s="21" t="s">
        <v>2046</v>
      </c>
      <c r="B275" s="22" t="s">
        <v>1638</v>
      </c>
      <c r="C275" s="22" t="s">
        <v>509</v>
      </c>
      <c r="D275" s="21" t="s">
        <v>1814</v>
      </c>
      <c r="E275" s="21" t="s">
        <v>1246</v>
      </c>
      <c r="F275" s="21" t="s">
        <v>1246</v>
      </c>
      <c r="G275" s="21" t="s">
        <v>1643</v>
      </c>
      <c r="H275" s="21" t="s">
        <v>1314</v>
      </c>
      <c r="I275" s="21" t="s">
        <v>2027</v>
      </c>
      <c r="J275" s="21" t="s">
        <v>1872</v>
      </c>
      <c r="K275" s="22" t="s">
        <v>2047</v>
      </c>
      <c r="L275" s="21" t="s">
        <v>1290</v>
      </c>
      <c r="M275" s="21" t="s">
        <v>1825</v>
      </c>
    </row>
    <row r="276" spans="1:13" ht="15" hidden="1" customHeight="1" x14ac:dyDescent="0.25">
      <c r="A276" s="21" t="s">
        <v>2048</v>
      </c>
      <c r="B276" s="22" t="s">
        <v>1642</v>
      </c>
      <c r="C276" s="22" t="s">
        <v>510</v>
      </c>
      <c r="D276" s="21" t="s">
        <v>1814</v>
      </c>
      <c r="E276" s="21" t="s">
        <v>1254</v>
      </c>
      <c r="F276" s="21" t="s">
        <v>1443</v>
      </c>
      <c r="G276" s="21"/>
      <c r="H276" s="21" t="s">
        <v>1821</v>
      </c>
      <c r="I276" s="21" t="s">
        <v>1822</v>
      </c>
      <c r="J276" s="21" t="s">
        <v>1891</v>
      </c>
      <c r="K276" s="22" t="s">
        <v>2049</v>
      </c>
      <c r="L276" s="21" t="s">
        <v>1706</v>
      </c>
      <c r="M276" s="21" t="s">
        <v>1819</v>
      </c>
    </row>
    <row r="277" spans="1:13" ht="15" hidden="1" customHeight="1" x14ac:dyDescent="0.25">
      <c r="A277" s="21" t="s">
        <v>2050</v>
      </c>
      <c r="B277" s="22" t="s">
        <v>1647</v>
      </c>
      <c r="C277" s="22" t="s">
        <v>511</v>
      </c>
      <c r="D277" s="21" t="s">
        <v>1814</v>
      </c>
      <c r="E277" s="21" t="s">
        <v>1252</v>
      </c>
      <c r="F277" s="21" t="s">
        <v>1252</v>
      </c>
      <c r="G277" s="21" t="s">
        <v>1863</v>
      </c>
      <c r="H277" s="21" t="s">
        <v>1821</v>
      </c>
      <c r="I277" s="21" t="s">
        <v>1816</v>
      </c>
      <c r="J277" s="21" t="s">
        <v>2051</v>
      </c>
      <c r="K277" s="22" t="s">
        <v>2052</v>
      </c>
      <c r="L277" s="21" t="s">
        <v>1431</v>
      </c>
      <c r="M277" s="21" t="s">
        <v>1830</v>
      </c>
    </row>
    <row r="278" spans="1:13" ht="15" hidden="1" customHeight="1" x14ac:dyDescent="0.25">
      <c r="A278" s="21" t="s">
        <v>2053</v>
      </c>
      <c r="B278" s="22" t="s">
        <v>1651</v>
      </c>
      <c r="C278" s="22" t="s">
        <v>512</v>
      </c>
      <c r="D278" s="21" t="s">
        <v>1814</v>
      </c>
      <c r="E278" s="21" t="s">
        <v>1252</v>
      </c>
      <c r="F278" s="21" t="s">
        <v>1252</v>
      </c>
      <c r="G278" s="21" t="s">
        <v>2054</v>
      </c>
      <c r="H278" s="21" t="s">
        <v>1821</v>
      </c>
      <c r="I278" s="21" t="s">
        <v>1816</v>
      </c>
      <c r="J278" s="21" t="s">
        <v>2051</v>
      </c>
      <c r="K278" s="22" t="s">
        <v>2055</v>
      </c>
      <c r="L278" s="21" t="s">
        <v>1431</v>
      </c>
      <c r="M278" s="21" t="s">
        <v>1830</v>
      </c>
    </row>
    <row r="279" spans="1:13" ht="15" hidden="1" customHeight="1" x14ac:dyDescent="0.25">
      <c r="A279" s="21" t="s">
        <v>2056</v>
      </c>
      <c r="B279" s="22" t="s">
        <v>1653</v>
      </c>
      <c r="C279" s="22" t="s">
        <v>69</v>
      </c>
      <c r="D279" s="21" t="s">
        <v>1814</v>
      </c>
      <c r="E279" s="21" t="s">
        <v>1252</v>
      </c>
      <c r="F279" s="21" t="s">
        <v>1252</v>
      </c>
      <c r="G279" s="21" t="s">
        <v>2054</v>
      </c>
      <c r="H279" s="21" t="s">
        <v>1821</v>
      </c>
      <c r="I279" s="21" t="s">
        <v>1816</v>
      </c>
      <c r="J279" s="21" t="s">
        <v>2051</v>
      </c>
      <c r="K279" s="22" t="s">
        <v>137</v>
      </c>
      <c r="L279" s="21" t="s">
        <v>1431</v>
      </c>
      <c r="M279" s="21" t="s">
        <v>1830</v>
      </c>
    </row>
    <row r="280" spans="1:13" ht="15" hidden="1" customHeight="1" x14ac:dyDescent="0.25">
      <c r="A280" s="21" t="s">
        <v>2057</v>
      </c>
      <c r="B280" s="22" t="s">
        <v>1656</v>
      </c>
      <c r="C280" s="22" t="s">
        <v>70</v>
      </c>
      <c r="D280" s="21" t="s">
        <v>1814</v>
      </c>
      <c r="E280" s="21" t="s">
        <v>1252</v>
      </c>
      <c r="F280" s="21" t="s">
        <v>1252</v>
      </c>
      <c r="G280" s="21" t="s">
        <v>2054</v>
      </c>
      <c r="H280" s="21" t="s">
        <v>1821</v>
      </c>
      <c r="I280" s="21" t="s">
        <v>1816</v>
      </c>
      <c r="J280" s="21" t="s">
        <v>2051</v>
      </c>
      <c r="K280" s="22" t="s">
        <v>143</v>
      </c>
      <c r="L280" s="21" t="s">
        <v>1431</v>
      </c>
      <c r="M280" s="21" t="s">
        <v>1830</v>
      </c>
    </row>
    <row r="281" spans="1:13" ht="15" hidden="1" customHeight="1" x14ac:dyDescent="0.25">
      <c r="A281" s="21" t="s">
        <v>2058</v>
      </c>
      <c r="B281" s="22" t="s">
        <v>1659</v>
      </c>
      <c r="C281" s="22" t="s">
        <v>515</v>
      </c>
      <c r="D281" s="21" t="s">
        <v>1814</v>
      </c>
      <c r="E281" s="21" t="s">
        <v>1265</v>
      </c>
      <c r="F281" s="21" t="s">
        <v>1265</v>
      </c>
      <c r="G281" s="21"/>
      <c r="H281" s="21" t="s">
        <v>1821</v>
      </c>
      <c r="I281" s="21" t="s">
        <v>1816</v>
      </c>
      <c r="J281" s="21" t="s">
        <v>2051</v>
      </c>
      <c r="K281" s="22" t="s">
        <v>2059</v>
      </c>
      <c r="L281" s="21" t="s">
        <v>1431</v>
      </c>
      <c r="M281" s="21" t="s">
        <v>1830</v>
      </c>
    </row>
    <row r="282" spans="1:13" ht="15" hidden="1" customHeight="1" x14ac:dyDescent="0.25">
      <c r="A282" s="21" t="s">
        <v>2060</v>
      </c>
      <c r="B282" s="22" t="s">
        <v>1663</v>
      </c>
      <c r="C282" s="22" t="s">
        <v>516</v>
      </c>
      <c r="D282" s="21" t="s">
        <v>1814</v>
      </c>
      <c r="E282" s="21" t="s">
        <v>1270</v>
      </c>
      <c r="F282" s="21" t="s">
        <v>1258</v>
      </c>
      <c r="G282" s="21"/>
      <c r="H282" s="21" t="s">
        <v>1821</v>
      </c>
      <c r="I282" s="21" t="s">
        <v>1816</v>
      </c>
      <c r="J282" s="21" t="s">
        <v>2051</v>
      </c>
      <c r="K282" s="22" t="s">
        <v>2061</v>
      </c>
      <c r="L282" s="21" t="s">
        <v>1431</v>
      </c>
      <c r="M282" s="21" t="s">
        <v>1830</v>
      </c>
    </row>
    <row r="283" spans="1:13" ht="15" hidden="1" customHeight="1" x14ac:dyDescent="0.25">
      <c r="A283" s="21" t="s">
        <v>2062</v>
      </c>
      <c r="B283" s="22" t="s">
        <v>1666</v>
      </c>
      <c r="C283" s="22" t="s">
        <v>133</v>
      </c>
      <c r="D283" s="21" t="s">
        <v>1814</v>
      </c>
      <c r="E283" s="21" t="s">
        <v>1268</v>
      </c>
      <c r="F283" s="21" t="s">
        <v>2063</v>
      </c>
      <c r="G283" s="21" t="s">
        <v>1252</v>
      </c>
      <c r="H283" s="21" t="s">
        <v>1821</v>
      </c>
      <c r="I283" s="21" t="s">
        <v>1816</v>
      </c>
      <c r="J283" s="21" t="s">
        <v>2051</v>
      </c>
      <c r="K283" s="22" t="s">
        <v>132</v>
      </c>
      <c r="L283" s="21" t="s">
        <v>1431</v>
      </c>
      <c r="M283" s="21" t="s">
        <v>1830</v>
      </c>
    </row>
    <row r="284" spans="1:13" ht="15" hidden="1" customHeight="1" x14ac:dyDescent="0.25">
      <c r="A284" s="21" t="s">
        <v>2064</v>
      </c>
      <c r="B284" s="22" t="s">
        <v>1669</v>
      </c>
      <c r="C284" s="22" t="s">
        <v>518</v>
      </c>
      <c r="D284" s="21" t="s">
        <v>1814</v>
      </c>
      <c r="E284" s="21" t="s">
        <v>1258</v>
      </c>
      <c r="F284" s="21" t="s">
        <v>1636</v>
      </c>
      <c r="G284" s="21" t="s">
        <v>1293</v>
      </c>
      <c r="H284" s="21" t="s">
        <v>1314</v>
      </c>
      <c r="I284" s="21" t="s">
        <v>1871</v>
      </c>
      <c r="J284" s="21" t="s">
        <v>1872</v>
      </c>
      <c r="K284" s="22" t="s">
        <v>2065</v>
      </c>
      <c r="L284" s="21" t="s">
        <v>1431</v>
      </c>
      <c r="M284" s="21" t="s">
        <v>1825</v>
      </c>
    </row>
    <row r="285" spans="1:13" ht="15" hidden="1" customHeight="1" x14ac:dyDescent="0.25">
      <c r="A285" s="21" t="s">
        <v>2066</v>
      </c>
      <c r="B285" s="22" t="s">
        <v>1672</v>
      </c>
      <c r="C285" s="22" t="s">
        <v>519</v>
      </c>
      <c r="D285" s="21" t="s">
        <v>1814</v>
      </c>
      <c r="E285" s="21" t="s">
        <v>1253</v>
      </c>
      <c r="F285" s="21" t="s">
        <v>1265</v>
      </c>
      <c r="G285" s="21" t="s">
        <v>1265</v>
      </c>
      <c r="H285" s="21" t="s">
        <v>1821</v>
      </c>
      <c r="I285" s="21" t="s">
        <v>2067</v>
      </c>
      <c r="J285" s="21" t="s">
        <v>2068</v>
      </c>
      <c r="K285" s="22" t="s">
        <v>2069</v>
      </c>
      <c r="L285" s="21" t="s">
        <v>1431</v>
      </c>
      <c r="M285" s="21" t="s">
        <v>1819</v>
      </c>
    </row>
    <row r="286" spans="1:13" ht="15" hidden="1" customHeight="1" x14ac:dyDescent="0.25">
      <c r="A286" s="21" t="s">
        <v>2070</v>
      </c>
      <c r="B286" s="22" t="s">
        <v>1677</v>
      </c>
      <c r="C286" s="22" t="s">
        <v>520</v>
      </c>
      <c r="D286" s="21" t="s">
        <v>1814</v>
      </c>
      <c r="E286" s="21" t="s">
        <v>1253</v>
      </c>
      <c r="F286" s="21" t="s">
        <v>1265</v>
      </c>
      <c r="G286" s="21" t="s">
        <v>1265</v>
      </c>
      <c r="H286" s="21" t="s">
        <v>1821</v>
      </c>
      <c r="I286" s="21" t="s">
        <v>2067</v>
      </c>
      <c r="J286" s="21" t="s">
        <v>2068</v>
      </c>
      <c r="K286" s="22" t="s">
        <v>2071</v>
      </c>
      <c r="L286" s="21" t="s">
        <v>1431</v>
      </c>
      <c r="M286" s="21" t="s">
        <v>1819</v>
      </c>
    </row>
    <row r="287" spans="1:13" ht="15" hidden="1" customHeight="1" x14ac:dyDescent="0.25">
      <c r="A287" s="21" t="s">
        <v>2072</v>
      </c>
      <c r="B287" s="22" t="s">
        <v>1680</v>
      </c>
      <c r="C287" s="22" t="s">
        <v>521</v>
      </c>
      <c r="D287" s="21" t="s">
        <v>1814</v>
      </c>
      <c r="E287" s="21" t="s">
        <v>1252</v>
      </c>
      <c r="F287" s="21" t="s">
        <v>1252</v>
      </c>
      <c r="G287" s="21" t="s">
        <v>1863</v>
      </c>
      <c r="H287" s="21" t="s">
        <v>1821</v>
      </c>
      <c r="I287" s="21" t="s">
        <v>2067</v>
      </c>
      <c r="J287" s="21" t="s">
        <v>2068</v>
      </c>
      <c r="K287" s="22" t="s">
        <v>2073</v>
      </c>
      <c r="L287" s="21" t="s">
        <v>1431</v>
      </c>
      <c r="M287" s="21" t="s">
        <v>1819</v>
      </c>
    </row>
    <row r="288" spans="1:13" ht="15" hidden="1" customHeight="1" x14ac:dyDescent="0.25">
      <c r="A288" s="21" t="s">
        <v>2074</v>
      </c>
      <c r="B288" s="22" t="s">
        <v>1683</v>
      </c>
      <c r="C288" s="22" t="s">
        <v>522</v>
      </c>
      <c r="D288" s="21" t="s">
        <v>1814</v>
      </c>
      <c r="E288" s="21" t="s">
        <v>1252</v>
      </c>
      <c r="F288" s="21" t="s">
        <v>1252</v>
      </c>
      <c r="G288" s="21" t="s">
        <v>1863</v>
      </c>
      <c r="H288" s="21" t="s">
        <v>1821</v>
      </c>
      <c r="I288" s="21" t="s">
        <v>2067</v>
      </c>
      <c r="J288" s="21" t="s">
        <v>2068</v>
      </c>
      <c r="K288" s="22" t="s">
        <v>2075</v>
      </c>
      <c r="L288" s="21" t="s">
        <v>1431</v>
      </c>
      <c r="M288" s="21" t="s">
        <v>1819</v>
      </c>
    </row>
    <row r="289" spans="1:13" ht="15" hidden="1" customHeight="1" x14ac:dyDescent="0.25">
      <c r="A289" s="21" t="s">
        <v>2076</v>
      </c>
      <c r="B289" s="22" t="s">
        <v>1685</v>
      </c>
      <c r="C289" s="22" t="s">
        <v>523</v>
      </c>
      <c r="D289" s="21" t="s">
        <v>1814</v>
      </c>
      <c r="E289" s="21" t="s">
        <v>1254</v>
      </c>
      <c r="F289" s="21" t="s">
        <v>1443</v>
      </c>
      <c r="G289" s="21"/>
      <c r="H289" s="21" t="s">
        <v>1314</v>
      </c>
      <c r="I289" s="21" t="s">
        <v>1822</v>
      </c>
      <c r="J289" s="21" t="s">
        <v>1891</v>
      </c>
      <c r="K289" s="22" t="s">
        <v>2077</v>
      </c>
      <c r="L289" s="21" t="s">
        <v>1431</v>
      </c>
      <c r="M289" s="21" t="s">
        <v>1819</v>
      </c>
    </row>
    <row r="290" spans="1:13" ht="15" hidden="1" customHeight="1" x14ac:dyDescent="0.25">
      <c r="A290" s="21" t="s">
        <v>2078</v>
      </c>
      <c r="B290" s="22" t="s">
        <v>1687</v>
      </c>
      <c r="C290" s="22" t="s">
        <v>524</v>
      </c>
      <c r="D290" s="21" t="s">
        <v>1814</v>
      </c>
      <c r="E290" s="21" t="s">
        <v>1252</v>
      </c>
      <c r="F290" s="21" t="s">
        <v>1252</v>
      </c>
      <c r="G290" s="21" t="s">
        <v>1863</v>
      </c>
      <c r="H290" s="21" t="s">
        <v>1314</v>
      </c>
      <c r="I290" s="21" t="s">
        <v>1822</v>
      </c>
      <c r="J290" s="21" t="s">
        <v>1891</v>
      </c>
      <c r="K290" s="22" t="s">
        <v>2079</v>
      </c>
      <c r="L290" s="21" t="s">
        <v>1431</v>
      </c>
      <c r="M290" s="21" t="s">
        <v>1819</v>
      </c>
    </row>
    <row r="291" spans="1:13" ht="15" hidden="1" customHeight="1" x14ac:dyDescent="0.25">
      <c r="A291" s="21" t="s">
        <v>2080</v>
      </c>
      <c r="B291" s="22" t="s">
        <v>1689</v>
      </c>
      <c r="C291" s="22" t="s">
        <v>525</v>
      </c>
      <c r="D291" s="21" t="s">
        <v>1814</v>
      </c>
      <c r="E291" s="21" t="s">
        <v>1252</v>
      </c>
      <c r="F291" s="21" t="s">
        <v>1252</v>
      </c>
      <c r="G291" s="21" t="s">
        <v>1863</v>
      </c>
      <c r="H291" s="21" t="s">
        <v>1314</v>
      </c>
      <c r="I291" s="21" t="s">
        <v>1822</v>
      </c>
      <c r="J291" s="21" t="s">
        <v>1891</v>
      </c>
      <c r="K291" s="22" t="s">
        <v>2081</v>
      </c>
      <c r="L291" s="21" t="s">
        <v>1431</v>
      </c>
      <c r="M291" s="21" t="s">
        <v>1819</v>
      </c>
    </row>
    <row r="292" spans="1:13" ht="15" hidden="1" customHeight="1" x14ac:dyDescent="0.25">
      <c r="A292" s="21" t="s">
        <v>2082</v>
      </c>
      <c r="B292" s="22" t="s">
        <v>1692</v>
      </c>
      <c r="C292" s="22" t="s">
        <v>526</v>
      </c>
      <c r="D292" s="21" t="s">
        <v>1814</v>
      </c>
      <c r="E292" s="21" t="s">
        <v>1254</v>
      </c>
      <c r="F292" s="21" t="s">
        <v>1443</v>
      </c>
      <c r="G292" s="21"/>
      <c r="H292" s="21" t="s">
        <v>1314</v>
      </c>
      <c r="I292" s="21" t="s">
        <v>1822</v>
      </c>
      <c r="J292" s="21" t="s">
        <v>1891</v>
      </c>
      <c r="K292" s="22" t="s">
        <v>2083</v>
      </c>
      <c r="L292" s="21" t="s">
        <v>1431</v>
      </c>
      <c r="M292" s="21" t="s">
        <v>1819</v>
      </c>
    </row>
    <row r="293" spans="1:13" ht="15" hidden="1" customHeight="1" x14ac:dyDescent="0.25">
      <c r="A293" s="21" t="s">
        <v>2084</v>
      </c>
      <c r="B293" s="22" t="s">
        <v>1697</v>
      </c>
      <c r="C293" s="22" t="s">
        <v>527</v>
      </c>
      <c r="D293" s="21" t="s">
        <v>1814</v>
      </c>
      <c r="E293" s="21" t="s">
        <v>1252</v>
      </c>
      <c r="F293" s="21" t="s">
        <v>1252</v>
      </c>
      <c r="G293" s="21" t="s">
        <v>1863</v>
      </c>
      <c r="H293" s="21" t="s">
        <v>1314</v>
      </c>
      <c r="I293" s="21" t="s">
        <v>1822</v>
      </c>
      <c r="J293" s="21" t="s">
        <v>1891</v>
      </c>
      <c r="K293" s="22" t="s">
        <v>2085</v>
      </c>
      <c r="L293" s="21" t="s">
        <v>1431</v>
      </c>
      <c r="M293" s="21" t="s">
        <v>1819</v>
      </c>
    </row>
    <row r="294" spans="1:13" ht="15" hidden="1" customHeight="1" x14ac:dyDescent="0.25">
      <c r="A294" s="21" t="s">
        <v>2086</v>
      </c>
      <c r="B294" s="22" t="s">
        <v>1700</v>
      </c>
      <c r="C294" s="22" t="s">
        <v>528</v>
      </c>
      <c r="D294" s="21" t="s">
        <v>1814</v>
      </c>
      <c r="E294" s="21" t="s">
        <v>1248</v>
      </c>
      <c r="F294" s="21" t="s">
        <v>1248</v>
      </c>
      <c r="G294" s="21" t="s">
        <v>2087</v>
      </c>
      <c r="H294" s="21" t="s">
        <v>1314</v>
      </c>
      <c r="I294" s="21" t="s">
        <v>2088</v>
      </c>
      <c r="J294" s="21" t="s">
        <v>2089</v>
      </c>
      <c r="K294" s="22" t="s">
        <v>2090</v>
      </c>
      <c r="L294" s="21" t="s">
        <v>1431</v>
      </c>
      <c r="M294" s="21" t="s">
        <v>1825</v>
      </c>
    </row>
    <row r="295" spans="1:13" ht="15" hidden="1" customHeight="1" x14ac:dyDescent="0.25">
      <c r="A295" s="21" t="s">
        <v>2091</v>
      </c>
      <c r="B295" s="22" t="s">
        <v>1704</v>
      </c>
      <c r="C295" s="22" t="s">
        <v>529</v>
      </c>
      <c r="D295" s="21" t="s">
        <v>1814</v>
      </c>
      <c r="E295" s="21" t="s">
        <v>1258</v>
      </c>
      <c r="F295" s="21" t="s">
        <v>1636</v>
      </c>
      <c r="G295" s="21" t="s">
        <v>1636</v>
      </c>
      <c r="H295" s="21" t="s">
        <v>1314</v>
      </c>
      <c r="I295" s="21" t="s">
        <v>1816</v>
      </c>
      <c r="J295" s="21" t="s">
        <v>1853</v>
      </c>
      <c r="K295" s="22" t="s">
        <v>2092</v>
      </c>
      <c r="L295" s="21" t="s">
        <v>1431</v>
      </c>
      <c r="M295" s="21" t="s">
        <v>1819</v>
      </c>
    </row>
    <row r="296" spans="1:13" ht="15" hidden="1" customHeight="1" x14ac:dyDescent="0.25">
      <c r="A296" s="21" t="s">
        <v>2093</v>
      </c>
      <c r="B296" s="22" t="s">
        <v>1707</v>
      </c>
      <c r="C296" s="22" t="s">
        <v>2094</v>
      </c>
      <c r="D296" s="21" t="s">
        <v>1814</v>
      </c>
      <c r="E296" s="21" t="s">
        <v>1265</v>
      </c>
      <c r="F296" s="21" t="s">
        <v>1265</v>
      </c>
      <c r="G296" s="21"/>
      <c r="H296" s="21" t="s">
        <v>2095</v>
      </c>
      <c r="I296" s="21" t="s">
        <v>1735</v>
      </c>
      <c r="J296" s="21" t="s">
        <v>1861</v>
      </c>
      <c r="K296" s="22" t="s">
        <v>2096</v>
      </c>
      <c r="L296" s="21" t="s">
        <v>1431</v>
      </c>
      <c r="M296" s="21" t="s">
        <v>1825</v>
      </c>
    </row>
    <row r="297" spans="1:13" ht="15" hidden="1" customHeight="1" x14ac:dyDescent="0.25">
      <c r="A297" s="21" t="s">
        <v>2097</v>
      </c>
      <c r="B297" s="22" t="s">
        <v>1710</v>
      </c>
      <c r="C297" s="22" t="s">
        <v>71</v>
      </c>
      <c r="D297" s="21" t="s">
        <v>1814</v>
      </c>
      <c r="E297" s="21" t="s">
        <v>1252</v>
      </c>
      <c r="F297" s="21" t="s">
        <v>1252</v>
      </c>
      <c r="G297" s="21" t="s">
        <v>1863</v>
      </c>
      <c r="H297" s="21" t="s">
        <v>2098</v>
      </c>
      <c r="I297" s="21" t="s">
        <v>1735</v>
      </c>
      <c r="J297" s="21" t="s">
        <v>1861</v>
      </c>
      <c r="K297" s="22" t="s">
        <v>151</v>
      </c>
      <c r="L297" s="21" t="s">
        <v>1431</v>
      </c>
      <c r="M297" s="21" t="s">
        <v>1825</v>
      </c>
    </row>
    <row r="298" spans="1:13" ht="15" hidden="1" customHeight="1" x14ac:dyDescent="0.25">
      <c r="A298" s="21" t="s">
        <v>2099</v>
      </c>
      <c r="B298" s="22" t="s">
        <v>1712</v>
      </c>
      <c r="C298" s="22" t="s">
        <v>530</v>
      </c>
      <c r="D298" s="21" t="s">
        <v>1814</v>
      </c>
      <c r="E298" s="21" t="s">
        <v>1265</v>
      </c>
      <c r="F298" s="21" t="s">
        <v>1265</v>
      </c>
      <c r="G298" s="21" t="s">
        <v>1937</v>
      </c>
      <c r="H298" s="21" t="s">
        <v>1821</v>
      </c>
      <c r="I298" s="21" t="s">
        <v>2067</v>
      </c>
      <c r="J298" s="21" t="s">
        <v>2068</v>
      </c>
      <c r="K298" s="22" t="s">
        <v>2100</v>
      </c>
      <c r="L298" s="21" t="s">
        <v>1431</v>
      </c>
      <c r="M298" s="21" t="s">
        <v>1819</v>
      </c>
    </row>
    <row r="299" spans="1:13" ht="15" hidden="1" customHeight="1" x14ac:dyDescent="0.25">
      <c r="A299" s="21" t="s">
        <v>1703</v>
      </c>
      <c r="B299" s="22" t="s">
        <v>1715</v>
      </c>
      <c r="C299" s="22" t="s">
        <v>531</v>
      </c>
      <c r="D299" s="21" t="s">
        <v>1814</v>
      </c>
      <c r="E299" s="21" t="s">
        <v>1265</v>
      </c>
      <c r="F299" s="21" t="s">
        <v>1265</v>
      </c>
      <c r="G299" s="21" t="s">
        <v>1937</v>
      </c>
      <c r="H299" s="21" t="s">
        <v>1821</v>
      </c>
      <c r="I299" s="21" t="s">
        <v>2067</v>
      </c>
      <c r="J299" s="21" t="s">
        <v>2068</v>
      </c>
      <c r="K299" s="22" t="s">
        <v>2101</v>
      </c>
      <c r="L299" s="21" t="s">
        <v>1431</v>
      </c>
      <c r="M299" s="21" t="s">
        <v>1819</v>
      </c>
    </row>
    <row r="300" spans="1:13" ht="15" hidden="1" customHeight="1" x14ac:dyDescent="0.25">
      <c r="A300" s="21" t="s">
        <v>2102</v>
      </c>
      <c r="B300" s="22" t="s">
        <v>1718</v>
      </c>
      <c r="C300" s="22" t="s">
        <v>532</v>
      </c>
      <c r="D300" s="21" t="s">
        <v>1814</v>
      </c>
      <c r="E300" s="21" t="s">
        <v>1254</v>
      </c>
      <c r="F300" s="21" t="s">
        <v>1443</v>
      </c>
      <c r="G300" s="21" t="s">
        <v>1863</v>
      </c>
      <c r="H300" s="21" t="s">
        <v>1314</v>
      </c>
      <c r="I300" s="21" t="s">
        <v>1816</v>
      </c>
      <c r="J300" s="21" t="s">
        <v>2103</v>
      </c>
      <c r="K300" s="22" t="s">
        <v>2104</v>
      </c>
      <c r="L300" s="21" t="s">
        <v>1431</v>
      </c>
      <c r="M300" s="21" t="s">
        <v>1819</v>
      </c>
    </row>
    <row r="301" spans="1:13" ht="15" hidden="1" customHeight="1" x14ac:dyDescent="0.25">
      <c r="A301" s="21" t="s">
        <v>2105</v>
      </c>
      <c r="B301" s="22" t="s">
        <v>1722</v>
      </c>
      <c r="C301" s="22" t="s">
        <v>533</v>
      </c>
      <c r="D301" s="21" t="s">
        <v>1814</v>
      </c>
      <c r="E301" s="21" t="s">
        <v>1270</v>
      </c>
      <c r="F301" s="21" t="s">
        <v>1258</v>
      </c>
      <c r="G301" s="21" t="s">
        <v>1258</v>
      </c>
      <c r="H301" s="21" t="s">
        <v>1314</v>
      </c>
      <c r="I301" s="21" t="s">
        <v>1816</v>
      </c>
      <c r="J301" s="21" t="s">
        <v>1833</v>
      </c>
      <c r="K301" s="22" t="s">
        <v>2106</v>
      </c>
      <c r="L301" s="21" t="s">
        <v>1431</v>
      </c>
      <c r="M301" s="21" t="s">
        <v>1819</v>
      </c>
    </row>
    <row r="302" spans="1:13" ht="15" hidden="1" customHeight="1" x14ac:dyDescent="0.25">
      <c r="A302" s="21" t="s">
        <v>2107</v>
      </c>
      <c r="B302" s="22" t="s">
        <v>1725</v>
      </c>
      <c r="C302" s="22" t="s">
        <v>534</v>
      </c>
      <c r="D302" s="21" t="s">
        <v>1814</v>
      </c>
      <c r="E302" s="21" t="s">
        <v>1258</v>
      </c>
      <c r="F302" s="21" t="s">
        <v>1636</v>
      </c>
      <c r="G302" s="21" t="s">
        <v>1636</v>
      </c>
      <c r="H302" s="21" t="s">
        <v>1314</v>
      </c>
      <c r="I302" s="21" t="s">
        <v>1816</v>
      </c>
      <c r="J302" s="21" t="s">
        <v>2103</v>
      </c>
      <c r="K302" s="22" t="s">
        <v>2108</v>
      </c>
      <c r="L302" s="21" t="s">
        <v>1431</v>
      </c>
      <c r="M302" s="21" t="s">
        <v>1819</v>
      </c>
    </row>
    <row r="303" spans="1:13" ht="15" hidden="1" customHeight="1" x14ac:dyDescent="0.25">
      <c r="A303" s="21" t="s">
        <v>2109</v>
      </c>
      <c r="B303" s="22" t="s">
        <v>1730</v>
      </c>
      <c r="C303" s="22" t="s">
        <v>535</v>
      </c>
      <c r="D303" s="21" t="s">
        <v>1814</v>
      </c>
      <c r="E303" s="21" t="s">
        <v>1258</v>
      </c>
      <c r="F303" s="21" t="s">
        <v>1636</v>
      </c>
      <c r="G303" s="21" t="s">
        <v>1636</v>
      </c>
      <c r="H303" s="21" t="s">
        <v>1314</v>
      </c>
      <c r="I303" s="21" t="s">
        <v>1816</v>
      </c>
      <c r="J303" s="21" t="s">
        <v>2103</v>
      </c>
      <c r="K303" s="22" t="s">
        <v>2110</v>
      </c>
      <c r="L303" s="21" t="s">
        <v>1431</v>
      </c>
      <c r="M303" s="21" t="s">
        <v>1819</v>
      </c>
    </row>
    <row r="304" spans="1:13" ht="15" hidden="1" customHeight="1" x14ac:dyDescent="0.25">
      <c r="A304" s="21" t="s">
        <v>2111</v>
      </c>
      <c r="B304" s="22" t="s">
        <v>1734</v>
      </c>
      <c r="C304" s="22" t="s">
        <v>536</v>
      </c>
      <c r="D304" s="21" t="s">
        <v>1814</v>
      </c>
      <c r="E304" s="21" t="s">
        <v>1254</v>
      </c>
      <c r="F304" s="21" t="s">
        <v>1443</v>
      </c>
      <c r="G304" s="21"/>
      <c r="H304" s="21" t="s">
        <v>1314</v>
      </c>
      <c r="I304" s="21" t="s">
        <v>1816</v>
      </c>
      <c r="J304" s="21" t="s">
        <v>2103</v>
      </c>
      <c r="K304" s="22" t="s">
        <v>2112</v>
      </c>
      <c r="L304" s="21" t="s">
        <v>1431</v>
      </c>
      <c r="M304" s="21" t="s">
        <v>1819</v>
      </c>
    </row>
    <row r="305" spans="1:13" ht="15" hidden="1" customHeight="1" x14ac:dyDescent="0.25">
      <c r="A305" s="21" t="s">
        <v>2113</v>
      </c>
      <c r="B305" s="22" t="s">
        <v>1738</v>
      </c>
      <c r="C305" s="22" t="s">
        <v>537</v>
      </c>
      <c r="D305" s="21" t="s">
        <v>1814</v>
      </c>
      <c r="E305" s="21" t="s">
        <v>1254</v>
      </c>
      <c r="F305" s="21" t="s">
        <v>1443</v>
      </c>
      <c r="G305" s="21"/>
      <c r="H305" s="21" t="s">
        <v>1314</v>
      </c>
      <c r="I305" s="21" t="s">
        <v>1816</v>
      </c>
      <c r="J305" s="21" t="s">
        <v>1833</v>
      </c>
      <c r="K305" s="22" t="s">
        <v>2114</v>
      </c>
      <c r="L305" s="21" t="s">
        <v>1431</v>
      </c>
      <c r="M305" s="21" t="s">
        <v>1819</v>
      </c>
    </row>
    <row r="306" spans="1:13" ht="15" hidden="1" customHeight="1" x14ac:dyDescent="0.25">
      <c r="A306" s="21" t="s">
        <v>2115</v>
      </c>
      <c r="B306" s="22" t="s">
        <v>1742</v>
      </c>
      <c r="C306" s="22" t="s">
        <v>538</v>
      </c>
      <c r="D306" s="21" t="s">
        <v>1814</v>
      </c>
      <c r="E306" s="21" t="s">
        <v>1254</v>
      </c>
      <c r="F306" s="21" t="s">
        <v>1443</v>
      </c>
      <c r="G306" s="21"/>
      <c r="H306" s="21" t="s">
        <v>1314</v>
      </c>
      <c r="I306" s="21" t="s">
        <v>1816</v>
      </c>
      <c r="J306" s="21" t="s">
        <v>1833</v>
      </c>
      <c r="K306" s="22" t="s">
        <v>2116</v>
      </c>
      <c r="L306" s="21" t="s">
        <v>1431</v>
      </c>
      <c r="M306" s="21" t="s">
        <v>1819</v>
      </c>
    </row>
    <row r="307" spans="1:13" ht="15" hidden="1" customHeight="1" x14ac:dyDescent="0.25">
      <c r="A307" s="21" t="s">
        <v>2117</v>
      </c>
      <c r="B307" s="22" t="s">
        <v>1745</v>
      </c>
      <c r="C307" s="22" t="s">
        <v>209</v>
      </c>
      <c r="D307" s="21" t="s">
        <v>1814</v>
      </c>
      <c r="E307" s="21" t="s">
        <v>1254</v>
      </c>
      <c r="F307" s="21" t="s">
        <v>1443</v>
      </c>
      <c r="G307" s="21"/>
      <c r="H307" s="21" t="s">
        <v>1314</v>
      </c>
      <c r="I307" s="21" t="s">
        <v>1735</v>
      </c>
      <c r="J307" s="21" t="s">
        <v>2118</v>
      </c>
      <c r="K307" s="22" t="s">
        <v>208</v>
      </c>
      <c r="L307" s="21" t="s">
        <v>1431</v>
      </c>
      <c r="M307" s="21" t="s">
        <v>1825</v>
      </c>
    </row>
    <row r="308" spans="1:13" ht="15" hidden="1" customHeight="1" x14ac:dyDescent="0.25">
      <c r="A308" s="21" t="s">
        <v>2119</v>
      </c>
      <c r="B308" s="22" t="s">
        <v>1746</v>
      </c>
      <c r="C308" s="22" t="s">
        <v>539</v>
      </c>
      <c r="D308" s="21" t="s">
        <v>1814</v>
      </c>
      <c r="E308" s="21" t="s">
        <v>1216</v>
      </c>
      <c r="F308" s="21" t="s">
        <v>1537</v>
      </c>
      <c r="G308" s="21" t="s">
        <v>2120</v>
      </c>
      <c r="H308" s="21" t="s">
        <v>1314</v>
      </c>
      <c r="I308" s="21" t="s">
        <v>1735</v>
      </c>
      <c r="J308" s="21" t="s">
        <v>2118</v>
      </c>
      <c r="K308" s="22" t="s">
        <v>2121</v>
      </c>
      <c r="L308" s="21" t="s">
        <v>1431</v>
      </c>
      <c r="M308" s="21" t="s">
        <v>1825</v>
      </c>
    </row>
    <row r="309" spans="1:13" ht="15" hidden="1" customHeight="1" x14ac:dyDescent="0.25">
      <c r="A309" s="21" t="s">
        <v>2122</v>
      </c>
      <c r="B309" s="22" t="s">
        <v>1749</v>
      </c>
      <c r="C309" s="22"/>
      <c r="D309" s="21" t="s">
        <v>1814</v>
      </c>
      <c r="E309" s="21"/>
      <c r="F309" s="21"/>
      <c r="G309" s="21"/>
      <c r="H309" s="21"/>
      <c r="I309" s="21"/>
      <c r="J309" s="21"/>
      <c r="K309" s="22"/>
      <c r="L309" s="21"/>
      <c r="M309" s="21"/>
    </row>
    <row r="310" spans="1:13" ht="15" hidden="1" customHeight="1" x14ac:dyDescent="0.25">
      <c r="A310" s="21" t="s">
        <v>2123</v>
      </c>
      <c r="B310" s="22" t="s">
        <v>1752</v>
      </c>
      <c r="C310" s="22" t="s">
        <v>540</v>
      </c>
      <c r="D310" s="21" t="s">
        <v>1814</v>
      </c>
      <c r="E310" s="21" t="s">
        <v>1252</v>
      </c>
      <c r="F310" s="21" t="s">
        <v>1252</v>
      </c>
      <c r="G310" s="21" t="s">
        <v>1304</v>
      </c>
      <c r="H310" s="21" t="s">
        <v>1314</v>
      </c>
      <c r="I310" s="21" t="s">
        <v>1735</v>
      </c>
      <c r="J310" s="21" t="s">
        <v>2124</v>
      </c>
      <c r="K310" s="22" t="s">
        <v>2125</v>
      </c>
      <c r="L310" s="21" t="s">
        <v>1431</v>
      </c>
      <c r="M310" s="21" t="s">
        <v>1819</v>
      </c>
    </row>
    <row r="311" spans="1:13" ht="15" hidden="1" customHeight="1" x14ac:dyDescent="0.25">
      <c r="A311" s="21" t="s">
        <v>2126</v>
      </c>
      <c r="B311" s="22" t="s">
        <v>1755</v>
      </c>
      <c r="C311" s="22" t="s">
        <v>217</v>
      </c>
      <c r="D311" s="21" t="s">
        <v>1814</v>
      </c>
      <c r="E311" s="21" t="s">
        <v>1252</v>
      </c>
      <c r="F311" s="21" t="s">
        <v>1252</v>
      </c>
      <c r="G311" s="21" t="s">
        <v>2127</v>
      </c>
      <c r="H311" s="21" t="s">
        <v>1314</v>
      </c>
      <c r="I311" s="21" t="s">
        <v>1735</v>
      </c>
      <c r="J311" s="21" t="s">
        <v>2124</v>
      </c>
      <c r="K311" s="22" t="s">
        <v>216</v>
      </c>
      <c r="L311" s="21" t="s">
        <v>1431</v>
      </c>
      <c r="M311" s="21" t="s">
        <v>1819</v>
      </c>
    </row>
    <row r="312" spans="1:13" ht="15" hidden="1" customHeight="1" x14ac:dyDescent="0.25">
      <c r="A312" s="21" t="s">
        <v>2128</v>
      </c>
      <c r="B312" s="22" t="s">
        <v>1758</v>
      </c>
      <c r="C312" s="22" t="s">
        <v>2129</v>
      </c>
      <c r="D312" s="21" t="s">
        <v>1814</v>
      </c>
      <c r="E312" s="21" t="s">
        <v>1252</v>
      </c>
      <c r="F312" s="21" t="s">
        <v>1252</v>
      </c>
      <c r="G312" s="21" t="s">
        <v>1370</v>
      </c>
      <c r="H312" s="21" t="s">
        <v>1314</v>
      </c>
      <c r="I312" s="21" t="s">
        <v>1735</v>
      </c>
      <c r="J312" s="21" t="s">
        <v>2124</v>
      </c>
      <c r="K312" s="22" t="s">
        <v>2130</v>
      </c>
      <c r="L312" s="21" t="s">
        <v>1431</v>
      </c>
      <c r="M312" s="21" t="s">
        <v>1819</v>
      </c>
    </row>
    <row r="313" spans="1:13" ht="15" hidden="1" customHeight="1" x14ac:dyDescent="0.25">
      <c r="A313" s="21" t="s">
        <v>2131</v>
      </c>
      <c r="B313" s="22" t="s">
        <v>1759</v>
      </c>
      <c r="C313" s="22" t="s">
        <v>211</v>
      </c>
      <c r="D313" s="21" t="s">
        <v>1814</v>
      </c>
      <c r="E313" s="21" t="s">
        <v>1252</v>
      </c>
      <c r="F313" s="21" t="s">
        <v>1252</v>
      </c>
      <c r="G313" s="21" t="s">
        <v>2132</v>
      </c>
      <c r="H313" s="21" t="s">
        <v>1314</v>
      </c>
      <c r="I313" s="21" t="s">
        <v>1735</v>
      </c>
      <c r="J313" s="21" t="s">
        <v>2124</v>
      </c>
      <c r="K313" s="22" t="s">
        <v>210</v>
      </c>
      <c r="L313" s="21" t="s">
        <v>1431</v>
      </c>
      <c r="M313" s="21" t="s">
        <v>1819</v>
      </c>
    </row>
    <row r="314" spans="1:13" ht="15" hidden="1" customHeight="1" x14ac:dyDescent="0.25">
      <c r="A314" s="21" t="s">
        <v>2133</v>
      </c>
      <c r="B314" s="22" t="s">
        <v>1760</v>
      </c>
      <c r="C314" s="22" t="s">
        <v>541</v>
      </c>
      <c r="D314" s="21" t="s">
        <v>1814</v>
      </c>
      <c r="E314" s="21" t="s">
        <v>1252</v>
      </c>
      <c r="F314" s="21" t="s">
        <v>1252</v>
      </c>
      <c r="G314" s="21" t="s">
        <v>1357</v>
      </c>
      <c r="H314" s="21" t="s">
        <v>1314</v>
      </c>
      <c r="I314" s="21" t="s">
        <v>1735</v>
      </c>
      <c r="J314" s="21" t="s">
        <v>2124</v>
      </c>
      <c r="K314" s="22" t="s">
        <v>2134</v>
      </c>
      <c r="L314" s="21" t="s">
        <v>1431</v>
      </c>
      <c r="M314" s="21" t="s">
        <v>1819</v>
      </c>
    </row>
    <row r="315" spans="1:13" ht="15" hidden="1" customHeight="1" x14ac:dyDescent="0.25">
      <c r="A315" s="21" t="s">
        <v>2135</v>
      </c>
      <c r="B315" s="22" t="s">
        <v>1763</v>
      </c>
      <c r="C315" s="22" t="s">
        <v>2136</v>
      </c>
      <c r="D315" s="21" t="s">
        <v>1814</v>
      </c>
      <c r="E315" s="21" t="s">
        <v>1252</v>
      </c>
      <c r="F315" s="21" t="s">
        <v>1252</v>
      </c>
      <c r="G315" s="21" t="s">
        <v>1863</v>
      </c>
      <c r="H315" s="21" t="s">
        <v>1314</v>
      </c>
      <c r="I315" s="21" t="s">
        <v>1735</v>
      </c>
      <c r="J315" s="21" t="s">
        <v>2124</v>
      </c>
      <c r="K315" s="22" t="s">
        <v>2137</v>
      </c>
      <c r="L315" s="21" t="s">
        <v>1431</v>
      </c>
      <c r="M315" s="21" t="s">
        <v>1819</v>
      </c>
    </row>
    <row r="316" spans="1:13" ht="15" hidden="1" customHeight="1" x14ac:dyDescent="0.25">
      <c r="A316" s="21" t="s">
        <v>2138</v>
      </c>
      <c r="B316" s="22" t="s">
        <v>1766</v>
      </c>
      <c r="C316" s="22" t="s">
        <v>542</v>
      </c>
      <c r="D316" s="21" t="s">
        <v>1814</v>
      </c>
      <c r="E316" s="21" t="s">
        <v>1254</v>
      </c>
      <c r="F316" s="21" t="s">
        <v>1443</v>
      </c>
      <c r="G316" s="21"/>
      <c r="H316" s="21" t="s">
        <v>1314</v>
      </c>
      <c r="I316" s="21" t="s">
        <v>1735</v>
      </c>
      <c r="J316" s="21" t="s">
        <v>2124</v>
      </c>
      <c r="K316" s="22" t="s">
        <v>2139</v>
      </c>
      <c r="L316" s="21" t="s">
        <v>1431</v>
      </c>
      <c r="M316" s="21" t="s">
        <v>1819</v>
      </c>
    </row>
    <row r="317" spans="1:13" ht="15" hidden="1" customHeight="1" x14ac:dyDescent="0.25">
      <c r="A317" s="21" t="s">
        <v>2140</v>
      </c>
      <c r="B317" s="22" t="s">
        <v>1767</v>
      </c>
      <c r="C317" s="22" t="s">
        <v>543</v>
      </c>
      <c r="D317" s="21" t="s">
        <v>1814</v>
      </c>
      <c r="E317" s="21" t="s">
        <v>1254</v>
      </c>
      <c r="F317" s="21" t="s">
        <v>1443</v>
      </c>
      <c r="G317" s="21"/>
      <c r="H317" s="21" t="s">
        <v>1314</v>
      </c>
      <c r="I317" s="21" t="s">
        <v>1735</v>
      </c>
      <c r="J317" s="21" t="s">
        <v>2124</v>
      </c>
      <c r="K317" s="22" t="s">
        <v>2141</v>
      </c>
      <c r="L317" s="21" t="s">
        <v>1431</v>
      </c>
      <c r="M317" s="21" t="s">
        <v>1819</v>
      </c>
    </row>
    <row r="318" spans="1:13" ht="15" hidden="1" customHeight="1" x14ac:dyDescent="0.25">
      <c r="A318" s="21" t="s">
        <v>2142</v>
      </c>
      <c r="B318" s="22" t="s">
        <v>1770</v>
      </c>
      <c r="C318" s="22" t="s">
        <v>214</v>
      </c>
      <c r="D318" s="21" t="s">
        <v>1814</v>
      </c>
      <c r="E318" s="21" t="s">
        <v>1254</v>
      </c>
      <c r="F318" s="21" t="s">
        <v>1443</v>
      </c>
      <c r="G318" s="21"/>
      <c r="H318" s="21" t="s">
        <v>1314</v>
      </c>
      <c r="I318" s="21" t="s">
        <v>1735</v>
      </c>
      <c r="J318" s="21" t="s">
        <v>2124</v>
      </c>
      <c r="K318" s="22" t="s">
        <v>213</v>
      </c>
      <c r="L318" s="21" t="s">
        <v>1431</v>
      </c>
      <c r="M318" s="21" t="s">
        <v>1819</v>
      </c>
    </row>
    <row r="319" spans="1:13" ht="15" hidden="1" customHeight="1" x14ac:dyDescent="0.25">
      <c r="A319" s="21" t="s">
        <v>2143</v>
      </c>
      <c r="B319" s="22" t="s">
        <v>1771</v>
      </c>
      <c r="C319" s="22" t="s">
        <v>544</v>
      </c>
      <c r="D319" s="21" t="s">
        <v>1814</v>
      </c>
      <c r="E319" s="21" t="s">
        <v>1254</v>
      </c>
      <c r="F319" s="21" t="s">
        <v>1443</v>
      </c>
      <c r="G319" s="21"/>
      <c r="H319" s="21" t="s">
        <v>1314</v>
      </c>
      <c r="I319" s="21" t="s">
        <v>1735</v>
      </c>
      <c r="J319" s="21" t="s">
        <v>2124</v>
      </c>
      <c r="K319" s="22" t="s">
        <v>2144</v>
      </c>
      <c r="L319" s="21" t="s">
        <v>1431</v>
      </c>
      <c r="M319" s="21" t="s">
        <v>1819</v>
      </c>
    </row>
    <row r="320" spans="1:13" ht="15" hidden="1" customHeight="1" x14ac:dyDescent="0.25">
      <c r="A320" s="21" t="s">
        <v>2145</v>
      </c>
      <c r="B320" s="22" t="s">
        <v>1773</v>
      </c>
      <c r="C320" s="22" t="s">
        <v>545</v>
      </c>
      <c r="D320" s="21" t="s">
        <v>1814</v>
      </c>
      <c r="E320" s="21" t="s">
        <v>1254</v>
      </c>
      <c r="F320" s="21" t="s">
        <v>1443</v>
      </c>
      <c r="G320" s="21"/>
      <c r="H320" s="21" t="s">
        <v>1314</v>
      </c>
      <c r="I320" s="21" t="s">
        <v>1735</v>
      </c>
      <c r="J320" s="21" t="s">
        <v>2124</v>
      </c>
      <c r="K320" s="22" t="s">
        <v>2146</v>
      </c>
      <c r="L320" s="21" t="s">
        <v>1431</v>
      </c>
      <c r="M320" s="21" t="s">
        <v>1819</v>
      </c>
    </row>
    <row r="321" spans="1:13" ht="15" hidden="1" customHeight="1" x14ac:dyDescent="0.25">
      <c r="A321" s="21" t="s">
        <v>2147</v>
      </c>
      <c r="B321" s="22" t="s">
        <v>1778</v>
      </c>
      <c r="C321" s="22" t="s">
        <v>219</v>
      </c>
      <c r="D321" s="21" t="s">
        <v>1814</v>
      </c>
      <c r="E321" s="21" t="s">
        <v>1254</v>
      </c>
      <c r="F321" s="21" t="s">
        <v>1443</v>
      </c>
      <c r="G321" s="21"/>
      <c r="H321" s="21" t="s">
        <v>1314</v>
      </c>
      <c r="I321" s="21" t="s">
        <v>1735</v>
      </c>
      <c r="J321" s="21" t="s">
        <v>2124</v>
      </c>
      <c r="K321" s="22" t="s">
        <v>218</v>
      </c>
      <c r="L321" s="21" t="s">
        <v>1431</v>
      </c>
      <c r="M321" s="21" t="s">
        <v>1819</v>
      </c>
    </row>
    <row r="322" spans="1:13" ht="15" hidden="1" customHeight="1" x14ac:dyDescent="0.25">
      <c r="A322" s="21" t="s">
        <v>2148</v>
      </c>
      <c r="B322" s="22" t="s">
        <v>1779</v>
      </c>
      <c r="C322" s="22"/>
      <c r="D322" s="21" t="s">
        <v>1814</v>
      </c>
      <c r="E322" s="21"/>
      <c r="F322" s="21"/>
      <c r="G322" s="21"/>
      <c r="H322" s="21"/>
      <c r="I322" s="21"/>
      <c r="J322" s="21"/>
      <c r="K322" s="22"/>
      <c r="L322" s="21"/>
      <c r="M322" s="21"/>
    </row>
    <row r="323" spans="1:13" ht="15" hidden="1" customHeight="1" x14ac:dyDescent="0.25">
      <c r="A323" s="21" t="s">
        <v>2149</v>
      </c>
      <c r="B323" s="22" t="s">
        <v>1783</v>
      </c>
      <c r="C323" s="22" t="s">
        <v>546</v>
      </c>
      <c r="D323" s="21" t="s">
        <v>1814</v>
      </c>
      <c r="E323" s="21" t="s">
        <v>1252</v>
      </c>
      <c r="F323" s="21" t="s">
        <v>1252</v>
      </c>
      <c r="G323" s="21" t="s">
        <v>2054</v>
      </c>
      <c r="H323" s="21" t="s">
        <v>1821</v>
      </c>
      <c r="I323" s="21" t="s">
        <v>1822</v>
      </c>
      <c r="J323" s="21" t="s">
        <v>1823</v>
      </c>
      <c r="K323" s="22" t="s">
        <v>2150</v>
      </c>
      <c r="L323" s="21" t="s">
        <v>1706</v>
      </c>
      <c r="M323" s="21" t="s">
        <v>1825</v>
      </c>
    </row>
    <row r="324" spans="1:13" ht="15" hidden="1" customHeight="1" x14ac:dyDescent="0.25">
      <c r="A324" s="21" t="s">
        <v>2151</v>
      </c>
      <c r="B324" s="22" t="s">
        <v>1786</v>
      </c>
      <c r="C324" s="22" t="s">
        <v>547</v>
      </c>
      <c r="D324" s="21" t="s">
        <v>1814</v>
      </c>
      <c r="E324" s="21" t="s">
        <v>1252</v>
      </c>
      <c r="F324" s="21" t="s">
        <v>1252</v>
      </c>
      <c r="G324" s="21" t="s">
        <v>1863</v>
      </c>
      <c r="H324" s="21" t="s">
        <v>1821</v>
      </c>
      <c r="I324" s="21" t="s">
        <v>1822</v>
      </c>
      <c r="J324" s="21" t="s">
        <v>1823</v>
      </c>
      <c r="K324" s="22" t="s">
        <v>2152</v>
      </c>
      <c r="L324" s="21" t="s">
        <v>1706</v>
      </c>
      <c r="M324" s="21" t="s">
        <v>1825</v>
      </c>
    </row>
    <row r="325" spans="1:13" ht="15" hidden="1" customHeight="1" x14ac:dyDescent="0.25">
      <c r="A325" s="21" t="s">
        <v>2153</v>
      </c>
      <c r="B325" s="22" t="s">
        <v>1788</v>
      </c>
      <c r="C325" s="22" t="s">
        <v>548</v>
      </c>
      <c r="D325" s="21" t="s">
        <v>1814</v>
      </c>
      <c r="E325" s="21" t="s">
        <v>1252</v>
      </c>
      <c r="F325" s="21" t="s">
        <v>1252</v>
      </c>
      <c r="G325" s="21" t="s">
        <v>1863</v>
      </c>
      <c r="H325" s="21" t="s">
        <v>1821</v>
      </c>
      <c r="I325" s="21" t="s">
        <v>1822</v>
      </c>
      <c r="J325" s="21" t="s">
        <v>1823</v>
      </c>
      <c r="K325" s="22" t="s">
        <v>2154</v>
      </c>
      <c r="L325" s="21" t="s">
        <v>1706</v>
      </c>
      <c r="M325" s="21" t="s">
        <v>1825</v>
      </c>
    </row>
    <row r="326" spans="1:13" ht="15" hidden="1" customHeight="1" x14ac:dyDescent="0.25">
      <c r="A326" s="21" t="s">
        <v>2155</v>
      </c>
      <c r="B326" s="22" t="s">
        <v>1790</v>
      </c>
      <c r="C326" s="22" t="s">
        <v>549</v>
      </c>
      <c r="D326" s="21" t="s">
        <v>1814</v>
      </c>
      <c r="E326" s="21" t="s">
        <v>1261</v>
      </c>
      <c r="F326" s="21" t="s">
        <v>1636</v>
      </c>
      <c r="G326" s="21"/>
      <c r="H326" s="21" t="s">
        <v>1821</v>
      </c>
      <c r="I326" s="21" t="s">
        <v>1816</v>
      </c>
      <c r="J326" s="21" t="s">
        <v>1838</v>
      </c>
      <c r="K326" s="22" t="s">
        <v>2156</v>
      </c>
      <c r="L326" s="21" t="s">
        <v>1425</v>
      </c>
      <c r="M326" s="21" t="s">
        <v>1819</v>
      </c>
    </row>
    <row r="327" spans="1:13" ht="15" hidden="1" customHeight="1" x14ac:dyDescent="0.25">
      <c r="A327" s="21" t="s">
        <v>2157</v>
      </c>
      <c r="B327" s="22" t="s">
        <v>1793</v>
      </c>
      <c r="C327" s="22" t="s">
        <v>550</v>
      </c>
      <c r="D327" s="21" t="s">
        <v>1814</v>
      </c>
      <c r="E327" s="21" t="s">
        <v>1258</v>
      </c>
      <c r="F327" s="21" t="s">
        <v>1636</v>
      </c>
      <c r="G327" s="21" t="s">
        <v>1863</v>
      </c>
      <c r="H327" s="21" t="s">
        <v>1314</v>
      </c>
      <c r="I327" s="21" t="s">
        <v>1816</v>
      </c>
      <c r="J327" s="21" t="s">
        <v>1838</v>
      </c>
      <c r="K327" s="22" t="s">
        <v>2158</v>
      </c>
      <c r="L327" s="21" t="s">
        <v>1332</v>
      </c>
      <c r="M327" s="21" t="s">
        <v>1819</v>
      </c>
    </row>
    <row r="328" spans="1:13" ht="15" hidden="1" customHeight="1" x14ac:dyDescent="0.25">
      <c r="A328" s="21" t="s">
        <v>2159</v>
      </c>
      <c r="B328" s="22" t="s">
        <v>1796</v>
      </c>
      <c r="C328" s="22" t="s">
        <v>551</v>
      </c>
      <c r="D328" s="21" t="s">
        <v>1814</v>
      </c>
      <c r="E328" s="21" t="s">
        <v>1258</v>
      </c>
      <c r="F328" s="21" t="s">
        <v>1636</v>
      </c>
      <c r="G328" s="21" t="s">
        <v>1863</v>
      </c>
      <c r="H328" s="21" t="s">
        <v>2160</v>
      </c>
      <c r="I328" s="21" t="s">
        <v>1816</v>
      </c>
      <c r="J328" s="21" t="s">
        <v>1853</v>
      </c>
      <c r="K328" s="22" t="s">
        <v>2161</v>
      </c>
      <c r="L328" s="21" t="s">
        <v>1332</v>
      </c>
      <c r="M328" s="21" t="s">
        <v>1819</v>
      </c>
    </row>
    <row r="329" spans="1:13" ht="15" hidden="1" customHeight="1" x14ac:dyDescent="0.25">
      <c r="A329" s="21" t="s">
        <v>2162</v>
      </c>
      <c r="B329" s="22" t="s">
        <v>1798</v>
      </c>
      <c r="C329" s="22" t="s">
        <v>552</v>
      </c>
      <c r="D329" s="21" t="s">
        <v>1814</v>
      </c>
      <c r="E329" s="21" t="s">
        <v>1252</v>
      </c>
      <c r="F329" s="21" t="s">
        <v>1698</v>
      </c>
      <c r="G329" s="21"/>
      <c r="H329" s="21" t="s">
        <v>2163</v>
      </c>
      <c r="I329" s="21" t="s">
        <v>1816</v>
      </c>
      <c r="J329" s="21" t="s">
        <v>1833</v>
      </c>
      <c r="K329" s="22" t="s">
        <v>2164</v>
      </c>
      <c r="L329" s="21" t="s">
        <v>1311</v>
      </c>
      <c r="M329" s="21" t="s">
        <v>1819</v>
      </c>
    </row>
    <row r="330" spans="1:13" ht="15" hidden="1" customHeight="1" x14ac:dyDescent="0.25">
      <c r="A330" s="21" t="s">
        <v>2165</v>
      </c>
      <c r="B330" s="22" t="s">
        <v>1801</v>
      </c>
      <c r="C330" s="22" t="s">
        <v>553</v>
      </c>
      <c r="D330" s="21" t="s">
        <v>1814</v>
      </c>
      <c r="E330" s="21" t="s">
        <v>1252</v>
      </c>
      <c r="F330" s="21" t="s">
        <v>1698</v>
      </c>
      <c r="G330" s="21"/>
      <c r="H330" s="21" t="s">
        <v>2163</v>
      </c>
      <c r="I330" s="21" t="s">
        <v>1816</v>
      </c>
      <c r="J330" s="21" t="s">
        <v>1833</v>
      </c>
      <c r="K330" s="22" t="s">
        <v>2166</v>
      </c>
      <c r="L330" s="21" t="s">
        <v>1311</v>
      </c>
      <c r="M330" s="21" t="s">
        <v>1819</v>
      </c>
    </row>
    <row r="331" spans="1:13" ht="15" hidden="1" customHeight="1" x14ac:dyDescent="0.25">
      <c r="A331" s="21" t="s">
        <v>2167</v>
      </c>
      <c r="B331" s="22" t="s">
        <v>1804</v>
      </c>
      <c r="C331" s="22" t="s">
        <v>554</v>
      </c>
      <c r="D331" s="21" t="s">
        <v>1814</v>
      </c>
      <c r="E331" s="21" t="s">
        <v>1252</v>
      </c>
      <c r="F331" s="21"/>
      <c r="G331" s="21"/>
      <c r="H331" s="21" t="s">
        <v>2168</v>
      </c>
      <c r="I331" s="21" t="s">
        <v>2067</v>
      </c>
      <c r="J331" s="21" t="s">
        <v>2068</v>
      </c>
      <c r="K331" s="22" t="s">
        <v>2169</v>
      </c>
      <c r="L331" s="21" t="s">
        <v>1311</v>
      </c>
      <c r="M331" s="21" t="s">
        <v>1819</v>
      </c>
    </row>
    <row r="332" spans="1:13" ht="15" hidden="1" customHeight="1" x14ac:dyDescent="0.25">
      <c r="A332" s="21" t="s">
        <v>2170</v>
      </c>
      <c r="B332" s="22" t="s">
        <v>1807</v>
      </c>
      <c r="C332" s="22" t="s">
        <v>555</v>
      </c>
      <c r="D332" s="21" t="s">
        <v>1814</v>
      </c>
      <c r="E332" s="21" t="s">
        <v>1263</v>
      </c>
      <c r="F332" s="21" t="s">
        <v>1674</v>
      </c>
      <c r="G332" s="21" t="s">
        <v>1863</v>
      </c>
      <c r="H332" s="21" t="s">
        <v>1286</v>
      </c>
      <c r="I332" s="21" t="s">
        <v>1909</v>
      </c>
      <c r="J332" s="21" t="s">
        <v>2171</v>
      </c>
      <c r="K332" s="22" t="s">
        <v>2172</v>
      </c>
      <c r="L332" s="21" t="s">
        <v>1332</v>
      </c>
      <c r="M332" s="21" t="s">
        <v>1819</v>
      </c>
    </row>
    <row r="333" spans="1:13" ht="15" hidden="1" customHeight="1" x14ac:dyDescent="0.25">
      <c r="A333" s="21" t="s">
        <v>2173</v>
      </c>
      <c r="B333" s="22" t="s">
        <v>1810</v>
      </c>
      <c r="C333" s="22" t="s">
        <v>556</v>
      </c>
      <c r="D333" s="21" t="s">
        <v>1814</v>
      </c>
      <c r="E333" s="21" t="s">
        <v>1263</v>
      </c>
      <c r="F333" s="21" t="s">
        <v>1674</v>
      </c>
      <c r="G333" s="21" t="s">
        <v>1863</v>
      </c>
      <c r="H333" s="21" t="s">
        <v>1314</v>
      </c>
      <c r="I333" s="21" t="s">
        <v>1909</v>
      </c>
      <c r="J333" s="21" t="s">
        <v>1910</v>
      </c>
      <c r="K333" s="22" t="s">
        <v>2174</v>
      </c>
      <c r="L333" s="21" t="s">
        <v>1332</v>
      </c>
      <c r="M333" s="21" t="s">
        <v>1819</v>
      </c>
    </row>
    <row r="334" spans="1:13" ht="15" hidden="1" customHeight="1" x14ac:dyDescent="0.25">
      <c r="A334" s="21" t="s">
        <v>2175</v>
      </c>
      <c r="B334" s="22" t="s">
        <v>1813</v>
      </c>
      <c r="C334" s="22" t="s">
        <v>557</v>
      </c>
      <c r="D334" s="21" t="s">
        <v>1814</v>
      </c>
      <c r="E334" s="21" t="s">
        <v>1263</v>
      </c>
      <c r="F334" s="21" t="s">
        <v>1674</v>
      </c>
      <c r="G334" s="21" t="s">
        <v>1863</v>
      </c>
      <c r="H334" s="21" t="s">
        <v>1314</v>
      </c>
      <c r="I334" s="21" t="s">
        <v>1909</v>
      </c>
      <c r="J334" s="21" t="s">
        <v>1910</v>
      </c>
      <c r="K334" s="22" t="s">
        <v>2176</v>
      </c>
      <c r="L334" s="21" t="s">
        <v>1332</v>
      </c>
      <c r="M334" s="21" t="s">
        <v>1819</v>
      </c>
    </row>
    <row r="335" spans="1:13" ht="15" hidden="1" customHeight="1" x14ac:dyDescent="0.25">
      <c r="A335" s="21" t="s">
        <v>2177</v>
      </c>
      <c r="B335" s="22" t="s">
        <v>1820</v>
      </c>
      <c r="C335" s="22" t="s">
        <v>558</v>
      </c>
      <c r="D335" s="21" t="s">
        <v>1814</v>
      </c>
      <c r="E335" s="21" t="s">
        <v>1263</v>
      </c>
      <c r="F335" s="21" t="s">
        <v>1674</v>
      </c>
      <c r="G335" s="21" t="s">
        <v>1863</v>
      </c>
      <c r="H335" s="21" t="s">
        <v>1314</v>
      </c>
      <c r="I335" s="21" t="s">
        <v>1909</v>
      </c>
      <c r="J335" s="21" t="s">
        <v>1910</v>
      </c>
      <c r="K335" s="22" t="s">
        <v>2178</v>
      </c>
      <c r="L335" s="21" t="s">
        <v>1332</v>
      </c>
      <c r="M335" s="21" t="s">
        <v>1819</v>
      </c>
    </row>
    <row r="336" spans="1:13" ht="15" hidden="1" customHeight="1" x14ac:dyDescent="0.25">
      <c r="A336" s="21" t="s">
        <v>2179</v>
      </c>
      <c r="B336" s="22" t="s">
        <v>1826</v>
      </c>
      <c r="C336" s="22" t="s">
        <v>559</v>
      </c>
      <c r="D336" s="21" t="s">
        <v>1814</v>
      </c>
      <c r="E336" s="21" t="s">
        <v>1263</v>
      </c>
      <c r="F336" s="21" t="s">
        <v>1674</v>
      </c>
      <c r="G336" s="21" t="s">
        <v>1863</v>
      </c>
      <c r="H336" s="21" t="s">
        <v>1314</v>
      </c>
      <c r="I336" s="21" t="s">
        <v>1909</v>
      </c>
      <c r="J336" s="21" t="s">
        <v>1910</v>
      </c>
      <c r="K336" s="22" t="s">
        <v>2180</v>
      </c>
      <c r="L336" s="21" t="s">
        <v>1332</v>
      </c>
      <c r="M336" s="21" t="s">
        <v>1819</v>
      </c>
    </row>
    <row r="337" spans="1:13" ht="15" hidden="1" customHeight="1" x14ac:dyDescent="0.25">
      <c r="A337" s="21" t="s">
        <v>2181</v>
      </c>
      <c r="B337" s="22" t="s">
        <v>1831</v>
      </c>
      <c r="C337" s="22" t="s">
        <v>560</v>
      </c>
      <c r="D337" s="21" t="s">
        <v>1814</v>
      </c>
      <c r="E337" s="21" t="s">
        <v>1263</v>
      </c>
      <c r="F337" s="21" t="s">
        <v>1674</v>
      </c>
      <c r="G337" s="21" t="s">
        <v>1863</v>
      </c>
      <c r="H337" s="21" t="s">
        <v>1314</v>
      </c>
      <c r="I337" s="21" t="s">
        <v>1909</v>
      </c>
      <c r="J337" s="21" t="s">
        <v>1910</v>
      </c>
      <c r="K337" s="22" t="s">
        <v>2182</v>
      </c>
      <c r="L337" s="21" t="s">
        <v>1332</v>
      </c>
      <c r="M337" s="21" t="s">
        <v>1819</v>
      </c>
    </row>
    <row r="338" spans="1:13" ht="15" hidden="1" customHeight="1" x14ac:dyDescent="0.25">
      <c r="A338" s="21" t="s">
        <v>2183</v>
      </c>
      <c r="B338" s="22" t="s">
        <v>1835</v>
      </c>
      <c r="C338" s="22" t="s">
        <v>561</v>
      </c>
      <c r="D338" s="21" t="s">
        <v>1814</v>
      </c>
      <c r="E338" s="21" t="s">
        <v>1263</v>
      </c>
      <c r="F338" s="21" t="s">
        <v>1674</v>
      </c>
      <c r="G338" s="21" t="s">
        <v>1863</v>
      </c>
      <c r="H338" s="21" t="s">
        <v>1314</v>
      </c>
      <c r="I338" s="21" t="s">
        <v>1909</v>
      </c>
      <c r="J338" s="21" t="s">
        <v>1910</v>
      </c>
      <c r="K338" s="22" t="s">
        <v>2184</v>
      </c>
      <c r="L338" s="21" t="s">
        <v>1332</v>
      </c>
      <c r="M338" s="21" t="s">
        <v>1819</v>
      </c>
    </row>
    <row r="339" spans="1:13" ht="15" hidden="1" customHeight="1" x14ac:dyDescent="0.25">
      <c r="A339" s="21" t="s">
        <v>2185</v>
      </c>
      <c r="B339" s="22" t="s">
        <v>1837</v>
      </c>
      <c r="C339" s="22" t="s">
        <v>562</v>
      </c>
      <c r="D339" s="21" t="s">
        <v>1814</v>
      </c>
      <c r="E339" s="21" t="s">
        <v>1263</v>
      </c>
      <c r="F339" s="21" t="s">
        <v>1674</v>
      </c>
      <c r="G339" s="21" t="s">
        <v>1863</v>
      </c>
      <c r="H339" s="21" t="s">
        <v>1314</v>
      </c>
      <c r="I339" s="21" t="s">
        <v>1909</v>
      </c>
      <c r="J339" s="21" t="s">
        <v>1910</v>
      </c>
      <c r="K339" s="22" t="s">
        <v>2186</v>
      </c>
      <c r="L339" s="21" t="s">
        <v>1332</v>
      </c>
      <c r="M339" s="21" t="s">
        <v>1819</v>
      </c>
    </row>
    <row r="340" spans="1:13" ht="15" hidden="1" customHeight="1" x14ac:dyDescent="0.25">
      <c r="A340" s="21" t="s">
        <v>2187</v>
      </c>
      <c r="B340" s="22" t="s">
        <v>1840</v>
      </c>
      <c r="C340" s="22" t="s">
        <v>155</v>
      </c>
      <c r="D340" s="21" t="s">
        <v>1814</v>
      </c>
      <c r="E340" s="21" t="s">
        <v>1263</v>
      </c>
      <c r="F340" s="21" t="s">
        <v>1674</v>
      </c>
      <c r="G340" s="21" t="s">
        <v>1863</v>
      </c>
      <c r="H340" s="21" t="s">
        <v>1314</v>
      </c>
      <c r="I340" s="21" t="s">
        <v>1909</v>
      </c>
      <c r="J340" s="21" t="s">
        <v>1910</v>
      </c>
      <c r="K340" s="22" t="s">
        <v>154</v>
      </c>
      <c r="L340" s="21" t="s">
        <v>1332</v>
      </c>
      <c r="M340" s="21" t="s">
        <v>1819</v>
      </c>
    </row>
    <row r="341" spans="1:13" ht="15" hidden="1" customHeight="1" x14ac:dyDescent="0.25">
      <c r="A341" s="21" t="s">
        <v>2188</v>
      </c>
      <c r="B341" s="22" t="s">
        <v>1842</v>
      </c>
      <c r="C341" s="22" t="s">
        <v>563</v>
      </c>
      <c r="D341" s="21" t="s">
        <v>1814</v>
      </c>
      <c r="E341" s="21" t="s">
        <v>1263</v>
      </c>
      <c r="F341" s="21" t="s">
        <v>1674</v>
      </c>
      <c r="G341" s="21" t="s">
        <v>1863</v>
      </c>
      <c r="H341" s="21" t="s">
        <v>1314</v>
      </c>
      <c r="I341" s="21" t="s">
        <v>1909</v>
      </c>
      <c r="J341" s="21" t="s">
        <v>1910</v>
      </c>
      <c r="K341" s="22" t="s">
        <v>2189</v>
      </c>
      <c r="L341" s="21" t="s">
        <v>1332</v>
      </c>
      <c r="M341" s="21" t="s">
        <v>1819</v>
      </c>
    </row>
    <row r="342" spans="1:13" ht="15" hidden="1" customHeight="1" x14ac:dyDescent="0.25">
      <c r="A342" s="21" t="s">
        <v>2190</v>
      </c>
      <c r="B342" s="22" t="s">
        <v>1844</v>
      </c>
      <c r="C342" s="22" t="s">
        <v>564</v>
      </c>
      <c r="D342" s="21" t="s">
        <v>1814</v>
      </c>
      <c r="E342" s="21" t="s">
        <v>1213</v>
      </c>
      <c r="F342" s="21" t="s">
        <v>2191</v>
      </c>
      <c r="G342" s="21" t="s">
        <v>2192</v>
      </c>
      <c r="H342" s="21" t="s">
        <v>1314</v>
      </c>
      <c r="I342" s="21" t="s">
        <v>1909</v>
      </c>
      <c r="J342" s="21" t="s">
        <v>2193</v>
      </c>
      <c r="K342" s="22" t="s">
        <v>2194</v>
      </c>
      <c r="L342" s="21" t="s">
        <v>1332</v>
      </c>
      <c r="M342" s="21" t="s">
        <v>1819</v>
      </c>
    </row>
    <row r="343" spans="1:13" ht="15" hidden="1" customHeight="1" x14ac:dyDescent="0.25">
      <c r="A343" s="21" t="s">
        <v>2195</v>
      </c>
      <c r="B343" s="22" t="s">
        <v>1849</v>
      </c>
      <c r="C343" s="22"/>
      <c r="D343" s="21" t="s">
        <v>1814</v>
      </c>
      <c r="E343" s="21"/>
      <c r="F343" s="21"/>
      <c r="G343" s="21"/>
      <c r="H343" s="21"/>
      <c r="I343" s="21"/>
      <c r="J343" s="21"/>
      <c r="K343" s="22"/>
      <c r="L343" s="21"/>
      <c r="M343" s="21"/>
    </row>
    <row r="344" spans="1:13" ht="15" hidden="1" customHeight="1" x14ac:dyDescent="0.25">
      <c r="A344" s="21" t="s">
        <v>2196</v>
      </c>
      <c r="B344" s="22" t="s">
        <v>1851</v>
      </c>
      <c r="C344" s="22" t="s">
        <v>565</v>
      </c>
      <c r="D344" s="21" t="s">
        <v>1814</v>
      </c>
      <c r="E344" s="21" t="s">
        <v>1263</v>
      </c>
      <c r="F344" s="21" t="s">
        <v>1263</v>
      </c>
      <c r="G344" s="21" t="s">
        <v>1863</v>
      </c>
      <c r="H344" s="21" t="s">
        <v>1314</v>
      </c>
      <c r="I344" s="21" t="s">
        <v>2197</v>
      </c>
      <c r="J344" s="21" t="s">
        <v>2198</v>
      </c>
      <c r="K344" s="22" t="s">
        <v>2199</v>
      </c>
      <c r="L344" s="21" t="s">
        <v>1311</v>
      </c>
      <c r="M344" s="21" t="s">
        <v>1819</v>
      </c>
    </row>
    <row r="345" spans="1:13" ht="15" hidden="1" customHeight="1" x14ac:dyDescent="0.25">
      <c r="A345" s="21" t="s">
        <v>2200</v>
      </c>
      <c r="B345" s="22" t="s">
        <v>1855</v>
      </c>
      <c r="C345" s="22" t="s">
        <v>566</v>
      </c>
      <c r="D345" s="21" t="s">
        <v>1814</v>
      </c>
      <c r="E345" s="21" t="s">
        <v>1263</v>
      </c>
      <c r="F345" s="21" t="s">
        <v>1263</v>
      </c>
      <c r="G345" s="21" t="s">
        <v>1863</v>
      </c>
      <c r="H345" s="21" t="s">
        <v>1314</v>
      </c>
      <c r="I345" s="21" t="s">
        <v>2197</v>
      </c>
      <c r="J345" s="21" t="s">
        <v>2198</v>
      </c>
      <c r="K345" s="22" t="s">
        <v>2201</v>
      </c>
      <c r="L345" s="21" t="s">
        <v>1311</v>
      </c>
      <c r="M345" s="21" t="s">
        <v>1819</v>
      </c>
    </row>
    <row r="346" spans="1:13" ht="15" hidden="1" customHeight="1" x14ac:dyDescent="0.25">
      <c r="A346" s="21" t="s">
        <v>2202</v>
      </c>
      <c r="B346" s="22" t="s">
        <v>1856</v>
      </c>
      <c r="C346" s="22" t="s">
        <v>567</v>
      </c>
      <c r="D346" s="21" t="s">
        <v>1814</v>
      </c>
      <c r="E346" s="21" t="s">
        <v>1263</v>
      </c>
      <c r="F346" s="21" t="s">
        <v>1263</v>
      </c>
      <c r="G346" s="21" t="s">
        <v>1863</v>
      </c>
      <c r="H346" s="21" t="s">
        <v>1314</v>
      </c>
      <c r="I346" s="21" t="s">
        <v>2197</v>
      </c>
      <c r="J346" s="21" t="s">
        <v>2198</v>
      </c>
      <c r="K346" s="22" t="s">
        <v>2203</v>
      </c>
      <c r="L346" s="21" t="s">
        <v>1311</v>
      </c>
      <c r="M346" s="21" t="s">
        <v>1819</v>
      </c>
    </row>
    <row r="347" spans="1:13" ht="15" hidden="1" customHeight="1" x14ac:dyDescent="0.25">
      <c r="A347" s="21" t="s">
        <v>2204</v>
      </c>
      <c r="B347" s="22" t="s">
        <v>1857</v>
      </c>
      <c r="C347" s="22" t="s">
        <v>568</v>
      </c>
      <c r="D347" s="21" t="s">
        <v>1814</v>
      </c>
      <c r="E347" s="21" t="s">
        <v>1263</v>
      </c>
      <c r="F347" s="21" t="s">
        <v>1263</v>
      </c>
      <c r="G347" s="21" t="s">
        <v>1863</v>
      </c>
      <c r="H347" s="21" t="s">
        <v>1314</v>
      </c>
      <c r="I347" s="21" t="s">
        <v>2197</v>
      </c>
      <c r="J347" s="21" t="s">
        <v>2198</v>
      </c>
      <c r="K347" s="22" t="s">
        <v>2205</v>
      </c>
      <c r="L347" s="21" t="s">
        <v>1311</v>
      </c>
      <c r="M347" s="21" t="s">
        <v>1819</v>
      </c>
    </row>
    <row r="348" spans="1:13" ht="15" hidden="1" customHeight="1" x14ac:dyDescent="0.25">
      <c r="A348" s="21" t="s">
        <v>2206</v>
      </c>
      <c r="B348" s="22" t="s">
        <v>1282</v>
      </c>
      <c r="C348" s="22" t="s">
        <v>121</v>
      </c>
      <c r="D348" s="21" t="s">
        <v>119</v>
      </c>
      <c r="E348" s="21" t="s">
        <v>1254</v>
      </c>
      <c r="F348" s="21" t="s">
        <v>1443</v>
      </c>
      <c r="G348" s="21" t="s">
        <v>2207</v>
      </c>
      <c r="H348" s="21" t="s">
        <v>1314</v>
      </c>
      <c r="I348" s="21" t="s">
        <v>1727</v>
      </c>
      <c r="J348" s="21" t="s">
        <v>2208</v>
      </c>
      <c r="K348" s="22" t="s">
        <v>120</v>
      </c>
      <c r="L348" s="21" t="s">
        <v>1465</v>
      </c>
      <c r="M348" s="21" t="s">
        <v>1819</v>
      </c>
    </row>
    <row r="349" spans="1:13" ht="15" hidden="1" customHeight="1" x14ac:dyDescent="0.25">
      <c r="A349" s="21" t="s">
        <v>2209</v>
      </c>
      <c r="B349" s="22" t="s">
        <v>1292</v>
      </c>
      <c r="C349" s="22" t="s">
        <v>131</v>
      </c>
      <c r="D349" s="21" t="s">
        <v>119</v>
      </c>
      <c r="E349" s="21" t="s">
        <v>1254</v>
      </c>
      <c r="F349" s="21" t="s">
        <v>1443</v>
      </c>
      <c r="G349" s="21" t="s">
        <v>2210</v>
      </c>
      <c r="H349" s="21" t="s">
        <v>1314</v>
      </c>
      <c r="I349" s="21" t="s">
        <v>1727</v>
      </c>
      <c r="J349" s="21" t="s">
        <v>2208</v>
      </c>
      <c r="K349" s="22" t="s">
        <v>130</v>
      </c>
      <c r="L349" s="21" t="s">
        <v>1465</v>
      </c>
      <c r="M349" s="21" t="s">
        <v>1819</v>
      </c>
    </row>
    <row r="350" spans="1:13" ht="15" hidden="1" customHeight="1" x14ac:dyDescent="0.25">
      <c r="A350" s="21" t="s">
        <v>2211</v>
      </c>
      <c r="B350" s="22" t="s">
        <v>1297</v>
      </c>
      <c r="C350" s="22" t="s">
        <v>569</v>
      </c>
      <c r="D350" s="21" t="s">
        <v>119</v>
      </c>
      <c r="E350" s="21" t="s">
        <v>1254</v>
      </c>
      <c r="F350" s="21" t="s">
        <v>1443</v>
      </c>
      <c r="G350" s="21" t="s">
        <v>2212</v>
      </c>
      <c r="H350" s="21" t="s">
        <v>1314</v>
      </c>
      <c r="I350" s="21" t="s">
        <v>1727</v>
      </c>
      <c r="J350" s="21" t="s">
        <v>2208</v>
      </c>
      <c r="K350" s="22" t="s">
        <v>2213</v>
      </c>
      <c r="L350" s="21" t="s">
        <v>1465</v>
      </c>
      <c r="M350" s="21" t="s">
        <v>1819</v>
      </c>
    </row>
    <row r="351" spans="1:13" ht="15" hidden="1" customHeight="1" x14ac:dyDescent="0.25">
      <c r="A351" s="21" t="s">
        <v>2214</v>
      </c>
      <c r="B351" s="22" t="s">
        <v>1300</v>
      </c>
      <c r="C351" s="22" t="s">
        <v>570</v>
      </c>
      <c r="D351" s="21" t="s">
        <v>119</v>
      </c>
      <c r="E351" s="21" t="s">
        <v>1254</v>
      </c>
      <c r="F351" s="21" t="s">
        <v>1443</v>
      </c>
      <c r="G351" s="21" t="s">
        <v>2215</v>
      </c>
      <c r="H351" s="21" t="s">
        <v>1314</v>
      </c>
      <c r="I351" s="21" t="s">
        <v>1727</v>
      </c>
      <c r="J351" s="21" t="s">
        <v>2208</v>
      </c>
      <c r="K351" s="22" t="s">
        <v>2216</v>
      </c>
      <c r="L351" s="21" t="s">
        <v>1465</v>
      </c>
      <c r="M351" s="21" t="s">
        <v>1819</v>
      </c>
    </row>
    <row r="352" spans="1:13" ht="15" hidden="1" customHeight="1" x14ac:dyDescent="0.25">
      <c r="A352" s="21" t="s">
        <v>2217</v>
      </c>
      <c r="B352" s="22" t="s">
        <v>1303</v>
      </c>
      <c r="C352" s="22" t="s">
        <v>571</v>
      </c>
      <c r="D352" s="21" t="s">
        <v>119</v>
      </c>
      <c r="E352" s="21" t="s">
        <v>1254</v>
      </c>
      <c r="F352" s="21" t="s">
        <v>1443</v>
      </c>
      <c r="G352" s="21" t="s">
        <v>2218</v>
      </c>
      <c r="H352" s="21" t="s">
        <v>1314</v>
      </c>
      <c r="I352" s="21" t="s">
        <v>1727</v>
      </c>
      <c r="J352" s="21" t="s">
        <v>2208</v>
      </c>
      <c r="K352" s="22" t="s">
        <v>2219</v>
      </c>
      <c r="L352" s="21" t="s">
        <v>1465</v>
      </c>
      <c r="M352" s="21" t="s">
        <v>1819</v>
      </c>
    </row>
    <row r="353" spans="1:13" ht="15" hidden="1" customHeight="1" x14ac:dyDescent="0.25">
      <c r="A353" s="21" t="s">
        <v>2220</v>
      </c>
      <c r="B353" s="22" t="s">
        <v>1306</v>
      </c>
      <c r="C353" s="22" t="s">
        <v>572</v>
      </c>
      <c r="D353" s="21" t="s">
        <v>119</v>
      </c>
      <c r="E353" s="21" t="s">
        <v>1254</v>
      </c>
      <c r="F353" s="21" t="s">
        <v>1443</v>
      </c>
      <c r="G353" s="21" t="s">
        <v>2221</v>
      </c>
      <c r="H353" s="21" t="s">
        <v>1314</v>
      </c>
      <c r="I353" s="21" t="s">
        <v>1727</v>
      </c>
      <c r="J353" s="21" t="s">
        <v>2208</v>
      </c>
      <c r="K353" s="22" t="s">
        <v>2222</v>
      </c>
      <c r="L353" s="21" t="s">
        <v>1465</v>
      </c>
      <c r="M353" s="21" t="s">
        <v>1819</v>
      </c>
    </row>
    <row r="354" spans="1:13" ht="15" hidden="1" customHeight="1" x14ac:dyDescent="0.25">
      <c r="A354" s="21" t="s">
        <v>2223</v>
      </c>
      <c r="B354" s="22" t="s">
        <v>1312</v>
      </c>
      <c r="C354" s="22" t="s">
        <v>573</v>
      </c>
      <c r="D354" s="21" t="s">
        <v>119</v>
      </c>
      <c r="E354" s="21" t="s">
        <v>1254</v>
      </c>
      <c r="F354" s="21" t="s">
        <v>1443</v>
      </c>
      <c r="G354" s="21" t="s">
        <v>2224</v>
      </c>
      <c r="H354" s="21" t="s">
        <v>1314</v>
      </c>
      <c r="I354" s="21" t="s">
        <v>1727</v>
      </c>
      <c r="J354" s="21" t="s">
        <v>2208</v>
      </c>
      <c r="K354" s="22" t="s">
        <v>2225</v>
      </c>
      <c r="L354" s="21" t="s">
        <v>1465</v>
      </c>
      <c r="M354" s="21" t="s">
        <v>1819</v>
      </c>
    </row>
    <row r="355" spans="1:13" ht="15" hidden="1" customHeight="1" x14ac:dyDescent="0.25">
      <c r="A355" s="21" t="s">
        <v>2226</v>
      </c>
      <c r="B355" s="22" t="s">
        <v>1320</v>
      </c>
      <c r="C355" s="22" t="s">
        <v>574</v>
      </c>
      <c r="D355" s="21" t="s">
        <v>119</v>
      </c>
      <c r="E355" s="21" t="s">
        <v>1254</v>
      </c>
      <c r="F355" s="21" t="s">
        <v>1443</v>
      </c>
      <c r="G355" s="21" t="s">
        <v>2227</v>
      </c>
      <c r="H355" s="21" t="s">
        <v>1314</v>
      </c>
      <c r="I355" s="21" t="s">
        <v>1727</v>
      </c>
      <c r="J355" s="21" t="s">
        <v>2208</v>
      </c>
      <c r="K355" s="22" t="s">
        <v>2228</v>
      </c>
      <c r="L355" s="21" t="s">
        <v>1465</v>
      </c>
      <c r="M355" s="21" t="s">
        <v>1819</v>
      </c>
    </row>
    <row r="356" spans="1:13" ht="15" hidden="1" customHeight="1" x14ac:dyDescent="0.25">
      <c r="A356" s="21" t="s">
        <v>2229</v>
      </c>
      <c r="B356" s="22" t="s">
        <v>1323</v>
      </c>
      <c r="C356" s="22" t="s">
        <v>575</v>
      </c>
      <c r="D356" s="21" t="s">
        <v>119</v>
      </c>
      <c r="E356" s="21" t="s">
        <v>1254</v>
      </c>
      <c r="F356" s="21" t="s">
        <v>1443</v>
      </c>
      <c r="G356" s="21" t="s">
        <v>2230</v>
      </c>
      <c r="H356" s="21" t="s">
        <v>1314</v>
      </c>
      <c r="I356" s="21" t="s">
        <v>1727</v>
      </c>
      <c r="J356" s="21" t="s">
        <v>2208</v>
      </c>
      <c r="K356" s="22" t="s">
        <v>2231</v>
      </c>
      <c r="L356" s="21" t="s">
        <v>1465</v>
      </c>
      <c r="M356" s="21" t="s">
        <v>1819</v>
      </c>
    </row>
    <row r="357" spans="1:13" ht="15" hidden="1" customHeight="1" x14ac:dyDescent="0.25">
      <c r="A357" s="21" t="s">
        <v>2232</v>
      </c>
      <c r="B357" s="22" t="s">
        <v>1326</v>
      </c>
      <c r="C357" s="22" t="s">
        <v>576</v>
      </c>
      <c r="D357" s="21" t="s">
        <v>119</v>
      </c>
      <c r="E357" s="21" t="s">
        <v>1254</v>
      </c>
      <c r="F357" s="21" t="s">
        <v>1443</v>
      </c>
      <c r="G357" s="21" t="s">
        <v>2233</v>
      </c>
      <c r="H357" s="21" t="s">
        <v>1314</v>
      </c>
      <c r="I357" s="21" t="s">
        <v>1727</v>
      </c>
      <c r="J357" s="21" t="s">
        <v>2208</v>
      </c>
      <c r="K357" s="22" t="s">
        <v>2234</v>
      </c>
      <c r="L357" s="21" t="s">
        <v>1465</v>
      </c>
      <c r="M357" s="21" t="s">
        <v>1819</v>
      </c>
    </row>
    <row r="358" spans="1:13" ht="15" hidden="1" customHeight="1" x14ac:dyDescent="0.25">
      <c r="A358" s="21" t="s">
        <v>2235</v>
      </c>
      <c r="B358" s="22" t="s">
        <v>1327</v>
      </c>
      <c r="C358" s="22" t="s">
        <v>577</v>
      </c>
      <c r="D358" s="21" t="s">
        <v>119</v>
      </c>
      <c r="E358" s="21" t="s">
        <v>1254</v>
      </c>
      <c r="F358" s="21" t="s">
        <v>1443</v>
      </c>
      <c r="G358" s="21" t="s">
        <v>2236</v>
      </c>
      <c r="H358" s="21" t="s">
        <v>1314</v>
      </c>
      <c r="I358" s="21" t="s">
        <v>1727</v>
      </c>
      <c r="J358" s="21" t="s">
        <v>2208</v>
      </c>
      <c r="K358" s="22" t="s">
        <v>2237</v>
      </c>
      <c r="L358" s="21" t="s">
        <v>1465</v>
      </c>
      <c r="M358" s="21" t="s">
        <v>1819</v>
      </c>
    </row>
    <row r="359" spans="1:13" ht="15" hidden="1" customHeight="1" x14ac:dyDescent="0.25">
      <c r="A359" s="21" t="s">
        <v>2238</v>
      </c>
      <c r="B359" s="22" t="s">
        <v>1333</v>
      </c>
      <c r="C359" s="22" t="s">
        <v>578</v>
      </c>
      <c r="D359" s="21" t="s">
        <v>119</v>
      </c>
      <c r="E359" s="21" t="s">
        <v>1254</v>
      </c>
      <c r="F359" s="21" t="s">
        <v>1532</v>
      </c>
      <c r="G359" s="21" t="s">
        <v>2239</v>
      </c>
      <c r="H359" s="21" t="s">
        <v>1314</v>
      </c>
      <c r="I359" s="21" t="s">
        <v>1727</v>
      </c>
      <c r="J359" s="21" t="s">
        <v>2208</v>
      </c>
      <c r="K359" s="22" t="s">
        <v>2240</v>
      </c>
      <c r="L359" s="21" t="s">
        <v>1465</v>
      </c>
      <c r="M359" s="21" t="s">
        <v>1819</v>
      </c>
    </row>
    <row r="360" spans="1:13" ht="15" hidden="1" customHeight="1" x14ac:dyDescent="0.25">
      <c r="A360" s="21" t="s">
        <v>2241</v>
      </c>
      <c r="B360" s="22" t="s">
        <v>1334</v>
      </c>
      <c r="C360" s="22" t="s">
        <v>579</v>
      </c>
      <c r="D360" s="21" t="s">
        <v>119</v>
      </c>
      <c r="E360" s="21" t="s">
        <v>1267</v>
      </c>
      <c r="F360" s="21" t="s">
        <v>1240</v>
      </c>
      <c r="G360" s="21" t="s">
        <v>2242</v>
      </c>
      <c r="H360" s="21" t="s">
        <v>1314</v>
      </c>
      <c r="I360" s="21" t="s">
        <v>1727</v>
      </c>
      <c r="J360" s="21" t="s">
        <v>2243</v>
      </c>
      <c r="K360" s="22" t="s">
        <v>2244</v>
      </c>
      <c r="L360" s="21" t="s">
        <v>1500</v>
      </c>
      <c r="M360" s="21" t="s">
        <v>1819</v>
      </c>
    </row>
    <row r="361" spans="1:13" ht="15" hidden="1" customHeight="1" x14ac:dyDescent="0.25">
      <c r="A361" s="21" t="s">
        <v>2245</v>
      </c>
      <c r="B361" s="22" t="s">
        <v>1335</v>
      </c>
      <c r="C361" s="22" t="s">
        <v>580</v>
      </c>
      <c r="D361" s="21" t="s">
        <v>119</v>
      </c>
      <c r="E361" s="21" t="s">
        <v>1262</v>
      </c>
      <c r="F361" s="21" t="s">
        <v>1415</v>
      </c>
      <c r="G361" s="21" t="s">
        <v>1664</v>
      </c>
      <c r="H361" s="21" t="s">
        <v>1314</v>
      </c>
      <c r="I361" s="21" t="s">
        <v>1727</v>
      </c>
      <c r="J361" s="21" t="s">
        <v>2246</v>
      </c>
      <c r="K361" s="22" t="s">
        <v>2247</v>
      </c>
      <c r="L361" s="21" t="s">
        <v>1446</v>
      </c>
      <c r="M361" s="21" t="s">
        <v>1819</v>
      </c>
    </row>
    <row r="362" spans="1:13" ht="15" hidden="1" customHeight="1" x14ac:dyDescent="0.25">
      <c r="A362" s="21" t="s">
        <v>2248</v>
      </c>
      <c r="B362" s="22" t="s">
        <v>1336</v>
      </c>
      <c r="C362" s="22" t="s">
        <v>581</v>
      </c>
      <c r="D362" s="21" t="s">
        <v>119</v>
      </c>
      <c r="E362" s="21" t="s">
        <v>1258</v>
      </c>
      <c r="F362" s="21" t="s">
        <v>2249</v>
      </c>
      <c r="G362" s="21" t="s">
        <v>2250</v>
      </c>
      <c r="H362" s="21" t="s">
        <v>1314</v>
      </c>
      <c r="I362" s="21" t="s">
        <v>1727</v>
      </c>
      <c r="J362" s="21" t="s">
        <v>2251</v>
      </c>
      <c r="K362" s="22" t="s">
        <v>2252</v>
      </c>
      <c r="L362" s="21" t="s">
        <v>1521</v>
      </c>
      <c r="M362" s="21" t="s">
        <v>1819</v>
      </c>
    </row>
    <row r="363" spans="1:13" ht="15" hidden="1" customHeight="1" x14ac:dyDescent="0.25">
      <c r="A363" s="21" t="s">
        <v>2253</v>
      </c>
      <c r="B363" s="22" t="s">
        <v>1337</v>
      </c>
      <c r="C363" s="22" t="s">
        <v>582</v>
      </c>
      <c r="D363" s="21" t="s">
        <v>119</v>
      </c>
      <c r="E363" s="21" t="s">
        <v>1258</v>
      </c>
      <c r="F363" s="21" t="s">
        <v>2249</v>
      </c>
      <c r="G363" s="21" t="s">
        <v>2254</v>
      </c>
      <c r="H363" s="21" t="s">
        <v>1314</v>
      </c>
      <c r="I363" s="21" t="s">
        <v>1727</v>
      </c>
      <c r="J363" s="21" t="s">
        <v>2251</v>
      </c>
      <c r="K363" s="22" t="s">
        <v>2255</v>
      </c>
      <c r="L363" s="21" t="s">
        <v>1465</v>
      </c>
      <c r="M363" s="21" t="s">
        <v>1819</v>
      </c>
    </row>
    <row r="364" spans="1:13" ht="15" hidden="1" customHeight="1" x14ac:dyDescent="0.25">
      <c r="A364" s="21" t="s">
        <v>2256</v>
      </c>
      <c r="B364" s="22" t="s">
        <v>1340</v>
      </c>
      <c r="C364" s="22" t="s">
        <v>583</v>
      </c>
      <c r="D364" s="21" t="s">
        <v>119</v>
      </c>
      <c r="E364" s="21" t="s">
        <v>1258</v>
      </c>
      <c r="F364" s="21" t="s">
        <v>2249</v>
      </c>
      <c r="G364" s="21" t="s">
        <v>2257</v>
      </c>
      <c r="H364" s="21" t="s">
        <v>1314</v>
      </c>
      <c r="I364" s="21" t="s">
        <v>1727</v>
      </c>
      <c r="J364" s="21" t="s">
        <v>2251</v>
      </c>
      <c r="K364" s="22" t="s">
        <v>2258</v>
      </c>
      <c r="L364" s="21" t="s">
        <v>1465</v>
      </c>
      <c r="M364" s="21" t="s">
        <v>1819</v>
      </c>
    </row>
    <row r="365" spans="1:13" ht="15" hidden="1" customHeight="1" x14ac:dyDescent="0.25">
      <c r="A365" s="21" t="s">
        <v>2259</v>
      </c>
      <c r="B365" s="22" t="s">
        <v>1341</v>
      </c>
      <c r="C365" s="22" t="s">
        <v>584</v>
      </c>
      <c r="D365" s="21" t="s">
        <v>119</v>
      </c>
      <c r="E365" s="21" t="s">
        <v>1258</v>
      </c>
      <c r="F365" s="21" t="s">
        <v>2249</v>
      </c>
      <c r="G365" s="21" t="s">
        <v>2260</v>
      </c>
      <c r="H365" s="21" t="s">
        <v>1314</v>
      </c>
      <c r="I365" s="21" t="s">
        <v>1727</v>
      </c>
      <c r="J365" s="21" t="s">
        <v>2251</v>
      </c>
      <c r="K365" s="22" t="s">
        <v>2261</v>
      </c>
      <c r="L365" s="21" t="s">
        <v>1465</v>
      </c>
      <c r="M365" s="21" t="s">
        <v>1819</v>
      </c>
    </row>
    <row r="366" spans="1:13" ht="15" hidden="1" customHeight="1" x14ac:dyDescent="0.25">
      <c r="A366" s="21" t="s">
        <v>2262</v>
      </c>
      <c r="B366" s="22" t="s">
        <v>1345</v>
      </c>
      <c r="C366" s="22" t="s">
        <v>585</v>
      </c>
      <c r="D366" s="21" t="s">
        <v>119</v>
      </c>
      <c r="E366" s="21" t="s">
        <v>1258</v>
      </c>
      <c r="F366" s="21" t="s">
        <v>2249</v>
      </c>
      <c r="G366" s="21" t="s">
        <v>2263</v>
      </c>
      <c r="H366" s="21" t="s">
        <v>1314</v>
      </c>
      <c r="I366" s="21" t="s">
        <v>1727</v>
      </c>
      <c r="J366" s="21" t="s">
        <v>2251</v>
      </c>
      <c r="K366" s="22" t="s">
        <v>2264</v>
      </c>
      <c r="L366" s="21" t="s">
        <v>1465</v>
      </c>
      <c r="M366" s="21" t="s">
        <v>1819</v>
      </c>
    </row>
    <row r="367" spans="1:13" ht="15" hidden="1" customHeight="1" x14ac:dyDescent="0.25">
      <c r="A367" s="21" t="s">
        <v>2265</v>
      </c>
      <c r="B367" s="22" t="s">
        <v>1348</v>
      </c>
      <c r="C367" s="22" t="s">
        <v>586</v>
      </c>
      <c r="D367" s="21" t="s">
        <v>119</v>
      </c>
      <c r="E367" s="21" t="s">
        <v>1258</v>
      </c>
      <c r="F367" s="21" t="s">
        <v>2249</v>
      </c>
      <c r="G367" s="21" t="s">
        <v>2266</v>
      </c>
      <c r="H367" s="21" t="s">
        <v>1314</v>
      </c>
      <c r="I367" s="21" t="s">
        <v>1727</v>
      </c>
      <c r="J367" s="21" t="s">
        <v>2267</v>
      </c>
      <c r="K367" s="22" t="s">
        <v>2268</v>
      </c>
      <c r="L367" s="21" t="s">
        <v>1465</v>
      </c>
      <c r="M367" s="21" t="s">
        <v>1819</v>
      </c>
    </row>
    <row r="368" spans="1:13" ht="15" hidden="1" customHeight="1" x14ac:dyDescent="0.25">
      <c r="A368" s="21" t="s">
        <v>2269</v>
      </c>
      <c r="B368" s="22" t="s">
        <v>1351</v>
      </c>
      <c r="C368" s="22" t="s">
        <v>587</v>
      </c>
      <c r="D368" s="21" t="s">
        <v>119</v>
      </c>
      <c r="E368" s="21" t="s">
        <v>1258</v>
      </c>
      <c r="F368" s="21" t="s">
        <v>1690</v>
      </c>
      <c r="G368" s="21" t="s">
        <v>2270</v>
      </c>
      <c r="H368" s="21" t="s">
        <v>1314</v>
      </c>
      <c r="I368" s="21" t="s">
        <v>1727</v>
      </c>
      <c r="J368" s="21" t="s">
        <v>2251</v>
      </c>
      <c r="K368" s="22" t="s">
        <v>2271</v>
      </c>
      <c r="L368" s="21" t="s">
        <v>1465</v>
      </c>
      <c r="M368" s="21" t="s">
        <v>1819</v>
      </c>
    </row>
    <row r="369" spans="1:13" ht="15" hidden="1" customHeight="1" x14ac:dyDescent="0.25">
      <c r="A369" s="21" t="s">
        <v>2272</v>
      </c>
      <c r="B369" s="22" t="s">
        <v>1354</v>
      </c>
      <c r="C369" s="22" t="s">
        <v>2273</v>
      </c>
      <c r="D369" s="21" t="s">
        <v>119</v>
      </c>
      <c r="E369" s="21" t="s">
        <v>1269</v>
      </c>
      <c r="F369" s="21" t="s">
        <v>1265</v>
      </c>
      <c r="G369" s="21"/>
      <c r="H369" s="21" t="s">
        <v>1314</v>
      </c>
      <c r="I369" s="21" t="s">
        <v>1727</v>
      </c>
      <c r="J369" s="21" t="s">
        <v>2243</v>
      </c>
      <c r="K369" s="22" t="s">
        <v>2274</v>
      </c>
      <c r="L369" s="21" t="s">
        <v>1420</v>
      </c>
      <c r="M369" s="21" t="s">
        <v>1819</v>
      </c>
    </row>
    <row r="370" spans="1:13" ht="15" hidden="1" customHeight="1" x14ac:dyDescent="0.25">
      <c r="A370" s="21" t="s">
        <v>2275</v>
      </c>
      <c r="B370" s="22" t="s">
        <v>1355</v>
      </c>
      <c r="C370" s="22" t="s">
        <v>588</v>
      </c>
      <c r="D370" s="21" t="s">
        <v>119</v>
      </c>
      <c r="E370" s="21" t="s">
        <v>1258</v>
      </c>
      <c r="F370" s="21" t="s">
        <v>2276</v>
      </c>
      <c r="G370" s="21" t="s">
        <v>2277</v>
      </c>
      <c r="H370" s="21" t="s">
        <v>1314</v>
      </c>
      <c r="I370" s="21" t="s">
        <v>1727</v>
      </c>
      <c r="J370" s="21" t="s">
        <v>2251</v>
      </c>
      <c r="K370" s="22" t="s">
        <v>2278</v>
      </c>
      <c r="L370" s="21" t="s">
        <v>1465</v>
      </c>
      <c r="M370" s="21" t="s">
        <v>1819</v>
      </c>
    </row>
    <row r="371" spans="1:13" ht="15" hidden="1" customHeight="1" x14ac:dyDescent="0.25">
      <c r="A371" s="21" t="s">
        <v>2279</v>
      </c>
      <c r="B371" s="22" t="s">
        <v>1356</v>
      </c>
      <c r="C371" s="22" t="s">
        <v>589</v>
      </c>
      <c r="D371" s="21" t="s">
        <v>119</v>
      </c>
      <c r="E371" s="21" t="s">
        <v>1258</v>
      </c>
      <c r="F371" s="21" t="s">
        <v>2276</v>
      </c>
      <c r="G371" s="21" t="s">
        <v>2280</v>
      </c>
      <c r="H371" s="21" t="s">
        <v>1314</v>
      </c>
      <c r="I371" s="21" t="s">
        <v>1727</v>
      </c>
      <c r="J371" s="21" t="s">
        <v>2251</v>
      </c>
      <c r="K371" s="22" t="s">
        <v>2281</v>
      </c>
      <c r="L371" s="21" t="s">
        <v>1465</v>
      </c>
      <c r="M371" s="21" t="s">
        <v>1819</v>
      </c>
    </row>
    <row r="372" spans="1:13" ht="15" hidden="1" customHeight="1" x14ac:dyDescent="0.25">
      <c r="A372" s="21" t="s">
        <v>2282</v>
      </c>
      <c r="B372" s="22" t="s">
        <v>1359</v>
      </c>
      <c r="C372" s="22" t="s">
        <v>590</v>
      </c>
      <c r="D372" s="21" t="s">
        <v>119</v>
      </c>
      <c r="E372" s="21" t="s">
        <v>1258</v>
      </c>
      <c r="F372" s="21" t="s">
        <v>2276</v>
      </c>
      <c r="G372" s="21" t="s">
        <v>2283</v>
      </c>
      <c r="H372" s="21" t="s">
        <v>1314</v>
      </c>
      <c r="I372" s="21" t="s">
        <v>1727</v>
      </c>
      <c r="J372" s="21" t="s">
        <v>2251</v>
      </c>
      <c r="K372" s="22" t="s">
        <v>2284</v>
      </c>
      <c r="L372" s="21" t="s">
        <v>1465</v>
      </c>
      <c r="M372" s="21" t="s">
        <v>1819</v>
      </c>
    </row>
    <row r="373" spans="1:13" ht="15" hidden="1" customHeight="1" x14ac:dyDescent="0.25">
      <c r="A373" s="21" t="s">
        <v>2285</v>
      </c>
      <c r="B373" s="22" t="s">
        <v>1360</v>
      </c>
      <c r="C373" s="22" t="s">
        <v>591</v>
      </c>
      <c r="D373" s="21" t="s">
        <v>119</v>
      </c>
      <c r="E373" s="21" t="s">
        <v>1258</v>
      </c>
      <c r="F373" s="21" t="s">
        <v>2276</v>
      </c>
      <c r="G373" s="21" t="s">
        <v>2286</v>
      </c>
      <c r="H373" s="21" t="s">
        <v>1314</v>
      </c>
      <c r="I373" s="21" t="s">
        <v>1727</v>
      </c>
      <c r="J373" s="21" t="s">
        <v>2251</v>
      </c>
      <c r="K373" s="22" t="s">
        <v>2287</v>
      </c>
      <c r="L373" s="21" t="s">
        <v>1465</v>
      </c>
      <c r="M373" s="21" t="s">
        <v>1819</v>
      </c>
    </row>
    <row r="374" spans="1:13" ht="15" hidden="1" customHeight="1" x14ac:dyDescent="0.25">
      <c r="A374" s="21" t="s">
        <v>2288</v>
      </c>
      <c r="B374" s="22" t="s">
        <v>1361</v>
      </c>
      <c r="C374" s="22" t="s">
        <v>592</v>
      </c>
      <c r="D374" s="21" t="s">
        <v>119</v>
      </c>
      <c r="E374" s="21" t="s">
        <v>1258</v>
      </c>
      <c r="F374" s="21" t="s">
        <v>2276</v>
      </c>
      <c r="G374" s="21" t="s">
        <v>2289</v>
      </c>
      <c r="H374" s="21" t="s">
        <v>1314</v>
      </c>
      <c r="I374" s="21" t="s">
        <v>1727</v>
      </c>
      <c r="J374" s="21" t="s">
        <v>2251</v>
      </c>
      <c r="K374" s="22" t="s">
        <v>2290</v>
      </c>
      <c r="L374" s="21" t="s">
        <v>1465</v>
      </c>
      <c r="M374" s="21" t="s">
        <v>1819</v>
      </c>
    </row>
    <row r="375" spans="1:13" ht="15" hidden="1" customHeight="1" x14ac:dyDescent="0.25">
      <c r="A375" s="21" t="s">
        <v>2291</v>
      </c>
      <c r="B375" s="22" t="s">
        <v>1362</v>
      </c>
      <c r="C375" s="22" t="s">
        <v>593</v>
      </c>
      <c r="D375" s="21" t="s">
        <v>119</v>
      </c>
      <c r="E375" s="21" t="s">
        <v>1258</v>
      </c>
      <c r="F375" s="21" t="s">
        <v>2249</v>
      </c>
      <c r="G375" s="21" t="s">
        <v>2292</v>
      </c>
      <c r="H375" s="21" t="s">
        <v>1314</v>
      </c>
      <c r="I375" s="21" t="s">
        <v>1727</v>
      </c>
      <c r="J375" s="21" t="s">
        <v>2251</v>
      </c>
      <c r="K375" s="22" t="s">
        <v>2293</v>
      </c>
      <c r="L375" s="21" t="s">
        <v>1465</v>
      </c>
      <c r="M375" s="21" t="s">
        <v>1819</v>
      </c>
    </row>
    <row r="376" spans="1:13" ht="15" hidden="1" customHeight="1" x14ac:dyDescent="0.25">
      <c r="A376" s="21" t="s">
        <v>2294</v>
      </c>
      <c r="B376" s="22" t="s">
        <v>1363</v>
      </c>
      <c r="C376" s="22" t="s">
        <v>594</v>
      </c>
      <c r="D376" s="21" t="s">
        <v>119</v>
      </c>
      <c r="E376" s="21" t="s">
        <v>1258</v>
      </c>
      <c r="F376" s="21" t="s">
        <v>2276</v>
      </c>
      <c r="G376" s="21" t="s">
        <v>2295</v>
      </c>
      <c r="H376" s="21" t="s">
        <v>1314</v>
      </c>
      <c r="I376" s="21" t="s">
        <v>1727</v>
      </c>
      <c r="J376" s="21" t="s">
        <v>2251</v>
      </c>
      <c r="K376" s="22" t="s">
        <v>2296</v>
      </c>
      <c r="L376" s="21" t="s">
        <v>1465</v>
      </c>
      <c r="M376" s="21" t="s">
        <v>1819</v>
      </c>
    </row>
    <row r="377" spans="1:13" ht="15" hidden="1" customHeight="1" x14ac:dyDescent="0.25">
      <c r="A377" s="21" t="s">
        <v>2297</v>
      </c>
      <c r="B377" s="22" t="s">
        <v>1364</v>
      </c>
      <c r="C377" s="22" t="s">
        <v>595</v>
      </c>
      <c r="D377" s="21" t="s">
        <v>119</v>
      </c>
      <c r="E377" s="21" t="s">
        <v>1223</v>
      </c>
      <c r="F377" s="21" t="s">
        <v>1223</v>
      </c>
      <c r="G377" s="21"/>
      <c r="H377" s="21" t="s">
        <v>1314</v>
      </c>
      <c r="I377" s="21" t="s">
        <v>1909</v>
      </c>
      <c r="J377" s="21" t="s">
        <v>2298</v>
      </c>
      <c r="K377" s="22" t="s">
        <v>2299</v>
      </c>
      <c r="L377" s="21" t="s">
        <v>1332</v>
      </c>
      <c r="M377" s="21" t="s">
        <v>1830</v>
      </c>
    </row>
    <row r="378" spans="1:13" ht="15" hidden="1" customHeight="1" x14ac:dyDescent="0.25">
      <c r="A378" s="21" t="s">
        <v>2300</v>
      </c>
      <c r="B378" s="22" t="s">
        <v>1365</v>
      </c>
      <c r="C378" s="22" t="s">
        <v>596</v>
      </c>
      <c r="D378" s="21" t="s">
        <v>119</v>
      </c>
      <c r="E378" s="21" t="s">
        <v>1263</v>
      </c>
      <c r="F378" s="21" t="s">
        <v>1674</v>
      </c>
      <c r="G378" s="21" t="s">
        <v>2301</v>
      </c>
      <c r="H378" s="21" t="s">
        <v>1286</v>
      </c>
      <c r="I378" s="21" t="s">
        <v>2302</v>
      </c>
      <c r="J378" s="21" t="s">
        <v>2303</v>
      </c>
      <c r="K378" s="22" t="s">
        <v>2304</v>
      </c>
      <c r="L378" s="21" t="s">
        <v>1290</v>
      </c>
      <c r="M378" s="21" t="s">
        <v>1819</v>
      </c>
    </row>
    <row r="379" spans="1:13" ht="15" hidden="1" customHeight="1" x14ac:dyDescent="0.25">
      <c r="A379" s="21" t="s">
        <v>2305</v>
      </c>
      <c r="B379" s="22" t="s">
        <v>1369</v>
      </c>
      <c r="C379" s="22" t="s">
        <v>597</v>
      </c>
      <c r="D379" s="21" t="s">
        <v>119</v>
      </c>
      <c r="E379" s="21" t="s">
        <v>1201</v>
      </c>
      <c r="F379" s="21" t="s">
        <v>2306</v>
      </c>
      <c r="G379" s="21" t="s">
        <v>2307</v>
      </c>
      <c r="H379" s="21" t="s">
        <v>2308</v>
      </c>
      <c r="I379" s="21" t="s">
        <v>2309</v>
      </c>
      <c r="J379" s="21" t="s">
        <v>2310</v>
      </c>
      <c r="K379" s="22" t="s">
        <v>2311</v>
      </c>
      <c r="L379" s="21" t="s">
        <v>1311</v>
      </c>
      <c r="M379" s="21" t="s">
        <v>1819</v>
      </c>
    </row>
    <row r="380" spans="1:13" ht="15" hidden="1" customHeight="1" x14ac:dyDescent="0.25">
      <c r="A380" s="21" t="s">
        <v>2312</v>
      </c>
      <c r="B380" s="22" t="s">
        <v>1372</v>
      </c>
      <c r="C380" s="22" t="s">
        <v>598</v>
      </c>
      <c r="D380" s="21" t="s">
        <v>119</v>
      </c>
      <c r="E380" s="21" t="s">
        <v>1234</v>
      </c>
      <c r="F380" s="21" t="s">
        <v>1588</v>
      </c>
      <c r="G380" s="21"/>
      <c r="H380" s="21" t="s">
        <v>1314</v>
      </c>
      <c r="I380" s="21" t="s">
        <v>1399</v>
      </c>
      <c r="J380" s="21" t="s">
        <v>2313</v>
      </c>
      <c r="K380" s="22" t="s">
        <v>2314</v>
      </c>
      <c r="L380" s="21" t="s">
        <v>1431</v>
      </c>
      <c r="M380" s="21" t="s">
        <v>1819</v>
      </c>
    </row>
    <row r="381" spans="1:13" ht="15" hidden="1" customHeight="1" x14ac:dyDescent="0.25">
      <c r="A381" s="21" t="s">
        <v>2315</v>
      </c>
      <c r="B381" s="22" t="s">
        <v>1374</v>
      </c>
      <c r="C381" s="22" t="s">
        <v>599</v>
      </c>
      <c r="D381" s="21" t="s">
        <v>119</v>
      </c>
      <c r="E381" s="21" t="s">
        <v>1224</v>
      </c>
      <c r="F381" s="21" t="s">
        <v>1224</v>
      </c>
      <c r="G381" s="21" t="s">
        <v>1551</v>
      </c>
      <c r="H381" s="21" t="s">
        <v>1286</v>
      </c>
      <c r="I381" s="21" t="s">
        <v>1735</v>
      </c>
      <c r="J381" s="21" t="s">
        <v>2316</v>
      </c>
      <c r="K381" s="22" t="s">
        <v>2317</v>
      </c>
      <c r="L381" s="21" t="s">
        <v>1676</v>
      </c>
      <c r="M381" s="21" t="s">
        <v>1819</v>
      </c>
    </row>
    <row r="382" spans="1:13" ht="15" hidden="1" customHeight="1" x14ac:dyDescent="0.25">
      <c r="A382" s="21" t="s">
        <v>2318</v>
      </c>
      <c r="B382" s="22" t="s">
        <v>1377</v>
      </c>
      <c r="C382" s="22" t="s">
        <v>600</v>
      </c>
      <c r="D382" s="21" t="s">
        <v>119</v>
      </c>
      <c r="E382" s="21" t="s">
        <v>1234</v>
      </c>
      <c r="F382" s="21" t="s">
        <v>1588</v>
      </c>
      <c r="G382" s="21" t="s">
        <v>2319</v>
      </c>
      <c r="H382" s="21" t="s">
        <v>1314</v>
      </c>
      <c r="I382" s="21" t="s">
        <v>1735</v>
      </c>
      <c r="J382" s="21" t="s">
        <v>2320</v>
      </c>
      <c r="K382" s="22" t="s">
        <v>2321</v>
      </c>
      <c r="L382" s="21" t="s">
        <v>1431</v>
      </c>
      <c r="M382" s="21" t="s">
        <v>1819</v>
      </c>
    </row>
    <row r="383" spans="1:13" ht="15" hidden="1" customHeight="1" x14ac:dyDescent="0.25">
      <c r="A383" s="21" t="s">
        <v>2322</v>
      </c>
      <c r="B383" s="22" t="s">
        <v>1380</v>
      </c>
      <c r="C383" s="22" t="s">
        <v>601</v>
      </c>
      <c r="D383" s="21" t="s">
        <v>119</v>
      </c>
      <c r="E383" s="21" t="s">
        <v>1252</v>
      </c>
      <c r="F383" s="21" t="s">
        <v>1252</v>
      </c>
      <c r="G383" s="21" t="s">
        <v>1863</v>
      </c>
      <c r="H383" s="21" t="s">
        <v>1314</v>
      </c>
      <c r="I383" s="21" t="s">
        <v>2323</v>
      </c>
      <c r="J383" s="21" t="s">
        <v>2324</v>
      </c>
      <c r="K383" s="22" t="s">
        <v>2325</v>
      </c>
      <c r="L383" s="21" t="s">
        <v>1431</v>
      </c>
      <c r="M383" s="21" t="s">
        <v>1819</v>
      </c>
    </row>
    <row r="384" spans="1:13" ht="15" hidden="1" customHeight="1" x14ac:dyDescent="0.25">
      <c r="A384" s="21" t="s">
        <v>2326</v>
      </c>
      <c r="B384" s="22" t="s">
        <v>1383</v>
      </c>
      <c r="C384" s="22" t="s">
        <v>602</v>
      </c>
      <c r="D384" s="21" t="s">
        <v>119</v>
      </c>
      <c r="E384" s="21" t="s">
        <v>1254</v>
      </c>
      <c r="F384" s="21" t="s">
        <v>1443</v>
      </c>
      <c r="G384" s="21" t="s">
        <v>1664</v>
      </c>
      <c r="H384" s="21" t="s">
        <v>1314</v>
      </c>
      <c r="I384" s="21" t="s">
        <v>2323</v>
      </c>
      <c r="J384" s="21" t="s">
        <v>2324</v>
      </c>
      <c r="K384" s="22" t="s">
        <v>2327</v>
      </c>
      <c r="L384" s="21" t="s">
        <v>1431</v>
      </c>
      <c r="M384" s="21" t="s">
        <v>1819</v>
      </c>
    </row>
    <row r="385" spans="1:13" ht="15" hidden="1" customHeight="1" x14ac:dyDescent="0.25">
      <c r="A385" s="21" t="s">
        <v>2328</v>
      </c>
      <c r="B385" s="22" t="s">
        <v>1385</v>
      </c>
      <c r="C385" s="22" t="s">
        <v>603</v>
      </c>
      <c r="D385" s="21" t="s">
        <v>119</v>
      </c>
      <c r="E385" s="21" t="s">
        <v>1214</v>
      </c>
      <c r="F385" s="21" t="s">
        <v>2329</v>
      </c>
      <c r="G385" s="21"/>
      <c r="H385" s="21" t="s">
        <v>1314</v>
      </c>
      <c r="I385" s="21" t="s">
        <v>2323</v>
      </c>
      <c r="J385" s="21" t="s">
        <v>2330</v>
      </c>
      <c r="K385" s="22" t="s">
        <v>2331</v>
      </c>
      <c r="L385" s="21" t="s">
        <v>1431</v>
      </c>
      <c r="M385" s="21" t="s">
        <v>1819</v>
      </c>
    </row>
    <row r="386" spans="1:13" ht="15" hidden="1" customHeight="1" x14ac:dyDescent="0.25">
      <c r="A386" s="21" t="s">
        <v>2332</v>
      </c>
      <c r="B386" s="22" t="s">
        <v>1388</v>
      </c>
      <c r="C386" s="22" t="s">
        <v>604</v>
      </c>
      <c r="D386" s="21" t="s">
        <v>119</v>
      </c>
      <c r="E386" s="21" t="s">
        <v>1214</v>
      </c>
      <c r="F386" s="21" t="s">
        <v>2329</v>
      </c>
      <c r="G386" s="21"/>
      <c r="H386" s="21" t="s">
        <v>1314</v>
      </c>
      <c r="I386" s="21" t="s">
        <v>2323</v>
      </c>
      <c r="J386" s="21" t="s">
        <v>2330</v>
      </c>
      <c r="K386" s="22" t="s">
        <v>2333</v>
      </c>
      <c r="L386" s="21" t="s">
        <v>1431</v>
      </c>
      <c r="M386" s="21" t="s">
        <v>1819</v>
      </c>
    </row>
    <row r="387" spans="1:13" ht="15" hidden="1" customHeight="1" x14ac:dyDescent="0.25">
      <c r="A387" s="21" t="s">
        <v>2334</v>
      </c>
      <c r="B387" s="22" t="s">
        <v>1391</v>
      </c>
      <c r="C387" s="22" t="s">
        <v>605</v>
      </c>
      <c r="D387" s="21" t="s">
        <v>119</v>
      </c>
      <c r="E387" s="21" t="s">
        <v>1214</v>
      </c>
      <c r="F387" s="21" t="s">
        <v>2329</v>
      </c>
      <c r="G387" s="21"/>
      <c r="H387" s="21" t="s">
        <v>1314</v>
      </c>
      <c r="I387" s="21" t="s">
        <v>2323</v>
      </c>
      <c r="J387" s="21" t="s">
        <v>2330</v>
      </c>
      <c r="K387" s="22" t="s">
        <v>2335</v>
      </c>
      <c r="L387" s="21" t="s">
        <v>1431</v>
      </c>
      <c r="M387" s="21" t="s">
        <v>1819</v>
      </c>
    </row>
    <row r="388" spans="1:13" ht="15" hidden="1" customHeight="1" x14ac:dyDescent="0.25">
      <c r="A388" s="21" t="s">
        <v>2336</v>
      </c>
      <c r="B388" s="22" t="s">
        <v>1394</v>
      </c>
      <c r="C388" s="22" t="s">
        <v>606</v>
      </c>
      <c r="D388" s="21" t="s">
        <v>119</v>
      </c>
      <c r="E388" s="21" t="s">
        <v>1214</v>
      </c>
      <c r="F388" s="21" t="s">
        <v>2329</v>
      </c>
      <c r="G388" s="21"/>
      <c r="H388" s="21" t="s">
        <v>1314</v>
      </c>
      <c r="I388" s="21" t="s">
        <v>2323</v>
      </c>
      <c r="J388" s="21" t="s">
        <v>2330</v>
      </c>
      <c r="K388" s="22" t="s">
        <v>2337</v>
      </c>
      <c r="L388" s="21" t="s">
        <v>1431</v>
      </c>
      <c r="M388" s="21" t="s">
        <v>1819</v>
      </c>
    </row>
    <row r="389" spans="1:13" ht="15" hidden="1" customHeight="1" x14ac:dyDescent="0.25">
      <c r="A389" s="21" t="s">
        <v>2338</v>
      </c>
      <c r="B389" s="22" t="s">
        <v>1397</v>
      </c>
      <c r="C389" s="22" t="s">
        <v>607</v>
      </c>
      <c r="D389" s="21" t="s">
        <v>119</v>
      </c>
      <c r="E389" s="21" t="s">
        <v>1265</v>
      </c>
      <c r="F389" s="21" t="s">
        <v>1265</v>
      </c>
      <c r="G389" s="21" t="s">
        <v>2339</v>
      </c>
      <c r="H389" s="21" t="s">
        <v>1314</v>
      </c>
      <c r="I389" s="21" t="s">
        <v>2309</v>
      </c>
      <c r="J389" s="21" t="s">
        <v>2340</v>
      </c>
      <c r="K389" s="22" t="s">
        <v>2341</v>
      </c>
      <c r="L389" s="21" t="s">
        <v>1521</v>
      </c>
      <c r="M389" s="21" t="s">
        <v>1830</v>
      </c>
    </row>
    <row r="390" spans="1:13" ht="15" hidden="1" customHeight="1" x14ac:dyDescent="0.25">
      <c r="A390" s="21" t="s">
        <v>2342</v>
      </c>
      <c r="B390" s="22" t="s">
        <v>1403</v>
      </c>
      <c r="C390" s="22" t="s">
        <v>608</v>
      </c>
      <c r="D390" s="21" t="s">
        <v>119</v>
      </c>
      <c r="E390" s="21" t="s">
        <v>1272</v>
      </c>
      <c r="F390" s="21" t="s">
        <v>1272</v>
      </c>
      <c r="G390" s="21" t="s">
        <v>2343</v>
      </c>
      <c r="H390" s="21" t="s">
        <v>1314</v>
      </c>
      <c r="I390" s="21" t="s">
        <v>2309</v>
      </c>
      <c r="J390" s="21" t="s">
        <v>2340</v>
      </c>
      <c r="K390" s="22" t="s">
        <v>2344</v>
      </c>
      <c r="L390" s="21" t="s">
        <v>1521</v>
      </c>
      <c r="M390" s="21" t="s">
        <v>1830</v>
      </c>
    </row>
    <row r="391" spans="1:13" ht="15" hidden="1" customHeight="1" x14ac:dyDescent="0.25">
      <c r="A391" s="21" t="s">
        <v>2345</v>
      </c>
      <c r="B391" s="22" t="s">
        <v>1410</v>
      </c>
      <c r="C391" s="22" t="s">
        <v>609</v>
      </c>
      <c r="D391" s="21" t="s">
        <v>119</v>
      </c>
      <c r="E391" s="21" t="s">
        <v>1265</v>
      </c>
      <c r="F391" s="21" t="s">
        <v>1265</v>
      </c>
      <c r="G391" s="21" t="s">
        <v>2346</v>
      </c>
      <c r="H391" s="21" t="s">
        <v>1314</v>
      </c>
      <c r="I391" s="21" t="s">
        <v>2309</v>
      </c>
      <c r="J391" s="21" t="s">
        <v>2340</v>
      </c>
      <c r="K391" s="22" t="s">
        <v>2347</v>
      </c>
      <c r="L391" s="21" t="s">
        <v>1521</v>
      </c>
      <c r="M391" s="21" t="s">
        <v>1830</v>
      </c>
    </row>
    <row r="392" spans="1:13" ht="15" hidden="1" customHeight="1" x14ac:dyDescent="0.25">
      <c r="A392" s="21" t="s">
        <v>2348</v>
      </c>
      <c r="B392" s="22" t="s">
        <v>1414</v>
      </c>
      <c r="C392" s="22" t="s">
        <v>610</v>
      </c>
      <c r="D392" s="21" t="s">
        <v>119</v>
      </c>
      <c r="E392" s="21" t="s">
        <v>1272</v>
      </c>
      <c r="F392" s="21" t="s">
        <v>1272</v>
      </c>
      <c r="G392" s="21" t="s">
        <v>2343</v>
      </c>
      <c r="H392" s="21" t="s">
        <v>1314</v>
      </c>
      <c r="I392" s="21" t="s">
        <v>2309</v>
      </c>
      <c r="J392" s="21" t="s">
        <v>2340</v>
      </c>
      <c r="K392" s="22" t="s">
        <v>2349</v>
      </c>
      <c r="L392" s="21" t="s">
        <v>1521</v>
      </c>
      <c r="M392" s="21" t="s">
        <v>1830</v>
      </c>
    </row>
    <row r="393" spans="1:13" ht="15" hidden="1" customHeight="1" x14ac:dyDescent="0.25">
      <c r="A393" s="21" t="s">
        <v>2350</v>
      </c>
      <c r="B393" s="22" t="s">
        <v>1421</v>
      </c>
      <c r="C393" s="22" t="s">
        <v>611</v>
      </c>
      <c r="D393" s="21" t="s">
        <v>119</v>
      </c>
      <c r="E393" s="21" t="s">
        <v>1240</v>
      </c>
      <c r="F393" s="21" t="s">
        <v>1523</v>
      </c>
      <c r="G393" s="21" t="s">
        <v>2351</v>
      </c>
      <c r="H393" s="21" t="s">
        <v>1314</v>
      </c>
      <c r="I393" s="21" t="s">
        <v>1399</v>
      </c>
      <c r="J393" s="21" t="s">
        <v>2352</v>
      </c>
      <c r="K393" s="22" t="s">
        <v>2353</v>
      </c>
      <c r="L393" s="21" t="s">
        <v>1733</v>
      </c>
      <c r="M393" s="21" t="s">
        <v>1830</v>
      </c>
    </row>
    <row r="394" spans="1:13" ht="15" hidden="1" customHeight="1" x14ac:dyDescent="0.25">
      <c r="A394" s="21" t="s">
        <v>2354</v>
      </c>
      <c r="B394" s="22" t="s">
        <v>1426</v>
      </c>
      <c r="C394" s="22" t="s">
        <v>612</v>
      </c>
      <c r="D394" s="21" t="s">
        <v>119</v>
      </c>
      <c r="E394" s="21" t="s">
        <v>1265</v>
      </c>
      <c r="F394" s="21" t="s">
        <v>1265</v>
      </c>
      <c r="G394" s="21" t="s">
        <v>2355</v>
      </c>
      <c r="H394" s="21" t="s">
        <v>1314</v>
      </c>
      <c r="I394" s="21" t="s">
        <v>2309</v>
      </c>
      <c r="J394" s="21" t="s">
        <v>2340</v>
      </c>
      <c r="K394" s="22" t="s">
        <v>2356</v>
      </c>
      <c r="L394" s="21" t="s">
        <v>1521</v>
      </c>
      <c r="M394" s="21" t="s">
        <v>1830</v>
      </c>
    </row>
    <row r="395" spans="1:13" ht="15" hidden="1" customHeight="1" x14ac:dyDescent="0.25">
      <c r="A395" s="21" t="s">
        <v>2357</v>
      </c>
      <c r="B395" s="22" t="s">
        <v>1432</v>
      </c>
      <c r="C395" s="22" t="s">
        <v>613</v>
      </c>
      <c r="D395" s="21" t="s">
        <v>119</v>
      </c>
      <c r="E395" s="21" t="s">
        <v>1272</v>
      </c>
      <c r="F395" s="21" t="s">
        <v>1272</v>
      </c>
      <c r="G395" s="21"/>
      <c r="H395" s="21" t="s">
        <v>1314</v>
      </c>
      <c r="I395" s="21" t="s">
        <v>2309</v>
      </c>
      <c r="J395" s="21" t="s">
        <v>2340</v>
      </c>
      <c r="K395" s="22" t="s">
        <v>2358</v>
      </c>
      <c r="L395" s="21" t="s">
        <v>1521</v>
      </c>
      <c r="M395" s="21" t="s">
        <v>1830</v>
      </c>
    </row>
    <row r="396" spans="1:13" ht="15" hidden="1" customHeight="1" x14ac:dyDescent="0.25">
      <c r="A396" s="21" t="s">
        <v>2359</v>
      </c>
      <c r="B396" s="22" t="s">
        <v>1436</v>
      </c>
      <c r="C396" s="22" t="s">
        <v>614</v>
      </c>
      <c r="D396" s="21" t="s">
        <v>119</v>
      </c>
      <c r="E396" s="21" t="s">
        <v>1265</v>
      </c>
      <c r="F396" s="21" t="s">
        <v>1265</v>
      </c>
      <c r="G396" s="21" t="s">
        <v>2360</v>
      </c>
      <c r="H396" s="21" t="s">
        <v>1314</v>
      </c>
      <c r="I396" s="21" t="s">
        <v>2309</v>
      </c>
      <c r="J396" s="21" t="s">
        <v>2340</v>
      </c>
      <c r="K396" s="22" t="s">
        <v>2361</v>
      </c>
      <c r="L396" s="21" t="s">
        <v>1521</v>
      </c>
      <c r="M396" s="21" t="s">
        <v>1830</v>
      </c>
    </row>
    <row r="397" spans="1:13" ht="15" hidden="1" customHeight="1" x14ac:dyDescent="0.25">
      <c r="A397" s="21" t="s">
        <v>2362</v>
      </c>
      <c r="B397" s="22" t="s">
        <v>1439</v>
      </c>
      <c r="C397" s="22" t="s">
        <v>615</v>
      </c>
      <c r="D397" s="21" t="s">
        <v>119</v>
      </c>
      <c r="E397" s="21" t="s">
        <v>1265</v>
      </c>
      <c r="F397" s="21" t="s">
        <v>1265</v>
      </c>
      <c r="G397" s="21" t="s">
        <v>2363</v>
      </c>
      <c r="H397" s="21" t="s">
        <v>1314</v>
      </c>
      <c r="I397" s="21" t="s">
        <v>2309</v>
      </c>
      <c r="J397" s="21" t="s">
        <v>2340</v>
      </c>
      <c r="K397" s="22" t="s">
        <v>2364</v>
      </c>
      <c r="L397" s="21" t="s">
        <v>1521</v>
      </c>
      <c r="M397" s="21" t="s">
        <v>1830</v>
      </c>
    </row>
    <row r="398" spans="1:13" ht="15" hidden="1" customHeight="1" x14ac:dyDescent="0.25">
      <c r="A398" s="21" t="s">
        <v>2365</v>
      </c>
      <c r="B398" s="22" t="s">
        <v>1442</v>
      </c>
      <c r="C398" s="22" t="s">
        <v>616</v>
      </c>
      <c r="D398" s="21" t="s">
        <v>119</v>
      </c>
      <c r="E398" s="21" t="s">
        <v>1263</v>
      </c>
      <c r="F398" s="21" t="s">
        <v>1674</v>
      </c>
      <c r="G398" s="21" t="s">
        <v>2366</v>
      </c>
      <c r="H398" s="21" t="s">
        <v>1286</v>
      </c>
      <c r="I398" s="21" t="s">
        <v>2302</v>
      </c>
      <c r="J398" s="21" t="s">
        <v>2303</v>
      </c>
      <c r="K398" s="22" t="s">
        <v>2367</v>
      </c>
      <c r="L398" s="21" t="s">
        <v>1290</v>
      </c>
      <c r="M398" s="21" t="s">
        <v>1819</v>
      </c>
    </row>
    <row r="399" spans="1:13" ht="15" hidden="1" customHeight="1" x14ac:dyDescent="0.25">
      <c r="A399" s="21" t="s">
        <v>2368</v>
      </c>
      <c r="B399" s="22" t="s">
        <v>1447</v>
      </c>
      <c r="C399" s="22" t="s">
        <v>617</v>
      </c>
      <c r="D399" s="21" t="s">
        <v>119</v>
      </c>
      <c r="E399" s="21" t="s">
        <v>1265</v>
      </c>
      <c r="F399" s="21" t="s">
        <v>1265</v>
      </c>
      <c r="G399" s="21" t="s">
        <v>1863</v>
      </c>
      <c r="H399" s="21" t="s">
        <v>1314</v>
      </c>
      <c r="I399" s="21" t="s">
        <v>2309</v>
      </c>
      <c r="J399" s="21" t="s">
        <v>2340</v>
      </c>
      <c r="K399" s="22" t="s">
        <v>2369</v>
      </c>
      <c r="L399" s="21" t="s">
        <v>1521</v>
      </c>
      <c r="M399" s="21" t="s">
        <v>1830</v>
      </c>
    </row>
    <row r="400" spans="1:13" ht="15" hidden="1" customHeight="1" x14ac:dyDescent="0.25">
      <c r="A400" s="21" t="s">
        <v>2370</v>
      </c>
      <c r="B400" s="22" t="s">
        <v>1452</v>
      </c>
      <c r="C400" s="22" t="s">
        <v>618</v>
      </c>
      <c r="D400" s="21" t="s">
        <v>119</v>
      </c>
      <c r="E400" s="21" t="s">
        <v>1263</v>
      </c>
      <c r="F400" s="21" t="s">
        <v>1674</v>
      </c>
      <c r="G400" s="21" t="s">
        <v>2371</v>
      </c>
      <c r="H400" s="21" t="s">
        <v>1286</v>
      </c>
      <c r="I400" s="21" t="s">
        <v>2302</v>
      </c>
      <c r="J400" s="21" t="s">
        <v>2303</v>
      </c>
      <c r="K400" s="22" t="s">
        <v>2372</v>
      </c>
      <c r="L400" s="21" t="s">
        <v>1290</v>
      </c>
      <c r="M400" s="21" t="s">
        <v>1819</v>
      </c>
    </row>
    <row r="401" spans="1:13" ht="15" hidden="1" customHeight="1" x14ac:dyDescent="0.25">
      <c r="A401" s="21" t="s">
        <v>2373</v>
      </c>
      <c r="B401" s="22" t="s">
        <v>1456</v>
      </c>
      <c r="C401" s="22" t="s">
        <v>619</v>
      </c>
      <c r="D401" s="21" t="s">
        <v>119</v>
      </c>
      <c r="E401" s="21" t="s">
        <v>1240</v>
      </c>
      <c r="F401" s="21" t="s">
        <v>1523</v>
      </c>
      <c r="G401" s="21" t="s">
        <v>2351</v>
      </c>
      <c r="H401" s="21" t="s">
        <v>1314</v>
      </c>
      <c r="I401" s="21" t="s">
        <v>2309</v>
      </c>
      <c r="J401" s="21" t="s">
        <v>2340</v>
      </c>
      <c r="K401" s="22" t="s">
        <v>2374</v>
      </c>
      <c r="L401" s="21" t="s">
        <v>1521</v>
      </c>
      <c r="M401" s="21" t="s">
        <v>1830</v>
      </c>
    </row>
    <row r="402" spans="1:13" ht="15" hidden="1" customHeight="1" x14ac:dyDescent="0.25">
      <c r="A402" s="21" t="s">
        <v>2375</v>
      </c>
      <c r="B402" s="22" t="s">
        <v>1461</v>
      </c>
      <c r="C402" s="22" t="s">
        <v>620</v>
      </c>
      <c r="D402" s="21" t="s">
        <v>119</v>
      </c>
      <c r="E402" s="21" t="s">
        <v>1214</v>
      </c>
      <c r="F402" s="21" t="s">
        <v>1214</v>
      </c>
      <c r="G402" s="21" t="s">
        <v>2376</v>
      </c>
      <c r="H402" s="21" t="s">
        <v>1314</v>
      </c>
      <c r="I402" s="21" t="s">
        <v>2377</v>
      </c>
      <c r="J402" s="21" t="s">
        <v>2378</v>
      </c>
      <c r="K402" s="22" t="s">
        <v>2379</v>
      </c>
      <c r="L402" s="21" t="s">
        <v>1431</v>
      </c>
      <c r="M402" s="21" t="s">
        <v>1830</v>
      </c>
    </row>
    <row r="403" spans="1:13" ht="15" hidden="1" customHeight="1" x14ac:dyDescent="0.25">
      <c r="A403" s="21" t="s">
        <v>2380</v>
      </c>
      <c r="B403" s="22" t="s">
        <v>1466</v>
      </c>
      <c r="C403" s="22" t="s">
        <v>621</v>
      </c>
      <c r="D403" s="21" t="s">
        <v>119</v>
      </c>
      <c r="E403" s="21" t="s">
        <v>1234</v>
      </c>
      <c r="F403" s="21" t="s">
        <v>1588</v>
      </c>
      <c r="G403" s="21" t="s">
        <v>2381</v>
      </c>
      <c r="H403" s="21" t="s">
        <v>1314</v>
      </c>
      <c r="I403" s="21" t="s">
        <v>1735</v>
      </c>
      <c r="J403" s="21" t="s">
        <v>2320</v>
      </c>
      <c r="K403" s="22" t="s">
        <v>2382</v>
      </c>
      <c r="L403" s="21" t="s">
        <v>1676</v>
      </c>
      <c r="M403" s="21" t="s">
        <v>1819</v>
      </c>
    </row>
    <row r="404" spans="1:13" ht="15" hidden="1" customHeight="1" x14ac:dyDescent="0.25">
      <c r="A404" s="21" t="s">
        <v>2383</v>
      </c>
      <c r="B404" s="22" t="s">
        <v>1470</v>
      </c>
      <c r="C404" s="22" t="s">
        <v>622</v>
      </c>
      <c r="D404" s="21" t="s">
        <v>119</v>
      </c>
      <c r="E404" s="21" t="s">
        <v>1263</v>
      </c>
      <c r="F404" s="21" t="s">
        <v>1674</v>
      </c>
      <c r="G404" s="21" t="s">
        <v>2384</v>
      </c>
      <c r="H404" s="21" t="s">
        <v>1286</v>
      </c>
      <c r="I404" s="21" t="s">
        <v>2302</v>
      </c>
      <c r="J404" s="21" t="s">
        <v>2303</v>
      </c>
      <c r="K404" s="22" t="s">
        <v>2385</v>
      </c>
      <c r="L404" s="21" t="s">
        <v>1290</v>
      </c>
      <c r="M404" s="21" t="s">
        <v>1819</v>
      </c>
    </row>
    <row r="405" spans="1:13" ht="15" hidden="1" customHeight="1" x14ac:dyDescent="0.25">
      <c r="A405" s="21" t="s">
        <v>2386</v>
      </c>
      <c r="B405" s="22" t="s">
        <v>1473</v>
      </c>
      <c r="C405" s="22" t="s">
        <v>623</v>
      </c>
      <c r="D405" s="21" t="s">
        <v>119</v>
      </c>
      <c r="E405" s="21" t="s">
        <v>1250</v>
      </c>
      <c r="F405" s="21"/>
      <c r="G405" s="21"/>
      <c r="H405" s="21" t="s">
        <v>1314</v>
      </c>
      <c r="I405" s="21" t="s">
        <v>1735</v>
      </c>
      <c r="J405" s="21" t="s">
        <v>2387</v>
      </c>
      <c r="K405" s="22" t="s">
        <v>2388</v>
      </c>
      <c r="L405" s="21" t="s">
        <v>1311</v>
      </c>
      <c r="M405" s="21"/>
    </row>
    <row r="406" spans="1:13" ht="15" hidden="1" customHeight="1" x14ac:dyDescent="0.25">
      <c r="A406" s="21" t="s">
        <v>2389</v>
      </c>
      <c r="B406" s="22" t="s">
        <v>1475</v>
      </c>
      <c r="C406" s="22" t="s">
        <v>624</v>
      </c>
      <c r="D406" s="21" t="s">
        <v>119</v>
      </c>
      <c r="E406" s="21" t="s">
        <v>1214</v>
      </c>
      <c r="F406" s="21" t="s">
        <v>2390</v>
      </c>
      <c r="G406" s="21" t="s">
        <v>2391</v>
      </c>
      <c r="H406" s="21" t="s">
        <v>1314</v>
      </c>
      <c r="I406" s="21" t="s">
        <v>1727</v>
      </c>
      <c r="J406" s="21" t="s">
        <v>2392</v>
      </c>
      <c r="K406" s="22" t="s">
        <v>2393</v>
      </c>
      <c r="L406" s="21" t="s">
        <v>1465</v>
      </c>
      <c r="M406" s="21" t="s">
        <v>1819</v>
      </c>
    </row>
    <row r="407" spans="1:13" ht="15" hidden="1" customHeight="1" x14ac:dyDescent="0.25">
      <c r="A407" s="21" t="s">
        <v>2394</v>
      </c>
      <c r="B407" s="22" t="s">
        <v>1478</v>
      </c>
      <c r="C407" s="22" t="s">
        <v>625</v>
      </c>
      <c r="D407" s="21" t="s">
        <v>119</v>
      </c>
      <c r="E407" s="21" t="s">
        <v>1240</v>
      </c>
      <c r="F407" s="21" t="s">
        <v>2395</v>
      </c>
      <c r="G407" s="21" t="s">
        <v>2351</v>
      </c>
      <c r="H407" s="21" t="s">
        <v>2396</v>
      </c>
      <c r="I407" s="21" t="s">
        <v>2309</v>
      </c>
      <c r="J407" s="21" t="s">
        <v>2397</v>
      </c>
      <c r="K407" s="22" t="s">
        <v>2398</v>
      </c>
      <c r="L407" s="21" t="s">
        <v>1521</v>
      </c>
      <c r="M407" s="21" t="s">
        <v>1819</v>
      </c>
    </row>
    <row r="408" spans="1:13" ht="15" hidden="1" customHeight="1" x14ac:dyDescent="0.25">
      <c r="A408" s="21" t="s">
        <v>2399</v>
      </c>
      <c r="B408" s="22" t="s">
        <v>1482</v>
      </c>
      <c r="C408" s="22" t="s">
        <v>626</v>
      </c>
      <c r="D408" s="21" t="s">
        <v>119</v>
      </c>
      <c r="E408" s="21" t="s">
        <v>1240</v>
      </c>
      <c r="F408" s="21" t="s">
        <v>1448</v>
      </c>
      <c r="G408" s="21" t="s">
        <v>2400</v>
      </c>
      <c r="H408" s="21" t="s">
        <v>1314</v>
      </c>
      <c r="I408" s="21" t="s">
        <v>2309</v>
      </c>
      <c r="J408" s="21" t="s">
        <v>2340</v>
      </c>
      <c r="K408" s="22" t="s">
        <v>2401</v>
      </c>
      <c r="L408" s="21" t="s">
        <v>1521</v>
      </c>
      <c r="M408" s="21" t="s">
        <v>1830</v>
      </c>
    </row>
    <row r="409" spans="1:13" ht="15" hidden="1" customHeight="1" x14ac:dyDescent="0.25">
      <c r="A409" s="21" t="s">
        <v>2402</v>
      </c>
      <c r="B409" s="22" t="s">
        <v>1487</v>
      </c>
      <c r="C409" s="22" t="s">
        <v>627</v>
      </c>
      <c r="D409" s="21" t="s">
        <v>119</v>
      </c>
      <c r="E409" s="21" t="s">
        <v>1263</v>
      </c>
      <c r="F409" s="21" t="s">
        <v>1674</v>
      </c>
      <c r="G409" s="21" t="s">
        <v>2403</v>
      </c>
      <c r="H409" s="21" t="s">
        <v>1286</v>
      </c>
      <c r="I409" s="21" t="s">
        <v>2302</v>
      </c>
      <c r="J409" s="21" t="s">
        <v>2303</v>
      </c>
      <c r="K409" s="22" t="s">
        <v>2404</v>
      </c>
      <c r="L409" s="21" t="s">
        <v>1290</v>
      </c>
      <c r="M409" s="21" t="s">
        <v>1819</v>
      </c>
    </row>
    <row r="410" spans="1:13" ht="15" hidden="1" customHeight="1" x14ac:dyDescent="0.25">
      <c r="A410" s="21" t="s">
        <v>2405</v>
      </c>
      <c r="B410" s="22" t="s">
        <v>1491</v>
      </c>
      <c r="C410" s="22" t="s">
        <v>628</v>
      </c>
      <c r="D410" s="21" t="s">
        <v>119</v>
      </c>
      <c r="E410" s="21" t="s">
        <v>1240</v>
      </c>
      <c r="F410" s="21" t="s">
        <v>1448</v>
      </c>
      <c r="G410" s="21" t="s">
        <v>1863</v>
      </c>
      <c r="H410" s="21" t="s">
        <v>1314</v>
      </c>
      <c r="I410" s="21" t="s">
        <v>2309</v>
      </c>
      <c r="J410" s="21" t="s">
        <v>2340</v>
      </c>
      <c r="K410" s="22" t="s">
        <v>2406</v>
      </c>
      <c r="L410" s="21" t="s">
        <v>1521</v>
      </c>
      <c r="M410" s="21" t="s">
        <v>1830</v>
      </c>
    </row>
    <row r="411" spans="1:13" ht="15" hidden="1" customHeight="1" x14ac:dyDescent="0.25">
      <c r="A411" s="21" t="s">
        <v>2407</v>
      </c>
      <c r="B411" s="22" t="s">
        <v>1494</v>
      </c>
      <c r="C411" s="22" t="s">
        <v>629</v>
      </c>
      <c r="D411" s="21" t="s">
        <v>119</v>
      </c>
      <c r="E411" s="21" t="s">
        <v>1252</v>
      </c>
      <c r="F411" s="21" t="s">
        <v>1506</v>
      </c>
      <c r="G411" s="21" t="s">
        <v>2408</v>
      </c>
      <c r="H411" s="21" t="s">
        <v>1314</v>
      </c>
      <c r="I411" s="21" t="s">
        <v>2302</v>
      </c>
      <c r="J411" s="21" t="s">
        <v>2303</v>
      </c>
      <c r="K411" s="22" t="s">
        <v>2409</v>
      </c>
      <c r="L411" s="21" t="s">
        <v>1431</v>
      </c>
      <c r="M411" s="21" t="s">
        <v>1819</v>
      </c>
    </row>
    <row r="412" spans="1:13" ht="15" hidden="1" customHeight="1" x14ac:dyDescent="0.25">
      <c r="A412" s="21" t="s">
        <v>2410</v>
      </c>
      <c r="B412" s="22" t="s">
        <v>1497</v>
      </c>
      <c r="C412" s="22" t="s">
        <v>630</v>
      </c>
      <c r="D412" s="21" t="s">
        <v>119</v>
      </c>
      <c r="E412" s="21" t="s">
        <v>1216</v>
      </c>
      <c r="F412" s="21" t="s">
        <v>1537</v>
      </c>
      <c r="G412" s="21" t="s">
        <v>2411</v>
      </c>
      <c r="H412" s="21" t="s">
        <v>1821</v>
      </c>
      <c r="I412" s="21" t="s">
        <v>2309</v>
      </c>
      <c r="J412" s="21" t="s">
        <v>2412</v>
      </c>
      <c r="K412" s="22" t="s">
        <v>2413</v>
      </c>
      <c r="L412" s="21" t="s">
        <v>1706</v>
      </c>
      <c r="M412" s="21" t="s">
        <v>1819</v>
      </c>
    </row>
    <row r="413" spans="1:13" ht="15" hidden="1" customHeight="1" x14ac:dyDescent="0.25">
      <c r="A413" s="21" t="s">
        <v>2414</v>
      </c>
      <c r="B413" s="22" t="s">
        <v>1501</v>
      </c>
      <c r="C413" s="22" t="s">
        <v>631</v>
      </c>
      <c r="D413" s="21" t="s">
        <v>119</v>
      </c>
      <c r="E413" s="21" t="s">
        <v>1216</v>
      </c>
      <c r="F413" s="21" t="s">
        <v>1537</v>
      </c>
      <c r="G413" s="21" t="s">
        <v>2415</v>
      </c>
      <c r="H413" s="21" t="s">
        <v>1821</v>
      </c>
      <c r="I413" s="21" t="s">
        <v>2309</v>
      </c>
      <c r="J413" s="21" t="s">
        <v>2412</v>
      </c>
      <c r="K413" s="22" t="s">
        <v>2416</v>
      </c>
      <c r="L413" s="21" t="s">
        <v>1706</v>
      </c>
      <c r="M413" s="21" t="s">
        <v>1819</v>
      </c>
    </row>
    <row r="414" spans="1:13" ht="15" hidden="1" customHeight="1" x14ac:dyDescent="0.25">
      <c r="A414" s="21" t="s">
        <v>2417</v>
      </c>
      <c r="B414" s="22" t="s">
        <v>1505</v>
      </c>
      <c r="C414" s="22" t="s">
        <v>632</v>
      </c>
      <c r="D414" s="21" t="s">
        <v>119</v>
      </c>
      <c r="E414" s="21" t="s">
        <v>1263</v>
      </c>
      <c r="F414" s="21" t="s">
        <v>1674</v>
      </c>
      <c r="G414" s="21" t="s">
        <v>2418</v>
      </c>
      <c r="H414" s="21" t="s">
        <v>1286</v>
      </c>
      <c r="I414" s="21" t="s">
        <v>2302</v>
      </c>
      <c r="J414" s="21" t="s">
        <v>2303</v>
      </c>
      <c r="K414" s="22" t="s">
        <v>2419</v>
      </c>
      <c r="L414" s="21" t="s">
        <v>1290</v>
      </c>
      <c r="M414" s="21" t="s">
        <v>1819</v>
      </c>
    </row>
    <row r="415" spans="1:13" ht="15" hidden="1" customHeight="1" x14ac:dyDescent="0.25">
      <c r="A415" s="21" t="s">
        <v>2420</v>
      </c>
      <c r="B415" s="22" t="s">
        <v>1509</v>
      </c>
      <c r="C415" s="22" t="s">
        <v>633</v>
      </c>
      <c r="D415" s="21" t="s">
        <v>119</v>
      </c>
      <c r="E415" s="21" t="s">
        <v>1240</v>
      </c>
      <c r="F415" s="21" t="s">
        <v>1529</v>
      </c>
      <c r="G415" s="21"/>
      <c r="H415" s="21" t="s">
        <v>1314</v>
      </c>
      <c r="I415" s="21" t="s">
        <v>2309</v>
      </c>
      <c r="J415" s="21" t="s">
        <v>2340</v>
      </c>
      <c r="K415" s="22" t="s">
        <v>2421</v>
      </c>
      <c r="L415" s="21" t="s">
        <v>1521</v>
      </c>
      <c r="M415" s="21" t="s">
        <v>1830</v>
      </c>
    </row>
    <row r="416" spans="1:13" ht="15" hidden="1" customHeight="1" x14ac:dyDescent="0.25">
      <c r="A416" s="21" t="s">
        <v>2422</v>
      </c>
      <c r="B416" s="22" t="s">
        <v>1511</v>
      </c>
      <c r="C416" s="22" t="s">
        <v>634</v>
      </c>
      <c r="D416" s="21" t="s">
        <v>119</v>
      </c>
      <c r="E416" s="21" t="s">
        <v>1240</v>
      </c>
      <c r="F416" s="21" t="s">
        <v>1529</v>
      </c>
      <c r="G416" s="21" t="s">
        <v>1863</v>
      </c>
      <c r="H416" s="21" t="s">
        <v>1314</v>
      </c>
      <c r="I416" s="21" t="s">
        <v>2309</v>
      </c>
      <c r="J416" s="21" t="s">
        <v>2423</v>
      </c>
      <c r="K416" s="22" t="s">
        <v>2424</v>
      </c>
      <c r="L416" s="21" t="s">
        <v>1627</v>
      </c>
      <c r="M416" s="21" t="s">
        <v>1819</v>
      </c>
    </row>
    <row r="417" spans="1:13" ht="15" hidden="1" customHeight="1" x14ac:dyDescent="0.25">
      <c r="A417" s="21" t="s">
        <v>2425</v>
      </c>
      <c r="B417" s="22" t="s">
        <v>1513</v>
      </c>
      <c r="C417" s="22" t="s">
        <v>635</v>
      </c>
      <c r="D417" s="21" t="s">
        <v>119</v>
      </c>
      <c r="E417" s="21" t="s">
        <v>1232</v>
      </c>
      <c r="F417" s="21" t="s">
        <v>1232</v>
      </c>
      <c r="G417" s="21"/>
      <c r="H417" s="21" t="s">
        <v>1314</v>
      </c>
      <c r="I417" s="21" t="s">
        <v>2309</v>
      </c>
      <c r="J417" s="21" t="s">
        <v>2340</v>
      </c>
      <c r="K417" s="22" t="s">
        <v>2426</v>
      </c>
      <c r="L417" s="21" t="s">
        <v>1465</v>
      </c>
      <c r="M417" s="21" t="s">
        <v>1830</v>
      </c>
    </row>
    <row r="418" spans="1:13" ht="15" hidden="1" customHeight="1" x14ac:dyDescent="0.25">
      <c r="A418" s="21" t="s">
        <v>2427</v>
      </c>
      <c r="B418" s="22" t="s">
        <v>1517</v>
      </c>
      <c r="C418" s="22" t="s">
        <v>636</v>
      </c>
      <c r="D418" s="21" t="s">
        <v>119</v>
      </c>
      <c r="E418" s="21" t="s">
        <v>1275</v>
      </c>
      <c r="F418" s="21" t="s">
        <v>1561</v>
      </c>
      <c r="G418" s="21" t="s">
        <v>2428</v>
      </c>
      <c r="H418" s="21" t="s">
        <v>1314</v>
      </c>
      <c r="I418" s="21" t="s">
        <v>2323</v>
      </c>
      <c r="J418" s="21" t="s">
        <v>2429</v>
      </c>
      <c r="K418" s="22" t="s">
        <v>2430</v>
      </c>
      <c r="L418" s="21" t="s">
        <v>2431</v>
      </c>
      <c r="M418" s="21" t="s">
        <v>1819</v>
      </c>
    </row>
    <row r="419" spans="1:13" ht="15" hidden="1" customHeight="1" x14ac:dyDescent="0.25">
      <c r="A419" s="21" t="s">
        <v>2432</v>
      </c>
      <c r="B419" s="22" t="s">
        <v>1522</v>
      </c>
      <c r="C419" s="22" t="s">
        <v>637</v>
      </c>
      <c r="D419" s="21" t="s">
        <v>119</v>
      </c>
      <c r="E419" s="21" t="s">
        <v>1216</v>
      </c>
      <c r="F419" s="21" t="s">
        <v>1537</v>
      </c>
      <c r="G419" s="21" t="s">
        <v>2433</v>
      </c>
      <c r="H419" s="21" t="s">
        <v>1821</v>
      </c>
      <c r="I419" s="21" t="s">
        <v>2309</v>
      </c>
      <c r="J419" s="21" t="s">
        <v>2412</v>
      </c>
      <c r="K419" s="22" t="s">
        <v>2434</v>
      </c>
      <c r="L419" s="21" t="s">
        <v>1706</v>
      </c>
      <c r="M419" s="21" t="s">
        <v>1819</v>
      </c>
    </row>
    <row r="420" spans="1:13" ht="15" hidden="1" customHeight="1" x14ac:dyDescent="0.25">
      <c r="A420" s="21" t="s">
        <v>2435</v>
      </c>
      <c r="B420" s="22" t="s">
        <v>1525</v>
      </c>
      <c r="C420" s="22" t="s">
        <v>638</v>
      </c>
      <c r="D420" s="21" t="s">
        <v>119</v>
      </c>
      <c r="E420" s="21" t="s">
        <v>1250</v>
      </c>
      <c r="F420" s="21"/>
      <c r="G420" s="21"/>
      <c r="H420" s="21" t="s">
        <v>1314</v>
      </c>
      <c r="I420" s="21" t="s">
        <v>1735</v>
      </c>
      <c r="J420" s="21" t="s">
        <v>2387</v>
      </c>
      <c r="K420" s="22" t="s">
        <v>2436</v>
      </c>
      <c r="L420" s="21" t="s">
        <v>1311</v>
      </c>
      <c r="M420" s="21"/>
    </row>
    <row r="421" spans="1:13" ht="15" hidden="1" customHeight="1" x14ac:dyDescent="0.25">
      <c r="A421" s="21" t="s">
        <v>2437</v>
      </c>
      <c r="B421" s="22" t="s">
        <v>1528</v>
      </c>
      <c r="C421" s="22" t="s">
        <v>639</v>
      </c>
      <c r="D421" s="21" t="s">
        <v>119</v>
      </c>
      <c r="E421" s="21" t="s">
        <v>1234</v>
      </c>
      <c r="F421" s="21" t="s">
        <v>1588</v>
      </c>
      <c r="G421" s="21" t="s">
        <v>1726</v>
      </c>
      <c r="H421" s="21" t="s">
        <v>1314</v>
      </c>
      <c r="I421" s="21" t="s">
        <v>1735</v>
      </c>
      <c r="J421" s="21" t="s">
        <v>2320</v>
      </c>
      <c r="K421" s="22" t="s">
        <v>2438</v>
      </c>
      <c r="L421" s="21" t="s">
        <v>1676</v>
      </c>
      <c r="M421" s="21" t="s">
        <v>1819</v>
      </c>
    </row>
    <row r="422" spans="1:13" ht="15" hidden="1" customHeight="1" x14ac:dyDescent="0.25">
      <c r="A422" s="21" t="s">
        <v>2439</v>
      </c>
      <c r="B422" s="22" t="s">
        <v>1531</v>
      </c>
      <c r="C422" s="22" t="s">
        <v>2440</v>
      </c>
      <c r="D422" s="21" t="s">
        <v>119</v>
      </c>
      <c r="E422" s="21" t="s">
        <v>1275</v>
      </c>
      <c r="F422" s="21" t="s">
        <v>1561</v>
      </c>
      <c r="G422" s="21" t="s">
        <v>2428</v>
      </c>
      <c r="H422" s="21" t="s">
        <v>1314</v>
      </c>
      <c r="I422" s="21" t="s">
        <v>1909</v>
      </c>
      <c r="J422" s="21" t="s">
        <v>2441</v>
      </c>
      <c r="K422" s="22" t="s">
        <v>2442</v>
      </c>
      <c r="L422" s="21" t="s">
        <v>1500</v>
      </c>
      <c r="M422" s="21" t="s">
        <v>1830</v>
      </c>
    </row>
    <row r="423" spans="1:13" ht="15" hidden="1" customHeight="1" x14ac:dyDescent="0.25">
      <c r="A423" s="21" t="s">
        <v>2443</v>
      </c>
      <c r="B423" s="22" t="s">
        <v>1536</v>
      </c>
      <c r="C423" s="22" t="s">
        <v>2444</v>
      </c>
      <c r="D423" s="21" t="s">
        <v>119</v>
      </c>
      <c r="E423" s="21" t="s">
        <v>1275</v>
      </c>
      <c r="F423" s="21" t="s">
        <v>1561</v>
      </c>
      <c r="G423" s="21" t="s">
        <v>2445</v>
      </c>
      <c r="H423" s="21" t="s">
        <v>1314</v>
      </c>
      <c r="I423" s="21" t="s">
        <v>1909</v>
      </c>
      <c r="J423" s="21" t="s">
        <v>2441</v>
      </c>
      <c r="K423" s="22" t="s">
        <v>2446</v>
      </c>
      <c r="L423" s="21" t="s">
        <v>1500</v>
      </c>
      <c r="M423" s="21" t="s">
        <v>1830</v>
      </c>
    </row>
    <row r="424" spans="1:13" ht="15" hidden="1" customHeight="1" x14ac:dyDescent="0.25">
      <c r="A424" s="21" t="s">
        <v>2447</v>
      </c>
      <c r="B424" s="22" t="s">
        <v>1540</v>
      </c>
      <c r="C424" s="22" t="s">
        <v>2448</v>
      </c>
      <c r="D424" s="21" t="s">
        <v>119</v>
      </c>
      <c r="E424" s="21" t="s">
        <v>1246</v>
      </c>
      <c r="F424" s="21" t="s">
        <v>1246</v>
      </c>
      <c r="G424" s="21" t="s">
        <v>1328</v>
      </c>
      <c r="H424" s="21" t="s">
        <v>1286</v>
      </c>
      <c r="I424" s="21" t="s">
        <v>2309</v>
      </c>
      <c r="J424" s="21" t="s">
        <v>2449</v>
      </c>
      <c r="K424" s="22" t="s">
        <v>2450</v>
      </c>
      <c r="L424" s="21" t="s">
        <v>1332</v>
      </c>
      <c r="M424" s="21" t="s">
        <v>1819</v>
      </c>
    </row>
    <row r="425" spans="1:13" ht="15" hidden="1" customHeight="1" x14ac:dyDescent="0.25">
      <c r="A425" s="21" t="s">
        <v>2451</v>
      </c>
      <c r="B425" s="22" t="s">
        <v>1544</v>
      </c>
      <c r="C425" s="22" t="s">
        <v>640</v>
      </c>
      <c r="D425" s="21" t="s">
        <v>119</v>
      </c>
      <c r="E425" s="21" t="s">
        <v>1246</v>
      </c>
      <c r="F425" s="21" t="s">
        <v>1246</v>
      </c>
      <c r="G425" s="21" t="s">
        <v>1328</v>
      </c>
      <c r="H425" s="21" t="s">
        <v>1286</v>
      </c>
      <c r="I425" s="21" t="s">
        <v>2309</v>
      </c>
      <c r="J425" s="21" t="s">
        <v>2449</v>
      </c>
      <c r="K425" s="22" t="s">
        <v>2452</v>
      </c>
      <c r="L425" s="21" t="s">
        <v>1332</v>
      </c>
      <c r="M425" s="21" t="s">
        <v>1819</v>
      </c>
    </row>
    <row r="426" spans="1:13" ht="15" hidden="1" customHeight="1" x14ac:dyDescent="0.25">
      <c r="A426" s="21" t="s">
        <v>2453</v>
      </c>
      <c r="B426" s="22" t="s">
        <v>1547</v>
      </c>
      <c r="C426" s="22" t="s">
        <v>641</v>
      </c>
      <c r="D426" s="21" t="s">
        <v>119</v>
      </c>
      <c r="E426" s="21" t="s">
        <v>1210</v>
      </c>
      <c r="F426" s="21" t="s">
        <v>1210</v>
      </c>
      <c r="G426" s="21"/>
      <c r="H426" s="21" t="s">
        <v>1314</v>
      </c>
      <c r="I426" s="21" t="s">
        <v>1735</v>
      </c>
      <c r="J426" s="21" t="s">
        <v>2454</v>
      </c>
      <c r="K426" s="22" t="s">
        <v>2455</v>
      </c>
      <c r="L426" s="21" t="s">
        <v>1733</v>
      </c>
      <c r="M426" s="21" t="s">
        <v>1819</v>
      </c>
    </row>
    <row r="427" spans="1:13" ht="15" hidden="1" customHeight="1" x14ac:dyDescent="0.25">
      <c r="A427" s="21" t="s">
        <v>2456</v>
      </c>
      <c r="B427" s="22" t="s">
        <v>1550</v>
      </c>
      <c r="C427" s="22" t="s">
        <v>642</v>
      </c>
      <c r="D427" s="21" t="s">
        <v>119</v>
      </c>
      <c r="E427" s="21" t="s">
        <v>1210</v>
      </c>
      <c r="F427" s="21" t="s">
        <v>1210</v>
      </c>
      <c r="G427" s="21"/>
      <c r="H427" s="21" t="s">
        <v>1314</v>
      </c>
      <c r="I427" s="21" t="s">
        <v>1735</v>
      </c>
      <c r="J427" s="21" t="s">
        <v>2454</v>
      </c>
      <c r="K427" s="22" t="s">
        <v>2457</v>
      </c>
      <c r="L427" s="21" t="s">
        <v>1733</v>
      </c>
      <c r="M427" s="21" t="s">
        <v>1819</v>
      </c>
    </row>
    <row r="428" spans="1:13" ht="15" hidden="1" customHeight="1" x14ac:dyDescent="0.25">
      <c r="A428" s="21" t="s">
        <v>2458</v>
      </c>
      <c r="B428" s="22" t="s">
        <v>1553</v>
      </c>
      <c r="C428" s="22" t="s">
        <v>643</v>
      </c>
      <c r="D428" s="21" t="s">
        <v>119</v>
      </c>
      <c r="E428" s="21" t="s">
        <v>1197</v>
      </c>
      <c r="F428" s="21" t="s">
        <v>1197</v>
      </c>
      <c r="G428" s="21" t="s">
        <v>2459</v>
      </c>
      <c r="H428" s="21" t="s">
        <v>1314</v>
      </c>
      <c r="I428" s="21" t="s">
        <v>2460</v>
      </c>
      <c r="J428" s="21" t="s">
        <v>2461</v>
      </c>
      <c r="K428" s="22" t="s">
        <v>2462</v>
      </c>
      <c r="L428" s="21" t="s">
        <v>1311</v>
      </c>
      <c r="M428" s="21" t="s">
        <v>1830</v>
      </c>
    </row>
    <row r="429" spans="1:13" ht="15" hidden="1" customHeight="1" x14ac:dyDescent="0.25">
      <c r="A429" s="21" t="s">
        <v>2463</v>
      </c>
      <c r="B429" s="22" t="s">
        <v>1556</v>
      </c>
      <c r="C429" s="22" t="s">
        <v>644</v>
      </c>
      <c r="D429" s="21" t="s">
        <v>119</v>
      </c>
      <c r="E429" s="21" t="s">
        <v>1210</v>
      </c>
      <c r="F429" s="21" t="s">
        <v>1210</v>
      </c>
      <c r="G429" s="21"/>
      <c r="H429" s="21" t="s">
        <v>1314</v>
      </c>
      <c r="I429" s="21" t="s">
        <v>1735</v>
      </c>
      <c r="J429" s="21" t="s">
        <v>2454</v>
      </c>
      <c r="K429" s="22" t="s">
        <v>2464</v>
      </c>
      <c r="L429" s="21" t="s">
        <v>1733</v>
      </c>
      <c r="M429" s="21" t="s">
        <v>1819</v>
      </c>
    </row>
    <row r="430" spans="1:13" ht="15" hidden="1" customHeight="1" x14ac:dyDescent="0.25">
      <c r="A430" s="21" t="s">
        <v>2465</v>
      </c>
      <c r="B430" s="22" t="s">
        <v>1557</v>
      </c>
      <c r="C430" s="22" t="s">
        <v>645</v>
      </c>
      <c r="D430" s="21" t="s">
        <v>119</v>
      </c>
      <c r="E430" s="21" t="s">
        <v>1263</v>
      </c>
      <c r="F430" s="21" t="s">
        <v>1674</v>
      </c>
      <c r="G430" s="21" t="s">
        <v>2466</v>
      </c>
      <c r="H430" s="21" t="s">
        <v>1286</v>
      </c>
      <c r="I430" s="21" t="s">
        <v>2302</v>
      </c>
      <c r="J430" s="21" t="s">
        <v>2303</v>
      </c>
      <c r="K430" s="22" t="s">
        <v>2467</v>
      </c>
      <c r="L430" s="21" t="s">
        <v>1290</v>
      </c>
      <c r="M430" s="21" t="s">
        <v>1819</v>
      </c>
    </row>
    <row r="431" spans="1:13" ht="15" hidden="1" customHeight="1" x14ac:dyDescent="0.25">
      <c r="A431" s="21" t="s">
        <v>2468</v>
      </c>
      <c r="B431" s="22" t="s">
        <v>1559</v>
      </c>
      <c r="C431" s="22" t="s">
        <v>646</v>
      </c>
      <c r="D431" s="21" t="s">
        <v>119</v>
      </c>
      <c r="E431" s="21" t="s">
        <v>1210</v>
      </c>
      <c r="F431" s="21" t="s">
        <v>1210</v>
      </c>
      <c r="G431" s="21"/>
      <c r="H431" s="21" t="s">
        <v>1314</v>
      </c>
      <c r="I431" s="21" t="s">
        <v>1735</v>
      </c>
      <c r="J431" s="21" t="s">
        <v>2454</v>
      </c>
      <c r="K431" s="22" t="s">
        <v>2469</v>
      </c>
      <c r="L431" s="21" t="s">
        <v>1733</v>
      </c>
      <c r="M431" s="21" t="s">
        <v>1819</v>
      </c>
    </row>
    <row r="432" spans="1:13" ht="15" hidden="1" customHeight="1" x14ac:dyDescent="0.25">
      <c r="A432" s="21" t="s">
        <v>2470</v>
      </c>
      <c r="B432" s="22" t="s">
        <v>1560</v>
      </c>
      <c r="C432" s="22" t="s">
        <v>647</v>
      </c>
      <c r="D432" s="21" t="s">
        <v>119</v>
      </c>
      <c r="E432" s="21" t="s">
        <v>1237</v>
      </c>
      <c r="F432" s="21" t="s">
        <v>1488</v>
      </c>
      <c r="G432" s="21" t="s">
        <v>2471</v>
      </c>
      <c r="H432" s="21" t="s">
        <v>1314</v>
      </c>
      <c r="I432" s="21" t="s">
        <v>1727</v>
      </c>
      <c r="J432" s="21" t="s">
        <v>2251</v>
      </c>
      <c r="K432" s="22" t="s">
        <v>2472</v>
      </c>
      <c r="L432" s="21" t="s">
        <v>1344</v>
      </c>
      <c r="M432" s="21" t="s">
        <v>1819</v>
      </c>
    </row>
    <row r="433" spans="1:13" ht="15" hidden="1" customHeight="1" x14ac:dyDescent="0.25">
      <c r="A433" s="21" t="s">
        <v>2473</v>
      </c>
      <c r="B433" s="22" t="s">
        <v>1564</v>
      </c>
      <c r="C433" s="22" t="s">
        <v>648</v>
      </c>
      <c r="D433" s="21" t="s">
        <v>119</v>
      </c>
      <c r="E433" s="21" t="s">
        <v>1227</v>
      </c>
      <c r="F433" s="21" t="s">
        <v>2474</v>
      </c>
      <c r="G433" s="21"/>
      <c r="H433" s="21" t="s">
        <v>1314</v>
      </c>
      <c r="I433" s="21" t="s">
        <v>1727</v>
      </c>
      <c r="J433" s="21" t="s">
        <v>2251</v>
      </c>
      <c r="K433" s="22" t="s">
        <v>2475</v>
      </c>
      <c r="L433" s="21" t="s">
        <v>1344</v>
      </c>
      <c r="M433" s="21" t="s">
        <v>1819</v>
      </c>
    </row>
    <row r="434" spans="1:13" ht="15" hidden="1" customHeight="1" x14ac:dyDescent="0.25">
      <c r="A434" s="21" t="s">
        <v>2476</v>
      </c>
      <c r="B434" s="22" t="s">
        <v>1565</v>
      </c>
      <c r="C434" s="22" t="s">
        <v>649</v>
      </c>
      <c r="D434" s="21" t="s">
        <v>119</v>
      </c>
      <c r="E434" s="21" t="s">
        <v>1234</v>
      </c>
      <c r="F434" s="21" t="s">
        <v>1588</v>
      </c>
      <c r="G434" s="21"/>
      <c r="H434" s="21" t="s">
        <v>1314</v>
      </c>
      <c r="I434" s="21" t="s">
        <v>1727</v>
      </c>
      <c r="J434" s="21" t="s">
        <v>2251</v>
      </c>
      <c r="K434" s="22" t="s">
        <v>2477</v>
      </c>
      <c r="L434" s="21" t="s">
        <v>1521</v>
      </c>
      <c r="M434" s="21" t="s">
        <v>1819</v>
      </c>
    </row>
    <row r="435" spans="1:13" ht="15" hidden="1" customHeight="1" x14ac:dyDescent="0.25">
      <c r="A435" s="21" t="s">
        <v>2478</v>
      </c>
      <c r="B435" s="22" t="s">
        <v>1570</v>
      </c>
      <c r="C435" s="22" t="s">
        <v>650</v>
      </c>
      <c r="D435" s="21" t="s">
        <v>119</v>
      </c>
      <c r="E435" s="21" t="s">
        <v>1216</v>
      </c>
      <c r="F435" s="21" t="s">
        <v>1537</v>
      </c>
      <c r="G435" s="21" t="s">
        <v>2479</v>
      </c>
      <c r="H435" s="21" t="s">
        <v>1821</v>
      </c>
      <c r="I435" s="21" t="s">
        <v>2309</v>
      </c>
      <c r="J435" s="21" t="s">
        <v>2412</v>
      </c>
      <c r="K435" s="22" t="s">
        <v>2480</v>
      </c>
      <c r="L435" s="21" t="s">
        <v>1706</v>
      </c>
      <c r="M435" s="21" t="s">
        <v>1819</v>
      </c>
    </row>
    <row r="436" spans="1:13" ht="15" hidden="1" customHeight="1" x14ac:dyDescent="0.25">
      <c r="A436" s="21" t="s">
        <v>2481</v>
      </c>
      <c r="B436" s="22" t="s">
        <v>1573</v>
      </c>
      <c r="C436" s="22" t="s">
        <v>651</v>
      </c>
      <c r="D436" s="21" t="s">
        <v>119</v>
      </c>
      <c r="E436" s="21" t="s">
        <v>1234</v>
      </c>
      <c r="F436" s="21" t="s">
        <v>1588</v>
      </c>
      <c r="G436" s="21" t="s">
        <v>2482</v>
      </c>
      <c r="H436" s="21" t="s">
        <v>1314</v>
      </c>
      <c r="I436" s="21" t="s">
        <v>1727</v>
      </c>
      <c r="J436" s="21" t="s">
        <v>2251</v>
      </c>
      <c r="K436" s="22" t="s">
        <v>2483</v>
      </c>
      <c r="L436" s="21" t="s">
        <v>1543</v>
      </c>
      <c r="M436" s="21" t="s">
        <v>1819</v>
      </c>
    </row>
    <row r="437" spans="1:13" ht="15" hidden="1" customHeight="1" x14ac:dyDescent="0.25">
      <c r="A437" s="21" t="s">
        <v>2484</v>
      </c>
      <c r="B437" s="22" t="s">
        <v>1577</v>
      </c>
      <c r="C437" s="22" t="s">
        <v>652</v>
      </c>
      <c r="D437" s="21" t="s">
        <v>119</v>
      </c>
      <c r="E437" s="21" t="s">
        <v>1227</v>
      </c>
      <c r="F437" s="21" t="s">
        <v>2474</v>
      </c>
      <c r="G437" s="21" t="s">
        <v>1313</v>
      </c>
      <c r="H437" s="21" t="s">
        <v>1314</v>
      </c>
      <c r="I437" s="21" t="s">
        <v>1727</v>
      </c>
      <c r="J437" s="21" t="s">
        <v>2251</v>
      </c>
      <c r="K437" s="22" t="s">
        <v>2485</v>
      </c>
      <c r="L437" s="21" t="s">
        <v>1521</v>
      </c>
      <c r="M437" s="21" t="s">
        <v>1819</v>
      </c>
    </row>
    <row r="438" spans="1:13" ht="15" hidden="1" customHeight="1" x14ac:dyDescent="0.25">
      <c r="A438" s="21" t="s">
        <v>2486</v>
      </c>
      <c r="B438" s="22" t="s">
        <v>1581</v>
      </c>
      <c r="C438" s="22" t="s">
        <v>653</v>
      </c>
      <c r="D438" s="21" t="s">
        <v>119</v>
      </c>
      <c r="E438" s="21" t="s">
        <v>1234</v>
      </c>
      <c r="F438" s="21" t="s">
        <v>1588</v>
      </c>
      <c r="G438" s="21" t="s">
        <v>2487</v>
      </c>
      <c r="H438" s="21" t="s">
        <v>1314</v>
      </c>
      <c r="I438" s="21" t="s">
        <v>1727</v>
      </c>
      <c r="J438" s="21" t="s">
        <v>2251</v>
      </c>
      <c r="K438" s="22" t="s">
        <v>2488</v>
      </c>
      <c r="L438" s="21" t="s">
        <v>1543</v>
      </c>
      <c r="M438" s="21" t="s">
        <v>1819</v>
      </c>
    </row>
    <row r="439" spans="1:13" ht="15" hidden="1" customHeight="1" x14ac:dyDescent="0.25">
      <c r="A439" s="21" t="s">
        <v>2489</v>
      </c>
      <c r="B439" s="22" t="s">
        <v>1584</v>
      </c>
      <c r="C439" s="22" t="s">
        <v>654</v>
      </c>
      <c r="D439" s="21" t="s">
        <v>119</v>
      </c>
      <c r="E439" s="21" t="s">
        <v>1263</v>
      </c>
      <c r="F439" s="21" t="s">
        <v>2490</v>
      </c>
      <c r="G439" s="21" t="s">
        <v>2466</v>
      </c>
      <c r="H439" s="21" t="s">
        <v>1286</v>
      </c>
      <c r="I439" s="21" t="s">
        <v>2302</v>
      </c>
      <c r="J439" s="21" t="s">
        <v>2303</v>
      </c>
      <c r="K439" s="22" t="s">
        <v>2491</v>
      </c>
      <c r="L439" s="21" t="s">
        <v>1290</v>
      </c>
      <c r="M439" s="21" t="s">
        <v>1819</v>
      </c>
    </row>
    <row r="440" spans="1:13" ht="15" hidden="1" customHeight="1" x14ac:dyDescent="0.25">
      <c r="A440" s="21" t="s">
        <v>2492</v>
      </c>
      <c r="B440" s="22" t="s">
        <v>1587</v>
      </c>
      <c r="C440" s="22" t="s">
        <v>655</v>
      </c>
      <c r="D440" s="21" t="s">
        <v>119</v>
      </c>
      <c r="E440" s="21" t="s">
        <v>1199</v>
      </c>
      <c r="F440" s="21" t="s">
        <v>1693</v>
      </c>
      <c r="G440" s="21" t="s">
        <v>2493</v>
      </c>
      <c r="H440" s="21" t="s">
        <v>1314</v>
      </c>
      <c r="I440" s="21" t="s">
        <v>1727</v>
      </c>
      <c r="J440" s="21" t="s">
        <v>2392</v>
      </c>
      <c r="K440" s="22" t="s">
        <v>2494</v>
      </c>
      <c r="L440" s="21" t="s">
        <v>1446</v>
      </c>
      <c r="M440" s="21" t="s">
        <v>1819</v>
      </c>
    </row>
    <row r="441" spans="1:13" ht="15" hidden="1" customHeight="1" x14ac:dyDescent="0.25">
      <c r="A441" s="21" t="s">
        <v>2495</v>
      </c>
      <c r="B441" s="22" t="s">
        <v>1590</v>
      </c>
      <c r="C441" s="22" t="s">
        <v>656</v>
      </c>
      <c r="D441" s="21" t="s">
        <v>119</v>
      </c>
      <c r="E441" s="21" t="s">
        <v>1215</v>
      </c>
      <c r="F441" s="21" t="s">
        <v>1234</v>
      </c>
      <c r="G441" s="21" t="s">
        <v>1726</v>
      </c>
      <c r="H441" s="21" t="s">
        <v>1314</v>
      </c>
      <c r="I441" s="21" t="s">
        <v>1727</v>
      </c>
      <c r="J441" s="21" t="s">
        <v>2251</v>
      </c>
      <c r="K441" s="22" t="s">
        <v>2496</v>
      </c>
      <c r="L441" s="21" t="s">
        <v>1521</v>
      </c>
      <c r="M441" s="21" t="s">
        <v>1819</v>
      </c>
    </row>
    <row r="442" spans="1:13" ht="15" hidden="1" customHeight="1" x14ac:dyDescent="0.25">
      <c r="A442" s="21" t="s">
        <v>2497</v>
      </c>
      <c r="B442" s="22" t="s">
        <v>1594</v>
      </c>
      <c r="C442" s="22" t="s">
        <v>657</v>
      </c>
      <c r="D442" s="21" t="s">
        <v>119</v>
      </c>
      <c r="E442" s="21" t="s">
        <v>1263</v>
      </c>
      <c r="F442" s="21" t="s">
        <v>2490</v>
      </c>
      <c r="G442" s="21" t="s">
        <v>2301</v>
      </c>
      <c r="H442" s="21" t="s">
        <v>1286</v>
      </c>
      <c r="I442" s="21" t="s">
        <v>2302</v>
      </c>
      <c r="J442" s="21" t="s">
        <v>2303</v>
      </c>
      <c r="K442" s="22" t="s">
        <v>2498</v>
      </c>
      <c r="L442" s="21" t="s">
        <v>1290</v>
      </c>
      <c r="M442" s="21" t="s">
        <v>1819</v>
      </c>
    </row>
    <row r="443" spans="1:13" ht="15" hidden="1" customHeight="1" x14ac:dyDescent="0.25">
      <c r="A443" s="21" t="s">
        <v>2499</v>
      </c>
      <c r="B443" s="22" t="s">
        <v>1600</v>
      </c>
      <c r="C443" s="22" t="s">
        <v>658</v>
      </c>
      <c r="D443" s="21" t="s">
        <v>119</v>
      </c>
      <c r="E443" s="21" t="s">
        <v>1234</v>
      </c>
      <c r="F443" s="21" t="s">
        <v>1588</v>
      </c>
      <c r="G443" s="21" t="s">
        <v>2500</v>
      </c>
      <c r="H443" s="21" t="s">
        <v>1314</v>
      </c>
      <c r="I443" s="21" t="s">
        <v>1727</v>
      </c>
      <c r="J443" s="21" t="s">
        <v>2251</v>
      </c>
      <c r="K443" s="22" t="s">
        <v>2501</v>
      </c>
      <c r="L443" s="21" t="s">
        <v>1521</v>
      </c>
      <c r="M443" s="21" t="s">
        <v>1819</v>
      </c>
    </row>
    <row r="444" spans="1:13" ht="15" hidden="1" customHeight="1" x14ac:dyDescent="0.25">
      <c r="A444" s="21" t="s">
        <v>2502</v>
      </c>
      <c r="B444" s="22" t="s">
        <v>1603</v>
      </c>
      <c r="C444" s="22" t="s">
        <v>659</v>
      </c>
      <c r="D444" s="21" t="s">
        <v>119</v>
      </c>
      <c r="E444" s="21" t="s">
        <v>1209</v>
      </c>
      <c r="F444" s="21" t="s">
        <v>1209</v>
      </c>
      <c r="G444" s="21" t="s">
        <v>2503</v>
      </c>
      <c r="H444" s="21" t="s">
        <v>1314</v>
      </c>
      <c r="I444" s="21" t="s">
        <v>1727</v>
      </c>
      <c r="J444" s="21" t="s">
        <v>2387</v>
      </c>
      <c r="K444" s="22" t="s">
        <v>2504</v>
      </c>
      <c r="L444" s="21" t="s">
        <v>1733</v>
      </c>
      <c r="M444" s="21" t="s">
        <v>1819</v>
      </c>
    </row>
    <row r="445" spans="1:13" ht="15" hidden="1" customHeight="1" x14ac:dyDescent="0.25">
      <c r="A445" s="21" t="s">
        <v>2505</v>
      </c>
      <c r="B445" s="22" t="s">
        <v>1605</v>
      </c>
      <c r="C445" s="22" t="s">
        <v>660</v>
      </c>
      <c r="D445" s="21" t="s">
        <v>119</v>
      </c>
      <c r="E445" s="21" t="s">
        <v>1263</v>
      </c>
      <c r="F445" s="21" t="s">
        <v>2490</v>
      </c>
      <c r="G445" s="21" t="s">
        <v>2366</v>
      </c>
      <c r="H445" s="21" t="s">
        <v>1286</v>
      </c>
      <c r="I445" s="21" t="s">
        <v>2302</v>
      </c>
      <c r="J445" s="21" t="s">
        <v>2303</v>
      </c>
      <c r="K445" s="22" t="s">
        <v>2506</v>
      </c>
      <c r="L445" s="21" t="s">
        <v>1290</v>
      </c>
      <c r="M445" s="21" t="s">
        <v>1819</v>
      </c>
    </row>
    <row r="446" spans="1:13" ht="15" hidden="1" customHeight="1" x14ac:dyDescent="0.25">
      <c r="A446" s="21" t="s">
        <v>2507</v>
      </c>
      <c r="B446" s="22" t="s">
        <v>1608</v>
      </c>
      <c r="C446" s="22" t="s">
        <v>661</v>
      </c>
      <c r="D446" s="21" t="s">
        <v>119</v>
      </c>
      <c r="E446" s="21" t="s">
        <v>1209</v>
      </c>
      <c r="F446" s="21" t="s">
        <v>1209</v>
      </c>
      <c r="G446" s="21" t="s">
        <v>2503</v>
      </c>
      <c r="H446" s="21" t="s">
        <v>1314</v>
      </c>
      <c r="I446" s="21" t="s">
        <v>1727</v>
      </c>
      <c r="J446" s="21" t="s">
        <v>2387</v>
      </c>
      <c r="K446" s="22" t="s">
        <v>2508</v>
      </c>
      <c r="L446" s="21" t="s">
        <v>1733</v>
      </c>
      <c r="M446" s="21" t="s">
        <v>1819</v>
      </c>
    </row>
    <row r="447" spans="1:13" ht="15" hidden="1" customHeight="1" x14ac:dyDescent="0.25">
      <c r="A447" s="21" t="s">
        <v>2509</v>
      </c>
      <c r="B447" s="22" t="s">
        <v>1611</v>
      </c>
      <c r="C447" s="22" t="s">
        <v>662</v>
      </c>
      <c r="D447" s="21" t="s">
        <v>119</v>
      </c>
      <c r="E447" s="21" t="s">
        <v>1263</v>
      </c>
      <c r="F447" s="21" t="s">
        <v>2490</v>
      </c>
      <c r="G447" s="21" t="s">
        <v>2510</v>
      </c>
      <c r="H447" s="21" t="s">
        <v>1286</v>
      </c>
      <c r="I447" s="21" t="s">
        <v>2302</v>
      </c>
      <c r="J447" s="21" t="s">
        <v>2303</v>
      </c>
      <c r="K447" s="22" t="s">
        <v>2511</v>
      </c>
      <c r="L447" s="21" t="s">
        <v>1290</v>
      </c>
      <c r="M447" s="21" t="s">
        <v>1819</v>
      </c>
    </row>
    <row r="448" spans="1:13" ht="15" hidden="1" customHeight="1" x14ac:dyDescent="0.25">
      <c r="A448" s="21" t="s">
        <v>2512</v>
      </c>
      <c r="B448" s="22" t="s">
        <v>1614</v>
      </c>
      <c r="C448" s="22" t="s">
        <v>663</v>
      </c>
      <c r="D448" s="21" t="s">
        <v>119</v>
      </c>
      <c r="E448" s="21" t="s">
        <v>1250</v>
      </c>
      <c r="F448" s="21"/>
      <c r="G448" s="21"/>
      <c r="H448" s="21" t="s">
        <v>1314</v>
      </c>
      <c r="I448" s="21" t="s">
        <v>1735</v>
      </c>
      <c r="J448" s="21" t="s">
        <v>2387</v>
      </c>
      <c r="K448" s="22" t="s">
        <v>2513</v>
      </c>
      <c r="L448" s="21" t="s">
        <v>1311</v>
      </c>
      <c r="M448" s="21"/>
    </row>
    <row r="449" spans="1:13" ht="15" hidden="1" customHeight="1" x14ac:dyDescent="0.25">
      <c r="A449" s="21" t="s">
        <v>2514</v>
      </c>
      <c r="B449" s="22" t="s">
        <v>1617</v>
      </c>
      <c r="C449" s="22" t="s">
        <v>664</v>
      </c>
      <c r="D449" s="21" t="s">
        <v>119</v>
      </c>
      <c r="E449" s="21" t="s">
        <v>1197</v>
      </c>
      <c r="F449" s="21" t="s">
        <v>1197</v>
      </c>
      <c r="G449" s="21" t="s">
        <v>2515</v>
      </c>
      <c r="H449" s="21" t="s">
        <v>1314</v>
      </c>
      <c r="I449" s="21" t="s">
        <v>2460</v>
      </c>
      <c r="J449" s="21" t="s">
        <v>2461</v>
      </c>
      <c r="K449" s="22" t="s">
        <v>2516</v>
      </c>
      <c r="L449" s="21" t="s">
        <v>1311</v>
      </c>
      <c r="M449" s="21" t="s">
        <v>1830</v>
      </c>
    </row>
    <row r="450" spans="1:13" ht="15" hidden="1" customHeight="1" x14ac:dyDescent="0.25">
      <c r="A450" s="21" t="s">
        <v>2517</v>
      </c>
      <c r="B450" s="22" t="s">
        <v>1620</v>
      </c>
      <c r="C450" s="22" t="s">
        <v>665</v>
      </c>
      <c r="D450" s="21" t="s">
        <v>119</v>
      </c>
      <c r="E450" s="21" t="s">
        <v>1221</v>
      </c>
      <c r="F450" s="21" t="s">
        <v>2518</v>
      </c>
      <c r="G450" s="21" t="s">
        <v>2519</v>
      </c>
      <c r="H450" s="21" t="s">
        <v>1314</v>
      </c>
      <c r="I450" s="21" t="s">
        <v>2323</v>
      </c>
      <c r="J450" s="21" t="s">
        <v>2330</v>
      </c>
      <c r="K450" s="22" t="s">
        <v>2520</v>
      </c>
      <c r="L450" s="21" t="s">
        <v>1431</v>
      </c>
      <c r="M450" s="21" t="s">
        <v>1819</v>
      </c>
    </row>
    <row r="451" spans="1:13" ht="15" hidden="1" customHeight="1" x14ac:dyDescent="0.25">
      <c r="A451" s="21" t="s">
        <v>2521</v>
      </c>
      <c r="B451" s="22" t="s">
        <v>1622</v>
      </c>
      <c r="C451" s="22" t="s">
        <v>666</v>
      </c>
      <c r="D451" s="21" t="s">
        <v>119</v>
      </c>
      <c r="E451" s="21" t="s">
        <v>1227</v>
      </c>
      <c r="F451" s="21" t="s">
        <v>1227</v>
      </c>
      <c r="G451" s="21"/>
      <c r="H451" s="21" t="s">
        <v>1314</v>
      </c>
      <c r="I451" s="21" t="s">
        <v>1727</v>
      </c>
      <c r="J451" s="21" t="s">
        <v>2387</v>
      </c>
      <c r="K451" s="22" t="s">
        <v>2522</v>
      </c>
      <c r="L451" s="21" t="s">
        <v>1733</v>
      </c>
      <c r="M451" s="21" t="s">
        <v>1819</v>
      </c>
    </row>
    <row r="452" spans="1:13" ht="15" hidden="1" customHeight="1" x14ac:dyDescent="0.25">
      <c r="A452" s="21" t="s">
        <v>2523</v>
      </c>
      <c r="B452" s="22" t="s">
        <v>1628</v>
      </c>
      <c r="C452" s="22" t="s">
        <v>667</v>
      </c>
      <c r="D452" s="21" t="s">
        <v>119</v>
      </c>
      <c r="E452" s="21" t="s">
        <v>1263</v>
      </c>
      <c r="F452" s="21" t="s">
        <v>2490</v>
      </c>
      <c r="G452" s="21" t="s">
        <v>2403</v>
      </c>
      <c r="H452" s="21" t="s">
        <v>1286</v>
      </c>
      <c r="I452" s="21" t="s">
        <v>2302</v>
      </c>
      <c r="J452" s="21" t="s">
        <v>2303</v>
      </c>
      <c r="K452" s="22" t="s">
        <v>2524</v>
      </c>
      <c r="L452" s="21" t="s">
        <v>1290</v>
      </c>
      <c r="M452" s="21" t="s">
        <v>1819</v>
      </c>
    </row>
    <row r="453" spans="1:13" ht="15" hidden="1" customHeight="1" x14ac:dyDescent="0.25">
      <c r="A453" s="21" t="s">
        <v>2525</v>
      </c>
      <c r="B453" s="22" t="s">
        <v>1631</v>
      </c>
      <c r="C453" s="22" t="s">
        <v>668</v>
      </c>
      <c r="D453" s="21" t="s">
        <v>119</v>
      </c>
      <c r="E453" s="21" t="s">
        <v>1232</v>
      </c>
      <c r="F453" s="21" t="s">
        <v>1232</v>
      </c>
      <c r="G453" s="21"/>
      <c r="H453" s="21" t="s">
        <v>1314</v>
      </c>
      <c r="I453" s="21" t="s">
        <v>2302</v>
      </c>
      <c r="J453" s="21" t="s">
        <v>2526</v>
      </c>
      <c r="K453" s="22" t="s">
        <v>2527</v>
      </c>
      <c r="L453" s="21" t="s">
        <v>1344</v>
      </c>
      <c r="M453" s="21" t="s">
        <v>1830</v>
      </c>
    </row>
    <row r="454" spans="1:13" ht="15" hidden="1" customHeight="1" x14ac:dyDescent="0.25">
      <c r="A454" s="21" t="s">
        <v>2528</v>
      </c>
      <c r="B454" s="22" t="s">
        <v>1635</v>
      </c>
      <c r="C454" s="22" t="s">
        <v>669</v>
      </c>
      <c r="D454" s="21" t="s">
        <v>119</v>
      </c>
      <c r="E454" s="21" t="s">
        <v>1264</v>
      </c>
      <c r="F454" s="21" t="s">
        <v>1427</v>
      </c>
      <c r="G454" s="21" t="s">
        <v>1428</v>
      </c>
      <c r="H454" s="21" t="s">
        <v>1314</v>
      </c>
      <c r="I454" s="21" t="s">
        <v>2309</v>
      </c>
      <c r="J454" s="21" t="s">
        <v>2529</v>
      </c>
      <c r="K454" s="22" t="s">
        <v>2530</v>
      </c>
      <c r="L454" s="21" t="s">
        <v>1431</v>
      </c>
      <c r="M454" s="21" t="s">
        <v>1819</v>
      </c>
    </row>
    <row r="455" spans="1:13" ht="15" hidden="1" customHeight="1" x14ac:dyDescent="0.25">
      <c r="A455" s="21" t="s">
        <v>2531</v>
      </c>
      <c r="B455" s="22" t="s">
        <v>1638</v>
      </c>
      <c r="C455" s="22" t="s">
        <v>670</v>
      </c>
      <c r="D455" s="21" t="s">
        <v>119</v>
      </c>
      <c r="E455" s="21" t="s">
        <v>1263</v>
      </c>
      <c r="F455" s="21" t="s">
        <v>2490</v>
      </c>
      <c r="G455" s="21" t="s">
        <v>2418</v>
      </c>
      <c r="H455" s="21" t="s">
        <v>1286</v>
      </c>
      <c r="I455" s="21" t="s">
        <v>2302</v>
      </c>
      <c r="J455" s="21" t="s">
        <v>2303</v>
      </c>
      <c r="K455" s="22" t="s">
        <v>2532</v>
      </c>
      <c r="L455" s="21" t="s">
        <v>1290</v>
      </c>
      <c r="M455" s="21" t="s">
        <v>1819</v>
      </c>
    </row>
    <row r="456" spans="1:13" ht="15" hidden="1" customHeight="1" x14ac:dyDescent="0.25">
      <c r="A456" s="21" t="s">
        <v>2533</v>
      </c>
      <c r="B456" s="22" t="s">
        <v>1642</v>
      </c>
      <c r="C456" s="22" t="s">
        <v>2534</v>
      </c>
      <c r="D456" s="21" t="s">
        <v>119</v>
      </c>
      <c r="E456" s="21" t="s">
        <v>1234</v>
      </c>
      <c r="F456" s="21" t="s">
        <v>1588</v>
      </c>
      <c r="G456" s="21" t="s">
        <v>2381</v>
      </c>
      <c r="H456" s="21" t="s">
        <v>1314</v>
      </c>
      <c r="I456" s="21" t="s">
        <v>1735</v>
      </c>
      <c r="J456" s="21" t="s">
        <v>2320</v>
      </c>
      <c r="K456" s="22" t="s">
        <v>2535</v>
      </c>
      <c r="L456" s="21" t="s">
        <v>1676</v>
      </c>
      <c r="M456" s="21" t="s">
        <v>1819</v>
      </c>
    </row>
    <row r="457" spans="1:13" ht="15" hidden="1" customHeight="1" x14ac:dyDescent="0.25">
      <c r="A457" s="21" t="s">
        <v>2536</v>
      </c>
      <c r="B457" s="22" t="s">
        <v>1647</v>
      </c>
      <c r="C457" s="22" t="s">
        <v>671</v>
      </c>
      <c r="D457" s="21" t="s">
        <v>119</v>
      </c>
      <c r="E457" s="21" t="s">
        <v>1263</v>
      </c>
      <c r="F457" s="21" t="s">
        <v>2490</v>
      </c>
      <c r="G457" s="21" t="s">
        <v>2371</v>
      </c>
      <c r="H457" s="21" t="s">
        <v>1286</v>
      </c>
      <c r="I457" s="21" t="s">
        <v>2302</v>
      </c>
      <c r="J457" s="21" t="s">
        <v>2303</v>
      </c>
      <c r="K457" s="22" t="s">
        <v>2537</v>
      </c>
      <c r="L457" s="21" t="s">
        <v>1290</v>
      </c>
      <c r="M457" s="21" t="s">
        <v>1819</v>
      </c>
    </row>
    <row r="458" spans="1:13" ht="15" hidden="1" customHeight="1" x14ac:dyDescent="0.25">
      <c r="A458" s="21" t="s">
        <v>2538</v>
      </c>
      <c r="B458" s="22" t="s">
        <v>1651</v>
      </c>
      <c r="C458" s="22" t="s">
        <v>672</v>
      </c>
      <c r="D458" s="21" t="s">
        <v>119</v>
      </c>
      <c r="E458" s="21" t="s">
        <v>1240</v>
      </c>
      <c r="F458" s="21" t="s">
        <v>1529</v>
      </c>
      <c r="G458" s="21" t="s">
        <v>1863</v>
      </c>
      <c r="H458" s="21" t="s">
        <v>1314</v>
      </c>
      <c r="I458" s="21" t="s">
        <v>1727</v>
      </c>
      <c r="J458" s="21" t="s">
        <v>2246</v>
      </c>
      <c r="K458" s="22" t="s">
        <v>2539</v>
      </c>
      <c r="L458" s="21" t="s">
        <v>1446</v>
      </c>
      <c r="M458" s="21" t="s">
        <v>1819</v>
      </c>
    </row>
    <row r="459" spans="1:13" ht="15" hidden="1" customHeight="1" x14ac:dyDescent="0.25">
      <c r="A459" s="21" t="s">
        <v>2540</v>
      </c>
      <c r="B459" s="22" t="s">
        <v>1653</v>
      </c>
      <c r="C459" s="22" t="s">
        <v>673</v>
      </c>
      <c r="D459" s="21" t="s">
        <v>119</v>
      </c>
      <c r="E459" s="21" t="s">
        <v>1245</v>
      </c>
      <c r="F459" s="21" t="s">
        <v>1518</v>
      </c>
      <c r="G459" s="21" t="s">
        <v>1519</v>
      </c>
      <c r="H459" s="21" t="s">
        <v>1314</v>
      </c>
      <c r="I459" s="21" t="s">
        <v>1399</v>
      </c>
      <c r="J459" s="21" t="s">
        <v>2541</v>
      </c>
      <c r="K459" s="22" t="s">
        <v>2542</v>
      </c>
      <c r="L459" s="21" t="s">
        <v>1332</v>
      </c>
      <c r="M459" s="21" t="s">
        <v>1830</v>
      </c>
    </row>
    <row r="460" spans="1:13" ht="15" hidden="1" customHeight="1" x14ac:dyDescent="0.25">
      <c r="A460" s="21" t="s">
        <v>2543</v>
      </c>
      <c r="B460" s="22" t="s">
        <v>1656</v>
      </c>
      <c r="C460" s="22" t="s">
        <v>674</v>
      </c>
      <c r="D460" s="21" t="s">
        <v>119</v>
      </c>
      <c r="E460" s="21" t="s">
        <v>1225</v>
      </c>
      <c r="F460" s="21" t="s">
        <v>2544</v>
      </c>
      <c r="G460" s="21"/>
      <c r="H460" s="21" t="s">
        <v>1314</v>
      </c>
      <c r="I460" s="21" t="s">
        <v>1909</v>
      </c>
      <c r="J460" s="21" t="s">
        <v>2545</v>
      </c>
      <c r="K460" s="22" t="s">
        <v>2546</v>
      </c>
      <c r="L460" s="21" t="s">
        <v>1344</v>
      </c>
      <c r="M460" s="21" t="s">
        <v>1819</v>
      </c>
    </row>
    <row r="461" spans="1:13" ht="15" hidden="1" customHeight="1" x14ac:dyDescent="0.25">
      <c r="A461" s="21" t="s">
        <v>2547</v>
      </c>
      <c r="B461" s="22" t="s">
        <v>1659</v>
      </c>
      <c r="C461" s="22" t="s">
        <v>675</v>
      </c>
      <c r="D461" s="21" t="s">
        <v>119</v>
      </c>
      <c r="E461" s="21" t="s">
        <v>1225</v>
      </c>
      <c r="F461" s="21" t="s">
        <v>2544</v>
      </c>
      <c r="G461" s="21"/>
      <c r="H461" s="21" t="s">
        <v>1314</v>
      </c>
      <c r="I461" s="21" t="s">
        <v>1909</v>
      </c>
      <c r="J461" s="21" t="s">
        <v>2545</v>
      </c>
      <c r="K461" s="22" t="s">
        <v>2548</v>
      </c>
      <c r="L461" s="21" t="s">
        <v>1344</v>
      </c>
      <c r="M461" s="21" t="s">
        <v>1819</v>
      </c>
    </row>
    <row r="462" spans="1:13" ht="15" hidden="1" customHeight="1" x14ac:dyDescent="0.25">
      <c r="A462" s="21" t="s">
        <v>2549</v>
      </c>
      <c r="B462" s="22" t="s">
        <v>1663</v>
      </c>
      <c r="C462" s="22" t="s">
        <v>676</v>
      </c>
      <c r="D462" s="21" t="s">
        <v>119</v>
      </c>
      <c r="E462" s="21" t="s">
        <v>1245</v>
      </c>
      <c r="F462" s="21" t="s">
        <v>1518</v>
      </c>
      <c r="G462" s="21"/>
      <c r="H462" s="21" t="s">
        <v>1314</v>
      </c>
      <c r="I462" s="21" t="s">
        <v>1735</v>
      </c>
      <c r="J462" s="21" t="s">
        <v>2316</v>
      </c>
      <c r="K462" s="22" t="s">
        <v>2550</v>
      </c>
      <c r="L462" s="21" t="s">
        <v>1311</v>
      </c>
      <c r="M462" s="21" t="s">
        <v>1819</v>
      </c>
    </row>
    <row r="463" spans="1:13" ht="15" hidden="1" customHeight="1" x14ac:dyDescent="0.25">
      <c r="A463" s="21" t="s">
        <v>2551</v>
      </c>
      <c r="B463" s="22" t="s">
        <v>1666</v>
      </c>
      <c r="C463" s="22" t="s">
        <v>677</v>
      </c>
      <c r="D463" s="21" t="s">
        <v>2552</v>
      </c>
      <c r="E463" s="21" t="s">
        <v>1225</v>
      </c>
      <c r="F463" s="21" t="s">
        <v>1284</v>
      </c>
      <c r="G463" s="21"/>
      <c r="H463" s="21" t="s">
        <v>1314</v>
      </c>
      <c r="I463" s="21" t="s">
        <v>2553</v>
      </c>
      <c r="J463" s="21" t="s">
        <v>2554</v>
      </c>
      <c r="K463" s="22" t="s">
        <v>2555</v>
      </c>
      <c r="L463" s="21" t="s">
        <v>1431</v>
      </c>
      <c r="M463" s="21" t="s">
        <v>1830</v>
      </c>
    </row>
    <row r="464" spans="1:13" ht="15" hidden="1" customHeight="1" x14ac:dyDescent="0.25">
      <c r="A464" s="21" t="s">
        <v>2556</v>
      </c>
      <c r="B464" s="22" t="s">
        <v>1669</v>
      </c>
      <c r="C464" s="22" t="s">
        <v>678</v>
      </c>
      <c r="D464" s="21" t="s">
        <v>2552</v>
      </c>
      <c r="E464" s="21" t="s">
        <v>1225</v>
      </c>
      <c r="F464" s="21" t="s">
        <v>1284</v>
      </c>
      <c r="G464" s="21"/>
      <c r="H464" s="21" t="s">
        <v>1314</v>
      </c>
      <c r="I464" s="21" t="s">
        <v>2553</v>
      </c>
      <c r="J464" s="21" t="s">
        <v>2554</v>
      </c>
      <c r="K464" s="22" t="s">
        <v>2557</v>
      </c>
      <c r="L464" s="21" t="s">
        <v>1431</v>
      </c>
      <c r="M464" s="21" t="s">
        <v>1830</v>
      </c>
    </row>
    <row r="465" spans="1:13" ht="15" hidden="1" customHeight="1" x14ac:dyDescent="0.25">
      <c r="A465" s="21" t="s">
        <v>2558</v>
      </c>
      <c r="B465" s="22" t="s">
        <v>1672</v>
      </c>
      <c r="C465" s="22" t="s">
        <v>679</v>
      </c>
      <c r="D465" s="21" t="s">
        <v>119</v>
      </c>
      <c r="E465" s="21" t="s">
        <v>1230</v>
      </c>
      <c r="F465" s="21" t="s">
        <v>1681</v>
      </c>
      <c r="G465" s="21" t="s">
        <v>2559</v>
      </c>
      <c r="H465" s="21" t="s">
        <v>1314</v>
      </c>
      <c r="I465" s="21" t="s">
        <v>1735</v>
      </c>
      <c r="J465" s="21" t="s">
        <v>2316</v>
      </c>
      <c r="K465" s="22" t="s">
        <v>2560</v>
      </c>
      <c r="L465" s="21" t="s">
        <v>1431</v>
      </c>
      <c r="M465" s="21" t="s">
        <v>1819</v>
      </c>
    </row>
    <row r="466" spans="1:13" ht="15" hidden="1" customHeight="1" x14ac:dyDescent="0.25">
      <c r="A466" s="21" t="s">
        <v>2561</v>
      </c>
      <c r="B466" s="22" t="s">
        <v>1677</v>
      </c>
      <c r="C466" s="22" t="s">
        <v>680</v>
      </c>
      <c r="D466" s="21" t="s">
        <v>119</v>
      </c>
      <c r="E466" s="21" t="s">
        <v>1230</v>
      </c>
      <c r="F466" s="21" t="s">
        <v>1681</v>
      </c>
      <c r="G466" s="21" t="s">
        <v>2562</v>
      </c>
      <c r="H466" s="21" t="s">
        <v>1314</v>
      </c>
      <c r="I466" s="21" t="s">
        <v>1735</v>
      </c>
      <c r="J466" s="21" t="s">
        <v>2316</v>
      </c>
      <c r="K466" s="22" t="s">
        <v>2563</v>
      </c>
      <c r="L466" s="21" t="s">
        <v>1431</v>
      </c>
      <c r="M466" s="21" t="s">
        <v>1819</v>
      </c>
    </row>
    <row r="467" spans="1:13" ht="15" hidden="1" customHeight="1" x14ac:dyDescent="0.25">
      <c r="A467" s="21" t="s">
        <v>2564</v>
      </c>
      <c r="B467" s="22" t="s">
        <v>1680</v>
      </c>
      <c r="C467" s="22" t="s">
        <v>681</v>
      </c>
      <c r="D467" s="21" t="s">
        <v>119</v>
      </c>
      <c r="E467" s="21" t="s">
        <v>1230</v>
      </c>
      <c r="F467" s="21" t="s">
        <v>1681</v>
      </c>
      <c r="G467" s="21" t="s">
        <v>2565</v>
      </c>
      <c r="H467" s="21" t="s">
        <v>1314</v>
      </c>
      <c r="I467" s="21" t="s">
        <v>1735</v>
      </c>
      <c r="J467" s="21" t="s">
        <v>2316</v>
      </c>
      <c r="K467" s="22" t="s">
        <v>2566</v>
      </c>
      <c r="L467" s="21" t="s">
        <v>1431</v>
      </c>
      <c r="M467" s="21" t="s">
        <v>1819</v>
      </c>
    </row>
    <row r="468" spans="1:13" ht="15" hidden="1" customHeight="1" x14ac:dyDescent="0.25">
      <c r="A468" s="21" t="s">
        <v>2567</v>
      </c>
      <c r="B468" s="22" t="s">
        <v>1683</v>
      </c>
      <c r="C468" s="22" t="s">
        <v>682</v>
      </c>
      <c r="D468" s="21" t="s">
        <v>119</v>
      </c>
      <c r="E468" s="21" t="s">
        <v>1230</v>
      </c>
      <c r="F468" s="21" t="s">
        <v>1681</v>
      </c>
      <c r="G468" s="21" t="s">
        <v>2568</v>
      </c>
      <c r="H468" s="21" t="s">
        <v>1314</v>
      </c>
      <c r="I468" s="21" t="s">
        <v>1735</v>
      </c>
      <c r="J468" s="21" t="s">
        <v>2316</v>
      </c>
      <c r="K468" s="22" t="s">
        <v>2569</v>
      </c>
      <c r="L468" s="21" t="s">
        <v>1431</v>
      </c>
      <c r="M468" s="21" t="s">
        <v>1819</v>
      </c>
    </row>
    <row r="469" spans="1:13" ht="15" hidden="1" customHeight="1" x14ac:dyDescent="0.25">
      <c r="A469" s="21" t="s">
        <v>2570</v>
      </c>
      <c r="B469" s="22" t="s">
        <v>1685</v>
      </c>
      <c r="C469" s="22" t="s">
        <v>683</v>
      </c>
      <c r="D469" s="21" t="s">
        <v>119</v>
      </c>
      <c r="E469" s="21" t="s">
        <v>1231</v>
      </c>
      <c r="F469" s="21" t="s">
        <v>1681</v>
      </c>
      <c r="G469" s="21" t="s">
        <v>2571</v>
      </c>
      <c r="H469" s="21" t="s">
        <v>1314</v>
      </c>
      <c r="I469" s="21" t="s">
        <v>1735</v>
      </c>
      <c r="J469" s="21" t="s">
        <v>2316</v>
      </c>
      <c r="K469" s="22" t="s">
        <v>2572</v>
      </c>
      <c r="L469" s="21" t="s">
        <v>1431</v>
      </c>
      <c r="M469" s="21" t="s">
        <v>1819</v>
      </c>
    </row>
    <row r="470" spans="1:13" ht="15" hidden="1" customHeight="1" x14ac:dyDescent="0.25">
      <c r="A470" s="21" t="s">
        <v>2573</v>
      </c>
      <c r="B470" s="22" t="s">
        <v>1687</v>
      </c>
      <c r="C470" s="22" t="s">
        <v>685</v>
      </c>
      <c r="D470" s="21" t="s">
        <v>119</v>
      </c>
      <c r="E470" s="21" t="s">
        <v>1230</v>
      </c>
      <c r="F470" s="21" t="s">
        <v>1681</v>
      </c>
      <c r="G470" s="21" t="s">
        <v>2574</v>
      </c>
      <c r="H470" s="21" t="s">
        <v>1314</v>
      </c>
      <c r="I470" s="21" t="s">
        <v>1735</v>
      </c>
      <c r="J470" s="21" t="s">
        <v>2316</v>
      </c>
      <c r="K470" s="22" t="s">
        <v>2575</v>
      </c>
      <c r="L470" s="21" t="s">
        <v>1431</v>
      </c>
      <c r="M470" s="21" t="s">
        <v>1819</v>
      </c>
    </row>
    <row r="471" spans="1:13" ht="15" hidden="1" customHeight="1" x14ac:dyDescent="0.25">
      <c r="A471" s="21" t="s">
        <v>2576</v>
      </c>
      <c r="B471" s="22" t="s">
        <v>1689</v>
      </c>
      <c r="C471" s="22" t="s">
        <v>686</v>
      </c>
      <c r="D471" s="21" t="s">
        <v>119</v>
      </c>
      <c r="E471" s="21" t="s">
        <v>1230</v>
      </c>
      <c r="F471" s="21" t="s">
        <v>1681</v>
      </c>
      <c r="G471" s="21" t="s">
        <v>2577</v>
      </c>
      <c r="H471" s="21" t="s">
        <v>1314</v>
      </c>
      <c r="I471" s="21" t="s">
        <v>1735</v>
      </c>
      <c r="J471" s="21" t="s">
        <v>2316</v>
      </c>
      <c r="K471" s="22" t="s">
        <v>2578</v>
      </c>
      <c r="L471" s="21" t="s">
        <v>1431</v>
      </c>
      <c r="M471" s="21" t="s">
        <v>1819</v>
      </c>
    </row>
    <row r="472" spans="1:13" ht="15" hidden="1" customHeight="1" x14ac:dyDescent="0.25">
      <c r="A472" s="21" t="s">
        <v>2579</v>
      </c>
      <c r="B472" s="22" t="s">
        <v>1692</v>
      </c>
      <c r="C472" s="22" t="s">
        <v>687</v>
      </c>
      <c r="D472" s="21" t="s">
        <v>119</v>
      </c>
      <c r="E472" s="21" t="s">
        <v>1230</v>
      </c>
      <c r="F472" s="21" t="s">
        <v>1681</v>
      </c>
      <c r="G472" s="21" t="s">
        <v>2580</v>
      </c>
      <c r="H472" s="21" t="s">
        <v>1314</v>
      </c>
      <c r="I472" s="21" t="s">
        <v>1735</v>
      </c>
      <c r="J472" s="21" t="s">
        <v>2316</v>
      </c>
      <c r="K472" s="22" t="s">
        <v>2581</v>
      </c>
      <c r="L472" s="21" t="s">
        <v>1431</v>
      </c>
      <c r="M472" s="21" t="s">
        <v>1819</v>
      </c>
    </row>
    <row r="473" spans="1:13" ht="15" hidden="1" customHeight="1" x14ac:dyDescent="0.25">
      <c r="A473" s="21" t="s">
        <v>2582</v>
      </c>
      <c r="B473" s="22" t="s">
        <v>1697</v>
      </c>
      <c r="C473" s="22" t="s">
        <v>688</v>
      </c>
      <c r="D473" s="21" t="s">
        <v>119</v>
      </c>
      <c r="E473" s="21" t="s">
        <v>1230</v>
      </c>
      <c r="F473" s="21" t="s">
        <v>1681</v>
      </c>
      <c r="G473" s="21" t="s">
        <v>2583</v>
      </c>
      <c r="H473" s="21" t="s">
        <v>1314</v>
      </c>
      <c r="I473" s="21" t="s">
        <v>1735</v>
      </c>
      <c r="J473" s="21" t="s">
        <v>2316</v>
      </c>
      <c r="K473" s="22" t="s">
        <v>2584</v>
      </c>
      <c r="L473" s="21" t="s">
        <v>1431</v>
      </c>
      <c r="M473" s="21" t="s">
        <v>1819</v>
      </c>
    </row>
    <row r="474" spans="1:13" ht="15" hidden="1" customHeight="1" x14ac:dyDescent="0.25">
      <c r="A474" s="21" t="s">
        <v>2585</v>
      </c>
      <c r="B474" s="22" t="s">
        <v>1700</v>
      </c>
      <c r="C474" s="22" t="s">
        <v>689</v>
      </c>
      <c r="D474" s="21" t="s">
        <v>119</v>
      </c>
      <c r="E474" s="21" t="s">
        <v>1225</v>
      </c>
      <c r="F474" s="21" t="s">
        <v>2544</v>
      </c>
      <c r="G474" s="21"/>
      <c r="H474" s="21" t="s">
        <v>1314</v>
      </c>
      <c r="I474" s="21" t="s">
        <v>2309</v>
      </c>
      <c r="J474" s="21" t="s">
        <v>2340</v>
      </c>
      <c r="K474" s="22" t="s">
        <v>2586</v>
      </c>
      <c r="L474" s="21" t="s">
        <v>1521</v>
      </c>
      <c r="M474" s="21" t="s">
        <v>1830</v>
      </c>
    </row>
    <row r="475" spans="1:13" ht="15" hidden="1" customHeight="1" x14ac:dyDescent="0.25">
      <c r="A475" s="21" t="s">
        <v>2587</v>
      </c>
      <c r="B475" s="22" t="s">
        <v>1704</v>
      </c>
      <c r="C475" s="22" t="s">
        <v>690</v>
      </c>
      <c r="D475" s="21" t="s">
        <v>119</v>
      </c>
      <c r="E475" s="21" t="s">
        <v>1225</v>
      </c>
      <c r="F475" s="21" t="s">
        <v>2544</v>
      </c>
      <c r="G475" s="21"/>
      <c r="H475" s="21" t="s">
        <v>1314</v>
      </c>
      <c r="I475" s="21" t="s">
        <v>2309</v>
      </c>
      <c r="J475" s="21" t="s">
        <v>2397</v>
      </c>
      <c r="K475" s="22" t="s">
        <v>2588</v>
      </c>
      <c r="L475" s="21" t="s">
        <v>1420</v>
      </c>
      <c r="M475" s="21" t="s">
        <v>1819</v>
      </c>
    </row>
    <row r="476" spans="1:13" ht="15" hidden="1" customHeight="1" x14ac:dyDescent="0.25">
      <c r="A476" s="21" t="s">
        <v>2589</v>
      </c>
      <c r="B476" s="22" t="s">
        <v>1707</v>
      </c>
      <c r="C476" s="22" t="s">
        <v>691</v>
      </c>
      <c r="D476" s="21" t="s">
        <v>119</v>
      </c>
      <c r="E476" s="21" t="s">
        <v>1225</v>
      </c>
      <c r="F476" s="21" t="s">
        <v>2544</v>
      </c>
      <c r="G476" s="21"/>
      <c r="H476" s="21" t="s">
        <v>1314</v>
      </c>
      <c r="I476" s="21" t="s">
        <v>2309</v>
      </c>
      <c r="J476" s="21" t="s">
        <v>2397</v>
      </c>
      <c r="K476" s="22" t="s">
        <v>2590</v>
      </c>
      <c r="L476" s="21" t="s">
        <v>1420</v>
      </c>
      <c r="M476" s="21" t="s">
        <v>1819</v>
      </c>
    </row>
    <row r="477" spans="1:13" ht="15" hidden="1" customHeight="1" x14ac:dyDescent="0.25">
      <c r="A477" s="21" t="s">
        <v>2591</v>
      </c>
      <c r="B477" s="22" t="s">
        <v>1710</v>
      </c>
      <c r="C477" s="22" t="s">
        <v>692</v>
      </c>
      <c r="D477" s="21" t="s">
        <v>119</v>
      </c>
      <c r="E477" s="21" t="s">
        <v>1225</v>
      </c>
      <c r="F477" s="21" t="s">
        <v>2544</v>
      </c>
      <c r="G477" s="21"/>
      <c r="H477" s="21" t="s">
        <v>1314</v>
      </c>
      <c r="I477" s="21" t="s">
        <v>2309</v>
      </c>
      <c r="J477" s="21" t="s">
        <v>2397</v>
      </c>
      <c r="K477" s="22" t="s">
        <v>2592</v>
      </c>
      <c r="L477" s="21" t="s">
        <v>1420</v>
      </c>
      <c r="M477" s="21" t="s">
        <v>1819</v>
      </c>
    </row>
    <row r="478" spans="1:13" ht="15" hidden="1" customHeight="1" x14ac:dyDescent="0.25">
      <c r="A478" s="21" t="s">
        <v>2593</v>
      </c>
      <c r="B478" s="22" t="s">
        <v>1712</v>
      </c>
      <c r="C478" s="22" t="s">
        <v>693</v>
      </c>
      <c r="D478" s="21" t="s">
        <v>119</v>
      </c>
      <c r="E478" s="21" t="s">
        <v>1225</v>
      </c>
      <c r="F478" s="21" t="s">
        <v>2544</v>
      </c>
      <c r="G478" s="21"/>
      <c r="H478" s="21" t="s">
        <v>1314</v>
      </c>
      <c r="I478" s="21" t="s">
        <v>2309</v>
      </c>
      <c r="J478" s="21" t="s">
        <v>2397</v>
      </c>
      <c r="K478" s="22" t="s">
        <v>2594</v>
      </c>
      <c r="L478" s="21" t="s">
        <v>1420</v>
      </c>
      <c r="M478" s="21" t="s">
        <v>1819</v>
      </c>
    </row>
    <row r="479" spans="1:13" ht="15" hidden="1" customHeight="1" x14ac:dyDescent="0.25">
      <c r="A479" s="21" t="s">
        <v>2595</v>
      </c>
      <c r="B479" s="22" t="s">
        <v>1715</v>
      </c>
      <c r="C479" s="22" t="s">
        <v>694</v>
      </c>
      <c r="D479" s="21" t="s">
        <v>119</v>
      </c>
      <c r="E479" s="21" t="s">
        <v>1263</v>
      </c>
      <c r="F479" s="21" t="s">
        <v>1674</v>
      </c>
      <c r="G479" s="21" t="s">
        <v>2054</v>
      </c>
      <c r="H479" s="21" t="s">
        <v>1314</v>
      </c>
      <c r="I479" s="21" t="s">
        <v>1727</v>
      </c>
      <c r="J479" s="21" t="s">
        <v>2246</v>
      </c>
      <c r="K479" s="22" t="s">
        <v>2596</v>
      </c>
      <c r="L479" s="21" t="s">
        <v>1344</v>
      </c>
      <c r="M479" s="21" t="s">
        <v>1819</v>
      </c>
    </row>
    <row r="480" spans="1:13" ht="15" hidden="1" customHeight="1" x14ac:dyDescent="0.25">
      <c r="A480" s="21" t="s">
        <v>2597</v>
      </c>
      <c r="B480" s="22" t="s">
        <v>1718</v>
      </c>
      <c r="C480" s="22" t="s">
        <v>695</v>
      </c>
      <c r="D480" s="21" t="s">
        <v>119</v>
      </c>
      <c r="E480" s="21" t="s">
        <v>1240</v>
      </c>
      <c r="F480" s="21" t="s">
        <v>1529</v>
      </c>
      <c r="G480" s="21" t="s">
        <v>1863</v>
      </c>
      <c r="H480" s="21" t="s">
        <v>1314</v>
      </c>
      <c r="I480" s="21" t="s">
        <v>1727</v>
      </c>
      <c r="J480" s="21" t="s">
        <v>2246</v>
      </c>
      <c r="K480" s="22" t="s">
        <v>2598</v>
      </c>
      <c r="L480" s="21" t="s">
        <v>1344</v>
      </c>
      <c r="M480" s="21" t="s">
        <v>1819</v>
      </c>
    </row>
    <row r="481" spans="1:13" ht="15" hidden="1" customHeight="1" x14ac:dyDescent="0.25">
      <c r="A481" s="21" t="s">
        <v>2599</v>
      </c>
      <c r="B481" s="22" t="s">
        <v>1722</v>
      </c>
      <c r="C481" s="22" t="s">
        <v>696</v>
      </c>
      <c r="D481" s="21" t="s">
        <v>119</v>
      </c>
      <c r="E481" s="21" t="s">
        <v>1225</v>
      </c>
      <c r="F481" s="21" t="s">
        <v>2544</v>
      </c>
      <c r="G481" s="21"/>
      <c r="H481" s="21" t="s">
        <v>1314</v>
      </c>
      <c r="I481" s="21" t="s">
        <v>2309</v>
      </c>
      <c r="J481" s="21" t="s">
        <v>2397</v>
      </c>
      <c r="K481" s="22" t="s">
        <v>2600</v>
      </c>
      <c r="L481" s="21" t="s">
        <v>1420</v>
      </c>
      <c r="M481" s="21" t="s">
        <v>1819</v>
      </c>
    </row>
    <row r="482" spans="1:13" ht="15" hidden="1" customHeight="1" x14ac:dyDescent="0.25">
      <c r="A482" s="21" t="s">
        <v>2601</v>
      </c>
      <c r="B482" s="22" t="s">
        <v>1725</v>
      </c>
      <c r="C482" s="22" t="s">
        <v>697</v>
      </c>
      <c r="D482" s="21" t="s">
        <v>119</v>
      </c>
      <c r="E482" s="21" t="s">
        <v>1225</v>
      </c>
      <c r="F482" s="21" t="s">
        <v>2544</v>
      </c>
      <c r="G482" s="21"/>
      <c r="H482" s="21" t="s">
        <v>1314</v>
      </c>
      <c r="I482" s="21" t="s">
        <v>2309</v>
      </c>
      <c r="J482" s="21" t="s">
        <v>2340</v>
      </c>
      <c r="K482" s="22" t="s">
        <v>2602</v>
      </c>
      <c r="L482" s="21" t="s">
        <v>1521</v>
      </c>
      <c r="M482" s="21" t="s">
        <v>1830</v>
      </c>
    </row>
    <row r="483" spans="1:13" ht="15" hidden="1" customHeight="1" x14ac:dyDescent="0.25">
      <c r="A483" s="21" t="s">
        <v>2603</v>
      </c>
      <c r="B483" s="22" t="s">
        <v>1730</v>
      </c>
      <c r="C483" s="22" t="s">
        <v>698</v>
      </c>
      <c r="D483" s="21" t="s">
        <v>119</v>
      </c>
      <c r="E483" s="21" t="s">
        <v>1240</v>
      </c>
      <c r="F483" s="21" t="s">
        <v>1529</v>
      </c>
      <c r="G483" s="21" t="s">
        <v>1863</v>
      </c>
      <c r="H483" s="21" t="s">
        <v>1314</v>
      </c>
      <c r="I483" s="21" t="s">
        <v>1727</v>
      </c>
      <c r="J483" s="21" t="s">
        <v>2246</v>
      </c>
      <c r="K483" s="22" t="s">
        <v>2604</v>
      </c>
      <c r="L483" s="21" t="s">
        <v>1446</v>
      </c>
      <c r="M483" s="21" t="s">
        <v>1819</v>
      </c>
    </row>
    <row r="484" spans="1:13" ht="15" hidden="1" customHeight="1" x14ac:dyDescent="0.25">
      <c r="A484" s="21" t="s">
        <v>2605</v>
      </c>
      <c r="B484" s="22" t="s">
        <v>1734</v>
      </c>
      <c r="C484" s="22" t="s">
        <v>699</v>
      </c>
      <c r="D484" s="21" t="s">
        <v>119</v>
      </c>
      <c r="E484" s="21" t="s">
        <v>1225</v>
      </c>
      <c r="F484" s="21" t="s">
        <v>2544</v>
      </c>
      <c r="G484" s="21"/>
      <c r="H484" s="21" t="s">
        <v>1314</v>
      </c>
      <c r="I484" s="21" t="s">
        <v>2309</v>
      </c>
      <c r="J484" s="21" t="s">
        <v>2397</v>
      </c>
      <c r="K484" s="22" t="s">
        <v>2606</v>
      </c>
      <c r="L484" s="21" t="s">
        <v>1446</v>
      </c>
      <c r="M484" s="21" t="s">
        <v>1819</v>
      </c>
    </row>
    <row r="485" spans="1:13" ht="15" hidden="1" customHeight="1" x14ac:dyDescent="0.25">
      <c r="A485" s="21" t="s">
        <v>2607</v>
      </c>
      <c r="B485" s="22" t="s">
        <v>1738</v>
      </c>
      <c r="C485" s="22" t="s">
        <v>700</v>
      </c>
      <c r="D485" s="21" t="s">
        <v>119</v>
      </c>
      <c r="E485" s="21" t="s">
        <v>1240</v>
      </c>
      <c r="F485" s="21" t="s">
        <v>1529</v>
      </c>
      <c r="G485" s="21" t="s">
        <v>1863</v>
      </c>
      <c r="H485" s="21" t="s">
        <v>1314</v>
      </c>
      <c r="I485" s="21" t="s">
        <v>1727</v>
      </c>
      <c r="J485" s="21" t="s">
        <v>2246</v>
      </c>
      <c r="K485" s="22" t="s">
        <v>2608</v>
      </c>
      <c r="L485" s="21" t="s">
        <v>1344</v>
      </c>
      <c r="M485" s="21" t="s">
        <v>1819</v>
      </c>
    </row>
    <row r="486" spans="1:13" ht="15" hidden="1" customHeight="1" x14ac:dyDescent="0.25">
      <c r="A486" s="21" t="s">
        <v>2609</v>
      </c>
      <c r="B486" s="22" t="s">
        <v>1742</v>
      </c>
      <c r="C486" s="22" t="s">
        <v>701</v>
      </c>
      <c r="D486" s="21" t="s">
        <v>119</v>
      </c>
      <c r="E486" s="21" t="s">
        <v>1240</v>
      </c>
      <c r="F486" s="21" t="s">
        <v>1529</v>
      </c>
      <c r="G486" s="21" t="s">
        <v>1863</v>
      </c>
      <c r="H486" s="21" t="s">
        <v>1314</v>
      </c>
      <c r="I486" s="21" t="s">
        <v>2309</v>
      </c>
      <c r="J486" s="21" t="s">
        <v>2340</v>
      </c>
      <c r="K486" s="22" t="s">
        <v>2610</v>
      </c>
      <c r="L486" s="21" t="s">
        <v>1521</v>
      </c>
      <c r="M486" s="21" t="s">
        <v>1830</v>
      </c>
    </row>
    <row r="487" spans="1:13" ht="15" hidden="1" customHeight="1" x14ac:dyDescent="0.25">
      <c r="A487" s="21" t="s">
        <v>2611</v>
      </c>
      <c r="B487" s="22" t="s">
        <v>1745</v>
      </c>
      <c r="C487" s="22" t="s">
        <v>702</v>
      </c>
      <c r="D487" s="21" t="s">
        <v>119</v>
      </c>
      <c r="E487" s="21" t="s">
        <v>1240</v>
      </c>
      <c r="F487" s="21" t="s">
        <v>1529</v>
      </c>
      <c r="G487" s="21" t="s">
        <v>2400</v>
      </c>
      <c r="H487" s="21" t="s">
        <v>1314</v>
      </c>
      <c r="I487" s="21" t="s">
        <v>2309</v>
      </c>
      <c r="J487" s="21" t="s">
        <v>2340</v>
      </c>
      <c r="K487" s="22" t="s">
        <v>2612</v>
      </c>
      <c r="L487" s="21" t="s">
        <v>1521</v>
      </c>
      <c r="M487" s="21" t="s">
        <v>1830</v>
      </c>
    </row>
    <row r="488" spans="1:13" ht="15" hidden="1" customHeight="1" x14ac:dyDescent="0.25">
      <c r="A488" s="21" t="s">
        <v>2613</v>
      </c>
      <c r="B488" s="22" t="s">
        <v>1746</v>
      </c>
      <c r="C488" s="22" t="s">
        <v>703</v>
      </c>
      <c r="D488" s="21" t="s">
        <v>119</v>
      </c>
      <c r="E488" s="21" t="s">
        <v>1234</v>
      </c>
      <c r="F488" s="21" t="s">
        <v>1588</v>
      </c>
      <c r="G488" s="21" t="s">
        <v>2614</v>
      </c>
      <c r="H488" s="21" t="s">
        <v>1314</v>
      </c>
      <c r="I488" s="21" t="s">
        <v>1727</v>
      </c>
      <c r="J488" s="21" t="s">
        <v>2251</v>
      </c>
      <c r="K488" s="22" t="s">
        <v>2615</v>
      </c>
      <c r="L488" s="21" t="s">
        <v>1344</v>
      </c>
      <c r="M488" s="21" t="s">
        <v>1819</v>
      </c>
    </row>
    <row r="489" spans="1:13" ht="15" hidden="1" customHeight="1" x14ac:dyDescent="0.25">
      <c r="A489" s="21" t="s">
        <v>2616</v>
      </c>
      <c r="B489" s="22" t="s">
        <v>1749</v>
      </c>
      <c r="C489" s="22" t="s">
        <v>704</v>
      </c>
      <c r="D489" s="21" t="s">
        <v>119</v>
      </c>
      <c r="E489" s="21" t="s">
        <v>1251</v>
      </c>
      <c r="F489" s="21" t="s">
        <v>1251</v>
      </c>
      <c r="G489" s="21" t="s">
        <v>1495</v>
      </c>
      <c r="H489" s="21" t="s">
        <v>1314</v>
      </c>
      <c r="I489" s="21" t="s">
        <v>2309</v>
      </c>
      <c r="J489" s="21" t="s">
        <v>2397</v>
      </c>
      <c r="K489" s="22" t="s">
        <v>2617</v>
      </c>
      <c r="L489" s="21" t="s">
        <v>1420</v>
      </c>
      <c r="M489" s="21" t="s">
        <v>1819</v>
      </c>
    </row>
    <row r="490" spans="1:13" ht="15" hidden="1" customHeight="1" x14ac:dyDescent="0.25">
      <c r="A490" s="21" t="s">
        <v>2618</v>
      </c>
      <c r="B490" s="22" t="s">
        <v>1752</v>
      </c>
      <c r="C490" s="22" t="s">
        <v>705</v>
      </c>
      <c r="D490" s="21" t="s">
        <v>119</v>
      </c>
      <c r="E490" s="21" t="s">
        <v>1251</v>
      </c>
      <c r="F490" s="21" t="s">
        <v>1251</v>
      </c>
      <c r="G490" s="21" t="s">
        <v>1313</v>
      </c>
      <c r="H490" s="21" t="s">
        <v>1314</v>
      </c>
      <c r="I490" s="21" t="s">
        <v>2309</v>
      </c>
      <c r="J490" s="21" t="s">
        <v>2397</v>
      </c>
      <c r="K490" s="22" t="s">
        <v>2619</v>
      </c>
      <c r="L490" s="21" t="s">
        <v>1420</v>
      </c>
      <c r="M490" s="21" t="s">
        <v>1819</v>
      </c>
    </row>
    <row r="491" spans="1:13" ht="15" hidden="1" customHeight="1" x14ac:dyDescent="0.25">
      <c r="A491" s="21" t="s">
        <v>2620</v>
      </c>
      <c r="B491" s="22" t="s">
        <v>1755</v>
      </c>
      <c r="C491" s="22" t="s">
        <v>706</v>
      </c>
      <c r="D491" s="21" t="s">
        <v>119</v>
      </c>
      <c r="E491" s="21" t="s">
        <v>1210</v>
      </c>
      <c r="F491" s="21" t="s">
        <v>1210</v>
      </c>
      <c r="G491" s="21" t="s">
        <v>2621</v>
      </c>
      <c r="H491" s="21" t="s">
        <v>1314</v>
      </c>
      <c r="I491" s="21" t="s">
        <v>2309</v>
      </c>
      <c r="J491" s="21" t="s">
        <v>2397</v>
      </c>
      <c r="K491" s="22" t="s">
        <v>2622</v>
      </c>
      <c r="L491" s="21" t="s">
        <v>1420</v>
      </c>
      <c r="M491" s="21" t="s">
        <v>1819</v>
      </c>
    </row>
    <row r="492" spans="1:13" ht="15" hidden="1" customHeight="1" x14ac:dyDescent="0.25">
      <c r="A492" s="21" t="s">
        <v>2623</v>
      </c>
      <c r="B492" s="22" t="s">
        <v>1758</v>
      </c>
      <c r="C492" s="22" t="s">
        <v>707</v>
      </c>
      <c r="D492" s="21" t="s">
        <v>119</v>
      </c>
      <c r="E492" s="21" t="s">
        <v>1210</v>
      </c>
      <c r="F492" s="21" t="s">
        <v>1210</v>
      </c>
      <c r="G492" s="21" t="s">
        <v>2624</v>
      </c>
      <c r="H492" s="21" t="s">
        <v>1314</v>
      </c>
      <c r="I492" s="21" t="s">
        <v>2625</v>
      </c>
      <c r="J492" s="21" t="s">
        <v>2626</v>
      </c>
      <c r="K492" s="22" t="s">
        <v>2627</v>
      </c>
      <c r="L492" s="21" t="s">
        <v>1344</v>
      </c>
      <c r="M492" s="21" t="s">
        <v>1830</v>
      </c>
    </row>
    <row r="493" spans="1:13" ht="15" hidden="1" customHeight="1" x14ac:dyDescent="0.25">
      <c r="A493" s="21" t="s">
        <v>2628</v>
      </c>
      <c r="B493" s="22" t="s">
        <v>1759</v>
      </c>
      <c r="C493" s="22" t="s">
        <v>708</v>
      </c>
      <c r="D493" s="21" t="s">
        <v>119</v>
      </c>
      <c r="E493" s="21" t="s">
        <v>1210</v>
      </c>
      <c r="F493" s="21" t="s">
        <v>1210</v>
      </c>
      <c r="G493" s="21" t="s">
        <v>2629</v>
      </c>
      <c r="H493" s="21" t="s">
        <v>1314</v>
      </c>
      <c r="I493" s="21" t="s">
        <v>2309</v>
      </c>
      <c r="J493" s="21" t="s">
        <v>2397</v>
      </c>
      <c r="K493" s="22" t="s">
        <v>2630</v>
      </c>
      <c r="L493" s="21" t="s">
        <v>1420</v>
      </c>
      <c r="M493" s="21" t="s">
        <v>1819</v>
      </c>
    </row>
    <row r="494" spans="1:13" ht="15" hidden="1" customHeight="1" x14ac:dyDescent="0.25">
      <c r="A494" s="21" t="s">
        <v>2631</v>
      </c>
      <c r="B494" s="22" t="s">
        <v>1760</v>
      </c>
      <c r="C494" s="22" t="s">
        <v>709</v>
      </c>
      <c r="D494" s="21" t="s">
        <v>119</v>
      </c>
      <c r="E494" s="21" t="s">
        <v>1210</v>
      </c>
      <c r="F494" s="21" t="s">
        <v>1210</v>
      </c>
      <c r="G494" s="21" t="s">
        <v>2632</v>
      </c>
      <c r="H494" s="21" t="s">
        <v>1314</v>
      </c>
      <c r="I494" s="21" t="s">
        <v>2309</v>
      </c>
      <c r="J494" s="21" t="s">
        <v>2397</v>
      </c>
      <c r="K494" s="22" t="s">
        <v>2633</v>
      </c>
      <c r="L494" s="21" t="s">
        <v>1420</v>
      </c>
      <c r="M494" s="21" t="s">
        <v>1819</v>
      </c>
    </row>
    <row r="495" spans="1:13" ht="15" hidden="1" customHeight="1" x14ac:dyDescent="0.25">
      <c r="A495" s="21" t="s">
        <v>2634</v>
      </c>
      <c r="B495" s="22" t="s">
        <v>1763</v>
      </c>
      <c r="C495" s="22" t="s">
        <v>710</v>
      </c>
      <c r="D495" s="21" t="s">
        <v>119</v>
      </c>
      <c r="E495" s="21" t="s">
        <v>1210</v>
      </c>
      <c r="F495" s="21" t="s">
        <v>1210</v>
      </c>
      <c r="G495" s="21" t="s">
        <v>2635</v>
      </c>
      <c r="H495" s="21" t="s">
        <v>1314</v>
      </c>
      <c r="I495" s="21" t="s">
        <v>2309</v>
      </c>
      <c r="J495" s="21" t="s">
        <v>2397</v>
      </c>
      <c r="K495" s="22" t="s">
        <v>2636</v>
      </c>
      <c r="L495" s="21" t="s">
        <v>1420</v>
      </c>
      <c r="M495" s="21" t="s">
        <v>1819</v>
      </c>
    </row>
    <row r="496" spans="1:13" ht="15" hidden="1" customHeight="1" x14ac:dyDescent="0.25">
      <c r="A496" s="21" t="s">
        <v>2637</v>
      </c>
      <c r="B496" s="22" t="s">
        <v>1766</v>
      </c>
      <c r="C496" s="22" t="s">
        <v>711</v>
      </c>
      <c r="D496" s="21" t="s">
        <v>119</v>
      </c>
      <c r="E496" s="21" t="s">
        <v>1245</v>
      </c>
      <c r="F496" s="21" t="s">
        <v>1518</v>
      </c>
      <c r="G496" s="21" t="s">
        <v>2638</v>
      </c>
      <c r="H496" s="21" t="s">
        <v>1314</v>
      </c>
      <c r="I496" s="21" t="s">
        <v>2625</v>
      </c>
      <c r="J496" s="21" t="s">
        <v>2626</v>
      </c>
      <c r="K496" s="22" t="s">
        <v>2639</v>
      </c>
      <c r="L496" s="21" t="s">
        <v>1344</v>
      </c>
      <c r="M496" s="21" t="s">
        <v>1830</v>
      </c>
    </row>
    <row r="497" spans="1:13" ht="15" hidden="1" customHeight="1" x14ac:dyDescent="0.25">
      <c r="A497" s="21" t="s">
        <v>2640</v>
      </c>
      <c r="B497" s="22" t="s">
        <v>1767</v>
      </c>
      <c r="C497" s="22" t="s">
        <v>712</v>
      </c>
      <c r="D497" s="21" t="s">
        <v>119</v>
      </c>
      <c r="E497" s="21" t="s">
        <v>1226</v>
      </c>
      <c r="F497" s="21" t="s">
        <v>1226</v>
      </c>
      <c r="G497" s="21" t="s">
        <v>2641</v>
      </c>
      <c r="H497" s="21" t="s">
        <v>1314</v>
      </c>
      <c r="I497" s="21" t="s">
        <v>1727</v>
      </c>
      <c r="J497" s="21" t="s">
        <v>2243</v>
      </c>
      <c r="K497" s="22" t="s">
        <v>2642</v>
      </c>
      <c r="L497" s="21" t="s">
        <v>1420</v>
      </c>
      <c r="M497" s="21" t="s">
        <v>1819</v>
      </c>
    </row>
    <row r="498" spans="1:13" ht="15" hidden="1" customHeight="1" x14ac:dyDescent="0.25">
      <c r="A498" s="21" t="s">
        <v>2643</v>
      </c>
      <c r="B498" s="22" t="s">
        <v>1770</v>
      </c>
      <c r="C498" s="22" t="s">
        <v>713</v>
      </c>
      <c r="D498" s="21" t="s">
        <v>119</v>
      </c>
      <c r="E498" s="21" t="s">
        <v>1226</v>
      </c>
      <c r="F498" s="21" t="s">
        <v>1226</v>
      </c>
      <c r="G498" s="21" t="s">
        <v>2644</v>
      </c>
      <c r="H498" s="21" t="s">
        <v>1314</v>
      </c>
      <c r="I498" s="21" t="s">
        <v>1727</v>
      </c>
      <c r="J498" s="21" t="s">
        <v>2243</v>
      </c>
      <c r="K498" s="22" t="s">
        <v>2645</v>
      </c>
      <c r="L498" s="21" t="s">
        <v>1420</v>
      </c>
      <c r="M498" s="21" t="s">
        <v>1819</v>
      </c>
    </row>
    <row r="499" spans="1:13" ht="15" hidden="1" customHeight="1" x14ac:dyDescent="0.25">
      <c r="A499" s="21" t="s">
        <v>2646</v>
      </c>
      <c r="B499" s="22" t="s">
        <v>1771</v>
      </c>
      <c r="C499" s="22" t="s">
        <v>714</v>
      </c>
      <c r="D499" s="21" t="s">
        <v>119</v>
      </c>
      <c r="E499" s="21" t="s">
        <v>1226</v>
      </c>
      <c r="F499" s="21" t="s">
        <v>1226</v>
      </c>
      <c r="G499" s="21" t="s">
        <v>2647</v>
      </c>
      <c r="H499" s="21" t="s">
        <v>1314</v>
      </c>
      <c r="I499" s="21" t="s">
        <v>1727</v>
      </c>
      <c r="J499" s="21" t="s">
        <v>2243</v>
      </c>
      <c r="K499" s="22" t="s">
        <v>2648</v>
      </c>
      <c r="L499" s="21" t="s">
        <v>1420</v>
      </c>
      <c r="M499" s="21" t="s">
        <v>1819</v>
      </c>
    </row>
    <row r="500" spans="1:13" ht="15" hidden="1" customHeight="1" x14ac:dyDescent="0.25">
      <c r="A500" s="21" t="s">
        <v>2649</v>
      </c>
      <c r="B500" s="22" t="s">
        <v>1773</v>
      </c>
      <c r="C500" s="22" t="s">
        <v>715</v>
      </c>
      <c r="D500" s="21" t="s">
        <v>119</v>
      </c>
      <c r="E500" s="21" t="s">
        <v>1250</v>
      </c>
      <c r="F500" s="21"/>
      <c r="G500" s="21"/>
      <c r="H500" s="21" t="s">
        <v>1314</v>
      </c>
      <c r="I500" s="21" t="s">
        <v>1735</v>
      </c>
      <c r="J500" s="21" t="s">
        <v>2387</v>
      </c>
      <c r="K500" s="22" t="s">
        <v>2650</v>
      </c>
      <c r="L500" s="21" t="s">
        <v>1311</v>
      </c>
      <c r="M500" s="21"/>
    </row>
    <row r="501" spans="1:13" ht="15" hidden="1" customHeight="1" x14ac:dyDescent="0.25">
      <c r="A501" s="21" t="s">
        <v>2651</v>
      </c>
      <c r="B501" s="22" t="s">
        <v>1778</v>
      </c>
      <c r="C501" s="22" t="s">
        <v>716</v>
      </c>
      <c r="D501" s="21" t="s">
        <v>119</v>
      </c>
      <c r="E501" s="21" t="s">
        <v>1226</v>
      </c>
      <c r="F501" s="21" t="s">
        <v>1226</v>
      </c>
      <c r="G501" s="21" t="s">
        <v>2652</v>
      </c>
      <c r="H501" s="21" t="s">
        <v>1314</v>
      </c>
      <c r="I501" s="21" t="s">
        <v>1727</v>
      </c>
      <c r="J501" s="21" t="s">
        <v>2246</v>
      </c>
      <c r="K501" s="22" t="s">
        <v>2653</v>
      </c>
      <c r="L501" s="21" t="s">
        <v>1420</v>
      </c>
      <c r="M501" s="21" t="s">
        <v>1819</v>
      </c>
    </row>
    <row r="502" spans="1:13" ht="15" hidden="1" customHeight="1" x14ac:dyDescent="0.25">
      <c r="A502" s="21" t="s">
        <v>2654</v>
      </c>
      <c r="B502" s="22" t="s">
        <v>1779</v>
      </c>
      <c r="C502" s="22" t="s">
        <v>717</v>
      </c>
      <c r="D502" s="21" t="s">
        <v>119</v>
      </c>
      <c r="E502" s="21" t="s">
        <v>1263</v>
      </c>
      <c r="F502" s="21" t="s">
        <v>2490</v>
      </c>
      <c r="G502" s="21" t="s">
        <v>2655</v>
      </c>
      <c r="H502" s="21" t="s">
        <v>1286</v>
      </c>
      <c r="I502" s="21" t="s">
        <v>2302</v>
      </c>
      <c r="J502" s="21" t="s">
        <v>2303</v>
      </c>
      <c r="K502" s="22" t="s">
        <v>2656</v>
      </c>
      <c r="L502" s="21" t="s">
        <v>1290</v>
      </c>
      <c r="M502" s="21" t="s">
        <v>1819</v>
      </c>
    </row>
    <row r="503" spans="1:13" ht="15" hidden="1" customHeight="1" x14ac:dyDescent="0.25">
      <c r="A503" s="21" t="s">
        <v>2657</v>
      </c>
      <c r="B503" s="22" t="s">
        <v>1783</v>
      </c>
      <c r="C503" s="22" t="s">
        <v>718</v>
      </c>
      <c r="D503" s="21" t="s">
        <v>119</v>
      </c>
      <c r="E503" s="21" t="s">
        <v>1204</v>
      </c>
      <c r="F503" s="21" t="s">
        <v>1660</v>
      </c>
      <c r="G503" s="21" t="s">
        <v>1503</v>
      </c>
      <c r="H503" s="21" t="s">
        <v>1314</v>
      </c>
      <c r="I503" s="21" t="s">
        <v>2309</v>
      </c>
      <c r="J503" s="21" t="s">
        <v>2397</v>
      </c>
      <c r="K503" s="22" t="s">
        <v>2658</v>
      </c>
      <c r="L503" s="21" t="s">
        <v>1420</v>
      </c>
      <c r="M503" s="21" t="s">
        <v>1819</v>
      </c>
    </row>
    <row r="504" spans="1:13" ht="15" hidden="1" customHeight="1" x14ac:dyDescent="0.25">
      <c r="A504" s="21" t="s">
        <v>2659</v>
      </c>
      <c r="B504" s="22" t="s">
        <v>1786</v>
      </c>
      <c r="C504" s="22" t="s">
        <v>719</v>
      </c>
      <c r="D504" s="21" t="s">
        <v>119</v>
      </c>
      <c r="E504" s="21" t="s">
        <v>1204</v>
      </c>
      <c r="F504" s="21" t="s">
        <v>1660</v>
      </c>
      <c r="G504" s="21" t="s">
        <v>1503</v>
      </c>
      <c r="H504" s="21" t="s">
        <v>1314</v>
      </c>
      <c r="I504" s="21" t="s">
        <v>2309</v>
      </c>
      <c r="J504" s="21" t="s">
        <v>2397</v>
      </c>
      <c r="K504" s="22" t="s">
        <v>2660</v>
      </c>
      <c r="L504" s="21" t="s">
        <v>1420</v>
      </c>
      <c r="M504" s="21" t="s">
        <v>1819</v>
      </c>
    </row>
    <row r="505" spans="1:13" ht="15" hidden="1" customHeight="1" x14ac:dyDescent="0.25">
      <c r="A505" s="21" t="s">
        <v>2661</v>
      </c>
      <c r="B505" s="22" t="s">
        <v>1788</v>
      </c>
      <c r="C505" s="22" t="s">
        <v>720</v>
      </c>
      <c r="D505" s="21" t="s">
        <v>119</v>
      </c>
      <c r="E505" s="21" t="s">
        <v>1204</v>
      </c>
      <c r="F505" s="21" t="s">
        <v>2662</v>
      </c>
      <c r="G505" s="21" t="s">
        <v>1503</v>
      </c>
      <c r="H505" s="21" t="s">
        <v>1314</v>
      </c>
      <c r="I505" s="21" t="s">
        <v>2309</v>
      </c>
      <c r="J505" s="21" t="s">
        <v>2397</v>
      </c>
      <c r="K505" s="22" t="s">
        <v>2663</v>
      </c>
      <c r="L505" s="21" t="s">
        <v>1420</v>
      </c>
      <c r="M505" s="21" t="s">
        <v>1819</v>
      </c>
    </row>
    <row r="506" spans="1:13" ht="15" hidden="1" customHeight="1" x14ac:dyDescent="0.25">
      <c r="A506" s="21" t="s">
        <v>2664</v>
      </c>
      <c r="B506" s="22" t="s">
        <v>1790</v>
      </c>
      <c r="C506" s="22" t="s">
        <v>721</v>
      </c>
      <c r="D506" s="21" t="s">
        <v>119</v>
      </c>
      <c r="E506" s="21" t="s">
        <v>1204</v>
      </c>
      <c r="F506" s="21" t="s">
        <v>1660</v>
      </c>
      <c r="G506" s="21" t="s">
        <v>2665</v>
      </c>
      <c r="H506" s="21" t="s">
        <v>1314</v>
      </c>
      <c r="I506" s="21" t="s">
        <v>2309</v>
      </c>
      <c r="J506" s="21" t="s">
        <v>2397</v>
      </c>
      <c r="K506" s="22" t="s">
        <v>2666</v>
      </c>
      <c r="L506" s="21" t="s">
        <v>1420</v>
      </c>
      <c r="M506" s="21" t="s">
        <v>1819</v>
      </c>
    </row>
    <row r="507" spans="1:13" ht="15" hidden="1" customHeight="1" x14ac:dyDescent="0.25">
      <c r="A507" s="21" t="s">
        <v>2667</v>
      </c>
      <c r="B507" s="22" t="s">
        <v>1793</v>
      </c>
      <c r="C507" s="22" t="s">
        <v>722</v>
      </c>
      <c r="D507" s="21" t="s">
        <v>119</v>
      </c>
      <c r="E507" s="21" t="s">
        <v>1204</v>
      </c>
      <c r="F507" s="21" t="s">
        <v>1660</v>
      </c>
      <c r="G507" s="21" t="s">
        <v>2665</v>
      </c>
      <c r="H507" s="21" t="s">
        <v>1314</v>
      </c>
      <c r="I507" s="21" t="s">
        <v>2309</v>
      </c>
      <c r="J507" s="21" t="s">
        <v>2397</v>
      </c>
      <c r="K507" s="22" t="s">
        <v>2668</v>
      </c>
      <c r="L507" s="21" t="s">
        <v>1420</v>
      </c>
      <c r="M507" s="21" t="s">
        <v>1819</v>
      </c>
    </row>
    <row r="508" spans="1:13" ht="15" hidden="1" customHeight="1" x14ac:dyDescent="0.25">
      <c r="A508" s="21" t="s">
        <v>2669</v>
      </c>
      <c r="B508" s="22" t="s">
        <v>1796</v>
      </c>
      <c r="C508" s="22" t="s">
        <v>723</v>
      </c>
      <c r="D508" s="21" t="s">
        <v>119</v>
      </c>
      <c r="E508" s="21" t="s">
        <v>1204</v>
      </c>
      <c r="F508" s="21" t="s">
        <v>2662</v>
      </c>
      <c r="G508" s="21" t="s">
        <v>2670</v>
      </c>
      <c r="H508" s="21" t="s">
        <v>1314</v>
      </c>
      <c r="I508" s="21" t="s">
        <v>2309</v>
      </c>
      <c r="J508" s="21" t="s">
        <v>2397</v>
      </c>
      <c r="K508" s="22" t="s">
        <v>2671</v>
      </c>
      <c r="L508" s="21" t="s">
        <v>1420</v>
      </c>
      <c r="M508" s="21" t="s">
        <v>1819</v>
      </c>
    </row>
    <row r="509" spans="1:13" ht="15" hidden="1" customHeight="1" x14ac:dyDescent="0.25">
      <c r="A509" s="21" t="s">
        <v>2672</v>
      </c>
      <c r="B509" s="22" t="s">
        <v>1798</v>
      </c>
      <c r="C509" s="22" t="s">
        <v>724</v>
      </c>
      <c r="D509" s="21" t="s">
        <v>119</v>
      </c>
      <c r="E509" s="21" t="s">
        <v>1204</v>
      </c>
      <c r="F509" s="21" t="s">
        <v>2662</v>
      </c>
      <c r="G509" s="21" t="s">
        <v>2673</v>
      </c>
      <c r="H509" s="21" t="s">
        <v>1314</v>
      </c>
      <c r="I509" s="21" t="s">
        <v>2309</v>
      </c>
      <c r="J509" s="21" t="s">
        <v>2397</v>
      </c>
      <c r="K509" s="22" t="s">
        <v>2674</v>
      </c>
      <c r="L509" s="21" t="s">
        <v>1420</v>
      </c>
      <c r="M509" s="21" t="s">
        <v>1819</v>
      </c>
    </row>
    <row r="510" spans="1:13" ht="15" hidden="1" customHeight="1" x14ac:dyDescent="0.25">
      <c r="A510" s="21" t="s">
        <v>2675</v>
      </c>
      <c r="B510" s="22" t="s">
        <v>1801</v>
      </c>
      <c r="C510" s="22" t="s">
        <v>725</v>
      </c>
      <c r="D510" s="21" t="s">
        <v>119</v>
      </c>
      <c r="E510" s="21" t="s">
        <v>1209</v>
      </c>
      <c r="F510" s="21" t="s">
        <v>1209</v>
      </c>
      <c r="G510" s="21"/>
      <c r="H510" s="21" t="s">
        <v>1314</v>
      </c>
      <c r="I510" s="21" t="s">
        <v>2309</v>
      </c>
      <c r="J510" s="21" t="s">
        <v>2397</v>
      </c>
      <c r="K510" s="22" t="s">
        <v>2676</v>
      </c>
      <c r="L510" s="21" t="s">
        <v>1420</v>
      </c>
      <c r="M510" s="21" t="s">
        <v>1819</v>
      </c>
    </row>
    <row r="511" spans="1:13" ht="15" hidden="1" customHeight="1" x14ac:dyDescent="0.25">
      <c r="A511" s="21" t="s">
        <v>2677</v>
      </c>
      <c r="B511" s="22" t="s">
        <v>1804</v>
      </c>
      <c r="C511" s="22" t="s">
        <v>726</v>
      </c>
      <c r="D511" s="21" t="s">
        <v>119</v>
      </c>
      <c r="E511" s="21" t="s">
        <v>1209</v>
      </c>
      <c r="F511" s="21" t="s">
        <v>1209</v>
      </c>
      <c r="G511" s="21"/>
      <c r="H511" s="21" t="s">
        <v>1314</v>
      </c>
      <c r="I511" s="21" t="s">
        <v>2309</v>
      </c>
      <c r="J511" s="21" t="s">
        <v>2397</v>
      </c>
      <c r="K511" s="22" t="s">
        <v>2678</v>
      </c>
      <c r="L511" s="21" t="s">
        <v>1420</v>
      </c>
      <c r="M511" s="21" t="s">
        <v>1819</v>
      </c>
    </row>
    <row r="512" spans="1:13" ht="15" hidden="1" customHeight="1" x14ac:dyDescent="0.25">
      <c r="A512" s="21" t="s">
        <v>2679</v>
      </c>
      <c r="B512" s="22" t="s">
        <v>1807</v>
      </c>
      <c r="C512" s="22" t="s">
        <v>727</v>
      </c>
      <c r="D512" s="21" t="s">
        <v>119</v>
      </c>
      <c r="E512" s="21" t="s">
        <v>1209</v>
      </c>
      <c r="F512" s="21" t="s">
        <v>1209</v>
      </c>
      <c r="G512" s="21"/>
      <c r="H512" s="21" t="s">
        <v>1314</v>
      </c>
      <c r="I512" s="21" t="s">
        <v>2309</v>
      </c>
      <c r="J512" s="21" t="s">
        <v>2397</v>
      </c>
      <c r="K512" s="22" t="s">
        <v>2680</v>
      </c>
      <c r="L512" s="21" t="s">
        <v>1420</v>
      </c>
      <c r="M512" s="21" t="s">
        <v>1819</v>
      </c>
    </row>
    <row r="513" spans="1:13" ht="15" hidden="1" customHeight="1" x14ac:dyDescent="0.25">
      <c r="A513" s="21" t="s">
        <v>2681</v>
      </c>
      <c r="B513" s="22" t="s">
        <v>2682</v>
      </c>
      <c r="C513" s="22"/>
      <c r="D513" s="21" t="s">
        <v>2682</v>
      </c>
      <c r="E513" s="21" t="s">
        <v>2682</v>
      </c>
      <c r="F513" s="21"/>
      <c r="G513" s="21"/>
      <c r="H513" s="21" t="s">
        <v>2682</v>
      </c>
      <c r="I513" s="21" t="s">
        <v>2682</v>
      </c>
      <c r="J513" s="21" t="s">
        <v>2682</v>
      </c>
      <c r="K513" s="22"/>
      <c r="L513" s="21"/>
      <c r="M513" s="21"/>
    </row>
    <row r="514" spans="1:13" ht="15" hidden="1" customHeight="1" x14ac:dyDescent="0.25">
      <c r="A514" s="21" t="s">
        <v>2683</v>
      </c>
      <c r="B514" s="22" t="s">
        <v>1813</v>
      </c>
      <c r="C514" s="22" t="s">
        <v>728</v>
      </c>
      <c r="D514" s="21" t="s">
        <v>119</v>
      </c>
      <c r="E514" s="21" t="s">
        <v>1245</v>
      </c>
      <c r="F514" s="21" t="s">
        <v>1518</v>
      </c>
      <c r="G514" s="21" t="s">
        <v>1519</v>
      </c>
      <c r="H514" s="21" t="s">
        <v>1314</v>
      </c>
      <c r="I514" s="21" t="s">
        <v>2309</v>
      </c>
      <c r="J514" s="21" t="s">
        <v>2397</v>
      </c>
      <c r="K514" s="22" t="s">
        <v>2684</v>
      </c>
      <c r="L514" s="21" t="s">
        <v>1420</v>
      </c>
      <c r="M514" s="21" t="s">
        <v>1819</v>
      </c>
    </row>
    <row r="515" spans="1:13" ht="15" hidden="1" customHeight="1" x14ac:dyDescent="0.25">
      <c r="A515" s="21" t="s">
        <v>2685</v>
      </c>
      <c r="B515" s="22" t="s">
        <v>1820</v>
      </c>
      <c r="C515" s="22" t="s">
        <v>729</v>
      </c>
      <c r="D515" s="21" t="s">
        <v>119</v>
      </c>
      <c r="E515" s="21" t="s">
        <v>1240</v>
      </c>
      <c r="F515" s="21" t="s">
        <v>1529</v>
      </c>
      <c r="G515" s="21" t="s">
        <v>2400</v>
      </c>
      <c r="H515" s="21" t="s">
        <v>1314</v>
      </c>
      <c r="I515" s="21" t="s">
        <v>2625</v>
      </c>
      <c r="J515" s="21" t="s">
        <v>2626</v>
      </c>
      <c r="K515" s="22" t="s">
        <v>2686</v>
      </c>
      <c r="L515" s="21" t="s">
        <v>1344</v>
      </c>
      <c r="M515" s="21" t="s">
        <v>1830</v>
      </c>
    </row>
    <row r="516" spans="1:13" ht="15" hidden="1" customHeight="1" x14ac:dyDescent="0.25">
      <c r="A516" s="21" t="s">
        <v>2687</v>
      </c>
      <c r="B516" s="22" t="s">
        <v>1826</v>
      </c>
      <c r="C516" s="22" t="s">
        <v>730</v>
      </c>
      <c r="D516" s="21" t="s">
        <v>119</v>
      </c>
      <c r="E516" s="21" t="s">
        <v>1240</v>
      </c>
      <c r="F516" s="21" t="s">
        <v>1529</v>
      </c>
      <c r="G516" s="21" t="s">
        <v>2688</v>
      </c>
      <c r="H516" s="21" t="s">
        <v>1314</v>
      </c>
      <c r="I516" s="21" t="s">
        <v>2625</v>
      </c>
      <c r="J516" s="21" t="s">
        <v>2626</v>
      </c>
      <c r="K516" s="22" t="s">
        <v>2689</v>
      </c>
      <c r="L516" s="21" t="s">
        <v>1344</v>
      </c>
      <c r="M516" s="21" t="s">
        <v>1830</v>
      </c>
    </row>
    <row r="517" spans="1:13" ht="15" hidden="1" customHeight="1" x14ac:dyDescent="0.25">
      <c r="A517" s="21" t="s">
        <v>2690</v>
      </c>
      <c r="B517" s="22" t="s">
        <v>1831</v>
      </c>
      <c r="C517" s="22" t="s">
        <v>731</v>
      </c>
      <c r="D517" s="21" t="s">
        <v>119</v>
      </c>
      <c r="E517" s="21" t="s">
        <v>1240</v>
      </c>
      <c r="F517" s="21" t="s">
        <v>1448</v>
      </c>
      <c r="G517" s="21" t="s">
        <v>2400</v>
      </c>
      <c r="H517" s="21" t="s">
        <v>1314</v>
      </c>
      <c r="I517" s="21" t="s">
        <v>2309</v>
      </c>
      <c r="J517" s="21" t="s">
        <v>2397</v>
      </c>
      <c r="K517" s="22" t="s">
        <v>2691</v>
      </c>
      <c r="L517" s="21" t="s">
        <v>1420</v>
      </c>
      <c r="M517" s="21" t="s">
        <v>1819</v>
      </c>
    </row>
    <row r="518" spans="1:13" ht="15" hidden="1" customHeight="1" x14ac:dyDescent="0.25">
      <c r="A518" s="21" t="s">
        <v>2692</v>
      </c>
      <c r="B518" s="22" t="s">
        <v>1835</v>
      </c>
      <c r="C518" s="22" t="s">
        <v>732</v>
      </c>
      <c r="D518" s="21" t="s">
        <v>119</v>
      </c>
      <c r="E518" s="21" t="s">
        <v>1240</v>
      </c>
      <c r="F518" s="21" t="s">
        <v>1523</v>
      </c>
      <c r="G518" s="21" t="s">
        <v>2693</v>
      </c>
      <c r="H518" s="21" t="s">
        <v>1314</v>
      </c>
      <c r="I518" s="21" t="s">
        <v>2625</v>
      </c>
      <c r="J518" s="21" t="s">
        <v>2626</v>
      </c>
      <c r="K518" s="22" t="s">
        <v>2694</v>
      </c>
      <c r="L518" s="21" t="s">
        <v>1344</v>
      </c>
      <c r="M518" s="21" t="s">
        <v>1830</v>
      </c>
    </row>
    <row r="519" spans="1:13" ht="15" hidden="1" customHeight="1" x14ac:dyDescent="0.25">
      <c r="A519" s="21" t="s">
        <v>2695</v>
      </c>
      <c r="B519" s="22" t="s">
        <v>1837</v>
      </c>
      <c r="C519" s="22" t="s">
        <v>733</v>
      </c>
      <c r="D519" s="21" t="s">
        <v>119</v>
      </c>
      <c r="E519" s="21" t="s">
        <v>1205</v>
      </c>
      <c r="F519" s="21" t="s">
        <v>1205</v>
      </c>
      <c r="G519" s="21" t="s">
        <v>2696</v>
      </c>
      <c r="H519" s="21" t="s">
        <v>1314</v>
      </c>
      <c r="I519" s="21" t="s">
        <v>2309</v>
      </c>
      <c r="J519" s="21" t="s">
        <v>2397</v>
      </c>
      <c r="K519" s="22" t="s">
        <v>2697</v>
      </c>
      <c r="L519" s="21" t="s">
        <v>1420</v>
      </c>
      <c r="M519" s="21" t="s">
        <v>1819</v>
      </c>
    </row>
    <row r="520" spans="1:13" ht="15" hidden="1" customHeight="1" x14ac:dyDescent="0.25">
      <c r="A520" s="21" t="s">
        <v>2698</v>
      </c>
      <c r="B520" s="22" t="s">
        <v>1840</v>
      </c>
      <c r="C520" s="22" t="s">
        <v>734</v>
      </c>
      <c r="D520" s="21" t="s">
        <v>119</v>
      </c>
      <c r="E520" s="21" t="s">
        <v>1216</v>
      </c>
      <c r="F520" s="21" t="s">
        <v>1537</v>
      </c>
      <c r="G520" s="21" t="s">
        <v>2699</v>
      </c>
      <c r="H520" s="21" t="s">
        <v>1314</v>
      </c>
      <c r="I520" s="21" t="s">
        <v>2309</v>
      </c>
      <c r="J520" s="21" t="s">
        <v>2397</v>
      </c>
      <c r="K520" s="22" t="s">
        <v>2700</v>
      </c>
      <c r="L520" s="21" t="s">
        <v>1420</v>
      </c>
      <c r="M520" s="21" t="s">
        <v>1819</v>
      </c>
    </row>
    <row r="521" spans="1:13" ht="15" hidden="1" customHeight="1" x14ac:dyDescent="0.25">
      <c r="A521" s="21" t="s">
        <v>2701</v>
      </c>
      <c r="B521" s="22" t="s">
        <v>1842</v>
      </c>
      <c r="C521" s="22" t="s">
        <v>735</v>
      </c>
      <c r="D521" s="21" t="s">
        <v>119</v>
      </c>
      <c r="E521" s="21" t="s">
        <v>1245</v>
      </c>
      <c r="F521" s="21" t="s">
        <v>1518</v>
      </c>
      <c r="G521" s="21" t="s">
        <v>1519</v>
      </c>
      <c r="H521" s="21" t="s">
        <v>1314</v>
      </c>
      <c r="I521" s="21" t="s">
        <v>2309</v>
      </c>
      <c r="J521" s="21" t="s">
        <v>2397</v>
      </c>
      <c r="K521" s="22" t="s">
        <v>2702</v>
      </c>
      <c r="L521" s="21" t="s">
        <v>1420</v>
      </c>
      <c r="M521" s="21" t="s">
        <v>1819</v>
      </c>
    </row>
    <row r="522" spans="1:13" ht="15" hidden="1" customHeight="1" x14ac:dyDescent="0.25">
      <c r="A522" s="21" t="s">
        <v>2703</v>
      </c>
      <c r="B522" s="22" t="s">
        <v>1844</v>
      </c>
      <c r="C522" s="22" t="s">
        <v>736</v>
      </c>
      <c r="D522" s="21" t="s">
        <v>119</v>
      </c>
      <c r="E522" s="21" t="s">
        <v>1216</v>
      </c>
      <c r="F522" s="21" t="s">
        <v>1537</v>
      </c>
      <c r="G522" s="21" t="s">
        <v>2704</v>
      </c>
      <c r="H522" s="21" t="s">
        <v>1314</v>
      </c>
      <c r="I522" s="21" t="s">
        <v>2309</v>
      </c>
      <c r="J522" s="21" t="s">
        <v>2397</v>
      </c>
      <c r="K522" s="22" t="s">
        <v>2705</v>
      </c>
      <c r="L522" s="21" t="s">
        <v>1420</v>
      </c>
      <c r="M522" s="21" t="s">
        <v>1819</v>
      </c>
    </row>
    <row r="523" spans="1:13" ht="15" hidden="1" customHeight="1" x14ac:dyDescent="0.25">
      <c r="A523" s="21" t="s">
        <v>2706</v>
      </c>
      <c r="B523" s="22" t="s">
        <v>1849</v>
      </c>
      <c r="C523" s="22" t="s">
        <v>737</v>
      </c>
      <c r="D523" s="21" t="s">
        <v>119</v>
      </c>
      <c r="E523" s="21" t="s">
        <v>1216</v>
      </c>
      <c r="F523" s="21" t="s">
        <v>1537</v>
      </c>
      <c r="G523" s="21" t="s">
        <v>2707</v>
      </c>
      <c r="H523" s="21" t="s">
        <v>1314</v>
      </c>
      <c r="I523" s="21" t="s">
        <v>2309</v>
      </c>
      <c r="J523" s="21" t="s">
        <v>2397</v>
      </c>
      <c r="K523" s="22" t="s">
        <v>2708</v>
      </c>
      <c r="L523" s="21" t="s">
        <v>1420</v>
      </c>
      <c r="M523" s="21" t="s">
        <v>1819</v>
      </c>
    </row>
    <row r="524" spans="1:13" ht="15" hidden="1" customHeight="1" x14ac:dyDescent="0.25">
      <c r="A524" s="21" t="s">
        <v>2709</v>
      </c>
      <c r="B524" s="22" t="s">
        <v>1851</v>
      </c>
      <c r="C524" s="22" t="s">
        <v>738</v>
      </c>
      <c r="D524" s="21" t="s">
        <v>119</v>
      </c>
      <c r="E524" s="21" t="s">
        <v>1246</v>
      </c>
      <c r="F524" s="21" t="s">
        <v>1246</v>
      </c>
      <c r="G524" s="21" t="s">
        <v>1328</v>
      </c>
      <c r="H524" s="21" t="s">
        <v>1314</v>
      </c>
      <c r="I524" s="21" t="s">
        <v>2309</v>
      </c>
      <c r="J524" s="21" t="s">
        <v>2397</v>
      </c>
      <c r="K524" s="22" t="s">
        <v>2710</v>
      </c>
      <c r="L524" s="21" t="s">
        <v>1420</v>
      </c>
      <c r="M524" s="21" t="s">
        <v>1819</v>
      </c>
    </row>
    <row r="525" spans="1:13" ht="15" hidden="1" customHeight="1" x14ac:dyDescent="0.25">
      <c r="A525" s="21" t="s">
        <v>2711</v>
      </c>
      <c r="B525" s="22" t="s">
        <v>1855</v>
      </c>
      <c r="C525" s="22" t="s">
        <v>739</v>
      </c>
      <c r="D525" s="21" t="s">
        <v>119</v>
      </c>
      <c r="E525" s="21" t="s">
        <v>1246</v>
      </c>
      <c r="F525" s="21" t="s">
        <v>1246</v>
      </c>
      <c r="G525" s="21" t="s">
        <v>1643</v>
      </c>
      <c r="H525" s="21" t="s">
        <v>1314</v>
      </c>
      <c r="I525" s="21" t="s">
        <v>2309</v>
      </c>
      <c r="J525" s="21" t="s">
        <v>2397</v>
      </c>
      <c r="K525" s="22" t="s">
        <v>2712</v>
      </c>
      <c r="L525" s="21" t="s">
        <v>1420</v>
      </c>
      <c r="M525" s="21" t="s">
        <v>1819</v>
      </c>
    </row>
    <row r="526" spans="1:13" ht="15" hidden="1" customHeight="1" x14ac:dyDescent="0.25">
      <c r="A526" s="21" t="s">
        <v>2713</v>
      </c>
      <c r="B526" s="22" t="s">
        <v>1856</v>
      </c>
      <c r="C526" s="22" t="s">
        <v>740</v>
      </c>
      <c r="D526" s="21" t="s">
        <v>119</v>
      </c>
      <c r="E526" s="21" t="s">
        <v>1222</v>
      </c>
      <c r="F526" s="21" t="s">
        <v>2714</v>
      </c>
      <c r="G526" s="21" t="s">
        <v>2715</v>
      </c>
      <c r="H526" s="21" t="s">
        <v>1314</v>
      </c>
      <c r="I526" s="21" t="s">
        <v>2309</v>
      </c>
      <c r="J526" s="21" t="s">
        <v>2397</v>
      </c>
      <c r="K526" s="22" t="s">
        <v>2716</v>
      </c>
      <c r="L526" s="21" t="s">
        <v>1420</v>
      </c>
      <c r="M526" s="21" t="s">
        <v>1819</v>
      </c>
    </row>
    <row r="527" spans="1:13" ht="15" hidden="1" customHeight="1" x14ac:dyDescent="0.25">
      <c r="A527" s="21" t="s">
        <v>2717</v>
      </c>
      <c r="B527" s="22" t="s">
        <v>1857</v>
      </c>
      <c r="C527" s="22" t="s">
        <v>741</v>
      </c>
      <c r="D527" s="21" t="s">
        <v>119</v>
      </c>
      <c r="E527" s="21" t="s">
        <v>1216</v>
      </c>
      <c r="F527" s="21" t="s">
        <v>1537</v>
      </c>
      <c r="G527" s="21" t="s">
        <v>2715</v>
      </c>
      <c r="H527" s="21" t="s">
        <v>1314</v>
      </c>
      <c r="I527" s="21" t="s">
        <v>2309</v>
      </c>
      <c r="J527" s="21" t="s">
        <v>2397</v>
      </c>
      <c r="K527" s="22" t="s">
        <v>2718</v>
      </c>
      <c r="L527" s="21" t="s">
        <v>1420</v>
      </c>
      <c r="M527" s="21" t="s">
        <v>1819</v>
      </c>
    </row>
    <row r="528" spans="1:13" ht="15" hidden="1" customHeight="1" x14ac:dyDescent="0.25">
      <c r="A528" s="21" t="s">
        <v>2719</v>
      </c>
      <c r="B528" s="22" t="s">
        <v>1858</v>
      </c>
      <c r="C528" s="22" t="s">
        <v>742</v>
      </c>
      <c r="D528" s="21" t="s">
        <v>119</v>
      </c>
      <c r="E528" s="21" t="s">
        <v>1216</v>
      </c>
      <c r="F528" s="21" t="s">
        <v>1537</v>
      </c>
      <c r="G528" s="21" t="s">
        <v>2720</v>
      </c>
      <c r="H528" s="21" t="s">
        <v>1314</v>
      </c>
      <c r="I528" s="21" t="s">
        <v>2309</v>
      </c>
      <c r="J528" s="21" t="s">
        <v>2397</v>
      </c>
      <c r="K528" s="22" t="s">
        <v>2721</v>
      </c>
      <c r="L528" s="21" t="s">
        <v>1420</v>
      </c>
      <c r="M528" s="21" t="s">
        <v>1819</v>
      </c>
    </row>
    <row r="529" spans="1:13" ht="15" hidden="1" customHeight="1" x14ac:dyDescent="0.25">
      <c r="A529" s="21" t="s">
        <v>2722</v>
      </c>
      <c r="B529" s="22" t="s">
        <v>1859</v>
      </c>
      <c r="C529" s="22" t="s">
        <v>743</v>
      </c>
      <c r="D529" s="21" t="s">
        <v>119</v>
      </c>
      <c r="E529" s="21" t="s">
        <v>1222</v>
      </c>
      <c r="F529" s="21" t="s">
        <v>2714</v>
      </c>
      <c r="G529" s="21" t="s">
        <v>2723</v>
      </c>
      <c r="H529" s="21" t="s">
        <v>1314</v>
      </c>
      <c r="I529" s="21" t="s">
        <v>2309</v>
      </c>
      <c r="J529" s="21" t="s">
        <v>2397</v>
      </c>
      <c r="K529" s="22" t="s">
        <v>2724</v>
      </c>
      <c r="L529" s="21" t="s">
        <v>1420</v>
      </c>
      <c r="M529" s="21" t="s">
        <v>1819</v>
      </c>
    </row>
    <row r="530" spans="1:13" ht="15" hidden="1" customHeight="1" x14ac:dyDescent="0.25">
      <c r="A530" s="21" t="s">
        <v>2725</v>
      </c>
      <c r="B530" s="22" t="s">
        <v>1862</v>
      </c>
      <c r="C530" s="22" t="s">
        <v>744</v>
      </c>
      <c r="D530" s="21" t="s">
        <v>119</v>
      </c>
      <c r="E530" s="21" t="s">
        <v>1216</v>
      </c>
      <c r="F530" s="21" t="s">
        <v>1537</v>
      </c>
      <c r="G530" s="21" t="s">
        <v>2720</v>
      </c>
      <c r="H530" s="21" t="s">
        <v>1314</v>
      </c>
      <c r="I530" s="21" t="s">
        <v>2309</v>
      </c>
      <c r="J530" s="21" t="s">
        <v>2397</v>
      </c>
      <c r="K530" s="22" t="s">
        <v>2726</v>
      </c>
      <c r="L530" s="21" t="s">
        <v>1420</v>
      </c>
      <c r="M530" s="21" t="s">
        <v>1819</v>
      </c>
    </row>
    <row r="531" spans="1:13" ht="15" hidden="1" customHeight="1" x14ac:dyDescent="0.25">
      <c r="A531" s="21" t="s">
        <v>2727</v>
      </c>
      <c r="B531" s="22" t="s">
        <v>1865</v>
      </c>
      <c r="C531" s="22" t="s">
        <v>745</v>
      </c>
      <c r="D531" s="21" t="s">
        <v>119</v>
      </c>
      <c r="E531" s="21" t="s">
        <v>1263</v>
      </c>
      <c r="F531" s="21" t="s">
        <v>2490</v>
      </c>
      <c r="G531" s="21" t="s">
        <v>2728</v>
      </c>
      <c r="H531" s="21" t="s">
        <v>1286</v>
      </c>
      <c r="I531" s="21" t="s">
        <v>2302</v>
      </c>
      <c r="J531" s="21" t="s">
        <v>2303</v>
      </c>
      <c r="K531" s="22" t="s">
        <v>2729</v>
      </c>
      <c r="L531" s="21" t="s">
        <v>1290</v>
      </c>
      <c r="M531" s="21" t="s">
        <v>1819</v>
      </c>
    </row>
    <row r="532" spans="1:13" ht="15" hidden="1" customHeight="1" x14ac:dyDescent="0.25">
      <c r="A532" s="21" t="s">
        <v>2730</v>
      </c>
      <c r="B532" s="22" t="s">
        <v>1866</v>
      </c>
      <c r="C532" s="22" t="s">
        <v>746</v>
      </c>
      <c r="D532" s="21" t="s">
        <v>119</v>
      </c>
      <c r="E532" s="21" t="s">
        <v>1194</v>
      </c>
      <c r="F532" s="21" t="s">
        <v>2731</v>
      </c>
      <c r="G532" s="21" t="s">
        <v>2732</v>
      </c>
      <c r="H532" s="21" t="s">
        <v>1314</v>
      </c>
      <c r="I532" s="21" t="s">
        <v>2309</v>
      </c>
      <c r="J532" s="21" t="s">
        <v>2397</v>
      </c>
      <c r="K532" s="22" t="s">
        <v>2733</v>
      </c>
      <c r="L532" s="21" t="s">
        <v>1420</v>
      </c>
      <c r="M532" s="21" t="s">
        <v>1819</v>
      </c>
    </row>
    <row r="533" spans="1:13" ht="15" hidden="1" customHeight="1" x14ac:dyDescent="0.25">
      <c r="A533" s="21" t="s">
        <v>2734</v>
      </c>
      <c r="B533" s="22" t="s">
        <v>1867</v>
      </c>
      <c r="C533" s="22" t="s">
        <v>747</v>
      </c>
      <c r="D533" s="21" t="s">
        <v>119</v>
      </c>
      <c r="E533" s="21" t="s">
        <v>1263</v>
      </c>
      <c r="F533" s="21" t="s">
        <v>2490</v>
      </c>
      <c r="G533" s="21" t="s">
        <v>2735</v>
      </c>
      <c r="H533" s="21" t="s">
        <v>1286</v>
      </c>
      <c r="I533" s="21" t="s">
        <v>2302</v>
      </c>
      <c r="J533" s="21" t="s">
        <v>2303</v>
      </c>
      <c r="K533" s="22" t="s">
        <v>2736</v>
      </c>
      <c r="L533" s="21" t="s">
        <v>1290</v>
      </c>
      <c r="M533" s="21" t="s">
        <v>1819</v>
      </c>
    </row>
    <row r="534" spans="1:13" ht="15" hidden="1" customHeight="1" x14ac:dyDescent="0.25">
      <c r="A534" s="21" t="s">
        <v>2737</v>
      </c>
      <c r="B534" s="22" t="s">
        <v>1868</v>
      </c>
      <c r="C534" s="22" t="s">
        <v>748</v>
      </c>
      <c r="D534" s="21" t="s">
        <v>119</v>
      </c>
      <c r="E534" s="21" t="s">
        <v>1216</v>
      </c>
      <c r="F534" s="21" t="s">
        <v>1537</v>
      </c>
      <c r="G534" s="21" t="s">
        <v>2738</v>
      </c>
      <c r="H534" s="21" t="s">
        <v>1314</v>
      </c>
      <c r="I534" s="21" t="s">
        <v>2309</v>
      </c>
      <c r="J534" s="21" t="s">
        <v>2397</v>
      </c>
      <c r="K534" s="22" t="s">
        <v>2739</v>
      </c>
      <c r="L534" s="21" t="s">
        <v>1420</v>
      </c>
      <c r="M534" s="21" t="s">
        <v>1819</v>
      </c>
    </row>
    <row r="535" spans="1:13" ht="15" hidden="1" customHeight="1" x14ac:dyDescent="0.25">
      <c r="A535" s="21" t="s">
        <v>2740</v>
      </c>
      <c r="B535" s="22" t="s">
        <v>1870</v>
      </c>
      <c r="C535" s="22" t="s">
        <v>749</v>
      </c>
      <c r="D535" s="21" t="s">
        <v>119</v>
      </c>
      <c r="E535" s="21" t="s">
        <v>1216</v>
      </c>
      <c r="F535" s="21" t="s">
        <v>1537</v>
      </c>
      <c r="G535" s="21" t="s">
        <v>2741</v>
      </c>
      <c r="H535" s="21" t="s">
        <v>1821</v>
      </c>
      <c r="I535" s="21" t="s">
        <v>2309</v>
      </c>
      <c r="J535" s="21" t="s">
        <v>2412</v>
      </c>
      <c r="K535" s="22" t="s">
        <v>2742</v>
      </c>
      <c r="L535" s="21" t="s">
        <v>1706</v>
      </c>
      <c r="M535" s="21" t="s">
        <v>1819</v>
      </c>
    </row>
    <row r="536" spans="1:13" ht="15" hidden="1" customHeight="1" x14ac:dyDescent="0.25">
      <c r="A536" s="21" t="s">
        <v>2743</v>
      </c>
      <c r="B536" s="22" t="s">
        <v>1874</v>
      </c>
      <c r="C536" s="22" t="s">
        <v>750</v>
      </c>
      <c r="D536" s="21" t="s">
        <v>119</v>
      </c>
      <c r="E536" s="21" t="s">
        <v>1216</v>
      </c>
      <c r="F536" s="21" t="s">
        <v>1537</v>
      </c>
      <c r="G536" s="21" t="s">
        <v>2744</v>
      </c>
      <c r="H536" s="21" t="s">
        <v>1314</v>
      </c>
      <c r="I536" s="21" t="s">
        <v>2309</v>
      </c>
      <c r="J536" s="21" t="s">
        <v>2397</v>
      </c>
      <c r="K536" s="22" t="s">
        <v>2745</v>
      </c>
      <c r="L536" s="21" t="s">
        <v>1420</v>
      </c>
      <c r="M536" s="21" t="s">
        <v>1819</v>
      </c>
    </row>
    <row r="537" spans="1:13" ht="15" hidden="1" customHeight="1" x14ac:dyDescent="0.25">
      <c r="A537" s="21" t="s">
        <v>2746</v>
      </c>
      <c r="B537" s="22" t="s">
        <v>1875</v>
      </c>
      <c r="C537" s="22" t="s">
        <v>751</v>
      </c>
      <c r="D537" s="21" t="s">
        <v>119</v>
      </c>
      <c r="E537" s="21" t="s">
        <v>1263</v>
      </c>
      <c r="F537" s="21" t="s">
        <v>2490</v>
      </c>
      <c r="G537" s="21" t="s">
        <v>2747</v>
      </c>
      <c r="H537" s="21" t="s">
        <v>1286</v>
      </c>
      <c r="I537" s="21" t="s">
        <v>2302</v>
      </c>
      <c r="J537" s="21" t="s">
        <v>2303</v>
      </c>
      <c r="K537" s="22" t="s">
        <v>2748</v>
      </c>
      <c r="L537" s="21" t="s">
        <v>1290</v>
      </c>
      <c r="M537" s="21" t="s">
        <v>1819</v>
      </c>
    </row>
    <row r="538" spans="1:13" ht="15" hidden="1" customHeight="1" x14ac:dyDescent="0.25">
      <c r="A538" s="21" t="s">
        <v>2749</v>
      </c>
      <c r="B538" s="22" t="s">
        <v>1876</v>
      </c>
      <c r="C538" s="22" t="s">
        <v>752</v>
      </c>
      <c r="D538" s="21" t="s">
        <v>119</v>
      </c>
      <c r="E538" s="21" t="s">
        <v>1204</v>
      </c>
      <c r="F538" s="21" t="s">
        <v>1660</v>
      </c>
      <c r="G538" s="21" t="s">
        <v>2750</v>
      </c>
      <c r="H538" s="21" t="s">
        <v>1314</v>
      </c>
      <c r="I538" s="21" t="s">
        <v>2309</v>
      </c>
      <c r="J538" s="21" t="s">
        <v>2751</v>
      </c>
      <c r="K538" s="22" t="s">
        <v>2752</v>
      </c>
      <c r="L538" s="21" t="s">
        <v>1446</v>
      </c>
      <c r="M538" s="21" t="s">
        <v>1830</v>
      </c>
    </row>
    <row r="539" spans="1:13" ht="15" hidden="1" customHeight="1" x14ac:dyDescent="0.25">
      <c r="A539" s="21" t="s">
        <v>2753</v>
      </c>
      <c r="B539" s="22" t="s">
        <v>1878</v>
      </c>
      <c r="C539" s="22" t="s">
        <v>753</v>
      </c>
      <c r="D539" s="21" t="s">
        <v>119</v>
      </c>
      <c r="E539" s="21" t="s">
        <v>1251</v>
      </c>
      <c r="F539" s="21" t="s">
        <v>1251</v>
      </c>
      <c r="G539" s="21" t="s">
        <v>1495</v>
      </c>
      <c r="H539" s="21" t="s">
        <v>1314</v>
      </c>
      <c r="I539" s="21" t="s">
        <v>2309</v>
      </c>
      <c r="J539" s="21" t="s">
        <v>2397</v>
      </c>
      <c r="K539" s="22" t="s">
        <v>2754</v>
      </c>
      <c r="L539" s="21" t="s">
        <v>1420</v>
      </c>
      <c r="M539" s="21" t="s">
        <v>1819</v>
      </c>
    </row>
    <row r="540" spans="1:13" ht="15" hidden="1" customHeight="1" x14ac:dyDescent="0.25">
      <c r="A540" s="21" t="s">
        <v>2755</v>
      </c>
      <c r="B540" s="22" t="s">
        <v>1880</v>
      </c>
      <c r="C540" s="22" t="s">
        <v>754</v>
      </c>
      <c r="D540" s="21" t="s">
        <v>119</v>
      </c>
      <c r="E540" s="21" t="s">
        <v>1251</v>
      </c>
      <c r="F540" s="21" t="s">
        <v>1251</v>
      </c>
      <c r="G540" s="21" t="s">
        <v>1495</v>
      </c>
      <c r="H540" s="21" t="s">
        <v>1314</v>
      </c>
      <c r="I540" s="21" t="s">
        <v>2309</v>
      </c>
      <c r="J540" s="21" t="s">
        <v>2397</v>
      </c>
      <c r="K540" s="22" t="s">
        <v>2756</v>
      </c>
      <c r="L540" s="21" t="s">
        <v>1420</v>
      </c>
      <c r="M540" s="21" t="s">
        <v>1819</v>
      </c>
    </row>
    <row r="541" spans="1:13" ht="15" hidden="1" customHeight="1" x14ac:dyDescent="0.25">
      <c r="A541" s="21" t="s">
        <v>2757</v>
      </c>
      <c r="B541" s="22" t="s">
        <v>1881</v>
      </c>
      <c r="C541" s="22" t="s">
        <v>755</v>
      </c>
      <c r="D541" s="21" t="s">
        <v>119</v>
      </c>
      <c r="E541" s="21" t="s">
        <v>1204</v>
      </c>
      <c r="F541" s="21" t="s">
        <v>1660</v>
      </c>
      <c r="G541" s="21" t="s">
        <v>2665</v>
      </c>
      <c r="H541" s="21" t="s">
        <v>1314</v>
      </c>
      <c r="I541" s="21" t="s">
        <v>2309</v>
      </c>
      <c r="J541" s="21" t="s">
        <v>2397</v>
      </c>
      <c r="K541" s="22" t="s">
        <v>2758</v>
      </c>
      <c r="L541" s="21" t="s">
        <v>1420</v>
      </c>
      <c r="M541" s="21" t="s">
        <v>1819</v>
      </c>
    </row>
    <row r="542" spans="1:13" ht="15" hidden="1" customHeight="1" x14ac:dyDescent="0.25">
      <c r="A542" s="21" t="s">
        <v>2759</v>
      </c>
      <c r="B542" s="22" t="s">
        <v>1887</v>
      </c>
      <c r="C542" s="22" t="s">
        <v>756</v>
      </c>
      <c r="D542" s="21" t="s">
        <v>119</v>
      </c>
      <c r="E542" s="21" t="s">
        <v>1251</v>
      </c>
      <c r="F542" s="21" t="s">
        <v>1251</v>
      </c>
      <c r="G542" s="21" t="s">
        <v>1495</v>
      </c>
      <c r="H542" s="21" t="s">
        <v>1314</v>
      </c>
      <c r="I542" s="21" t="s">
        <v>2309</v>
      </c>
      <c r="J542" s="21" t="s">
        <v>2397</v>
      </c>
      <c r="K542" s="22" t="s">
        <v>2760</v>
      </c>
      <c r="L542" s="21" t="s">
        <v>1420</v>
      </c>
      <c r="M542" s="21" t="s">
        <v>1819</v>
      </c>
    </row>
    <row r="543" spans="1:13" ht="15" hidden="1" customHeight="1" x14ac:dyDescent="0.25">
      <c r="A543" s="21" t="s">
        <v>2761</v>
      </c>
      <c r="B543" s="22" t="s">
        <v>1890</v>
      </c>
      <c r="C543" s="22" t="s">
        <v>757</v>
      </c>
      <c r="D543" s="21" t="s">
        <v>119</v>
      </c>
      <c r="E543" s="21" t="s">
        <v>1230</v>
      </c>
      <c r="F543" s="21" t="s">
        <v>1681</v>
      </c>
      <c r="G543" s="21" t="s">
        <v>2762</v>
      </c>
      <c r="H543" s="21" t="s">
        <v>1314</v>
      </c>
      <c r="I543" s="21" t="s">
        <v>1735</v>
      </c>
      <c r="J543" s="21" t="s">
        <v>2316</v>
      </c>
      <c r="K543" s="22" t="s">
        <v>2763</v>
      </c>
      <c r="L543" s="21" t="s">
        <v>1431</v>
      </c>
      <c r="M543" s="21" t="s">
        <v>1819</v>
      </c>
    </row>
    <row r="544" spans="1:13" ht="15" hidden="1" customHeight="1" x14ac:dyDescent="0.25">
      <c r="A544" s="21" t="s">
        <v>2764</v>
      </c>
      <c r="B544" s="22" t="s">
        <v>1893</v>
      </c>
      <c r="C544" s="22" t="s">
        <v>758</v>
      </c>
      <c r="D544" s="21" t="s">
        <v>119</v>
      </c>
      <c r="E544" s="21" t="s">
        <v>1263</v>
      </c>
      <c r="F544" s="21" t="s">
        <v>2490</v>
      </c>
      <c r="G544" s="21" t="s">
        <v>2765</v>
      </c>
      <c r="H544" s="21" t="s">
        <v>1286</v>
      </c>
      <c r="I544" s="21" t="s">
        <v>2302</v>
      </c>
      <c r="J544" s="21" t="s">
        <v>2303</v>
      </c>
      <c r="K544" s="22" t="s">
        <v>2766</v>
      </c>
      <c r="L544" s="21" t="s">
        <v>1290</v>
      </c>
      <c r="M544" s="21" t="s">
        <v>1819</v>
      </c>
    </row>
    <row r="545" spans="1:13" ht="15" hidden="1" customHeight="1" x14ac:dyDescent="0.25">
      <c r="A545" s="21" t="s">
        <v>2767</v>
      </c>
      <c r="B545" s="22" t="s">
        <v>1894</v>
      </c>
      <c r="C545" s="22" t="s">
        <v>759</v>
      </c>
      <c r="D545" s="21" t="s">
        <v>119</v>
      </c>
      <c r="E545" s="21" t="s">
        <v>1263</v>
      </c>
      <c r="F545" s="21" t="s">
        <v>2490</v>
      </c>
      <c r="G545" s="21" t="s">
        <v>2768</v>
      </c>
      <c r="H545" s="21" t="s">
        <v>1286</v>
      </c>
      <c r="I545" s="21" t="s">
        <v>2302</v>
      </c>
      <c r="J545" s="21" t="s">
        <v>2303</v>
      </c>
      <c r="K545" s="22" t="s">
        <v>2769</v>
      </c>
      <c r="L545" s="21" t="s">
        <v>1290</v>
      </c>
      <c r="M545" s="21" t="s">
        <v>1819</v>
      </c>
    </row>
    <row r="546" spans="1:13" ht="15" hidden="1" customHeight="1" x14ac:dyDescent="0.25">
      <c r="A546" s="21" t="s">
        <v>2770</v>
      </c>
      <c r="B546" s="22" t="s">
        <v>1899</v>
      </c>
      <c r="C546" s="22" t="s">
        <v>2771</v>
      </c>
      <c r="D546" s="21" t="s">
        <v>119</v>
      </c>
      <c r="E546" s="21" t="s">
        <v>1236</v>
      </c>
      <c r="F546" s="21" t="s">
        <v>1207</v>
      </c>
      <c r="G546" s="21" t="s">
        <v>2772</v>
      </c>
      <c r="H546" s="21" t="s">
        <v>1314</v>
      </c>
      <c r="I546" s="21" t="s">
        <v>1735</v>
      </c>
      <c r="J546" s="21" t="s">
        <v>2316</v>
      </c>
      <c r="K546" s="22" t="s">
        <v>2773</v>
      </c>
      <c r="L546" s="21" t="s">
        <v>1431</v>
      </c>
      <c r="M546" s="21" t="s">
        <v>1819</v>
      </c>
    </row>
    <row r="547" spans="1:13" ht="15" hidden="1" customHeight="1" x14ac:dyDescent="0.25">
      <c r="A547" s="21" t="s">
        <v>2774</v>
      </c>
      <c r="B547" s="22" t="s">
        <v>1901</v>
      </c>
      <c r="C547" s="22" t="s">
        <v>760</v>
      </c>
      <c r="D547" s="21" t="s">
        <v>119</v>
      </c>
      <c r="E547" s="21" t="s">
        <v>1258</v>
      </c>
      <c r="F547" s="21" t="s">
        <v>1258</v>
      </c>
      <c r="G547" s="21" t="s">
        <v>1664</v>
      </c>
      <c r="H547" s="21" t="s">
        <v>1314</v>
      </c>
      <c r="I547" s="21" t="s">
        <v>1727</v>
      </c>
      <c r="J547" s="21" t="s">
        <v>2243</v>
      </c>
      <c r="K547" s="22" t="s">
        <v>2775</v>
      </c>
      <c r="L547" s="21" t="s">
        <v>1420</v>
      </c>
      <c r="M547" s="21" t="s">
        <v>1819</v>
      </c>
    </row>
    <row r="548" spans="1:13" ht="15" hidden="1" customHeight="1" x14ac:dyDescent="0.25">
      <c r="A548" s="21" t="s">
        <v>2776</v>
      </c>
      <c r="B548" s="22" t="s">
        <v>1902</v>
      </c>
      <c r="C548" s="22" t="s">
        <v>761</v>
      </c>
      <c r="D548" s="21" t="s">
        <v>119</v>
      </c>
      <c r="E548" s="21" t="s">
        <v>1258</v>
      </c>
      <c r="F548" s="21" t="s">
        <v>1258</v>
      </c>
      <c r="G548" s="21" t="s">
        <v>1664</v>
      </c>
      <c r="H548" s="21" t="s">
        <v>1314</v>
      </c>
      <c r="I548" s="21" t="s">
        <v>1727</v>
      </c>
      <c r="J548" s="21" t="s">
        <v>2243</v>
      </c>
      <c r="K548" s="22" t="s">
        <v>2777</v>
      </c>
      <c r="L548" s="21" t="s">
        <v>1420</v>
      </c>
      <c r="M548" s="21" t="s">
        <v>1819</v>
      </c>
    </row>
    <row r="549" spans="1:13" ht="15" hidden="1" customHeight="1" x14ac:dyDescent="0.25">
      <c r="A549" s="21" t="s">
        <v>2778</v>
      </c>
      <c r="B549" s="22" t="s">
        <v>1905</v>
      </c>
      <c r="C549" s="22" t="s">
        <v>762</v>
      </c>
      <c r="D549" s="21" t="s">
        <v>119</v>
      </c>
      <c r="E549" s="21" t="s">
        <v>1260</v>
      </c>
      <c r="F549" s="21" t="s">
        <v>1254</v>
      </c>
      <c r="G549" s="21" t="s">
        <v>2779</v>
      </c>
      <c r="H549" s="21" t="s">
        <v>1314</v>
      </c>
      <c r="I549" s="21" t="s">
        <v>1727</v>
      </c>
      <c r="J549" s="21" t="s">
        <v>2243</v>
      </c>
      <c r="K549" s="22" t="s">
        <v>2780</v>
      </c>
      <c r="L549" s="21" t="s">
        <v>1420</v>
      </c>
      <c r="M549" s="21" t="s">
        <v>1819</v>
      </c>
    </row>
    <row r="550" spans="1:13" ht="15" hidden="1" customHeight="1" x14ac:dyDescent="0.25">
      <c r="A550" s="21" t="s">
        <v>2781</v>
      </c>
      <c r="B550" s="22" t="s">
        <v>1906</v>
      </c>
      <c r="C550" s="22" t="s">
        <v>763</v>
      </c>
      <c r="D550" s="21" t="s">
        <v>119</v>
      </c>
      <c r="E550" s="21" t="s">
        <v>1216</v>
      </c>
      <c r="F550" s="21" t="s">
        <v>1537</v>
      </c>
      <c r="G550" s="21" t="s">
        <v>2782</v>
      </c>
      <c r="H550" s="21" t="s">
        <v>1314</v>
      </c>
      <c r="I550" s="21" t="s">
        <v>1727</v>
      </c>
      <c r="J550" s="21" t="s">
        <v>2243</v>
      </c>
      <c r="K550" s="22" t="s">
        <v>2783</v>
      </c>
      <c r="L550" s="21" t="s">
        <v>1420</v>
      </c>
      <c r="M550" s="21" t="s">
        <v>1819</v>
      </c>
    </row>
    <row r="551" spans="1:13" ht="15" hidden="1" customHeight="1" x14ac:dyDescent="0.25">
      <c r="A551" s="21" t="s">
        <v>2784</v>
      </c>
      <c r="B551" s="22" t="s">
        <v>1912</v>
      </c>
      <c r="C551" s="22" t="s">
        <v>764</v>
      </c>
      <c r="D551" s="21" t="s">
        <v>119</v>
      </c>
      <c r="E551" s="21" t="s">
        <v>1199</v>
      </c>
      <c r="F551" s="21" t="s">
        <v>1693</v>
      </c>
      <c r="G551" s="21" t="s">
        <v>2785</v>
      </c>
      <c r="H551" s="21" t="s">
        <v>1314</v>
      </c>
      <c r="I551" s="21" t="s">
        <v>2786</v>
      </c>
      <c r="J551" s="21" t="s">
        <v>2787</v>
      </c>
      <c r="K551" s="22" t="s">
        <v>2788</v>
      </c>
      <c r="L551" s="21" t="s">
        <v>1446</v>
      </c>
      <c r="M551" s="21" t="s">
        <v>1830</v>
      </c>
    </row>
    <row r="552" spans="1:13" ht="15" hidden="1" customHeight="1" x14ac:dyDescent="0.25">
      <c r="A552" s="21" t="s">
        <v>2789</v>
      </c>
      <c r="B552" s="22" t="s">
        <v>1913</v>
      </c>
      <c r="C552" s="22" t="s">
        <v>765</v>
      </c>
      <c r="D552" s="21" t="s">
        <v>119</v>
      </c>
      <c r="E552" s="21" t="s">
        <v>1273</v>
      </c>
      <c r="F552" s="21" t="s">
        <v>1240</v>
      </c>
      <c r="G552" s="21"/>
      <c r="H552" s="21" t="s">
        <v>1314</v>
      </c>
      <c r="I552" s="21" t="s">
        <v>1727</v>
      </c>
      <c r="J552" s="21" t="s">
        <v>2243</v>
      </c>
      <c r="K552" s="22" t="s">
        <v>2790</v>
      </c>
      <c r="L552" s="21" t="s">
        <v>1446</v>
      </c>
      <c r="M552" s="21" t="s">
        <v>1819</v>
      </c>
    </row>
    <row r="553" spans="1:13" ht="15" hidden="1" customHeight="1" x14ac:dyDescent="0.25">
      <c r="A553" s="21" t="s">
        <v>2791</v>
      </c>
      <c r="B553" s="22" t="s">
        <v>1914</v>
      </c>
      <c r="C553" s="22" t="s">
        <v>766</v>
      </c>
      <c r="D553" s="21" t="s">
        <v>119</v>
      </c>
      <c r="E553" s="21" t="s">
        <v>1205</v>
      </c>
      <c r="F553" s="21" t="s">
        <v>1205</v>
      </c>
      <c r="G553" s="21" t="s">
        <v>2792</v>
      </c>
      <c r="H553" s="21" t="s">
        <v>1314</v>
      </c>
      <c r="I553" s="21" t="s">
        <v>2309</v>
      </c>
      <c r="J553" s="21" t="s">
        <v>2397</v>
      </c>
      <c r="K553" s="22" t="s">
        <v>2793</v>
      </c>
      <c r="L553" s="21" t="s">
        <v>1344</v>
      </c>
      <c r="M553" s="21" t="s">
        <v>1819</v>
      </c>
    </row>
    <row r="554" spans="1:13" ht="15" hidden="1" customHeight="1" x14ac:dyDescent="0.25">
      <c r="A554" s="21" t="s">
        <v>2794</v>
      </c>
      <c r="B554" s="22" t="s">
        <v>1915</v>
      </c>
      <c r="C554" s="22" t="s">
        <v>767</v>
      </c>
      <c r="D554" s="21" t="s">
        <v>119</v>
      </c>
      <c r="E554" s="21" t="s">
        <v>1230</v>
      </c>
      <c r="F554" s="21" t="s">
        <v>1681</v>
      </c>
      <c r="G554" s="21" t="s">
        <v>2795</v>
      </c>
      <c r="H554" s="21" t="s">
        <v>1314</v>
      </c>
      <c r="I554" s="21" t="s">
        <v>1735</v>
      </c>
      <c r="J554" s="21" t="s">
        <v>2316</v>
      </c>
      <c r="K554" s="22" t="s">
        <v>2796</v>
      </c>
      <c r="L554" s="21" t="s">
        <v>1431</v>
      </c>
      <c r="M554" s="21" t="s">
        <v>1819</v>
      </c>
    </row>
    <row r="555" spans="1:13" ht="15" hidden="1" customHeight="1" x14ac:dyDescent="0.25">
      <c r="A555" s="21" t="s">
        <v>2797</v>
      </c>
      <c r="B555" s="22" t="s">
        <v>1916</v>
      </c>
      <c r="C555" s="22" t="s">
        <v>768</v>
      </c>
      <c r="D555" s="21" t="s">
        <v>119</v>
      </c>
      <c r="E555" s="21" t="s">
        <v>1234</v>
      </c>
      <c r="F555" s="21" t="s">
        <v>1588</v>
      </c>
      <c r="G555" s="21"/>
      <c r="H555" s="21" t="s">
        <v>1314</v>
      </c>
      <c r="I555" s="21" t="s">
        <v>1727</v>
      </c>
      <c r="J555" s="21" t="s">
        <v>2251</v>
      </c>
      <c r="K555" s="22" t="s">
        <v>2798</v>
      </c>
      <c r="L555" s="21" t="s">
        <v>1521</v>
      </c>
      <c r="M555" s="21" t="s">
        <v>1819</v>
      </c>
    </row>
    <row r="556" spans="1:13" ht="15" hidden="1" customHeight="1" x14ac:dyDescent="0.25">
      <c r="A556" s="21" t="s">
        <v>2799</v>
      </c>
      <c r="B556" s="22" t="s">
        <v>1919</v>
      </c>
      <c r="C556" s="22" t="s">
        <v>769</v>
      </c>
      <c r="D556" s="21" t="s">
        <v>119</v>
      </c>
      <c r="E556" s="21" t="s">
        <v>1252</v>
      </c>
      <c r="F556" s="21" t="s">
        <v>1252</v>
      </c>
      <c r="G556" s="21" t="s">
        <v>1863</v>
      </c>
      <c r="H556" s="21" t="s">
        <v>1314</v>
      </c>
      <c r="I556" s="21" t="s">
        <v>2323</v>
      </c>
      <c r="J556" s="21" t="s">
        <v>2330</v>
      </c>
      <c r="K556" s="22" t="s">
        <v>2800</v>
      </c>
      <c r="L556" s="21" t="s">
        <v>1431</v>
      </c>
      <c r="M556" s="21" t="s">
        <v>1819</v>
      </c>
    </row>
    <row r="557" spans="1:13" ht="15" hidden="1" customHeight="1" x14ac:dyDescent="0.25">
      <c r="A557" s="21" t="s">
        <v>2801</v>
      </c>
      <c r="B557" s="22" t="s">
        <v>1920</v>
      </c>
      <c r="C557" s="22" t="s">
        <v>770</v>
      </c>
      <c r="D557" s="21" t="s">
        <v>119</v>
      </c>
      <c r="E557" s="21" t="s">
        <v>1252</v>
      </c>
      <c r="F557" s="21" t="s">
        <v>1252</v>
      </c>
      <c r="G557" s="21" t="s">
        <v>1863</v>
      </c>
      <c r="H557" s="21" t="s">
        <v>1314</v>
      </c>
      <c r="I557" s="21" t="s">
        <v>2323</v>
      </c>
      <c r="J557" s="21" t="s">
        <v>2330</v>
      </c>
      <c r="K557" s="22" t="s">
        <v>2802</v>
      </c>
      <c r="L557" s="21" t="s">
        <v>1431</v>
      </c>
      <c r="M557" s="21" t="s">
        <v>1819</v>
      </c>
    </row>
    <row r="558" spans="1:13" ht="15" hidden="1" customHeight="1" x14ac:dyDescent="0.25">
      <c r="A558" s="21" t="s">
        <v>2803</v>
      </c>
      <c r="B558" s="22" t="s">
        <v>1923</v>
      </c>
      <c r="C558" s="22" t="s">
        <v>771</v>
      </c>
      <c r="D558" s="21" t="s">
        <v>119</v>
      </c>
      <c r="E558" s="21" t="s">
        <v>1250</v>
      </c>
      <c r="F558" s="21"/>
      <c r="G558" s="21"/>
      <c r="H558" s="21" t="s">
        <v>1314</v>
      </c>
      <c r="I558" s="21" t="s">
        <v>1735</v>
      </c>
      <c r="J558" s="21" t="s">
        <v>2387</v>
      </c>
      <c r="K558" s="22" t="s">
        <v>2804</v>
      </c>
      <c r="L558" s="21" t="s">
        <v>1311</v>
      </c>
      <c r="M558" s="21"/>
    </row>
    <row r="559" spans="1:13" ht="15" hidden="1" customHeight="1" x14ac:dyDescent="0.25">
      <c r="A559" s="21" t="s">
        <v>2805</v>
      </c>
      <c r="B559" s="22" t="s">
        <v>1926</v>
      </c>
      <c r="C559" s="22" t="s">
        <v>772</v>
      </c>
      <c r="D559" s="21" t="s">
        <v>119</v>
      </c>
      <c r="E559" s="21" t="s">
        <v>1250</v>
      </c>
      <c r="F559" s="21"/>
      <c r="G559" s="21"/>
      <c r="H559" s="21" t="s">
        <v>1314</v>
      </c>
      <c r="I559" s="21" t="s">
        <v>1735</v>
      </c>
      <c r="J559" s="21" t="s">
        <v>2387</v>
      </c>
      <c r="K559" s="22" t="s">
        <v>2806</v>
      </c>
      <c r="L559" s="21" t="s">
        <v>1311</v>
      </c>
      <c r="M559" s="21"/>
    </row>
    <row r="560" spans="1:13" ht="15" hidden="1" customHeight="1" x14ac:dyDescent="0.25">
      <c r="A560" s="21" t="s">
        <v>2807</v>
      </c>
      <c r="B560" s="22" t="s">
        <v>1929</v>
      </c>
      <c r="C560" s="22"/>
      <c r="D560" s="21" t="s">
        <v>119</v>
      </c>
      <c r="E560" s="21"/>
      <c r="F560" s="21"/>
      <c r="G560" s="21"/>
      <c r="H560" s="21"/>
      <c r="I560" s="21"/>
      <c r="J560" s="21"/>
      <c r="K560" s="22"/>
      <c r="L560" s="21"/>
      <c r="M560" s="21"/>
    </row>
    <row r="561" spans="1:13" ht="15" hidden="1" customHeight="1" x14ac:dyDescent="0.25">
      <c r="A561" s="21" t="s">
        <v>2051</v>
      </c>
      <c r="B561" s="22" t="s">
        <v>1932</v>
      </c>
      <c r="C561" s="22" t="s">
        <v>2808</v>
      </c>
      <c r="D561" s="21" t="s">
        <v>119</v>
      </c>
      <c r="E561" s="21" t="s">
        <v>1254</v>
      </c>
      <c r="F561" s="21" t="s">
        <v>1532</v>
      </c>
      <c r="G561" s="21"/>
      <c r="H561" s="21" t="s">
        <v>1314</v>
      </c>
      <c r="I561" s="21" t="s">
        <v>1727</v>
      </c>
      <c r="J561" s="21" t="s">
        <v>2809</v>
      </c>
      <c r="K561" s="22" t="s">
        <v>2810</v>
      </c>
      <c r="L561" s="21" t="s">
        <v>1898</v>
      </c>
      <c r="M561" s="21" t="s">
        <v>1819</v>
      </c>
    </row>
    <row r="562" spans="1:13" ht="15" hidden="1" customHeight="1" x14ac:dyDescent="0.25">
      <c r="A562" s="21" t="s">
        <v>2811</v>
      </c>
      <c r="B562" s="22" t="s">
        <v>1934</v>
      </c>
      <c r="C562" s="22" t="s">
        <v>773</v>
      </c>
      <c r="D562" s="21" t="s">
        <v>119</v>
      </c>
      <c r="E562" s="21" t="s">
        <v>1244</v>
      </c>
      <c r="F562" s="21" t="s">
        <v>1483</v>
      </c>
      <c r="G562" s="21" t="s">
        <v>2812</v>
      </c>
      <c r="H562" s="21" t="s">
        <v>1314</v>
      </c>
      <c r="I562" s="21" t="s">
        <v>1909</v>
      </c>
      <c r="J562" s="21" t="s">
        <v>2441</v>
      </c>
      <c r="K562" s="22" t="s">
        <v>2813</v>
      </c>
      <c r="L562" s="21" t="s">
        <v>1500</v>
      </c>
      <c r="M562" s="21" t="s">
        <v>1830</v>
      </c>
    </row>
    <row r="563" spans="1:13" ht="15" hidden="1" customHeight="1" x14ac:dyDescent="0.25">
      <c r="A563" s="21" t="s">
        <v>2814</v>
      </c>
      <c r="B563" s="22" t="s">
        <v>1936</v>
      </c>
      <c r="C563" s="22" t="s">
        <v>774</v>
      </c>
      <c r="D563" s="21" t="s">
        <v>119</v>
      </c>
      <c r="E563" s="21" t="s">
        <v>1252</v>
      </c>
      <c r="F563" s="21" t="s">
        <v>1252</v>
      </c>
      <c r="G563" s="21" t="s">
        <v>2054</v>
      </c>
      <c r="H563" s="21" t="s">
        <v>1314</v>
      </c>
      <c r="I563" s="21" t="s">
        <v>2323</v>
      </c>
      <c r="J563" s="21" t="s">
        <v>2330</v>
      </c>
      <c r="K563" s="22" t="s">
        <v>2815</v>
      </c>
      <c r="L563" s="21" t="s">
        <v>1431</v>
      </c>
      <c r="M563" s="21" t="s">
        <v>1819</v>
      </c>
    </row>
    <row r="564" spans="1:13" ht="15" hidden="1" customHeight="1" x14ac:dyDescent="0.25">
      <c r="A564" s="21" t="s">
        <v>2816</v>
      </c>
      <c r="B564" s="22" t="s">
        <v>1940</v>
      </c>
      <c r="C564" s="22"/>
      <c r="D564" s="21" t="s">
        <v>119</v>
      </c>
      <c r="E564" s="21"/>
      <c r="F564" s="21"/>
      <c r="G564" s="21"/>
      <c r="H564" s="21"/>
      <c r="I564" s="21"/>
      <c r="J564" s="21"/>
      <c r="K564" s="22"/>
      <c r="L564" s="21"/>
      <c r="M564" s="21"/>
    </row>
    <row r="565" spans="1:13" ht="15" hidden="1" customHeight="1" x14ac:dyDescent="0.25">
      <c r="A565" s="21" t="s">
        <v>2817</v>
      </c>
      <c r="B565" s="22" t="s">
        <v>1943</v>
      </c>
      <c r="C565" s="22" t="s">
        <v>775</v>
      </c>
      <c r="D565" s="21" t="s">
        <v>119</v>
      </c>
      <c r="E565" s="21" t="s">
        <v>1216</v>
      </c>
      <c r="F565" s="21" t="s">
        <v>1537</v>
      </c>
      <c r="G565" s="21" t="s">
        <v>2818</v>
      </c>
      <c r="H565" s="21" t="s">
        <v>1314</v>
      </c>
      <c r="I565" s="21" t="s">
        <v>2309</v>
      </c>
      <c r="J565" s="21" t="s">
        <v>2751</v>
      </c>
      <c r="K565" s="22" t="s">
        <v>2819</v>
      </c>
      <c r="L565" s="21" t="s">
        <v>2820</v>
      </c>
      <c r="M565" s="21" t="s">
        <v>1830</v>
      </c>
    </row>
    <row r="566" spans="1:13" ht="15" hidden="1" customHeight="1" x14ac:dyDescent="0.25">
      <c r="A566" s="21" t="s">
        <v>2821</v>
      </c>
      <c r="B566" s="22" t="s">
        <v>1945</v>
      </c>
      <c r="C566" s="22" t="s">
        <v>776</v>
      </c>
      <c r="D566" s="21" t="s">
        <v>119</v>
      </c>
      <c r="E566" s="21" t="s">
        <v>1232</v>
      </c>
      <c r="F566" s="21" t="s">
        <v>1476</v>
      </c>
      <c r="G566" s="21"/>
      <c r="H566" s="21" t="s">
        <v>1314</v>
      </c>
      <c r="I566" s="21" t="s">
        <v>2309</v>
      </c>
      <c r="J566" s="21" t="s">
        <v>2340</v>
      </c>
      <c r="K566" s="22" t="s">
        <v>2822</v>
      </c>
      <c r="L566" s="21" t="s">
        <v>1521</v>
      </c>
      <c r="M566" s="21" t="s">
        <v>1830</v>
      </c>
    </row>
    <row r="567" spans="1:13" ht="15" hidden="1" customHeight="1" x14ac:dyDescent="0.25">
      <c r="A567" s="21" t="s">
        <v>2823</v>
      </c>
      <c r="B567" s="22" t="s">
        <v>1947</v>
      </c>
      <c r="C567" s="22" t="s">
        <v>777</v>
      </c>
      <c r="D567" s="21" t="s">
        <v>119</v>
      </c>
      <c r="E567" s="21" t="s">
        <v>1232</v>
      </c>
      <c r="F567" s="21" t="s">
        <v>1476</v>
      </c>
      <c r="G567" s="21"/>
      <c r="H567" s="21" t="s">
        <v>1314</v>
      </c>
      <c r="I567" s="21" t="s">
        <v>2309</v>
      </c>
      <c r="J567" s="21" t="s">
        <v>2340</v>
      </c>
      <c r="K567" s="22" t="s">
        <v>2824</v>
      </c>
      <c r="L567" s="21" t="s">
        <v>1521</v>
      </c>
      <c r="M567" s="21" t="s">
        <v>1830</v>
      </c>
    </row>
    <row r="568" spans="1:13" ht="15" hidden="1" customHeight="1" x14ac:dyDescent="0.25">
      <c r="A568" s="21" t="s">
        <v>2825</v>
      </c>
      <c r="B568" s="22" t="s">
        <v>1949</v>
      </c>
      <c r="C568" s="22" t="s">
        <v>778</v>
      </c>
      <c r="D568" s="21" t="s">
        <v>119</v>
      </c>
      <c r="E568" s="21" t="s">
        <v>1252</v>
      </c>
      <c r="F568" s="21" t="s">
        <v>1252</v>
      </c>
      <c r="G568" s="21" t="s">
        <v>1863</v>
      </c>
      <c r="H568" s="21" t="s">
        <v>1314</v>
      </c>
      <c r="I568" s="21" t="s">
        <v>2323</v>
      </c>
      <c r="J568" s="21" t="s">
        <v>2330</v>
      </c>
      <c r="K568" s="22" t="s">
        <v>2826</v>
      </c>
      <c r="L568" s="21" t="s">
        <v>1431</v>
      </c>
      <c r="M568" s="21" t="s">
        <v>1819</v>
      </c>
    </row>
    <row r="569" spans="1:13" ht="15" hidden="1" customHeight="1" x14ac:dyDescent="0.25">
      <c r="A569" s="21" t="s">
        <v>2827</v>
      </c>
      <c r="B569" s="22" t="s">
        <v>1951</v>
      </c>
      <c r="C569" s="22" t="s">
        <v>2828</v>
      </c>
      <c r="D569" s="21" t="s">
        <v>119</v>
      </c>
      <c r="E569" s="21" t="s">
        <v>1233</v>
      </c>
      <c r="F569" s="21" t="s">
        <v>1254</v>
      </c>
      <c r="G569" s="21"/>
      <c r="H569" s="21" t="s">
        <v>1314</v>
      </c>
      <c r="I569" s="21" t="s">
        <v>2309</v>
      </c>
      <c r="J569" s="21" t="s">
        <v>2340</v>
      </c>
      <c r="K569" s="22" t="s">
        <v>2829</v>
      </c>
      <c r="L569" s="21" t="s">
        <v>1521</v>
      </c>
      <c r="M569" s="21" t="s">
        <v>1830</v>
      </c>
    </row>
    <row r="570" spans="1:13" ht="15" hidden="1" customHeight="1" x14ac:dyDescent="0.25">
      <c r="A570" s="21" t="s">
        <v>2830</v>
      </c>
      <c r="B570" s="22" t="s">
        <v>1952</v>
      </c>
      <c r="C570" s="22" t="s">
        <v>779</v>
      </c>
      <c r="D570" s="21" t="s">
        <v>119</v>
      </c>
      <c r="E570" s="21" t="s">
        <v>1234</v>
      </c>
      <c r="F570" s="21" t="s">
        <v>1588</v>
      </c>
      <c r="G570" s="21" t="s">
        <v>1802</v>
      </c>
      <c r="H570" s="21" t="s">
        <v>1314</v>
      </c>
      <c r="I570" s="21" t="s">
        <v>1735</v>
      </c>
      <c r="J570" s="21" t="s">
        <v>2320</v>
      </c>
      <c r="K570" s="22" t="s">
        <v>2831</v>
      </c>
      <c r="L570" s="21" t="s">
        <v>1676</v>
      </c>
      <c r="M570" s="21" t="s">
        <v>1819</v>
      </c>
    </row>
    <row r="571" spans="1:13" ht="15" hidden="1" customHeight="1" x14ac:dyDescent="0.25">
      <c r="A571" s="21" t="s">
        <v>2832</v>
      </c>
      <c r="B571" s="22" t="s">
        <v>1953</v>
      </c>
      <c r="C571" s="22" t="s">
        <v>780</v>
      </c>
      <c r="D571" s="21" t="s">
        <v>119</v>
      </c>
      <c r="E571" s="21" t="s">
        <v>1213</v>
      </c>
      <c r="F571" s="21" t="s">
        <v>2191</v>
      </c>
      <c r="G571" s="21" t="s">
        <v>2833</v>
      </c>
      <c r="H571" s="21" t="s">
        <v>1314</v>
      </c>
      <c r="I571" s="21" t="s">
        <v>1909</v>
      </c>
      <c r="J571" s="21" t="s">
        <v>2441</v>
      </c>
      <c r="K571" s="22" t="s">
        <v>2834</v>
      </c>
      <c r="L571" s="21" t="s">
        <v>1500</v>
      </c>
      <c r="M571" s="21" t="s">
        <v>1830</v>
      </c>
    </row>
    <row r="572" spans="1:13" ht="15" hidden="1" customHeight="1" x14ac:dyDescent="0.25">
      <c r="A572" s="21" t="s">
        <v>2835</v>
      </c>
      <c r="B572" s="22" t="s">
        <v>1954</v>
      </c>
      <c r="C572" s="22" t="s">
        <v>781</v>
      </c>
      <c r="D572" s="21" t="s">
        <v>119</v>
      </c>
      <c r="E572" s="21" t="s">
        <v>1258</v>
      </c>
      <c r="F572" s="21" t="s">
        <v>2249</v>
      </c>
      <c r="G572" s="21" t="s">
        <v>2836</v>
      </c>
      <c r="H572" s="21" t="s">
        <v>1314</v>
      </c>
      <c r="I572" s="21" t="s">
        <v>1735</v>
      </c>
      <c r="J572" s="21" t="s">
        <v>2251</v>
      </c>
      <c r="K572" s="22" t="s">
        <v>2837</v>
      </c>
      <c r="L572" s="21" t="s">
        <v>1465</v>
      </c>
      <c r="M572" s="21" t="s">
        <v>1819</v>
      </c>
    </row>
    <row r="573" spans="1:13" ht="15" hidden="1" customHeight="1" x14ac:dyDescent="0.25">
      <c r="A573" s="21" t="s">
        <v>2838</v>
      </c>
      <c r="B573" s="22" t="s">
        <v>1955</v>
      </c>
      <c r="C573" s="22" t="s">
        <v>782</v>
      </c>
      <c r="D573" s="21" t="s">
        <v>119</v>
      </c>
      <c r="E573" s="21" t="s">
        <v>1211</v>
      </c>
      <c r="F573" s="21" t="s">
        <v>1211</v>
      </c>
      <c r="G573" s="21" t="s">
        <v>1623</v>
      </c>
      <c r="H573" s="21" t="s">
        <v>1314</v>
      </c>
      <c r="I573" s="21" t="s">
        <v>2309</v>
      </c>
      <c r="J573" s="21" t="s">
        <v>2751</v>
      </c>
      <c r="K573" s="22" t="s">
        <v>2839</v>
      </c>
      <c r="L573" s="21" t="s">
        <v>2820</v>
      </c>
      <c r="M573" s="21" t="s">
        <v>1830</v>
      </c>
    </row>
    <row r="574" spans="1:13" ht="15" hidden="1" customHeight="1" x14ac:dyDescent="0.25">
      <c r="A574" s="21" t="s">
        <v>2840</v>
      </c>
      <c r="B574" s="22" t="s">
        <v>1959</v>
      </c>
      <c r="C574" s="22" t="s">
        <v>783</v>
      </c>
      <c r="D574" s="21" t="s">
        <v>119</v>
      </c>
      <c r="E574" s="21" t="s">
        <v>1234</v>
      </c>
      <c r="F574" s="21" t="s">
        <v>1588</v>
      </c>
      <c r="G574" s="21"/>
      <c r="H574" s="21" t="s">
        <v>1314</v>
      </c>
      <c r="I574" s="21" t="s">
        <v>1735</v>
      </c>
      <c r="J574" s="21" t="s">
        <v>2208</v>
      </c>
      <c r="K574" s="22" t="s">
        <v>2841</v>
      </c>
      <c r="L574" s="21" t="s">
        <v>1521</v>
      </c>
      <c r="M574" s="21" t="s">
        <v>1819</v>
      </c>
    </row>
    <row r="575" spans="1:13" ht="15" hidden="1" customHeight="1" x14ac:dyDescent="0.25">
      <c r="A575" s="21" t="s">
        <v>2842</v>
      </c>
      <c r="B575" s="22" t="s">
        <v>1961</v>
      </c>
      <c r="C575" s="22" t="s">
        <v>785</v>
      </c>
      <c r="D575" s="21" t="s">
        <v>119</v>
      </c>
      <c r="E575" s="21" t="s">
        <v>1234</v>
      </c>
      <c r="F575" s="21" t="s">
        <v>1588</v>
      </c>
      <c r="G575" s="21" t="s">
        <v>2054</v>
      </c>
      <c r="H575" s="21" t="s">
        <v>1314</v>
      </c>
      <c r="I575" s="21" t="s">
        <v>1735</v>
      </c>
      <c r="J575" s="21" t="s">
        <v>2320</v>
      </c>
      <c r="K575" s="22" t="s">
        <v>2843</v>
      </c>
      <c r="L575" s="21" t="s">
        <v>1676</v>
      </c>
      <c r="M575" s="21" t="s">
        <v>1819</v>
      </c>
    </row>
    <row r="576" spans="1:13" ht="15" hidden="1" customHeight="1" x14ac:dyDescent="0.25">
      <c r="A576" s="21" t="s">
        <v>2844</v>
      </c>
      <c r="B576" s="22" t="s">
        <v>1965</v>
      </c>
      <c r="C576" s="22" t="s">
        <v>786</v>
      </c>
      <c r="D576" s="21" t="s">
        <v>119</v>
      </c>
      <c r="E576" s="21" t="s">
        <v>1216</v>
      </c>
      <c r="F576" s="21" t="s">
        <v>1537</v>
      </c>
      <c r="G576" s="21" t="s">
        <v>2845</v>
      </c>
      <c r="H576" s="21" t="s">
        <v>1314</v>
      </c>
      <c r="I576" s="21" t="s">
        <v>2323</v>
      </c>
      <c r="J576" s="21" t="s">
        <v>2330</v>
      </c>
      <c r="K576" s="22" t="s">
        <v>2846</v>
      </c>
      <c r="L576" s="21" t="s">
        <v>1431</v>
      </c>
      <c r="M576" s="21" t="s">
        <v>1819</v>
      </c>
    </row>
    <row r="577" spans="1:13" ht="15" hidden="1" customHeight="1" x14ac:dyDescent="0.25">
      <c r="A577" s="21" t="s">
        <v>2847</v>
      </c>
      <c r="B577" s="22" t="s">
        <v>1967</v>
      </c>
      <c r="C577" s="22" t="s">
        <v>787</v>
      </c>
      <c r="D577" s="21" t="s">
        <v>119</v>
      </c>
      <c r="E577" s="21" t="s">
        <v>1204</v>
      </c>
      <c r="F577" s="21" t="s">
        <v>1660</v>
      </c>
      <c r="G577" s="21" t="s">
        <v>1554</v>
      </c>
      <c r="H577" s="21" t="s">
        <v>1314</v>
      </c>
      <c r="I577" s="21" t="s">
        <v>2309</v>
      </c>
      <c r="J577" s="21" t="s">
        <v>2397</v>
      </c>
      <c r="K577" s="22" t="s">
        <v>2848</v>
      </c>
      <c r="L577" s="21" t="s">
        <v>1420</v>
      </c>
      <c r="M577" s="21" t="s">
        <v>1819</v>
      </c>
    </row>
    <row r="578" spans="1:13" ht="15" hidden="1" customHeight="1" x14ac:dyDescent="0.25">
      <c r="A578" s="21" t="s">
        <v>2849</v>
      </c>
      <c r="B578" s="22" t="s">
        <v>1969</v>
      </c>
      <c r="C578" s="22" t="s">
        <v>788</v>
      </c>
      <c r="D578" s="21" t="s">
        <v>119</v>
      </c>
      <c r="E578" s="21" t="s">
        <v>1214</v>
      </c>
      <c r="F578" s="21" t="s">
        <v>1214</v>
      </c>
      <c r="G578" s="21" t="s">
        <v>1492</v>
      </c>
      <c r="H578" s="21" t="s">
        <v>1314</v>
      </c>
      <c r="I578" s="21" t="s">
        <v>1735</v>
      </c>
      <c r="J578" s="21" t="s">
        <v>2243</v>
      </c>
      <c r="K578" s="22" t="s">
        <v>2850</v>
      </c>
      <c r="L578" s="21" t="s">
        <v>1500</v>
      </c>
      <c r="M578" s="21" t="s">
        <v>1819</v>
      </c>
    </row>
    <row r="579" spans="1:13" ht="15" hidden="1" customHeight="1" x14ac:dyDescent="0.25">
      <c r="A579" s="21" t="s">
        <v>2851</v>
      </c>
      <c r="B579" s="22" t="s">
        <v>1971</v>
      </c>
      <c r="C579" s="22" t="s">
        <v>789</v>
      </c>
      <c r="D579" s="21" t="s">
        <v>119</v>
      </c>
      <c r="E579" s="21" t="s">
        <v>1254</v>
      </c>
      <c r="F579" s="21" t="s">
        <v>1443</v>
      </c>
      <c r="G579" s="21" t="s">
        <v>2852</v>
      </c>
      <c r="H579" s="21" t="s">
        <v>1314</v>
      </c>
      <c r="I579" s="21" t="s">
        <v>1735</v>
      </c>
      <c r="J579" s="21" t="s">
        <v>2251</v>
      </c>
      <c r="K579" s="22" t="s">
        <v>2853</v>
      </c>
      <c r="L579" s="21" t="s">
        <v>1627</v>
      </c>
      <c r="M579" s="21" t="s">
        <v>1819</v>
      </c>
    </row>
    <row r="580" spans="1:13" ht="15" hidden="1" customHeight="1" x14ac:dyDescent="0.25">
      <c r="A580" s="21" t="s">
        <v>2854</v>
      </c>
      <c r="B580" s="22" t="s">
        <v>1973</v>
      </c>
      <c r="C580" s="22" t="s">
        <v>2855</v>
      </c>
      <c r="D580" s="21" t="s">
        <v>119</v>
      </c>
      <c r="E580" s="21" t="s">
        <v>1254</v>
      </c>
      <c r="F580" s="21" t="s">
        <v>1443</v>
      </c>
      <c r="G580" s="21" t="s">
        <v>2856</v>
      </c>
      <c r="H580" s="21" t="s">
        <v>1314</v>
      </c>
      <c r="I580" s="21" t="s">
        <v>1735</v>
      </c>
      <c r="J580" s="21" t="s">
        <v>2251</v>
      </c>
      <c r="K580" s="22" t="s">
        <v>2857</v>
      </c>
      <c r="L580" s="21" t="s">
        <v>1627</v>
      </c>
      <c r="M580" s="21" t="s">
        <v>1819</v>
      </c>
    </row>
    <row r="581" spans="1:13" ht="15" hidden="1" customHeight="1" x14ac:dyDescent="0.25">
      <c r="A581" s="21" t="s">
        <v>2858</v>
      </c>
      <c r="B581" s="22" t="s">
        <v>1976</v>
      </c>
      <c r="C581" s="22" t="s">
        <v>2859</v>
      </c>
      <c r="D581" s="21" t="s">
        <v>119</v>
      </c>
      <c r="E581" s="21" t="s">
        <v>1254</v>
      </c>
      <c r="F581" s="21" t="s">
        <v>1443</v>
      </c>
      <c r="G581" s="21" t="s">
        <v>2860</v>
      </c>
      <c r="H581" s="21" t="s">
        <v>1314</v>
      </c>
      <c r="I581" s="21" t="s">
        <v>1735</v>
      </c>
      <c r="J581" s="21" t="s">
        <v>2251</v>
      </c>
      <c r="K581" s="22" t="s">
        <v>2861</v>
      </c>
      <c r="L581" s="21" t="s">
        <v>1627</v>
      </c>
      <c r="M581" s="21" t="s">
        <v>1819</v>
      </c>
    </row>
    <row r="582" spans="1:13" ht="15" hidden="1" customHeight="1" x14ac:dyDescent="0.25">
      <c r="A582" s="21" t="s">
        <v>2862</v>
      </c>
      <c r="B582" s="22" t="s">
        <v>1977</v>
      </c>
      <c r="C582" s="22" t="s">
        <v>2863</v>
      </c>
      <c r="D582" s="21" t="s">
        <v>119</v>
      </c>
      <c r="E582" s="21" t="s">
        <v>1254</v>
      </c>
      <c r="F582" s="21" t="s">
        <v>1443</v>
      </c>
      <c r="G582" s="21" t="s">
        <v>2864</v>
      </c>
      <c r="H582" s="21" t="s">
        <v>1314</v>
      </c>
      <c r="I582" s="21" t="s">
        <v>1735</v>
      </c>
      <c r="J582" s="21" t="s">
        <v>2251</v>
      </c>
      <c r="K582" s="22" t="s">
        <v>2865</v>
      </c>
      <c r="L582" s="21" t="s">
        <v>1627</v>
      </c>
      <c r="M582" s="21" t="s">
        <v>1819</v>
      </c>
    </row>
    <row r="583" spans="1:13" ht="15" hidden="1" customHeight="1" x14ac:dyDescent="0.25">
      <c r="A583" s="21" t="s">
        <v>2866</v>
      </c>
      <c r="B583" s="22" t="s">
        <v>1979</v>
      </c>
      <c r="C583" s="22" t="s">
        <v>2867</v>
      </c>
      <c r="D583" s="21" t="s">
        <v>119</v>
      </c>
      <c r="E583" s="21" t="s">
        <v>1254</v>
      </c>
      <c r="F583" s="21" t="s">
        <v>1443</v>
      </c>
      <c r="G583" s="21" t="s">
        <v>2868</v>
      </c>
      <c r="H583" s="21" t="s">
        <v>1314</v>
      </c>
      <c r="I583" s="21" t="s">
        <v>1735</v>
      </c>
      <c r="J583" s="21" t="s">
        <v>2251</v>
      </c>
      <c r="K583" s="22" t="s">
        <v>2869</v>
      </c>
      <c r="L583" s="21" t="s">
        <v>1627</v>
      </c>
      <c r="M583" s="21" t="s">
        <v>1819</v>
      </c>
    </row>
    <row r="584" spans="1:13" ht="15" hidden="1" customHeight="1" x14ac:dyDescent="0.25">
      <c r="A584" s="21" t="s">
        <v>2870</v>
      </c>
      <c r="B584" s="22" t="s">
        <v>1981</v>
      </c>
      <c r="C584" s="22" t="s">
        <v>2871</v>
      </c>
      <c r="D584" s="21" t="s">
        <v>119</v>
      </c>
      <c r="E584" s="21" t="s">
        <v>1254</v>
      </c>
      <c r="F584" s="21" t="s">
        <v>1443</v>
      </c>
      <c r="G584" s="21" t="s">
        <v>2872</v>
      </c>
      <c r="H584" s="21" t="s">
        <v>1314</v>
      </c>
      <c r="I584" s="21" t="s">
        <v>1735</v>
      </c>
      <c r="J584" s="21" t="s">
        <v>2251</v>
      </c>
      <c r="K584" s="22" t="s">
        <v>2873</v>
      </c>
      <c r="L584" s="21" t="s">
        <v>1627</v>
      </c>
      <c r="M584" s="21" t="s">
        <v>1819</v>
      </c>
    </row>
    <row r="585" spans="1:13" ht="15" hidden="1" customHeight="1" x14ac:dyDescent="0.25">
      <c r="A585" s="21" t="s">
        <v>2874</v>
      </c>
      <c r="B585" s="22" t="s">
        <v>1982</v>
      </c>
      <c r="C585" s="22" t="s">
        <v>790</v>
      </c>
      <c r="D585" s="21" t="s">
        <v>119</v>
      </c>
      <c r="E585" s="21" t="s">
        <v>1254</v>
      </c>
      <c r="F585" s="21" t="s">
        <v>2875</v>
      </c>
      <c r="G585" s="21" t="s">
        <v>2876</v>
      </c>
      <c r="H585" s="21" t="s">
        <v>2396</v>
      </c>
      <c r="I585" s="21" t="s">
        <v>1735</v>
      </c>
      <c r="J585" s="21" t="s">
        <v>2251</v>
      </c>
      <c r="K585" s="22" t="s">
        <v>2877</v>
      </c>
      <c r="L585" s="21" t="s">
        <v>1627</v>
      </c>
      <c r="M585" s="21" t="s">
        <v>1819</v>
      </c>
    </row>
    <row r="586" spans="1:13" ht="15" hidden="1" customHeight="1" x14ac:dyDescent="0.25">
      <c r="A586" s="21" t="s">
        <v>2878</v>
      </c>
      <c r="B586" s="22" t="s">
        <v>1984</v>
      </c>
      <c r="C586" s="22" t="s">
        <v>2879</v>
      </c>
      <c r="D586" s="21" t="s">
        <v>119</v>
      </c>
      <c r="E586" s="21" t="s">
        <v>1254</v>
      </c>
      <c r="F586" s="21" t="s">
        <v>1443</v>
      </c>
      <c r="G586" s="21" t="s">
        <v>2880</v>
      </c>
      <c r="H586" s="21" t="s">
        <v>1314</v>
      </c>
      <c r="I586" s="21" t="s">
        <v>1735</v>
      </c>
      <c r="J586" s="21" t="s">
        <v>2251</v>
      </c>
      <c r="K586" s="22" t="s">
        <v>2881</v>
      </c>
      <c r="L586" s="21" t="s">
        <v>1627</v>
      </c>
      <c r="M586" s="21" t="s">
        <v>1819</v>
      </c>
    </row>
    <row r="587" spans="1:13" ht="15" hidden="1" customHeight="1" x14ac:dyDescent="0.25">
      <c r="A587" s="21" t="s">
        <v>2882</v>
      </c>
      <c r="B587" s="22" t="s">
        <v>1985</v>
      </c>
      <c r="C587" s="22" t="s">
        <v>2883</v>
      </c>
      <c r="D587" s="21" t="s">
        <v>119</v>
      </c>
      <c r="E587" s="21" t="s">
        <v>1254</v>
      </c>
      <c r="F587" s="21" t="s">
        <v>1443</v>
      </c>
      <c r="G587" s="21" t="s">
        <v>2884</v>
      </c>
      <c r="H587" s="21" t="s">
        <v>1314</v>
      </c>
      <c r="I587" s="21" t="s">
        <v>1735</v>
      </c>
      <c r="J587" s="21" t="s">
        <v>2251</v>
      </c>
      <c r="K587" s="22" t="s">
        <v>2885</v>
      </c>
      <c r="L587" s="21" t="s">
        <v>1627</v>
      </c>
      <c r="M587" s="21" t="s">
        <v>1819</v>
      </c>
    </row>
    <row r="588" spans="1:13" ht="15" hidden="1" customHeight="1" x14ac:dyDescent="0.25">
      <c r="A588" s="21" t="s">
        <v>2886</v>
      </c>
      <c r="B588" s="22" t="s">
        <v>1987</v>
      </c>
      <c r="C588" s="22" t="s">
        <v>791</v>
      </c>
      <c r="D588" s="21" t="s">
        <v>119</v>
      </c>
      <c r="E588" s="21" t="s">
        <v>1230</v>
      </c>
      <c r="F588" s="21" t="s">
        <v>1681</v>
      </c>
      <c r="G588" s="21" t="s">
        <v>2887</v>
      </c>
      <c r="H588" s="21" t="s">
        <v>1314</v>
      </c>
      <c r="I588" s="21" t="s">
        <v>1735</v>
      </c>
      <c r="J588" s="21" t="s">
        <v>2316</v>
      </c>
      <c r="K588" s="22" t="s">
        <v>2888</v>
      </c>
      <c r="L588" s="21" t="s">
        <v>1368</v>
      </c>
      <c r="M588" s="21" t="s">
        <v>1819</v>
      </c>
    </row>
    <row r="589" spans="1:13" ht="15" hidden="1" customHeight="1" x14ac:dyDescent="0.25">
      <c r="A589" s="21" t="s">
        <v>2889</v>
      </c>
      <c r="B589" s="22" t="s">
        <v>1988</v>
      </c>
      <c r="C589" s="22" t="s">
        <v>792</v>
      </c>
      <c r="D589" s="21" t="s">
        <v>119</v>
      </c>
      <c r="E589" s="21" t="s">
        <v>1230</v>
      </c>
      <c r="F589" s="21" t="s">
        <v>1681</v>
      </c>
      <c r="G589" s="21" t="s">
        <v>2890</v>
      </c>
      <c r="H589" s="21" t="s">
        <v>1314</v>
      </c>
      <c r="I589" s="21" t="s">
        <v>1735</v>
      </c>
      <c r="J589" s="21" t="s">
        <v>2316</v>
      </c>
      <c r="K589" s="22" t="s">
        <v>2891</v>
      </c>
      <c r="L589" s="21" t="s">
        <v>1368</v>
      </c>
      <c r="M589" s="21" t="s">
        <v>1819</v>
      </c>
    </row>
    <row r="590" spans="1:13" ht="15" hidden="1" customHeight="1" x14ac:dyDescent="0.25">
      <c r="A590" s="21" t="s">
        <v>2892</v>
      </c>
      <c r="B590" s="22" t="s">
        <v>1990</v>
      </c>
      <c r="C590" s="22" t="s">
        <v>793</v>
      </c>
      <c r="D590" s="21" t="s">
        <v>119</v>
      </c>
      <c r="E590" s="21" t="s">
        <v>1230</v>
      </c>
      <c r="F590" s="21" t="s">
        <v>1681</v>
      </c>
      <c r="G590" s="21" t="s">
        <v>2893</v>
      </c>
      <c r="H590" s="21" t="s">
        <v>1314</v>
      </c>
      <c r="I590" s="21" t="s">
        <v>1735</v>
      </c>
      <c r="J590" s="21" t="s">
        <v>2316</v>
      </c>
      <c r="K590" s="22" t="s">
        <v>2894</v>
      </c>
      <c r="L590" s="21" t="s">
        <v>1368</v>
      </c>
      <c r="M590" s="21" t="s">
        <v>1819</v>
      </c>
    </row>
    <row r="591" spans="1:13" ht="15" hidden="1" customHeight="1" x14ac:dyDescent="0.25">
      <c r="A591" s="21" t="s">
        <v>2895</v>
      </c>
      <c r="B591" s="22" t="s">
        <v>1992</v>
      </c>
      <c r="C591" s="22" t="s">
        <v>794</v>
      </c>
      <c r="D591" s="21" t="s">
        <v>119</v>
      </c>
      <c r="E591" s="21" t="s">
        <v>1230</v>
      </c>
      <c r="F591" s="21" t="s">
        <v>1681</v>
      </c>
      <c r="G591" s="21" t="s">
        <v>2896</v>
      </c>
      <c r="H591" s="21" t="s">
        <v>1314</v>
      </c>
      <c r="I591" s="21" t="s">
        <v>1735</v>
      </c>
      <c r="J591" s="21" t="s">
        <v>2316</v>
      </c>
      <c r="K591" s="22" t="s">
        <v>2897</v>
      </c>
      <c r="L591" s="21" t="s">
        <v>1368</v>
      </c>
      <c r="M591" s="21" t="s">
        <v>1819</v>
      </c>
    </row>
    <row r="592" spans="1:13" ht="15" hidden="1" customHeight="1" x14ac:dyDescent="0.25">
      <c r="A592" s="21" t="s">
        <v>2898</v>
      </c>
      <c r="B592" s="22" t="s">
        <v>1993</v>
      </c>
      <c r="C592" s="22" t="s">
        <v>795</v>
      </c>
      <c r="D592" s="21" t="s">
        <v>119</v>
      </c>
      <c r="E592" s="21" t="s">
        <v>1230</v>
      </c>
      <c r="F592" s="21" t="s">
        <v>1681</v>
      </c>
      <c r="G592" s="21" t="s">
        <v>2899</v>
      </c>
      <c r="H592" s="21" t="s">
        <v>1314</v>
      </c>
      <c r="I592" s="21" t="s">
        <v>1735</v>
      </c>
      <c r="J592" s="21" t="s">
        <v>2316</v>
      </c>
      <c r="K592" s="22" t="s">
        <v>2900</v>
      </c>
      <c r="L592" s="21" t="s">
        <v>1368</v>
      </c>
      <c r="M592" s="21" t="s">
        <v>1819</v>
      </c>
    </row>
    <row r="593" spans="1:13" ht="15" hidden="1" customHeight="1" x14ac:dyDescent="0.25">
      <c r="A593" s="21" t="s">
        <v>2901</v>
      </c>
      <c r="B593" s="22" t="s">
        <v>1994</v>
      </c>
      <c r="C593" s="22" t="s">
        <v>796</v>
      </c>
      <c r="D593" s="21" t="s">
        <v>119</v>
      </c>
      <c r="E593" s="21" t="s">
        <v>1230</v>
      </c>
      <c r="F593" s="21" t="s">
        <v>1681</v>
      </c>
      <c r="G593" s="21" t="s">
        <v>2902</v>
      </c>
      <c r="H593" s="21" t="s">
        <v>1314</v>
      </c>
      <c r="I593" s="21" t="s">
        <v>1735</v>
      </c>
      <c r="J593" s="21" t="s">
        <v>2316</v>
      </c>
      <c r="K593" s="22" t="s">
        <v>2903</v>
      </c>
      <c r="L593" s="21" t="s">
        <v>1368</v>
      </c>
      <c r="M593" s="21" t="s">
        <v>1819</v>
      </c>
    </row>
    <row r="594" spans="1:13" ht="15" hidden="1" customHeight="1" x14ac:dyDescent="0.25">
      <c r="A594" s="21" t="s">
        <v>2904</v>
      </c>
      <c r="B594" s="22" t="s">
        <v>1997</v>
      </c>
      <c r="C594" s="22" t="s">
        <v>797</v>
      </c>
      <c r="D594" s="21" t="s">
        <v>119</v>
      </c>
      <c r="E594" s="21" t="s">
        <v>1230</v>
      </c>
      <c r="F594" s="21" t="s">
        <v>1681</v>
      </c>
      <c r="G594" s="21" t="s">
        <v>2571</v>
      </c>
      <c r="H594" s="21" t="s">
        <v>1314</v>
      </c>
      <c r="I594" s="21" t="s">
        <v>1735</v>
      </c>
      <c r="J594" s="21" t="s">
        <v>2316</v>
      </c>
      <c r="K594" s="22" t="s">
        <v>2905</v>
      </c>
      <c r="L594" s="21" t="s">
        <v>1368</v>
      </c>
      <c r="M594" s="21" t="s">
        <v>1819</v>
      </c>
    </row>
    <row r="595" spans="1:13" ht="15" hidden="1" customHeight="1" x14ac:dyDescent="0.25">
      <c r="A595" s="21" t="s">
        <v>2906</v>
      </c>
      <c r="B595" s="22" t="s">
        <v>1998</v>
      </c>
      <c r="C595" s="22" t="s">
        <v>798</v>
      </c>
      <c r="D595" s="21" t="s">
        <v>119</v>
      </c>
      <c r="E595" s="21" t="s">
        <v>1239</v>
      </c>
      <c r="F595" s="21" t="s">
        <v>1251</v>
      </c>
      <c r="G595" s="21" t="s">
        <v>2907</v>
      </c>
      <c r="H595" s="21" t="s">
        <v>1314</v>
      </c>
      <c r="I595" s="21" t="s">
        <v>1735</v>
      </c>
      <c r="J595" s="21" t="s">
        <v>2316</v>
      </c>
      <c r="K595" s="22" t="s">
        <v>2908</v>
      </c>
      <c r="L595" s="21" t="s">
        <v>1368</v>
      </c>
      <c r="M595" s="21" t="s">
        <v>1819</v>
      </c>
    </row>
    <row r="596" spans="1:13" ht="15" hidden="1" customHeight="1" x14ac:dyDescent="0.25">
      <c r="A596" s="21" t="s">
        <v>2909</v>
      </c>
      <c r="B596" s="22" t="s">
        <v>2001</v>
      </c>
      <c r="C596" s="22" t="s">
        <v>799</v>
      </c>
      <c r="D596" s="21" t="s">
        <v>119</v>
      </c>
      <c r="E596" s="21" t="s">
        <v>1230</v>
      </c>
      <c r="F596" s="21" t="s">
        <v>1681</v>
      </c>
      <c r="G596" s="21" t="s">
        <v>2910</v>
      </c>
      <c r="H596" s="21" t="s">
        <v>1314</v>
      </c>
      <c r="I596" s="21" t="s">
        <v>1735</v>
      </c>
      <c r="J596" s="21" t="s">
        <v>2316</v>
      </c>
      <c r="K596" s="22" t="s">
        <v>2911</v>
      </c>
      <c r="L596" s="21" t="s">
        <v>1368</v>
      </c>
      <c r="M596" s="21" t="s">
        <v>1819</v>
      </c>
    </row>
    <row r="597" spans="1:13" ht="15" hidden="1" customHeight="1" x14ac:dyDescent="0.25">
      <c r="A597" s="21" t="s">
        <v>2912</v>
      </c>
      <c r="B597" s="22" t="s">
        <v>2002</v>
      </c>
      <c r="C597" s="22" t="s">
        <v>800</v>
      </c>
      <c r="D597" s="21" t="s">
        <v>119</v>
      </c>
      <c r="E597" s="21" t="s">
        <v>1230</v>
      </c>
      <c r="F597" s="21" t="s">
        <v>1681</v>
      </c>
      <c r="G597" s="21" t="s">
        <v>2913</v>
      </c>
      <c r="H597" s="21" t="s">
        <v>1314</v>
      </c>
      <c r="I597" s="21" t="s">
        <v>1735</v>
      </c>
      <c r="J597" s="21" t="s">
        <v>2316</v>
      </c>
      <c r="K597" s="22" t="s">
        <v>2914</v>
      </c>
      <c r="L597" s="21" t="s">
        <v>1368</v>
      </c>
      <c r="M597" s="21" t="s">
        <v>1819</v>
      </c>
    </row>
    <row r="598" spans="1:13" ht="15" hidden="1" customHeight="1" x14ac:dyDescent="0.25">
      <c r="A598" s="21" t="s">
        <v>2915</v>
      </c>
      <c r="B598" s="22" t="s">
        <v>2005</v>
      </c>
      <c r="C598" s="22" t="s">
        <v>2916</v>
      </c>
      <c r="D598" s="21" t="s">
        <v>119</v>
      </c>
      <c r="E598" s="21" t="s">
        <v>1254</v>
      </c>
      <c r="F598" s="21" t="s">
        <v>1532</v>
      </c>
      <c r="G598" s="21" t="s">
        <v>1664</v>
      </c>
      <c r="H598" s="21" t="s">
        <v>1314</v>
      </c>
      <c r="I598" s="21" t="s">
        <v>1735</v>
      </c>
      <c r="J598" s="21" t="s">
        <v>2809</v>
      </c>
      <c r="K598" s="22" t="s">
        <v>2917</v>
      </c>
      <c r="L598" s="21" t="s">
        <v>1368</v>
      </c>
      <c r="M598" s="21" t="s">
        <v>1819</v>
      </c>
    </row>
    <row r="599" spans="1:13" ht="15" hidden="1" customHeight="1" x14ac:dyDescent="0.25">
      <c r="A599" s="21" t="s">
        <v>2918</v>
      </c>
      <c r="B599" s="22" t="s">
        <v>2006</v>
      </c>
      <c r="C599" s="22"/>
      <c r="D599" s="21" t="s">
        <v>119</v>
      </c>
      <c r="E599" s="21"/>
      <c r="F599" s="21"/>
      <c r="G599" s="21"/>
      <c r="H599" s="21"/>
      <c r="I599" s="21"/>
      <c r="J599" s="21"/>
      <c r="K599" s="22"/>
      <c r="L599" s="21"/>
      <c r="M599" s="21"/>
    </row>
    <row r="600" spans="1:13" ht="15" hidden="1" customHeight="1" x14ac:dyDescent="0.25">
      <c r="A600" s="21" t="s">
        <v>2919</v>
      </c>
      <c r="B600" s="22" t="s">
        <v>2009</v>
      </c>
      <c r="C600" s="22"/>
      <c r="D600" s="21" t="s">
        <v>119</v>
      </c>
      <c r="E600" s="21"/>
      <c r="F600" s="21"/>
      <c r="G600" s="21"/>
      <c r="H600" s="21"/>
      <c r="I600" s="21"/>
      <c r="J600" s="21"/>
      <c r="K600" s="22"/>
      <c r="L600" s="21"/>
      <c r="M600" s="21"/>
    </row>
    <row r="601" spans="1:13" ht="15" hidden="1" customHeight="1" x14ac:dyDescent="0.25">
      <c r="A601" s="21" t="s">
        <v>2920</v>
      </c>
      <c r="B601" s="22" t="s">
        <v>2012</v>
      </c>
      <c r="C601" s="22" t="s">
        <v>2921</v>
      </c>
      <c r="D601" s="21" t="s">
        <v>119</v>
      </c>
      <c r="E601" s="21" t="s">
        <v>1254</v>
      </c>
      <c r="F601" s="21" t="s">
        <v>1532</v>
      </c>
      <c r="G601" s="21" t="s">
        <v>1664</v>
      </c>
      <c r="H601" s="21" t="s">
        <v>1314</v>
      </c>
      <c r="I601" s="21" t="s">
        <v>1735</v>
      </c>
      <c r="J601" s="21" t="s">
        <v>2809</v>
      </c>
      <c r="K601" s="22" t="s">
        <v>2922</v>
      </c>
      <c r="L601" s="21" t="s">
        <v>1368</v>
      </c>
      <c r="M601" s="21" t="s">
        <v>1819</v>
      </c>
    </row>
    <row r="602" spans="1:13" ht="15" hidden="1" customHeight="1" x14ac:dyDescent="0.25">
      <c r="A602" s="21" t="s">
        <v>2923</v>
      </c>
      <c r="B602" s="22" t="s">
        <v>2013</v>
      </c>
      <c r="C602" s="22" t="s">
        <v>801</v>
      </c>
      <c r="D602" s="21" t="s">
        <v>119</v>
      </c>
      <c r="E602" s="21" t="s">
        <v>2924</v>
      </c>
      <c r="F602" s="21" t="s">
        <v>2924</v>
      </c>
      <c r="G602" s="21"/>
      <c r="H602" s="21" t="s">
        <v>1624</v>
      </c>
      <c r="I602" s="21" t="s">
        <v>2309</v>
      </c>
      <c r="J602" s="21" t="s">
        <v>2925</v>
      </c>
      <c r="K602" s="22" t="s">
        <v>2926</v>
      </c>
      <c r="L602" s="21" t="s">
        <v>1627</v>
      </c>
      <c r="M602" s="21" t="s">
        <v>1830</v>
      </c>
    </row>
    <row r="603" spans="1:13" ht="15" hidden="1" customHeight="1" x14ac:dyDescent="0.25">
      <c r="A603" s="21" t="s">
        <v>2927</v>
      </c>
      <c r="B603" s="22" t="s">
        <v>2015</v>
      </c>
      <c r="C603" s="22" t="s">
        <v>802</v>
      </c>
      <c r="D603" s="21" t="s">
        <v>119</v>
      </c>
      <c r="E603" s="21" t="s">
        <v>1265</v>
      </c>
      <c r="F603" s="21" t="s">
        <v>1265</v>
      </c>
      <c r="G603" s="21" t="s">
        <v>2928</v>
      </c>
      <c r="H603" s="21" t="s">
        <v>1624</v>
      </c>
      <c r="I603" s="21" t="s">
        <v>2309</v>
      </c>
      <c r="J603" s="21" t="s">
        <v>2925</v>
      </c>
      <c r="K603" s="22" t="s">
        <v>2929</v>
      </c>
      <c r="L603" s="21" t="s">
        <v>1627</v>
      </c>
      <c r="M603" s="21" t="s">
        <v>1830</v>
      </c>
    </row>
    <row r="604" spans="1:13" ht="15" hidden="1" customHeight="1" x14ac:dyDescent="0.25">
      <c r="A604" s="21" t="s">
        <v>2930</v>
      </c>
      <c r="B604" s="22" t="s">
        <v>2018</v>
      </c>
      <c r="C604" s="22" t="s">
        <v>803</v>
      </c>
      <c r="D604" s="21" t="s">
        <v>119</v>
      </c>
      <c r="E604" s="21" t="s">
        <v>1272</v>
      </c>
      <c r="F604" s="21" t="s">
        <v>1272</v>
      </c>
      <c r="G604" s="21" t="s">
        <v>2931</v>
      </c>
      <c r="H604" s="21" t="s">
        <v>1624</v>
      </c>
      <c r="I604" s="21" t="s">
        <v>2309</v>
      </c>
      <c r="J604" s="21" t="s">
        <v>2925</v>
      </c>
      <c r="K604" s="22" t="s">
        <v>2932</v>
      </c>
      <c r="L604" s="21" t="s">
        <v>1627</v>
      </c>
      <c r="M604" s="21" t="s">
        <v>1830</v>
      </c>
    </row>
    <row r="605" spans="1:13" ht="15" hidden="1" customHeight="1" x14ac:dyDescent="0.25">
      <c r="A605" s="21" t="s">
        <v>2933</v>
      </c>
      <c r="B605" s="22" t="s">
        <v>2019</v>
      </c>
      <c r="C605" s="22" t="s">
        <v>804</v>
      </c>
      <c r="D605" s="21" t="s">
        <v>119</v>
      </c>
      <c r="E605" s="21" t="s">
        <v>1272</v>
      </c>
      <c r="F605" s="21" t="s">
        <v>1272</v>
      </c>
      <c r="G605" s="21" t="s">
        <v>2360</v>
      </c>
      <c r="H605" s="21" t="s">
        <v>1624</v>
      </c>
      <c r="I605" s="21" t="s">
        <v>2309</v>
      </c>
      <c r="J605" s="21" t="s">
        <v>2925</v>
      </c>
      <c r="K605" s="22" t="s">
        <v>2934</v>
      </c>
      <c r="L605" s="21" t="s">
        <v>1627</v>
      </c>
      <c r="M605" s="21" t="s">
        <v>1830</v>
      </c>
    </row>
    <row r="606" spans="1:13" ht="15" hidden="1" customHeight="1" x14ac:dyDescent="0.25">
      <c r="A606" s="21" t="s">
        <v>2935</v>
      </c>
      <c r="B606" s="22" t="s">
        <v>2021</v>
      </c>
      <c r="C606" s="22" t="s">
        <v>805</v>
      </c>
      <c r="D606" s="21" t="s">
        <v>119</v>
      </c>
      <c r="E606" s="21" t="s">
        <v>1265</v>
      </c>
      <c r="F606" s="21" t="s">
        <v>1265</v>
      </c>
      <c r="G606" s="21" t="s">
        <v>2936</v>
      </c>
      <c r="H606" s="21" t="s">
        <v>1624</v>
      </c>
      <c r="I606" s="21" t="s">
        <v>2309</v>
      </c>
      <c r="J606" s="21" t="s">
        <v>2925</v>
      </c>
      <c r="K606" s="22" t="s">
        <v>2937</v>
      </c>
      <c r="L606" s="21" t="s">
        <v>1627</v>
      </c>
      <c r="M606" s="21" t="s">
        <v>1830</v>
      </c>
    </row>
    <row r="607" spans="1:13" ht="15" hidden="1" customHeight="1" x14ac:dyDescent="0.25">
      <c r="A607" s="21" t="s">
        <v>2938</v>
      </c>
      <c r="B607" s="22" t="s">
        <v>2023</v>
      </c>
      <c r="C607" s="22" t="s">
        <v>806</v>
      </c>
      <c r="D607" s="21" t="s">
        <v>119</v>
      </c>
      <c r="E607" s="21" t="s">
        <v>1265</v>
      </c>
      <c r="F607" s="21" t="s">
        <v>1265</v>
      </c>
      <c r="G607" s="21" t="s">
        <v>2939</v>
      </c>
      <c r="H607" s="21" t="s">
        <v>1624</v>
      </c>
      <c r="I607" s="21" t="s">
        <v>2309</v>
      </c>
      <c r="J607" s="21" t="s">
        <v>2925</v>
      </c>
      <c r="K607" s="22" t="s">
        <v>2940</v>
      </c>
      <c r="L607" s="21" t="s">
        <v>1627</v>
      </c>
      <c r="M607" s="21" t="s">
        <v>1830</v>
      </c>
    </row>
    <row r="608" spans="1:13" ht="15" hidden="1" customHeight="1" x14ac:dyDescent="0.25">
      <c r="A608" s="21" t="s">
        <v>2941</v>
      </c>
      <c r="B608" s="22" t="s">
        <v>2024</v>
      </c>
      <c r="C608" s="22" t="s">
        <v>807</v>
      </c>
      <c r="D608" s="21" t="s">
        <v>119</v>
      </c>
      <c r="E608" s="21" t="s">
        <v>1265</v>
      </c>
      <c r="F608" s="21" t="s">
        <v>1265</v>
      </c>
      <c r="G608" s="21" t="s">
        <v>2942</v>
      </c>
      <c r="H608" s="21" t="s">
        <v>1624</v>
      </c>
      <c r="I608" s="21" t="s">
        <v>2309</v>
      </c>
      <c r="J608" s="21" t="s">
        <v>2925</v>
      </c>
      <c r="K608" s="22" t="s">
        <v>2943</v>
      </c>
      <c r="L608" s="21" t="s">
        <v>1627</v>
      </c>
      <c r="M608" s="21" t="s">
        <v>1830</v>
      </c>
    </row>
    <row r="609" spans="1:13" ht="15" hidden="1" customHeight="1" x14ac:dyDescent="0.25">
      <c r="A609" s="21" t="s">
        <v>2944</v>
      </c>
      <c r="B609" s="22" t="s">
        <v>2026</v>
      </c>
      <c r="C609" s="22" t="s">
        <v>808</v>
      </c>
      <c r="D609" s="21" t="s">
        <v>119</v>
      </c>
      <c r="E609" s="21" t="s">
        <v>1272</v>
      </c>
      <c r="F609" s="21" t="s">
        <v>1272</v>
      </c>
      <c r="G609" s="21" t="s">
        <v>2945</v>
      </c>
      <c r="H609" s="21" t="s">
        <v>1624</v>
      </c>
      <c r="I609" s="21" t="s">
        <v>2309</v>
      </c>
      <c r="J609" s="21" t="s">
        <v>2925</v>
      </c>
      <c r="K609" s="22" t="s">
        <v>2946</v>
      </c>
      <c r="L609" s="21" t="s">
        <v>1627</v>
      </c>
      <c r="M609" s="21" t="s">
        <v>1830</v>
      </c>
    </row>
    <row r="610" spans="1:13" ht="15" hidden="1" customHeight="1" x14ac:dyDescent="0.25">
      <c r="A610" s="21" t="s">
        <v>2947</v>
      </c>
      <c r="B610" s="22" t="s">
        <v>2029</v>
      </c>
      <c r="C610" s="22"/>
      <c r="D610" s="21" t="s">
        <v>119</v>
      </c>
      <c r="E610" s="21"/>
      <c r="F610" s="21"/>
      <c r="G610" s="21"/>
      <c r="H610" s="21"/>
      <c r="I610" s="21"/>
      <c r="J610" s="21"/>
      <c r="K610" s="22"/>
      <c r="L610" s="21"/>
      <c r="M610" s="21"/>
    </row>
    <row r="611" spans="1:13" ht="15" hidden="1" customHeight="1" x14ac:dyDescent="0.25">
      <c r="A611" s="21" t="s">
        <v>2948</v>
      </c>
      <c r="B611" s="22" t="s">
        <v>2030</v>
      </c>
      <c r="C611" s="22" t="s">
        <v>809</v>
      </c>
      <c r="D611" s="21" t="s">
        <v>119</v>
      </c>
      <c r="E611" s="21" t="s">
        <v>1272</v>
      </c>
      <c r="F611" s="21" t="s">
        <v>1272</v>
      </c>
      <c r="G611" s="21" t="s">
        <v>2949</v>
      </c>
      <c r="H611" s="21" t="s">
        <v>1624</v>
      </c>
      <c r="I611" s="21" t="s">
        <v>2309</v>
      </c>
      <c r="J611" s="21" t="s">
        <v>2925</v>
      </c>
      <c r="K611" s="22" t="s">
        <v>2950</v>
      </c>
      <c r="L611" s="21" t="s">
        <v>1627</v>
      </c>
      <c r="M611" s="21" t="s">
        <v>1830</v>
      </c>
    </row>
    <row r="612" spans="1:13" ht="15" hidden="1" customHeight="1" x14ac:dyDescent="0.25">
      <c r="A612" s="21" t="s">
        <v>2951</v>
      </c>
      <c r="B612" s="22" t="s">
        <v>2032</v>
      </c>
      <c r="C612" s="22" t="s">
        <v>810</v>
      </c>
      <c r="D612" s="21" t="s">
        <v>119</v>
      </c>
      <c r="E612" s="21" t="s">
        <v>1272</v>
      </c>
      <c r="F612" s="21" t="s">
        <v>1272</v>
      </c>
      <c r="G612" s="21" t="s">
        <v>2343</v>
      </c>
      <c r="H612" s="21" t="s">
        <v>1624</v>
      </c>
      <c r="I612" s="21" t="s">
        <v>2309</v>
      </c>
      <c r="J612" s="21" t="s">
        <v>2925</v>
      </c>
      <c r="K612" s="22" t="s">
        <v>2952</v>
      </c>
      <c r="L612" s="21" t="s">
        <v>1627</v>
      </c>
      <c r="M612" s="21" t="s">
        <v>1830</v>
      </c>
    </row>
    <row r="613" spans="1:13" ht="15" hidden="1" customHeight="1" x14ac:dyDescent="0.25">
      <c r="A613" s="21" t="s">
        <v>2953</v>
      </c>
      <c r="B613" s="22" t="s">
        <v>2033</v>
      </c>
      <c r="C613" s="22" t="s">
        <v>811</v>
      </c>
      <c r="D613" s="21" t="s">
        <v>119</v>
      </c>
      <c r="E613" s="21" t="s">
        <v>1272</v>
      </c>
      <c r="F613" s="21" t="s">
        <v>1272</v>
      </c>
      <c r="G613" s="21" t="s">
        <v>2343</v>
      </c>
      <c r="H613" s="21" t="s">
        <v>1624</v>
      </c>
      <c r="I613" s="21" t="s">
        <v>2309</v>
      </c>
      <c r="J613" s="21" t="s">
        <v>2925</v>
      </c>
      <c r="K613" s="22" t="s">
        <v>2954</v>
      </c>
      <c r="L613" s="21" t="s">
        <v>1627</v>
      </c>
      <c r="M613" s="21" t="s">
        <v>1830</v>
      </c>
    </row>
    <row r="614" spans="1:13" ht="15" hidden="1" customHeight="1" x14ac:dyDescent="0.25">
      <c r="A614" s="21" t="s">
        <v>2955</v>
      </c>
      <c r="B614" s="22" t="s">
        <v>2035</v>
      </c>
      <c r="C614" s="22" t="s">
        <v>2956</v>
      </c>
      <c r="D614" s="21" t="s">
        <v>119</v>
      </c>
      <c r="E614" s="21" t="s">
        <v>1275</v>
      </c>
      <c r="F614" s="21" t="s">
        <v>1561</v>
      </c>
      <c r="G614" s="21"/>
      <c r="H614" s="21" t="s">
        <v>1624</v>
      </c>
      <c r="I614" s="21" t="s">
        <v>2309</v>
      </c>
      <c r="J614" s="21" t="s">
        <v>2925</v>
      </c>
      <c r="K614" s="22" t="s">
        <v>2957</v>
      </c>
      <c r="L614" s="21" t="s">
        <v>1627</v>
      </c>
      <c r="M614" s="21" t="s">
        <v>1830</v>
      </c>
    </row>
    <row r="615" spans="1:13" ht="15" hidden="1" customHeight="1" x14ac:dyDescent="0.25">
      <c r="A615" s="21" t="s">
        <v>2958</v>
      </c>
      <c r="B615" s="22" t="s">
        <v>2036</v>
      </c>
      <c r="C615" s="22" t="s">
        <v>2959</v>
      </c>
      <c r="D615" s="21" t="s">
        <v>119</v>
      </c>
      <c r="E615" s="21" t="s">
        <v>1275</v>
      </c>
      <c r="F615" s="21" t="s">
        <v>1561</v>
      </c>
      <c r="G615" s="21" t="s">
        <v>2960</v>
      </c>
      <c r="H615" s="21" t="s">
        <v>1624</v>
      </c>
      <c r="I615" s="21" t="s">
        <v>2309</v>
      </c>
      <c r="J615" s="21" t="s">
        <v>2925</v>
      </c>
      <c r="K615" s="22" t="s">
        <v>2961</v>
      </c>
      <c r="L615" s="21" t="s">
        <v>1627</v>
      </c>
      <c r="M615" s="21" t="s">
        <v>1830</v>
      </c>
    </row>
    <row r="616" spans="1:13" ht="15" hidden="1" customHeight="1" x14ac:dyDescent="0.25">
      <c r="A616" s="21" t="s">
        <v>2962</v>
      </c>
      <c r="B616" s="22" t="s">
        <v>2037</v>
      </c>
      <c r="C616" s="22" t="s">
        <v>812</v>
      </c>
      <c r="D616" s="21" t="s">
        <v>119</v>
      </c>
      <c r="E616" s="21" t="s">
        <v>1241</v>
      </c>
      <c r="F616" s="21" t="s">
        <v>1241</v>
      </c>
      <c r="G616" s="21" t="s">
        <v>1863</v>
      </c>
      <c r="H616" s="21" t="s">
        <v>1624</v>
      </c>
      <c r="I616" s="21" t="s">
        <v>1909</v>
      </c>
      <c r="J616" s="21" t="s">
        <v>2963</v>
      </c>
      <c r="K616" s="22" t="s">
        <v>2964</v>
      </c>
      <c r="L616" s="21" t="s">
        <v>1368</v>
      </c>
      <c r="M616" s="21" t="s">
        <v>1819</v>
      </c>
    </row>
    <row r="617" spans="1:13" ht="15" hidden="1" customHeight="1" x14ac:dyDescent="0.25">
      <c r="A617" s="21" t="s">
        <v>2965</v>
      </c>
      <c r="B617" s="22" t="s">
        <v>2038</v>
      </c>
      <c r="C617" s="22" t="s">
        <v>813</v>
      </c>
      <c r="D617" s="21" t="s">
        <v>119</v>
      </c>
      <c r="E617" s="21" t="s">
        <v>1265</v>
      </c>
      <c r="F617" s="21" t="s">
        <v>1265</v>
      </c>
      <c r="G617" s="21" t="s">
        <v>2966</v>
      </c>
      <c r="H617" s="21" t="s">
        <v>1624</v>
      </c>
      <c r="I617" s="21" t="s">
        <v>1909</v>
      </c>
      <c r="J617" s="21" t="s">
        <v>2963</v>
      </c>
      <c r="K617" s="22" t="s">
        <v>2967</v>
      </c>
      <c r="L617" s="21" t="s">
        <v>1368</v>
      </c>
      <c r="M617" s="21" t="s">
        <v>1819</v>
      </c>
    </row>
    <row r="618" spans="1:13" ht="15" hidden="1" customHeight="1" x14ac:dyDescent="0.25">
      <c r="A618" s="21" t="s">
        <v>2968</v>
      </c>
      <c r="B618" s="22" t="s">
        <v>2040</v>
      </c>
      <c r="C618" s="22" t="s">
        <v>814</v>
      </c>
      <c r="D618" s="21" t="s">
        <v>119</v>
      </c>
      <c r="E618" s="21" t="s">
        <v>1265</v>
      </c>
      <c r="F618" s="21" t="s">
        <v>1265</v>
      </c>
      <c r="G618" s="21" t="s">
        <v>1863</v>
      </c>
      <c r="H618" s="21" t="s">
        <v>1314</v>
      </c>
      <c r="I618" s="21" t="s">
        <v>1735</v>
      </c>
      <c r="J618" s="21" t="s">
        <v>2316</v>
      </c>
      <c r="K618" s="22" t="s">
        <v>2969</v>
      </c>
      <c r="L618" s="21" t="s">
        <v>1368</v>
      </c>
      <c r="M618" s="21" t="s">
        <v>1819</v>
      </c>
    </row>
    <row r="619" spans="1:13" ht="15" hidden="1" customHeight="1" x14ac:dyDescent="0.25">
      <c r="A619" s="21" t="s">
        <v>2970</v>
      </c>
      <c r="B619" s="22" t="s">
        <v>2043</v>
      </c>
      <c r="C619" s="22" t="s">
        <v>815</v>
      </c>
      <c r="D619" s="21" t="s">
        <v>119</v>
      </c>
      <c r="E619" s="21" t="s">
        <v>1226</v>
      </c>
      <c r="F619" s="21" t="s">
        <v>1226</v>
      </c>
      <c r="G619" s="21" t="s">
        <v>2971</v>
      </c>
      <c r="H619" s="21" t="s">
        <v>1314</v>
      </c>
      <c r="I619" s="21" t="s">
        <v>1735</v>
      </c>
      <c r="J619" s="21" t="s">
        <v>2316</v>
      </c>
      <c r="K619" s="22" t="s">
        <v>2972</v>
      </c>
      <c r="L619" s="21" t="s">
        <v>1368</v>
      </c>
      <c r="M619" s="21" t="s">
        <v>1819</v>
      </c>
    </row>
    <row r="620" spans="1:13" ht="15" hidden="1" customHeight="1" x14ac:dyDescent="0.25">
      <c r="A620" s="21" t="s">
        <v>2973</v>
      </c>
      <c r="B620" s="22" t="s">
        <v>2045</v>
      </c>
      <c r="C620" s="22" t="s">
        <v>2974</v>
      </c>
      <c r="D620" s="21" t="s">
        <v>119</v>
      </c>
      <c r="E620" s="21" t="s">
        <v>1204</v>
      </c>
      <c r="F620" s="21" t="s">
        <v>1660</v>
      </c>
      <c r="G620" s="21" t="s">
        <v>1554</v>
      </c>
      <c r="H620" s="21" t="s">
        <v>1314</v>
      </c>
      <c r="I620" s="21" t="s">
        <v>1735</v>
      </c>
      <c r="J620" s="21" t="s">
        <v>2316</v>
      </c>
      <c r="K620" s="22" t="s">
        <v>2975</v>
      </c>
      <c r="L620" s="21" t="s">
        <v>1368</v>
      </c>
      <c r="M620" s="21" t="s">
        <v>1819</v>
      </c>
    </row>
    <row r="621" spans="1:13" ht="15" hidden="1" customHeight="1" x14ac:dyDescent="0.25">
      <c r="A621" s="21" t="s">
        <v>2976</v>
      </c>
      <c r="B621" s="22" t="s">
        <v>2046</v>
      </c>
      <c r="C621" s="22" t="s">
        <v>816</v>
      </c>
      <c r="D621" s="21" t="s">
        <v>119</v>
      </c>
      <c r="E621" s="21" t="s">
        <v>1240</v>
      </c>
      <c r="F621" s="21" t="s">
        <v>1448</v>
      </c>
      <c r="G621" s="21" t="s">
        <v>2400</v>
      </c>
      <c r="H621" s="21" t="s">
        <v>1314</v>
      </c>
      <c r="I621" s="21" t="s">
        <v>1735</v>
      </c>
      <c r="J621" s="21" t="s">
        <v>2316</v>
      </c>
      <c r="K621" s="22" t="s">
        <v>2977</v>
      </c>
      <c r="L621" s="21" t="s">
        <v>1368</v>
      </c>
      <c r="M621" s="21" t="s">
        <v>1819</v>
      </c>
    </row>
    <row r="622" spans="1:13" ht="15" hidden="1" customHeight="1" x14ac:dyDescent="0.25">
      <c r="A622" s="21" t="s">
        <v>2978</v>
      </c>
      <c r="B622" s="22" t="s">
        <v>2048</v>
      </c>
      <c r="C622" s="22" t="s">
        <v>817</v>
      </c>
      <c r="D622" s="21" t="s">
        <v>119</v>
      </c>
      <c r="E622" s="21" t="s">
        <v>1226</v>
      </c>
      <c r="F622" s="21" t="s">
        <v>1226</v>
      </c>
      <c r="G622" s="21" t="s">
        <v>2979</v>
      </c>
      <c r="H622" s="21" t="s">
        <v>1314</v>
      </c>
      <c r="I622" s="21" t="s">
        <v>1735</v>
      </c>
      <c r="J622" s="21" t="s">
        <v>2316</v>
      </c>
      <c r="K622" s="22" t="s">
        <v>2980</v>
      </c>
      <c r="L622" s="21" t="s">
        <v>1368</v>
      </c>
      <c r="M622" s="21" t="s">
        <v>1819</v>
      </c>
    </row>
    <row r="623" spans="1:13" ht="15" hidden="1" customHeight="1" x14ac:dyDescent="0.25">
      <c r="A623" s="21" t="s">
        <v>2981</v>
      </c>
      <c r="B623" s="22" t="s">
        <v>2050</v>
      </c>
      <c r="C623" s="22" t="s">
        <v>818</v>
      </c>
      <c r="D623" s="21" t="s">
        <v>119</v>
      </c>
      <c r="E623" s="21" t="s">
        <v>1240</v>
      </c>
      <c r="F623" s="21" t="s">
        <v>1529</v>
      </c>
      <c r="G623" s="21" t="s">
        <v>2688</v>
      </c>
      <c r="H623" s="21" t="s">
        <v>1314</v>
      </c>
      <c r="I623" s="21" t="s">
        <v>1735</v>
      </c>
      <c r="J623" s="21" t="s">
        <v>2316</v>
      </c>
      <c r="K623" s="22" t="s">
        <v>2982</v>
      </c>
      <c r="L623" s="21" t="s">
        <v>1368</v>
      </c>
      <c r="M623" s="21" t="s">
        <v>1819</v>
      </c>
    </row>
    <row r="624" spans="1:13" ht="15" hidden="1" customHeight="1" x14ac:dyDescent="0.25">
      <c r="A624" s="21" t="s">
        <v>2983</v>
      </c>
      <c r="B624" s="22" t="s">
        <v>2053</v>
      </c>
      <c r="C624" s="22" t="s">
        <v>819</v>
      </c>
      <c r="D624" s="21" t="s">
        <v>119</v>
      </c>
      <c r="E624" s="21" t="s">
        <v>1266</v>
      </c>
      <c r="F624" s="21" t="s">
        <v>1632</v>
      </c>
      <c r="G624" s="21" t="s">
        <v>2984</v>
      </c>
      <c r="H624" s="21" t="s">
        <v>1314</v>
      </c>
      <c r="I624" s="21" t="s">
        <v>1735</v>
      </c>
      <c r="J624" s="21" t="s">
        <v>2316</v>
      </c>
      <c r="K624" s="22" t="s">
        <v>2985</v>
      </c>
      <c r="L624" s="21" t="s">
        <v>1368</v>
      </c>
      <c r="M624" s="21" t="s">
        <v>1819</v>
      </c>
    </row>
    <row r="625" spans="1:13" ht="15" hidden="1" customHeight="1" x14ac:dyDescent="0.25">
      <c r="A625" s="21" t="s">
        <v>2986</v>
      </c>
      <c r="B625" s="22" t="s">
        <v>2056</v>
      </c>
      <c r="C625" s="22" t="s">
        <v>820</v>
      </c>
      <c r="D625" s="21" t="s">
        <v>119</v>
      </c>
      <c r="E625" s="21" t="s">
        <v>1204</v>
      </c>
      <c r="F625" s="21" t="s">
        <v>2662</v>
      </c>
      <c r="G625" s="21" t="s">
        <v>2987</v>
      </c>
      <c r="H625" s="21" t="s">
        <v>1314</v>
      </c>
      <c r="I625" s="21" t="s">
        <v>1735</v>
      </c>
      <c r="J625" s="21" t="s">
        <v>2316</v>
      </c>
      <c r="K625" s="22" t="s">
        <v>2988</v>
      </c>
      <c r="L625" s="21" t="s">
        <v>1368</v>
      </c>
      <c r="M625" s="21" t="s">
        <v>1819</v>
      </c>
    </row>
    <row r="626" spans="1:13" ht="15" hidden="1" customHeight="1" x14ac:dyDescent="0.25">
      <c r="A626" s="21" t="s">
        <v>2989</v>
      </c>
      <c r="B626" s="22" t="s">
        <v>2057</v>
      </c>
      <c r="C626" s="22" t="s">
        <v>821</v>
      </c>
      <c r="D626" s="21" t="s">
        <v>119</v>
      </c>
      <c r="E626" s="21" t="s">
        <v>1216</v>
      </c>
      <c r="F626" s="21" t="s">
        <v>1537</v>
      </c>
      <c r="G626" s="21" t="s">
        <v>2990</v>
      </c>
      <c r="H626" s="21" t="s">
        <v>1314</v>
      </c>
      <c r="I626" s="21" t="s">
        <v>1735</v>
      </c>
      <c r="J626" s="21" t="s">
        <v>2316</v>
      </c>
      <c r="K626" s="22" t="s">
        <v>2991</v>
      </c>
      <c r="L626" s="21" t="s">
        <v>1368</v>
      </c>
      <c r="M626" s="21" t="s">
        <v>1819</v>
      </c>
    </row>
    <row r="627" spans="1:13" ht="15" hidden="1" customHeight="1" x14ac:dyDescent="0.25">
      <c r="A627" s="21" t="s">
        <v>2992</v>
      </c>
      <c r="B627" s="22" t="s">
        <v>2058</v>
      </c>
      <c r="C627" s="22" t="s">
        <v>822</v>
      </c>
      <c r="D627" s="21" t="s">
        <v>119</v>
      </c>
      <c r="E627" s="21" t="s">
        <v>1245</v>
      </c>
      <c r="F627" s="21" t="s">
        <v>1518</v>
      </c>
      <c r="G627" s="21" t="s">
        <v>1519</v>
      </c>
      <c r="H627" s="21" t="s">
        <v>1314</v>
      </c>
      <c r="I627" s="21" t="s">
        <v>1735</v>
      </c>
      <c r="J627" s="21" t="s">
        <v>2316</v>
      </c>
      <c r="K627" s="22" t="s">
        <v>2993</v>
      </c>
      <c r="L627" s="21" t="s">
        <v>1368</v>
      </c>
      <c r="M627" s="21" t="s">
        <v>1819</v>
      </c>
    </row>
    <row r="628" spans="1:13" ht="15" hidden="1" customHeight="1" x14ac:dyDescent="0.25">
      <c r="A628" s="21" t="s">
        <v>2994</v>
      </c>
      <c r="B628" s="22" t="s">
        <v>2060</v>
      </c>
      <c r="C628" s="22" t="s">
        <v>823</v>
      </c>
      <c r="D628" s="21" t="s">
        <v>119</v>
      </c>
      <c r="E628" s="21" t="s">
        <v>1216</v>
      </c>
      <c r="F628" s="21" t="s">
        <v>1537</v>
      </c>
      <c r="G628" s="21" t="s">
        <v>2995</v>
      </c>
      <c r="H628" s="21" t="s">
        <v>1314</v>
      </c>
      <c r="I628" s="21" t="s">
        <v>1735</v>
      </c>
      <c r="J628" s="21" t="s">
        <v>2316</v>
      </c>
      <c r="K628" s="22" t="s">
        <v>2996</v>
      </c>
      <c r="L628" s="21" t="s">
        <v>1368</v>
      </c>
      <c r="M628" s="21" t="s">
        <v>1819</v>
      </c>
    </row>
    <row r="629" spans="1:13" ht="15" hidden="1" customHeight="1" x14ac:dyDescent="0.25">
      <c r="A629" s="21" t="s">
        <v>2997</v>
      </c>
      <c r="B629" s="22" t="s">
        <v>2062</v>
      </c>
      <c r="C629" s="22" t="s">
        <v>824</v>
      </c>
      <c r="D629" s="21" t="s">
        <v>119</v>
      </c>
      <c r="E629" s="21" t="s">
        <v>1216</v>
      </c>
      <c r="F629" s="21" t="s">
        <v>1537</v>
      </c>
      <c r="G629" s="21" t="s">
        <v>2998</v>
      </c>
      <c r="H629" s="21" t="s">
        <v>1314</v>
      </c>
      <c r="I629" s="21" t="s">
        <v>1735</v>
      </c>
      <c r="J629" s="21" t="s">
        <v>2316</v>
      </c>
      <c r="K629" s="22" t="s">
        <v>2999</v>
      </c>
      <c r="L629" s="21" t="s">
        <v>1368</v>
      </c>
      <c r="M629" s="21" t="s">
        <v>1819</v>
      </c>
    </row>
    <row r="630" spans="1:13" ht="15" hidden="1" customHeight="1" x14ac:dyDescent="0.25">
      <c r="A630" s="21" t="s">
        <v>3000</v>
      </c>
      <c r="B630" s="22" t="s">
        <v>2064</v>
      </c>
      <c r="C630" s="22" t="s">
        <v>825</v>
      </c>
      <c r="D630" s="21" t="s">
        <v>119</v>
      </c>
      <c r="E630" s="21" t="s">
        <v>1216</v>
      </c>
      <c r="F630" s="21" t="s">
        <v>1537</v>
      </c>
      <c r="G630" s="21" t="s">
        <v>3001</v>
      </c>
      <c r="H630" s="21" t="s">
        <v>1314</v>
      </c>
      <c r="I630" s="21" t="s">
        <v>1735</v>
      </c>
      <c r="J630" s="21" t="s">
        <v>2316</v>
      </c>
      <c r="K630" s="22" t="s">
        <v>3002</v>
      </c>
      <c r="L630" s="21" t="s">
        <v>1368</v>
      </c>
      <c r="M630" s="21" t="s">
        <v>1819</v>
      </c>
    </row>
    <row r="631" spans="1:13" ht="15" hidden="1" customHeight="1" x14ac:dyDescent="0.25">
      <c r="A631" s="21" t="s">
        <v>3003</v>
      </c>
      <c r="B631" s="22" t="s">
        <v>2066</v>
      </c>
      <c r="C631" s="22" t="s">
        <v>826</v>
      </c>
      <c r="D631" s="21" t="s">
        <v>119</v>
      </c>
      <c r="E631" s="21" t="s">
        <v>1226</v>
      </c>
      <c r="F631" s="21" t="s">
        <v>1226</v>
      </c>
      <c r="G631" s="21" t="s">
        <v>2971</v>
      </c>
      <c r="H631" s="21" t="s">
        <v>1314</v>
      </c>
      <c r="I631" s="21" t="s">
        <v>1735</v>
      </c>
      <c r="J631" s="21" t="s">
        <v>2316</v>
      </c>
      <c r="K631" s="22" t="s">
        <v>3004</v>
      </c>
      <c r="L631" s="21" t="s">
        <v>1368</v>
      </c>
      <c r="M631" s="21" t="s">
        <v>1819</v>
      </c>
    </row>
    <row r="632" spans="1:13" ht="15" hidden="1" customHeight="1" x14ac:dyDescent="0.25">
      <c r="A632" s="21" t="s">
        <v>3005</v>
      </c>
      <c r="B632" s="22" t="s">
        <v>2070</v>
      </c>
      <c r="C632" s="22" t="s">
        <v>827</v>
      </c>
      <c r="D632" s="21" t="s">
        <v>119</v>
      </c>
      <c r="E632" s="21" t="s">
        <v>1204</v>
      </c>
      <c r="F632" s="21" t="s">
        <v>1660</v>
      </c>
      <c r="G632" s="21" t="s">
        <v>2665</v>
      </c>
      <c r="H632" s="21" t="s">
        <v>1314</v>
      </c>
      <c r="I632" s="21" t="s">
        <v>1735</v>
      </c>
      <c r="J632" s="21" t="s">
        <v>2316</v>
      </c>
      <c r="K632" s="22" t="s">
        <v>3006</v>
      </c>
      <c r="L632" s="21" t="s">
        <v>1368</v>
      </c>
      <c r="M632" s="21" t="s">
        <v>1819</v>
      </c>
    </row>
    <row r="633" spans="1:13" ht="15" hidden="1" customHeight="1" x14ac:dyDescent="0.25">
      <c r="A633" s="21" t="s">
        <v>3007</v>
      </c>
      <c r="B633" s="22" t="s">
        <v>2072</v>
      </c>
      <c r="C633" s="22" t="s">
        <v>828</v>
      </c>
      <c r="D633" s="21" t="s">
        <v>119</v>
      </c>
      <c r="E633" s="21" t="s">
        <v>1216</v>
      </c>
      <c r="F633" s="21" t="s">
        <v>1537</v>
      </c>
      <c r="G633" s="21" t="s">
        <v>3008</v>
      </c>
      <c r="H633" s="21" t="s">
        <v>1314</v>
      </c>
      <c r="I633" s="21" t="s">
        <v>1735</v>
      </c>
      <c r="J633" s="21" t="s">
        <v>2316</v>
      </c>
      <c r="K633" s="22" t="s">
        <v>3009</v>
      </c>
      <c r="L633" s="21" t="s">
        <v>1368</v>
      </c>
      <c r="M633" s="21" t="s">
        <v>1819</v>
      </c>
    </row>
    <row r="634" spans="1:13" ht="15" hidden="1" customHeight="1" x14ac:dyDescent="0.25">
      <c r="A634" s="21" t="s">
        <v>3010</v>
      </c>
      <c r="B634" s="22" t="s">
        <v>2074</v>
      </c>
      <c r="C634" s="22" t="s">
        <v>829</v>
      </c>
      <c r="D634" s="21" t="s">
        <v>119</v>
      </c>
      <c r="E634" s="21" t="s">
        <v>1226</v>
      </c>
      <c r="F634" s="21" t="s">
        <v>1226</v>
      </c>
      <c r="G634" s="21" t="s">
        <v>3011</v>
      </c>
      <c r="H634" s="21" t="s">
        <v>1314</v>
      </c>
      <c r="I634" s="21" t="s">
        <v>1735</v>
      </c>
      <c r="J634" s="21" t="s">
        <v>2316</v>
      </c>
      <c r="K634" s="22" t="s">
        <v>3012</v>
      </c>
      <c r="L634" s="21" t="s">
        <v>1368</v>
      </c>
      <c r="M634" s="21" t="s">
        <v>1819</v>
      </c>
    </row>
    <row r="635" spans="1:13" ht="15" hidden="1" customHeight="1" x14ac:dyDescent="0.25">
      <c r="A635" s="21" t="s">
        <v>3013</v>
      </c>
      <c r="B635" s="22" t="s">
        <v>2076</v>
      </c>
      <c r="C635" s="22" t="s">
        <v>830</v>
      </c>
      <c r="D635" s="21" t="s">
        <v>119</v>
      </c>
      <c r="E635" s="21" t="s">
        <v>1227</v>
      </c>
      <c r="F635" s="21" t="s">
        <v>1227</v>
      </c>
      <c r="G635" s="21"/>
      <c r="H635" s="21" t="s">
        <v>2396</v>
      </c>
      <c r="I635" s="21" t="s">
        <v>1909</v>
      </c>
      <c r="J635" s="21" t="s">
        <v>3014</v>
      </c>
      <c r="K635" s="22" t="s">
        <v>3015</v>
      </c>
      <c r="L635" s="21" t="s">
        <v>1290</v>
      </c>
      <c r="M635" s="21" t="s">
        <v>1819</v>
      </c>
    </row>
    <row r="636" spans="1:13" ht="15" hidden="1" customHeight="1" x14ac:dyDescent="0.25">
      <c r="A636" s="21" t="s">
        <v>3016</v>
      </c>
      <c r="B636" s="22" t="s">
        <v>2078</v>
      </c>
      <c r="C636" s="22" t="s">
        <v>831</v>
      </c>
      <c r="D636" s="21" t="s">
        <v>119</v>
      </c>
      <c r="E636" s="21" t="s">
        <v>1226</v>
      </c>
      <c r="F636" s="21" t="s">
        <v>1226</v>
      </c>
      <c r="G636" s="21" t="s">
        <v>3017</v>
      </c>
      <c r="H636" s="21" t="s">
        <v>1314</v>
      </c>
      <c r="I636" s="21" t="s">
        <v>1735</v>
      </c>
      <c r="J636" s="21" t="s">
        <v>2316</v>
      </c>
      <c r="K636" s="22" t="s">
        <v>3018</v>
      </c>
      <c r="L636" s="21" t="s">
        <v>1368</v>
      </c>
      <c r="M636" s="21" t="s">
        <v>1819</v>
      </c>
    </row>
    <row r="637" spans="1:13" ht="15" hidden="1" customHeight="1" x14ac:dyDescent="0.25">
      <c r="A637" s="21" t="s">
        <v>3019</v>
      </c>
      <c r="B637" s="22" t="s">
        <v>2080</v>
      </c>
      <c r="C637" s="22" t="s">
        <v>832</v>
      </c>
      <c r="D637" s="21" t="s">
        <v>119</v>
      </c>
      <c r="E637" s="21" t="s">
        <v>1240</v>
      </c>
      <c r="F637" s="21" t="s">
        <v>1523</v>
      </c>
      <c r="G637" s="21" t="s">
        <v>2693</v>
      </c>
      <c r="H637" s="21" t="s">
        <v>1314</v>
      </c>
      <c r="I637" s="21" t="s">
        <v>1735</v>
      </c>
      <c r="J637" s="21" t="s">
        <v>2316</v>
      </c>
      <c r="K637" s="22" t="s">
        <v>3020</v>
      </c>
      <c r="L637" s="21" t="s">
        <v>1368</v>
      </c>
      <c r="M637" s="21" t="s">
        <v>1819</v>
      </c>
    </row>
    <row r="638" spans="1:13" ht="15" hidden="1" customHeight="1" x14ac:dyDescent="0.25">
      <c r="A638" s="21" t="s">
        <v>3021</v>
      </c>
      <c r="B638" s="22" t="s">
        <v>2082</v>
      </c>
      <c r="C638" s="22" t="s">
        <v>833</v>
      </c>
      <c r="D638" s="21" t="s">
        <v>119</v>
      </c>
      <c r="E638" s="21" t="s">
        <v>1225</v>
      </c>
      <c r="F638" s="21" t="s">
        <v>2544</v>
      </c>
      <c r="G638" s="21"/>
      <c r="H638" s="21" t="s">
        <v>1314</v>
      </c>
      <c r="I638" s="21" t="s">
        <v>1735</v>
      </c>
      <c r="J638" s="21" t="s">
        <v>2316</v>
      </c>
      <c r="K638" s="22" t="s">
        <v>3022</v>
      </c>
      <c r="L638" s="21" t="s">
        <v>1641</v>
      </c>
      <c r="M638" s="21" t="s">
        <v>1819</v>
      </c>
    </row>
    <row r="639" spans="1:13" ht="15" hidden="1" customHeight="1" x14ac:dyDescent="0.25">
      <c r="A639" s="21" t="s">
        <v>3023</v>
      </c>
      <c r="B639" s="22" t="s">
        <v>2084</v>
      </c>
      <c r="C639" s="22" t="s">
        <v>834</v>
      </c>
      <c r="D639" s="21" t="s">
        <v>119</v>
      </c>
      <c r="E639" s="21" t="s">
        <v>1225</v>
      </c>
      <c r="F639" s="21" t="s">
        <v>2544</v>
      </c>
      <c r="G639" s="21"/>
      <c r="H639" s="21" t="s">
        <v>1314</v>
      </c>
      <c r="I639" s="21" t="s">
        <v>1735</v>
      </c>
      <c r="J639" s="21" t="s">
        <v>2316</v>
      </c>
      <c r="K639" s="22" t="s">
        <v>3024</v>
      </c>
      <c r="L639" s="21" t="s">
        <v>1641</v>
      </c>
      <c r="M639" s="21" t="s">
        <v>1819</v>
      </c>
    </row>
    <row r="640" spans="1:13" ht="15" hidden="1" customHeight="1" x14ac:dyDescent="0.25">
      <c r="A640" s="21" t="s">
        <v>3025</v>
      </c>
      <c r="B640" s="22" t="s">
        <v>2086</v>
      </c>
      <c r="C640" s="22" t="s">
        <v>835</v>
      </c>
      <c r="D640" s="21" t="s">
        <v>119</v>
      </c>
      <c r="E640" s="21" t="s">
        <v>1225</v>
      </c>
      <c r="F640" s="21" t="s">
        <v>2544</v>
      </c>
      <c r="G640" s="21"/>
      <c r="H640" s="21" t="s">
        <v>1314</v>
      </c>
      <c r="I640" s="21" t="s">
        <v>1735</v>
      </c>
      <c r="J640" s="21" t="s">
        <v>2316</v>
      </c>
      <c r="K640" s="22" t="s">
        <v>3026</v>
      </c>
      <c r="L640" s="21" t="s">
        <v>1641</v>
      </c>
      <c r="M640" s="21" t="s">
        <v>1819</v>
      </c>
    </row>
    <row r="641" spans="1:13" ht="15" hidden="1" customHeight="1" x14ac:dyDescent="0.25">
      <c r="A641" s="21" t="s">
        <v>3027</v>
      </c>
      <c r="B641" s="22" t="s">
        <v>2091</v>
      </c>
      <c r="C641" s="22" t="s">
        <v>836</v>
      </c>
      <c r="D641" s="21" t="s">
        <v>119</v>
      </c>
      <c r="E641" s="21" t="s">
        <v>1225</v>
      </c>
      <c r="F641" s="21" t="s">
        <v>2544</v>
      </c>
      <c r="G641" s="21"/>
      <c r="H641" s="21" t="s">
        <v>1314</v>
      </c>
      <c r="I641" s="21" t="s">
        <v>1735</v>
      </c>
      <c r="J641" s="21" t="s">
        <v>2316</v>
      </c>
      <c r="K641" s="22" t="s">
        <v>3028</v>
      </c>
      <c r="L641" s="21" t="s">
        <v>1641</v>
      </c>
      <c r="M641" s="21" t="s">
        <v>1819</v>
      </c>
    </row>
    <row r="642" spans="1:13" ht="15" hidden="1" customHeight="1" x14ac:dyDescent="0.25">
      <c r="A642" s="21" t="s">
        <v>3029</v>
      </c>
      <c r="B642" s="22" t="s">
        <v>2093</v>
      </c>
      <c r="C642" s="22" t="s">
        <v>837</v>
      </c>
      <c r="D642" s="21" t="s">
        <v>119</v>
      </c>
      <c r="E642" s="21" t="s">
        <v>1225</v>
      </c>
      <c r="F642" s="21" t="s">
        <v>2544</v>
      </c>
      <c r="G642" s="21"/>
      <c r="H642" s="21" t="s">
        <v>1314</v>
      </c>
      <c r="I642" s="21" t="s">
        <v>1735</v>
      </c>
      <c r="J642" s="21" t="s">
        <v>2316</v>
      </c>
      <c r="K642" s="22" t="s">
        <v>3030</v>
      </c>
      <c r="L642" s="21" t="s">
        <v>1641</v>
      </c>
      <c r="M642" s="21" t="s">
        <v>1819</v>
      </c>
    </row>
    <row r="643" spans="1:13" ht="15" hidden="1" customHeight="1" x14ac:dyDescent="0.25">
      <c r="A643" s="21" t="s">
        <v>3031</v>
      </c>
      <c r="B643" s="22" t="s">
        <v>2097</v>
      </c>
      <c r="C643" s="22" t="s">
        <v>838</v>
      </c>
      <c r="D643" s="21" t="s">
        <v>119</v>
      </c>
      <c r="E643" s="21" t="s">
        <v>1225</v>
      </c>
      <c r="F643" s="21" t="s">
        <v>2544</v>
      </c>
      <c r="G643" s="21"/>
      <c r="H643" s="21" t="s">
        <v>1314</v>
      </c>
      <c r="I643" s="21" t="s">
        <v>1735</v>
      </c>
      <c r="J643" s="21" t="s">
        <v>2316</v>
      </c>
      <c r="K643" s="22" t="s">
        <v>3032</v>
      </c>
      <c r="L643" s="21" t="s">
        <v>1641</v>
      </c>
      <c r="M643" s="21" t="s">
        <v>1819</v>
      </c>
    </row>
    <row r="644" spans="1:13" ht="15" hidden="1" customHeight="1" x14ac:dyDescent="0.25">
      <c r="A644" s="21" t="s">
        <v>3033</v>
      </c>
      <c r="B644" s="22" t="s">
        <v>2099</v>
      </c>
      <c r="C644" s="22" t="s">
        <v>839</v>
      </c>
      <c r="D644" s="21" t="s">
        <v>119</v>
      </c>
      <c r="E644" s="21" t="s">
        <v>1225</v>
      </c>
      <c r="F644" s="21" t="s">
        <v>2544</v>
      </c>
      <c r="G644" s="21"/>
      <c r="H644" s="21" t="s">
        <v>1314</v>
      </c>
      <c r="I644" s="21" t="s">
        <v>1735</v>
      </c>
      <c r="J644" s="21" t="s">
        <v>2316</v>
      </c>
      <c r="K644" s="22" t="s">
        <v>3034</v>
      </c>
      <c r="L644" s="21" t="s">
        <v>1641</v>
      </c>
      <c r="M644" s="21" t="s">
        <v>1819</v>
      </c>
    </row>
    <row r="645" spans="1:13" ht="15" hidden="1" customHeight="1" x14ac:dyDescent="0.25">
      <c r="A645" s="21" t="s">
        <v>3035</v>
      </c>
      <c r="B645" s="22" t="s">
        <v>1703</v>
      </c>
      <c r="C645" s="22" t="s">
        <v>840</v>
      </c>
      <c r="D645" s="21" t="s">
        <v>119</v>
      </c>
      <c r="E645" s="21" t="s">
        <v>1225</v>
      </c>
      <c r="F645" s="21" t="s">
        <v>2544</v>
      </c>
      <c r="G645" s="21"/>
      <c r="H645" s="21" t="s">
        <v>1314</v>
      </c>
      <c r="I645" s="21" t="s">
        <v>1735</v>
      </c>
      <c r="J645" s="21" t="s">
        <v>2316</v>
      </c>
      <c r="K645" s="22" t="s">
        <v>3036</v>
      </c>
      <c r="L645" s="21" t="s">
        <v>1641</v>
      </c>
      <c r="M645" s="21" t="s">
        <v>1819</v>
      </c>
    </row>
    <row r="646" spans="1:13" ht="15" hidden="1" customHeight="1" x14ac:dyDescent="0.25">
      <c r="A646" s="21" t="s">
        <v>3037</v>
      </c>
      <c r="B646" s="22" t="s">
        <v>2102</v>
      </c>
      <c r="C646" s="22" t="s">
        <v>841</v>
      </c>
      <c r="D646" s="21" t="s">
        <v>119</v>
      </c>
      <c r="E646" s="21" t="s">
        <v>1225</v>
      </c>
      <c r="F646" s="21" t="s">
        <v>2544</v>
      </c>
      <c r="G646" s="21"/>
      <c r="H646" s="21" t="s">
        <v>1314</v>
      </c>
      <c r="I646" s="21" t="s">
        <v>1735</v>
      </c>
      <c r="J646" s="21" t="s">
        <v>2316</v>
      </c>
      <c r="K646" s="22" t="s">
        <v>3038</v>
      </c>
      <c r="L646" s="21" t="s">
        <v>1641</v>
      </c>
      <c r="M646" s="21" t="s">
        <v>1819</v>
      </c>
    </row>
    <row r="647" spans="1:13" ht="15" hidden="1" customHeight="1" x14ac:dyDescent="0.25">
      <c r="A647" s="21" t="s">
        <v>3039</v>
      </c>
      <c r="B647" s="22" t="s">
        <v>2105</v>
      </c>
      <c r="C647" s="22" t="s">
        <v>842</v>
      </c>
      <c r="D647" s="21" t="s">
        <v>119</v>
      </c>
      <c r="E647" s="21" t="s">
        <v>1225</v>
      </c>
      <c r="F647" s="21" t="s">
        <v>2544</v>
      </c>
      <c r="G647" s="21"/>
      <c r="H647" s="21" t="s">
        <v>1314</v>
      </c>
      <c r="I647" s="21" t="s">
        <v>1735</v>
      </c>
      <c r="J647" s="21" t="s">
        <v>2316</v>
      </c>
      <c r="K647" s="22" t="s">
        <v>3040</v>
      </c>
      <c r="L647" s="21" t="s">
        <v>1641</v>
      </c>
      <c r="M647" s="21" t="s">
        <v>1819</v>
      </c>
    </row>
    <row r="648" spans="1:13" ht="15" hidden="1" customHeight="1" x14ac:dyDescent="0.25">
      <c r="A648" s="21" t="s">
        <v>3041</v>
      </c>
      <c r="B648" s="22" t="s">
        <v>2107</v>
      </c>
      <c r="C648" s="22" t="s">
        <v>843</v>
      </c>
      <c r="D648" s="21" t="s">
        <v>119</v>
      </c>
      <c r="E648" s="21" t="s">
        <v>1225</v>
      </c>
      <c r="F648" s="21" t="s">
        <v>2544</v>
      </c>
      <c r="G648" s="21"/>
      <c r="H648" s="21" t="s">
        <v>1314</v>
      </c>
      <c r="I648" s="21" t="s">
        <v>1735</v>
      </c>
      <c r="J648" s="21" t="s">
        <v>2316</v>
      </c>
      <c r="K648" s="22" t="s">
        <v>3042</v>
      </c>
      <c r="L648" s="21" t="s">
        <v>1641</v>
      </c>
      <c r="M648" s="21" t="s">
        <v>1819</v>
      </c>
    </row>
    <row r="649" spans="1:13" ht="15" hidden="1" customHeight="1" x14ac:dyDescent="0.25">
      <c r="A649" s="21" t="s">
        <v>3043</v>
      </c>
      <c r="B649" s="22" t="s">
        <v>2109</v>
      </c>
      <c r="C649" s="22" t="s">
        <v>844</v>
      </c>
      <c r="D649" s="21" t="s">
        <v>119</v>
      </c>
      <c r="E649" s="21" t="s">
        <v>1225</v>
      </c>
      <c r="F649" s="21" t="s">
        <v>2544</v>
      </c>
      <c r="G649" s="21"/>
      <c r="H649" s="21" t="s">
        <v>1314</v>
      </c>
      <c r="I649" s="21" t="s">
        <v>1735</v>
      </c>
      <c r="J649" s="21" t="s">
        <v>2316</v>
      </c>
      <c r="K649" s="22" t="s">
        <v>3044</v>
      </c>
      <c r="L649" s="21" t="s">
        <v>1641</v>
      </c>
      <c r="M649" s="21" t="s">
        <v>1819</v>
      </c>
    </row>
    <row r="650" spans="1:13" ht="15" hidden="1" customHeight="1" x14ac:dyDescent="0.25">
      <c r="A650" s="21" t="s">
        <v>3045</v>
      </c>
      <c r="B650" s="22" t="s">
        <v>2111</v>
      </c>
      <c r="C650" s="22" t="s">
        <v>845</v>
      </c>
      <c r="D650" s="21" t="s">
        <v>119</v>
      </c>
      <c r="E650" s="21" t="s">
        <v>1225</v>
      </c>
      <c r="F650" s="21" t="s">
        <v>2544</v>
      </c>
      <c r="G650" s="21"/>
      <c r="H650" s="21" t="s">
        <v>1314</v>
      </c>
      <c r="I650" s="21" t="s">
        <v>1735</v>
      </c>
      <c r="J650" s="21" t="s">
        <v>2316</v>
      </c>
      <c r="K650" s="22" t="s">
        <v>3046</v>
      </c>
      <c r="L650" s="21" t="s">
        <v>1641</v>
      </c>
      <c r="M650" s="21" t="s">
        <v>1819</v>
      </c>
    </row>
    <row r="651" spans="1:13" ht="15" hidden="1" customHeight="1" x14ac:dyDescent="0.25">
      <c r="A651" s="21" t="s">
        <v>3047</v>
      </c>
      <c r="B651" s="22" t="s">
        <v>2113</v>
      </c>
      <c r="C651" s="22" t="s">
        <v>846</v>
      </c>
      <c r="D651" s="21" t="s">
        <v>119</v>
      </c>
      <c r="E651" s="21" t="s">
        <v>1225</v>
      </c>
      <c r="F651" s="21" t="s">
        <v>2544</v>
      </c>
      <c r="G651" s="21"/>
      <c r="H651" s="21" t="s">
        <v>1314</v>
      </c>
      <c r="I651" s="21" t="s">
        <v>1735</v>
      </c>
      <c r="J651" s="21" t="s">
        <v>2316</v>
      </c>
      <c r="K651" s="22" t="s">
        <v>3048</v>
      </c>
      <c r="L651" s="21" t="s">
        <v>1641</v>
      </c>
      <c r="M651" s="21" t="s">
        <v>1819</v>
      </c>
    </row>
    <row r="652" spans="1:13" ht="15" hidden="1" customHeight="1" x14ac:dyDescent="0.25">
      <c r="A652" s="21" t="s">
        <v>3049</v>
      </c>
      <c r="B652" s="22" t="s">
        <v>2115</v>
      </c>
      <c r="C652" s="22" t="s">
        <v>847</v>
      </c>
      <c r="D652" s="21" t="s">
        <v>119</v>
      </c>
      <c r="E652" s="21" t="s">
        <v>1225</v>
      </c>
      <c r="F652" s="21" t="s">
        <v>2544</v>
      </c>
      <c r="G652" s="21"/>
      <c r="H652" s="21" t="s">
        <v>1314</v>
      </c>
      <c r="I652" s="21" t="s">
        <v>1735</v>
      </c>
      <c r="J652" s="21" t="s">
        <v>2316</v>
      </c>
      <c r="K652" s="22" t="s">
        <v>3050</v>
      </c>
      <c r="L652" s="21" t="s">
        <v>1641</v>
      </c>
      <c r="M652" s="21" t="s">
        <v>1819</v>
      </c>
    </row>
    <row r="653" spans="1:13" ht="15" hidden="1" customHeight="1" x14ac:dyDescent="0.25">
      <c r="A653" s="21" t="s">
        <v>3051</v>
      </c>
      <c r="B653" s="22" t="s">
        <v>2117</v>
      </c>
      <c r="C653" s="22" t="s">
        <v>848</v>
      </c>
      <c r="D653" s="21" t="s">
        <v>119</v>
      </c>
      <c r="E653" s="21" t="s">
        <v>1225</v>
      </c>
      <c r="F653" s="21" t="s">
        <v>2544</v>
      </c>
      <c r="G653" s="21"/>
      <c r="H653" s="21" t="s">
        <v>1314</v>
      </c>
      <c r="I653" s="21" t="s">
        <v>1735</v>
      </c>
      <c r="J653" s="21" t="s">
        <v>2316</v>
      </c>
      <c r="K653" s="22" t="s">
        <v>3052</v>
      </c>
      <c r="L653" s="21" t="s">
        <v>1641</v>
      </c>
      <c r="M653" s="21" t="s">
        <v>1819</v>
      </c>
    </row>
    <row r="654" spans="1:13" ht="15" hidden="1" customHeight="1" x14ac:dyDescent="0.25">
      <c r="A654" s="21" t="s">
        <v>3053</v>
      </c>
      <c r="B654" s="22" t="s">
        <v>2119</v>
      </c>
      <c r="C654" s="22" t="s">
        <v>849</v>
      </c>
      <c r="D654" s="21" t="s">
        <v>119</v>
      </c>
      <c r="E654" s="21" t="s">
        <v>1225</v>
      </c>
      <c r="F654" s="21" t="s">
        <v>2544</v>
      </c>
      <c r="G654" s="21"/>
      <c r="H654" s="21" t="s">
        <v>1314</v>
      </c>
      <c r="I654" s="21" t="s">
        <v>1735</v>
      </c>
      <c r="J654" s="21" t="s">
        <v>2316</v>
      </c>
      <c r="K654" s="22" t="s">
        <v>3054</v>
      </c>
      <c r="L654" s="21" t="s">
        <v>1641</v>
      </c>
      <c r="M654" s="21" t="s">
        <v>1819</v>
      </c>
    </row>
    <row r="655" spans="1:13" ht="15" hidden="1" customHeight="1" x14ac:dyDescent="0.25">
      <c r="A655" s="21" t="s">
        <v>3055</v>
      </c>
      <c r="B655" s="22" t="s">
        <v>2122</v>
      </c>
      <c r="C655" s="22" t="s">
        <v>850</v>
      </c>
      <c r="D655" s="21" t="s">
        <v>119</v>
      </c>
      <c r="E655" s="21" t="s">
        <v>1225</v>
      </c>
      <c r="F655" s="21" t="s">
        <v>2544</v>
      </c>
      <c r="G655" s="21"/>
      <c r="H655" s="21" t="s">
        <v>1314</v>
      </c>
      <c r="I655" s="21" t="s">
        <v>1735</v>
      </c>
      <c r="J655" s="21" t="s">
        <v>2316</v>
      </c>
      <c r="K655" s="22" t="s">
        <v>3056</v>
      </c>
      <c r="L655" s="21" t="s">
        <v>1641</v>
      </c>
      <c r="M655" s="21" t="s">
        <v>1819</v>
      </c>
    </row>
    <row r="656" spans="1:13" ht="15" hidden="1" customHeight="1" x14ac:dyDescent="0.25">
      <c r="A656" s="21" t="s">
        <v>3057</v>
      </c>
      <c r="B656" s="22" t="s">
        <v>2123</v>
      </c>
      <c r="C656" s="22" t="s">
        <v>851</v>
      </c>
      <c r="D656" s="21" t="s">
        <v>119</v>
      </c>
      <c r="E656" s="21" t="s">
        <v>1225</v>
      </c>
      <c r="F656" s="21" t="s">
        <v>2544</v>
      </c>
      <c r="G656" s="21"/>
      <c r="H656" s="21" t="s">
        <v>1314</v>
      </c>
      <c r="I656" s="21" t="s">
        <v>1735</v>
      </c>
      <c r="J656" s="21" t="s">
        <v>2316</v>
      </c>
      <c r="K656" s="22" t="s">
        <v>3058</v>
      </c>
      <c r="L656" s="21" t="s">
        <v>1641</v>
      </c>
      <c r="M656" s="21" t="s">
        <v>1819</v>
      </c>
    </row>
    <row r="657" spans="1:13" ht="15" hidden="1" customHeight="1" x14ac:dyDescent="0.25">
      <c r="A657" s="21" t="s">
        <v>3059</v>
      </c>
      <c r="B657" s="22" t="s">
        <v>2126</v>
      </c>
      <c r="C657" s="22" t="s">
        <v>852</v>
      </c>
      <c r="D657" s="21" t="s">
        <v>119</v>
      </c>
      <c r="E657" s="21" t="s">
        <v>1225</v>
      </c>
      <c r="F657" s="21" t="s">
        <v>2544</v>
      </c>
      <c r="G657" s="21"/>
      <c r="H657" s="21" t="s">
        <v>1314</v>
      </c>
      <c r="I657" s="21" t="s">
        <v>1735</v>
      </c>
      <c r="J657" s="21" t="s">
        <v>2316</v>
      </c>
      <c r="K657" s="22" t="s">
        <v>3060</v>
      </c>
      <c r="L657" s="21" t="s">
        <v>1641</v>
      </c>
      <c r="M657" s="21" t="s">
        <v>1819</v>
      </c>
    </row>
    <row r="658" spans="1:13" ht="15" hidden="1" customHeight="1" x14ac:dyDescent="0.25">
      <c r="A658" s="21" t="s">
        <v>3061</v>
      </c>
      <c r="B658" s="22" t="s">
        <v>2128</v>
      </c>
      <c r="C658" s="22" t="s">
        <v>853</v>
      </c>
      <c r="D658" s="21" t="s">
        <v>119</v>
      </c>
      <c r="E658" s="21" t="s">
        <v>1225</v>
      </c>
      <c r="F658" s="21" t="s">
        <v>2544</v>
      </c>
      <c r="G658" s="21"/>
      <c r="H658" s="21" t="s">
        <v>1314</v>
      </c>
      <c r="I658" s="21" t="s">
        <v>1735</v>
      </c>
      <c r="J658" s="21" t="s">
        <v>2316</v>
      </c>
      <c r="K658" s="22" t="s">
        <v>3062</v>
      </c>
      <c r="L658" s="21" t="s">
        <v>1641</v>
      </c>
      <c r="M658" s="21" t="s">
        <v>1819</v>
      </c>
    </row>
    <row r="659" spans="1:13" ht="15" hidden="1" customHeight="1" x14ac:dyDescent="0.25">
      <c r="A659" s="21" t="s">
        <v>3063</v>
      </c>
      <c r="B659" s="22" t="s">
        <v>2131</v>
      </c>
      <c r="C659" s="22" t="s">
        <v>854</v>
      </c>
      <c r="D659" s="21" t="s">
        <v>119</v>
      </c>
      <c r="E659" s="21" t="s">
        <v>1225</v>
      </c>
      <c r="F659" s="21" t="s">
        <v>2544</v>
      </c>
      <c r="G659" s="21"/>
      <c r="H659" s="21" t="s">
        <v>1314</v>
      </c>
      <c r="I659" s="21" t="s">
        <v>1735</v>
      </c>
      <c r="J659" s="21" t="s">
        <v>2316</v>
      </c>
      <c r="K659" s="22" t="s">
        <v>3064</v>
      </c>
      <c r="L659" s="21" t="s">
        <v>1641</v>
      </c>
      <c r="M659" s="21" t="s">
        <v>1819</v>
      </c>
    </row>
    <row r="660" spans="1:13" ht="15" hidden="1" customHeight="1" x14ac:dyDescent="0.25">
      <c r="A660" s="21" t="s">
        <v>3065</v>
      </c>
      <c r="B660" s="22" t="s">
        <v>2133</v>
      </c>
      <c r="C660" s="22" t="s">
        <v>855</v>
      </c>
      <c r="D660" s="21" t="s">
        <v>119</v>
      </c>
      <c r="E660" s="21" t="s">
        <v>1225</v>
      </c>
      <c r="F660" s="21" t="s">
        <v>2544</v>
      </c>
      <c r="G660" s="21"/>
      <c r="H660" s="21" t="s">
        <v>1314</v>
      </c>
      <c r="I660" s="21" t="s">
        <v>1735</v>
      </c>
      <c r="J660" s="21" t="s">
        <v>2316</v>
      </c>
      <c r="K660" s="22" t="s">
        <v>3066</v>
      </c>
      <c r="L660" s="21" t="s">
        <v>1641</v>
      </c>
      <c r="M660" s="21" t="s">
        <v>1819</v>
      </c>
    </row>
    <row r="661" spans="1:13" ht="15" hidden="1" customHeight="1" x14ac:dyDescent="0.25">
      <c r="A661" s="21" t="s">
        <v>3067</v>
      </c>
      <c r="B661" s="22" t="s">
        <v>2135</v>
      </c>
      <c r="C661" s="22" t="s">
        <v>856</v>
      </c>
      <c r="D661" s="21" t="s">
        <v>119</v>
      </c>
      <c r="E661" s="21" t="s">
        <v>1225</v>
      </c>
      <c r="F661" s="21" t="s">
        <v>2544</v>
      </c>
      <c r="G661" s="21"/>
      <c r="H661" s="21" t="s">
        <v>1314</v>
      </c>
      <c r="I661" s="21" t="s">
        <v>1735</v>
      </c>
      <c r="J661" s="21" t="s">
        <v>2316</v>
      </c>
      <c r="K661" s="22" t="s">
        <v>3068</v>
      </c>
      <c r="L661" s="21" t="s">
        <v>1641</v>
      </c>
      <c r="M661" s="21" t="s">
        <v>1819</v>
      </c>
    </row>
    <row r="662" spans="1:13" ht="15" hidden="1" customHeight="1" x14ac:dyDescent="0.25">
      <c r="A662" s="21" t="s">
        <v>3069</v>
      </c>
      <c r="B662" s="22" t="s">
        <v>2138</v>
      </c>
      <c r="C662" s="22" t="s">
        <v>857</v>
      </c>
      <c r="D662" s="21" t="s">
        <v>119</v>
      </c>
      <c r="E662" s="21" t="s">
        <v>1225</v>
      </c>
      <c r="F662" s="21" t="s">
        <v>2544</v>
      </c>
      <c r="G662" s="21"/>
      <c r="H662" s="21" t="s">
        <v>1314</v>
      </c>
      <c r="I662" s="21" t="s">
        <v>1735</v>
      </c>
      <c r="J662" s="21" t="s">
        <v>2316</v>
      </c>
      <c r="K662" s="22" t="s">
        <v>3070</v>
      </c>
      <c r="L662" s="21" t="s">
        <v>1641</v>
      </c>
      <c r="M662" s="21" t="s">
        <v>1819</v>
      </c>
    </row>
    <row r="663" spans="1:13" ht="15" hidden="1" customHeight="1" x14ac:dyDescent="0.25">
      <c r="A663" s="21" t="s">
        <v>3071</v>
      </c>
      <c r="B663" s="22" t="s">
        <v>2140</v>
      </c>
      <c r="C663" s="22" t="s">
        <v>858</v>
      </c>
      <c r="D663" s="21" t="s">
        <v>119</v>
      </c>
      <c r="E663" s="21" t="s">
        <v>1259</v>
      </c>
      <c r="F663" s="21" t="s">
        <v>3072</v>
      </c>
      <c r="G663" s="21"/>
      <c r="H663" s="21" t="s">
        <v>1314</v>
      </c>
      <c r="I663" s="21" t="s">
        <v>1735</v>
      </c>
      <c r="J663" s="21" t="s">
        <v>2316</v>
      </c>
      <c r="K663" s="22" t="s">
        <v>3073</v>
      </c>
      <c r="L663" s="21" t="s">
        <v>1368</v>
      </c>
      <c r="M663" s="21" t="s">
        <v>1819</v>
      </c>
    </row>
    <row r="664" spans="1:13" ht="15" hidden="1" customHeight="1" x14ac:dyDescent="0.25">
      <c r="A664" s="21" t="s">
        <v>3074</v>
      </c>
      <c r="B664" s="22" t="s">
        <v>2142</v>
      </c>
      <c r="C664" s="22" t="s">
        <v>859</v>
      </c>
      <c r="D664" s="21" t="s">
        <v>119</v>
      </c>
      <c r="E664" s="21" t="s">
        <v>1227</v>
      </c>
      <c r="F664" s="21" t="s">
        <v>1457</v>
      </c>
      <c r="G664" s="21" t="s">
        <v>2655</v>
      </c>
      <c r="H664" s="21" t="s">
        <v>1314</v>
      </c>
      <c r="I664" s="21" t="s">
        <v>1735</v>
      </c>
      <c r="J664" s="21" t="s">
        <v>2316</v>
      </c>
      <c r="K664" s="22" t="s">
        <v>3075</v>
      </c>
      <c r="L664" s="21" t="s">
        <v>1368</v>
      </c>
      <c r="M664" s="21" t="s">
        <v>1819</v>
      </c>
    </row>
    <row r="665" spans="1:13" ht="15" hidden="1" customHeight="1" x14ac:dyDescent="0.25">
      <c r="A665" s="21" t="s">
        <v>3076</v>
      </c>
      <c r="B665" s="22" t="s">
        <v>2143</v>
      </c>
      <c r="C665" s="22" t="s">
        <v>860</v>
      </c>
      <c r="D665" s="21" t="s">
        <v>119</v>
      </c>
      <c r="E665" s="21" t="s">
        <v>1227</v>
      </c>
      <c r="F665" s="21" t="s">
        <v>2474</v>
      </c>
      <c r="G665" s="21" t="s">
        <v>1784</v>
      </c>
      <c r="H665" s="21" t="s">
        <v>1314</v>
      </c>
      <c r="I665" s="21" t="s">
        <v>1735</v>
      </c>
      <c r="J665" s="21" t="s">
        <v>2251</v>
      </c>
      <c r="K665" s="22" t="s">
        <v>3077</v>
      </c>
      <c r="L665" s="21" t="s">
        <v>1641</v>
      </c>
      <c r="M665" s="21" t="s">
        <v>1819</v>
      </c>
    </row>
    <row r="666" spans="1:13" ht="15" hidden="1" customHeight="1" x14ac:dyDescent="0.25">
      <c r="A666" s="21" t="s">
        <v>3078</v>
      </c>
      <c r="B666" s="22" t="s">
        <v>2145</v>
      </c>
      <c r="C666" s="22" t="s">
        <v>861</v>
      </c>
      <c r="D666" s="21" t="s">
        <v>119</v>
      </c>
      <c r="E666" s="21" t="s">
        <v>1246</v>
      </c>
      <c r="F666" s="21" t="s">
        <v>1246</v>
      </c>
      <c r="G666" s="21" t="s">
        <v>1578</v>
      </c>
      <c r="H666" s="21" t="s">
        <v>1314</v>
      </c>
      <c r="I666" s="21" t="s">
        <v>2309</v>
      </c>
      <c r="J666" s="21" t="s">
        <v>2397</v>
      </c>
      <c r="K666" s="22" t="s">
        <v>3079</v>
      </c>
      <c r="L666" s="21" t="s">
        <v>1641</v>
      </c>
      <c r="M666" s="21" t="s">
        <v>1819</v>
      </c>
    </row>
    <row r="667" spans="1:13" ht="15" hidden="1" customHeight="1" x14ac:dyDescent="0.25">
      <c r="A667" s="21" t="s">
        <v>3080</v>
      </c>
      <c r="B667" s="22" t="s">
        <v>2147</v>
      </c>
      <c r="C667" s="22" t="s">
        <v>862</v>
      </c>
      <c r="D667" s="21" t="s">
        <v>119</v>
      </c>
      <c r="E667" s="21" t="s">
        <v>1258</v>
      </c>
      <c r="F667" s="21" t="s">
        <v>1258</v>
      </c>
      <c r="G667" s="21" t="s">
        <v>2054</v>
      </c>
      <c r="H667" s="21" t="s">
        <v>1314</v>
      </c>
      <c r="I667" s="21" t="s">
        <v>1735</v>
      </c>
      <c r="J667" s="21" t="s">
        <v>2809</v>
      </c>
      <c r="K667" s="22" t="s">
        <v>3081</v>
      </c>
      <c r="L667" s="21" t="s">
        <v>1368</v>
      </c>
      <c r="M667" s="21" t="s">
        <v>1819</v>
      </c>
    </row>
    <row r="668" spans="1:13" ht="15" hidden="1" customHeight="1" x14ac:dyDescent="0.25">
      <c r="A668" s="21" t="s">
        <v>3082</v>
      </c>
      <c r="B668" s="22" t="s">
        <v>2148</v>
      </c>
      <c r="C668" s="22" t="s">
        <v>863</v>
      </c>
      <c r="D668" s="21" t="s">
        <v>119</v>
      </c>
      <c r="E668" s="21" t="s">
        <v>1258</v>
      </c>
      <c r="F668" s="21" t="s">
        <v>2276</v>
      </c>
      <c r="G668" s="21" t="s">
        <v>2230</v>
      </c>
      <c r="H668" s="21" t="s">
        <v>1314</v>
      </c>
      <c r="I668" s="21" t="s">
        <v>1735</v>
      </c>
      <c r="J668" s="21" t="s">
        <v>2251</v>
      </c>
      <c r="K668" s="22" t="s">
        <v>3083</v>
      </c>
      <c r="L668" s="21" t="s">
        <v>1641</v>
      </c>
      <c r="M668" s="21" t="s">
        <v>1819</v>
      </c>
    </row>
    <row r="669" spans="1:13" ht="15" hidden="1" customHeight="1" x14ac:dyDescent="0.25">
      <c r="A669" s="21" t="s">
        <v>3084</v>
      </c>
      <c r="B669" s="22" t="s">
        <v>2149</v>
      </c>
      <c r="C669" s="22" t="s">
        <v>864</v>
      </c>
      <c r="D669" s="21" t="s">
        <v>119</v>
      </c>
      <c r="E669" s="21" t="s">
        <v>1232</v>
      </c>
      <c r="F669" s="21" t="s">
        <v>1476</v>
      </c>
      <c r="G669" s="21"/>
      <c r="H669" s="21" t="s">
        <v>2308</v>
      </c>
      <c r="I669" s="21" t="s">
        <v>2309</v>
      </c>
      <c r="J669" s="21" t="s">
        <v>3085</v>
      </c>
      <c r="K669" s="22" t="s">
        <v>3086</v>
      </c>
      <c r="L669" s="21" t="s">
        <v>1641</v>
      </c>
      <c r="M669" s="21" t="s">
        <v>1830</v>
      </c>
    </row>
    <row r="670" spans="1:13" ht="15" hidden="1" customHeight="1" x14ac:dyDescent="0.25">
      <c r="A670" s="21" t="s">
        <v>3087</v>
      </c>
      <c r="B670" s="22" t="s">
        <v>2151</v>
      </c>
      <c r="C670" s="22" t="s">
        <v>865</v>
      </c>
      <c r="D670" s="21" t="s">
        <v>119</v>
      </c>
      <c r="E670" s="21" t="s">
        <v>1232</v>
      </c>
      <c r="F670" s="21" t="s">
        <v>1476</v>
      </c>
      <c r="G670" s="21"/>
      <c r="H670" s="21" t="s">
        <v>2308</v>
      </c>
      <c r="I670" s="21" t="s">
        <v>2309</v>
      </c>
      <c r="J670" s="21" t="s">
        <v>3085</v>
      </c>
      <c r="K670" s="22" t="s">
        <v>3088</v>
      </c>
      <c r="L670" s="21" t="s">
        <v>1641</v>
      </c>
      <c r="M670" s="21" t="s">
        <v>1830</v>
      </c>
    </row>
    <row r="671" spans="1:13" ht="15" hidden="1" customHeight="1" x14ac:dyDescent="0.25">
      <c r="A671" s="21" t="s">
        <v>3089</v>
      </c>
      <c r="B671" s="22" t="s">
        <v>2153</v>
      </c>
      <c r="C671" s="22" t="s">
        <v>3090</v>
      </c>
      <c r="D671" s="21" t="s">
        <v>119</v>
      </c>
      <c r="E671" s="21" t="s">
        <v>1254</v>
      </c>
      <c r="F671" s="21" t="s">
        <v>1532</v>
      </c>
      <c r="G671" s="21" t="s">
        <v>1664</v>
      </c>
      <c r="H671" s="21" t="s">
        <v>1314</v>
      </c>
      <c r="I671" s="21" t="s">
        <v>1735</v>
      </c>
      <c r="J671" s="21" t="s">
        <v>2809</v>
      </c>
      <c r="K671" s="22" t="s">
        <v>3091</v>
      </c>
      <c r="L671" s="21" t="s">
        <v>1368</v>
      </c>
      <c r="M671" s="21" t="s">
        <v>1819</v>
      </c>
    </row>
    <row r="672" spans="1:13" ht="15" hidden="1" customHeight="1" x14ac:dyDescent="0.25">
      <c r="A672" s="21" t="s">
        <v>3092</v>
      </c>
      <c r="B672" s="22" t="s">
        <v>2155</v>
      </c>
      <c r="C672" s="22" t="s">
        <v>866</v>
      </c>
      <c r="D672" s="21" t="s">
        <v>119</v>
      </c>
      <c r="E672" s="21" t="s">
        <v>1256</v>
      </c>
      <c r="F672" s="21" t="s">
        <v>3093</v>
      </c>
      <c r="G672" s="21" t="s">
        <v>2063</v>
      </c>
      <c r="H672" s="21" t="s">
        <v>1314</v>
      </c>
      <c r="I672" s="21" t="s">
        <v>1735</v>
      </c>
      <c r="J672" s="21" t="s">
        <v>2251</v>
      </c>
      <c r="K672" s="22" t="s">
        <v>3094</v>
      </c>
      <c r="L672" s="21" t="s">
        <v>1641</v>
      </c>
      <c r="M672" s="21" t="s">
        <v>1819</v>
      </c>
    </row>
    <row r="673" spans="1:13" ht="15" hidden="1" customHeight="1" x14ac:dyDescent="0.25">
      <c r="A673" s="21" t="s">
        <v>3095</v>
      </c>
      <c r="B673" s="22" t="s">
        <v>2157</v>
      </c>
      <c r="C673" s="22" t="s">
        <v>867</v>
      </c>
      <c r="D673" s="21" t="s">
        <v>119</v>
      </c>
      <c r="E673" s="21" t="s">
        <v>1199</v>
      </c>
      <c r="F673" s="21" t="s">
        <v>2306</v>
      </c>
      <c r="G673" s="21" t="s">
        <v>2307</v>
      </c>
      <c r="H673" s="21" t="s">
        <v>1314</v>
      </c>
      <c r="I673" s="21" t="s">
        <v>1735</v>
      </c>
      <c r="J673" s="21" t="s">
        <v>2251</v>
      </c>
      <c r="K673" s="22" t="s">
        <v>3096</v>
      </c>
      <c r="L673" s="21" t="s">
        <v>1368</v>
      </c>
      <c r="M673" s="21" t="s">
        <v>1819</v>
      </c>
    </row>
    <row r="674" spans="1:13" ht="15" hidden="1" customHeight="1" x14ac:dyDescent="0.25">
      <c r="A674" s="21" t="s">
        <v>3097</v>
      </c>
      <c r="B674" s="22" t="s">
        <v>2159</v>
      </c>
      <c r="C674" s="22"/>
      <c r="D674" s="21" t="s">
        <v>119</v>
      </c>
      <c r="E674" s="21"/>
      <c r="F674" s="21"/>
      <c r="G674" s="21"/>
      <c r="H674" s="21"/>
      <c r="I674" s="21"/>
      <c r="J674" s="21"/>
      <c r="K674" s="22"/>
      <c r="L674" s="21"/>
      <c r="M674" s="21"/>
    </row>
    <row r="675" spans="1:13" ht="15" hidden="1" customHeight="1" x14ac:dyDescent="0.25">
      <c r="A675" s="21" t="s">
        <v>3098</v>
      </c>
      <c r="B675" s="22" t="s">
        <v>2162</v>
      </c>
      <c r="C675" s="22" t="s">
        <v>868</v>
      </c>
      <c r="D675" s="21" t="s">
        <v>119</v>
      </c>
      <c r="E675" s="21" t="s">
        <v>1227</v>
      </c>
      <c r="F675" s="21" t="s">
        <v>3099</v>
      </c>
      <c r="G675" s="21" t="s">
        <v>2735</v>
      </c>
      <c r="H675" s="21" t="s">
        <v>1314</v>
      </c>
      <c r="I675" s="21" t="s">
        <v>1909</v>
      </c>
      <c r="J675" s="21" t="s">
        <v>3014</v>
      </c>
      <c r="K675" s="22" t="s">
        <v>3100</v>
      </c>
      <c r="L675" s="21" t="s">
        <v>1290</v>
      </c>
      <c r="M675" s="21" t="s">
        <v>1819</v>
      </c>
    </row>
    <row r="676" spans="1:13" ht="15" hidden="1" customHeight="1" x14ac:dyDescent="0.25">
      <c r="A676" s="21" t="s">
        <v>3101</v>
      </c>
      <c r="B676" s="22" t="s">
        <v>2165</v>
      </c>
      <c r="C676" s="22" t="s">
        <v>869</v>
      </c>
      <c r="D676" s="21" t="s">
        <v>3102</v>
      </c>
      <c r="E676" s="21" t="s">
        <v>1225</v>
      </c>
      <c r="F676" s="21" t="s">
        <v>1284</v>
      </c>
      <c r="G676" s="21"/>
      <c r="H676" s="21" t="s">
        <v>1314</v>
      </c>
      <c r="I676" s="21" t="s">
        <v>3103</v>
      </c>
      <c r="J676" s="21" t="s">
        <v>3104</v>
      </c>
      <c r="K676" s="22" t="s">
        <v>3105</v>
      </c>
      <c r="L676" s="21" t="s">
        <v>1641</v>
      </c>
      <c r="M676" s="21" t="s">
        <v>1830</v>
      </c>
    </row>
    <row r="677" spans="1:13" ht="15" hidden="1" customHeight="1" x14ac:dyDescent="0.25">
      <c r="A677" s="21" t="s">
        <v>3106</v>
      </c>
      <c r="B677" s="22" t="s">
        <v>2167</v>
      </c>
      <c r="C677" s="22" t="s">
        <v>870</v>
      </c>
      <c r="D677" s="21" t="s">
        <v>3102</v>
      </c>
      <c r="E677" s="21" t="s">
        <v>1225</v>
      </c>
      <c r="F677" s="21" t="s">
        <v>1284</v>
      </c>
      <c r="G677" s="21"/>
      <c r="H677" s="21" t="s">
        <v>1314</v>
      </c>
      <c r="I677" s="21" t="s">
        <v>3103</v>
      </c>
      <c r="J677" s="21" t="s">
        <v>3104</v>
      </c>
      <c r="K677" s="22" t="s">
        <v>3107</v>
      </c>
      <c r="L677" s="21" t="s">
        <v>1641</v>
      </c>
      <c r="M677" s="21" t="s">
        <v>1830</v>
      </c>
    </row>
    <row r="678" spans="1:13" ht="15" hidden="1" customHeight="1" x14ac:dyDescent="0.25">
      <c r="A678" s="21" t="s">
        <v>3108</v>
      </c>
      <c r="B678" s="22" t="s">
        <v>2170</v>
      </c>
      <c r="C678" s="22" t="s">
        <v>871</v>
      </c>
      <c r="D678" s="21" t="s">
        <v>119</v>
      </c>
      <c r="E678" s="21" t="s">
        <v>1254</v>
      </c>
      <c r="F678" s="21" t="s">
        <v>1532</v>
      </c>
      <c r="G678" s="21" t="s">
        <v>2210</v>
      </c>
      <c r="H678" s="21" t="s">
        <v>1314</v>
      </c>
      <c r="I678" s="21" t="s">
        <v>1735</v>
      </c>
      <c r="J678" s="21" t="s">
        <v>2208</v>
      </c>
      <c r="K678" s="22" t="s">
        <v>3109</v>
      </c>
      <c r="L678" s="21" t="s">
        <v>1641</v>
      </c>
      <c r="M678" s="21" t="s">
        <v>1819</v>
      </c>
    </row>
    <row r="679" spans="1:13" ht="15" hidden="1" customHeight="1" x14ac:dyDescent="0.25">
      <c r="A679" s="21" t="s">
        <v>3110</v>
      </c>
      <c r="B679" s="22" t="s">
        <v>2173</v>
      </c>
      <c r="C679" s="22" t="s">
        <v>3111</v>
      </c>
      <c r="D679" s="21" t="s">
        <v>119</v>
      </c>
      <c r="E679" s="21" t="s">
        <v>1254</v>
      </c>
      <c r="F679" s="21" t="s">
        <v>1443</v>
      </c>
      <c r="G679" s="21" t="s">
        <v>2239</v>
      </c>
      <c r="H679" s="21" t="s">
        <v>1314</v>
      </c>
      <c r="I679" s="21" t="s">
        <v>1735</v>
      </c>
      <c r="J679" s="21" t="s">
        <v>2208</v>
      </c>
      <c r="K679" s="22" t="s">
        <v>3112</v>
      </c>
      <c r="L679" s="21" t="s">
        <v>1641</v>
      </c>
      <c r="M679" s="21" t="s">
        <v>1819</v>
      </c>
    </row>
    <row r="680" spans="1:13" ht="15" hidden="1" customHeight="1" x14ac:dyDescent="0.25">
      <c r="A680" s="21" t="s">
        <v>3113</v>
      </c>
      <c r="B680" s="22" t="s">
        <v>2175</v>
      </c>
      <c r="C680" s="22" t="s">
        <v>872</v>
      </c>
      <c r="D680" s="21" t="s">
        <v>119</v>
      </c>
      <c r="E680" s="21" t="s">
        <v>1254</v>
      </c>
      <c r="F680" s="21" t="s">
        <v>2875</v>
      </c>
      <c r="G680" s="21" t="s">
        <v>2236</v>
      </c>
      <c r="H680" s="21" t="s">
        <v>1314</v>
      </c>
      <c r="I680" s="21" t="s">
        <v>1735</v>
      </c>
      <c r="J680" s="21" t="s">
        <v>2208</v>
      </c>
      <c r="K680" s="22" t="s">
        <v>3114</v>
      </c>
      <c r="L680" s="21" t="s">
        <v>1641</v>
      </c>
      <c r="M680" s="21" t="s">
        <v>1819</v>
      </c>
    </row>
    <row r="681" spans="1:13" ht="15" hidden="1" customHeight="1" x14ac:dyDescent="0.25">
      <c r="A681" s="21" t="s">
        <v>3115</v>
      </c>
      <c r="B681" s="22" t="s">
        <v>2177</v>
      </c>
      <c r="C681" s="22" t="s">
        <v>873</v>
      </c>
      <c r="D681" s="21" t="s">
        <v>119</v>
      </c>
      <c r="E681" s="21" t="s">
        <v>1254</v>
      </c>
      <c r="F681" s="21" t="s">
        <v>1532</v>
      </c>
      <c r="G681" s="21" t="s">
        <v>3116</v>
      </c>
      <c r="H681" s="21" t="s">
        <v>1314</v>
      </c>
      <c r="I681" s="21" t="s">
        <v>1735</v>
      </c>
      <c r="J681" s="21" t="s">
        <v>2208</v>
      </c>
      <c r="K681" s="22" t="s">
        <v>3117</v>
      </c>
      <c r="L681" s="21" t="s">
        <v>1641</v>
      </c>
      <c r="M681" s="21" t="s">
        <v>1819</v>
      </c>
    </row>
    <row r="682" spans="1:13" ht="15" hidden="1" customHeight="1" x14ac:dyDescent="0.25">
      <c r="A682" s="21" t="s">
        <v>3118</v>
      </c>
      <c r="B682" s="22" t="s">
        <v>2179</v>
      </c>
      <c r="C682" s="22" t="s">
        <v>3119</v>
      </c>
      <c r="D682" s="21" t="s">
        <v>119</v>
      </c>
      <c r="E682" s="21" t="s">
        <v>1254</v>
      </c>
      <c r="F682" s="21" t="s">
        <v>1443</v>
      </c>
      <c r="G682" s="21" t="s">
        <v>2876</v>
      </c>
      <c r="H682" s="21" t="s">
        <v>1314</v>
      </c>
      <c r="I682" s="21" t="s">
        <v>1735</v>
      </c>
      <c r="J682" s="21" t="s">
        <v>2208</v>
      </c>
      <c r="K682" s="22" t="s">
        <v>3120</v>
      </c>
      <c r="L682" s="21" t="s">
        <v>1641</v>
      </c>
      <c r="M682" s="21" t="s">
        <v>1819</v>
      </c>
    </row>
    <row r="683" spans="1:13" ht="15" hidden="1" customHeight="1" x14ac:dyDescent="0.25">
      <c r="A683" s="21" t="s">
        <v>3121</v>
      </c>
      <c r="B683" s="22" t="s">
        <v>2181</v>
      </c>
      <c r="C683" s="22" t="s">
        <v>874</v>
      </c>
      <c r="D683" s="21" t="s">
        <v>119</v>
      </c>
      <c r="E683" s="21" t="s">
        <v>1254</v>
      </c>
      <c r="F683" s="21" t="s">
        <v>1532</v>
      </c>
      <c r="G683" s="21" t="s">
        <v>2221</v>
      </c>
      <c r="H683" s="21" t="s">
        <v>1314</v>
      </c>
      <c r="I683" s="21" t="s">
        <v>1735</v>
      </c>
      <c r="J683" s="21" t="s">
        <v>2208</v>
      </c>
      <c r="K683" s="22" t="s">
        <v>3122</v>
      </c>
      <c r="L683" s="21" t="s">
        <v>1641</v>
      </c>
      <c r="M683" s="21" t="s">
        <v>1819</v>
      </c>
    </row>
    <row r="684" spans="1:13" ht="15" hidden="1" customHeight="1" x14ac:dyDescent="0.25">
      <c r="A684" s="21" t="s">
        <v>3123</v>
      </c>
      <c r="B684" s="22" t="s">
        <v>2183</v>
      </c>
      <c r="C684" s="22" t="s">
        <v>875</v>
      </c>
      <c r="D684" s="21" t="s">
        <v>119</v>
      </c>
      <c r="E684" s="21" t="s">
        <v>1254</v>
      </c>
      <c r="F684" s="21" t="s">
        <v>1532</v>
      </c>
      <c r="G684" s="21" t="s">
        <v>2233</v>
      </c>
      <c r="H684" s="21" t="s">
        <v>1314</v>
      </c>
      <c r="I684" s="21" t="s">
        <v>1735</v>
      </c>
      <c r="J684" s="21" t="s">
        <v>2208</v>
      </c>
      <c r="K684" s="22" t="s">
        <v>3124</v>
      </c>
      <c r="L684" s="21" t="s">
        <v>1641</v>
      </c>
      <c r="M684" s="21" t="s">
        <v>1819</v>
      </c>
    </row>
    <row r="685" spans="1:13" ht="15" hidden="1" customHeight="1" x14ac:dyDescent="0.25">
      <c r="A685" s="21" t="s">
        <v>3125</v>
      </c>
      <c r="B685" s="22" t="s">
        <v>2185</v>
      </c>
      <c r="C685" s="22" t="s">
        <v>876</v>
      </c>
      <c r="D685" s="21" t="s">
        <v>119</v>
      </c>
      <c r="E685" s="21" t="s">
        <v>1254</v>
      </c>
      <c r="F685" s="21" t="s">
        <v>1532</v>
      </c>
      <c r="G685" s="21" t="s">
        <v>2224</v>
      </c>
      <c r="H685" s="21" t="s">
        <v>1314</v>
      </c>
      <c r="I685" s="21" t="s">
        <v>1735</v>
      </c>
      <c r="J685" s="21" t="s">
        <v>2208</v>
      </c>
      <c r="K685" s="22" t="s">
        <v>3126</v>
      </c>
      <c r="L685" s="21" t="s">
        <v>1641</v>
      </c>
      <c r="M685" s="21" t="s">
        <v>1819</v>
      </c>
    </row>
    <row r="686" spans="1:13" ht="15" hidden="1" customHeight="1" x14ac:dyDescent="0.25">
      <c r="A686" s="21" t="s">
        <v>3127</v>
      </c>
      <c r="B686" s="22" t="s">
        <v>2187</v>
      </c>
      <c r="C686" s="22" t="s">
        <v>877</v>
      </c>
      <c r="D686" s="21" t="s">
        <v>119</v>
      </c>
      <c r="E686" s="21" t="s">
        <v>1254</v>
      </c>
      <c r="F686" s="21" t="s">
        <v>1532</v>
      </c>
      <c r="G686" s="21" t="s">
        <v>2860</v>
      </c>
      <c r="H686" s="21" t="s">
        <v>1314</v>
      </c>
      <c r="I686" s="21" t="s">
        <v>1735</v>
      </c>
      <c r="J686" s="21" t="s">
        <v>2208</v>
      </c>
      <c r="K686" s="22" t="s">
        <v>3128</v>
      </c>
      <c r="L686" s="21" t="s">
        <v>1641</v>
      </c>
      <c r="M686" s="21" t="s">
        <v>1819</v>
      </c>
    </row>
    <row r="687" spans="1:13" ht="15" hidden="1" customHeight="1" x14ac:dyDescent="0.25">
      <c r="A687" s="21" t="s">
        <v>3129</v>
      </c>
      <c r="B687" s="22" t="s">
        <v>2188</v>
      </c>
      <c r="C687" s="22" t="s">
        <v>3130</v>
      </c>
      <c r="D687" s="21" t="s">
        <v>119</v>
      </c>
      <c r="E687" s="21" t="s">
        <v>1254</v>
      </c>
      <c r="F687" s="21" t="s">
        <v>1443</v>
      </c>
      <c r="G687" s="21" t="s">
        <v>3131</v>
      </c>
      <c r="H687" s="21" t="s">
        <v>1314</v>
      </c>
      <c r="I687" s="21" t="s">
        <v>1735</v>
      </c>
      <c r="J687" s="21" t="s">
        <v>2208</v>
      </c>
      <c r="K687" s="22" t="s">
        <v>3132</v>
      </c>
      <c r="L687" s="21" t="s">
        <v>1641</v>
      </c>
      <c r="M687" s="21" t="s">
        <v>1819</v>
      </c>
    </row>
    <row r="688" spans="1:13" ht="15" hidden="1" customHeight="1" x14ac:dyDescent="0.25">
      <c r="A688" s="21" t="s">
        <v>3133</v>
      </c>
      <c r="B688" s="22" t="s">
        <v>2190</v>
      </c>
      <c r="C688" s="22" t="s">
        <v>878</v>
      </c>
      <c r="D688" s="21" t="s">
        <v>119</v>
      </c>
      <c r="E688" s="21" t="s">
        <v>1254</v>
      </c>
      <c r="F688" s="21" t="s">
        <v>1532</v>
      </c>
      <c r="G688" s="21" t="s">
        <v>2884</v>
      </c>
      <c r="H688" s="21" t="s">
        <v>1314</v>
      </c>
      <c r="I688" s="21" t="s">
        <v>1735</v>
      </c>
      <c r="J688" s="21" t="s">
        <v>2208</v>
      </c>
      <c r="K688" s="22" t="s">
        <v>3134</v>
      </c>
      <c r="L688" s="21" t="s">
        <v>1641</v>
      </c>
      <c r="M688" s="21" t="s">
        <v>1819</v>
      </c>
    </row>
    <row r="689" spans="1:13" ht="15" hidden="1" customHeight="1" x14ac:dyDescent="0.25">
      <c r="A689" s="21" t="s">
        <v>3135</v>
      </c>
      <c r="B689" s="22" t="s">
        <v>2195</v>
      </c>
      <c r="C689" s="22" t="s">
        <v>879</v>
      </c>
      <c r="D689" s="21" t="s">
        <v>119</v>
      </c>
      <c r="E689" s="21" t="s">
        <v>1254</v>
      </c>
      <c r="F689" s="21" t="s">
        <v>1532</v>
      </c>
      <c r="G689" s="21" t="s">
        <v>2864</v>
      </c>
      <c r="H689" s="21" t="s">
        <v>1314</v>
      </c>
      <c r="I689" s="21" t="s">
        <v>1735</v>
      </c>
      <c r="J689" s="21" t="s">
        <v>2208</v>
      </c>
      <c r="K689" s="22" t="s">
        <v>3136</v>
      </c>
      <c r="L689" s="21" t="s">
        <v>1641</v>
      </c>
      <c r="M689" s="21" t="s">
        <v>1819</v>
      </c>
    </row>
    <row r="690" spans="1:13" ht="15" hidden="1" customHeight="1" x14ac:dyDescent="0.25">
      <c r="A690" s="21" t="s">
        <v>3137</v>
      </c>
      <c r="B690" s="22" t="s">
        <v>2196</v>
      </c>
      <c r="C690" s="22" t="s">
        <v>880</v>
      </c>
      <c r="D690" s="21" t="s">
        <v>119</v>
      </c>
      <c r="E690" s="21" t="s">
        <v>1254</v>
      </c>
      <c r="F690" s="21" t="s">
        <v>1532</v>
      </c>
      <c r="G690" s="21" t="s">
        <v>2239</v>
      </c>
      <c r="H690" s="21" t="s">
        <v>1314</v>
      </c>
      <c r="I690" s="21" t="s">
        <v>1735</v>
      </c>
      <c r="J690" s="21" t="s">
        <v>2208</v>
      </c>
      <c r="K690" s="22" t="s">
        <v>3138</v>
      </c>
      <c r="L690" s="21" t="s">
        <v>1641</v>
      </c>
      <c r="M690" s="21" t="s">
        <v>1819</v>
      </c>
    </row>
    <row r="691" spans="1:13" ht="15" hidden="1" customHeight="1" x14ac:dyDescent="0.25">
      <c r="A691" s="21" t="s">
        <v>3139</v>
      </c>
      <c r="B691" s="22" t="s">
        <v>2200</v>
      </c>
      <c r="C691" s="22" t="s">
        <v>881</v>
      </c>
      <c r="D691" s="21" t="s">
        <v>119</v>
      </c>
      <c r="E691" s="21" t="s">
        <v>1254</v>
      </c>
      <c r="F691" s="21" t="s">
        <v>1532</v>
      </c>
      <c r="G691" s="21" t="s">
        <v>2207</v>
      </c>
      <c r="H691" s="21" t="s">
        <v>1314</v>
      </c>
      <c r="I691" s="21" t="s">
        <v>1735</v>
      </c>
      <c r="J691" s="21" t="s">
        <v>2208</v>
      </c>
      <c r="K691" s="22" t="s">
        <v>3140</v>
      </c>
      <c r="L691" s="21" t="s">
        <v>1641</v>
      </c>
      <c r="M691" s="21" t="s">
        <v>1819</v>
      </c>
    </row>
    <row r="692" spans="1:13" ht="15" hidden="1" customHeight="1" x14ac:dyDescent="0.25">
      <c r="A692" s="21" t="s">
        <v>3141</v>
      </c>
      <c r="B692" s="22" t="s">
        <v>2202</v>
      </c>
      <c r="C692" s="22" t="s">
        <v>882</v>
      </c>
      <c r="D692" s="21" t="s">
        <v>119</v>
      </c>
      <c r="E692" s="21" t="s">
        <v>1214</v>
      </c>
      <c r="F692" s="21" t="s">
        <v>1214</v>
      </c>
      <c r="G692" s="21" t="s">
        <v>3142</v>
      </c>
      <c r="H692" s="21" t="s">
        <v>1314</v>
      </c>
      <c r="I692" s="21" t="s">
        <v>3143</v>
      </c>
      <c r="J692" s="21" t="s">
        <v>3144</v>
      </c>
      <c r="K692" s="22" t="s">
        <v>3145</v>
      </c>
      <c r="L692" s="21" t="s">
        <v>1641</v>
      </c>
      <c r="M692" s="21" t="s">
        <v>1830</v>
      </c>
    </row>
    <row r="693" spans="1:13" ht="15" hidden="1" customHeight="1" x14ac:dyDescent="0.25">
      <c r="A693" s="21" t="s">
        <v>3146</v>
      </c>
      <c r="B693" s="22" t="s">
        <v>2204</v>
      </c>
      <c r="C693" s="22" t="s">
        <v>883</v>
      </c>
      <c r="D693" s="21" t="s">
        <v>119</v>
      </c>
      <c r="E693" s="21" t="s">
        <v>1254</v>
      </c>
      <c r="F693" s="21" t="s">
        <v>1532</v>
      </c>
      <c r="G693" s="21" t="s">
        <v>2227</v>
      </c>
      <c r="H693" s="21" t="s">
        <v>1314</v>
      </c>
      <c r="I693" s="21" t="s">
        <v>1735</v>
      </c>
      <c r="J693" s="21" t="s">
        <v>2208</v>
      </c>
      <c r="K693" s="22" t="s">
        <v>3147</v>
      </c>
      <c r="L693" s="21" t="s">
        <v>1641</v>
      </c>
      <c r="M693" s="21" t="s">
        <v>1819</v>
      </c>
    </row>
    <row r="694" spans="1:13" ht="15" hidden="1" customHeight="1" x14ac:dyDescent="0.25">
      <c r="A694" s="21" t="s">
        <v>3148</v>
      </c>
      <c r="B694" s="22" t="s">
        <v>2206</v>
      </c>
      <c r="C694" s="22"/>
      <c r="D694" s="21" t="s">
        <v>119</v>
      </c>
      <c r="E694" s="21"/>
      <c r="F694" s="21"/>
      <c r="G694" s="21"/>
      <c r="H694" s="21"/>
      <c r="I694" s="21"/>
      <c r="J694" s="21"/>
      <c r="K694" s="22"/>
      <c r="L694" s="21"/>
      <c r="M694" s="21"/>
    </row>
    <row r="695" spans="1:13" ht="15" hidden="1" customHeight="1" x14ac:dyDescent="0.25">
      <c r="A695" s="21" t="s">
        <v>3149</v>
      </c>
      <c r="B695" s="22" t="s">
        <v>2209</v>
      </c>
      <c r="C695" s="22" t="s">
        <v>884</v>
      </c>
      <c r="D695" s="21" t="s">
        <v>119</v>
      </c>
      <c r="E695" s="21" t="s">
        <v>1254</v>
      </c>
      <c r="F695" s="21" t="s">
        <v>1532</v>
      </c>
      <c r="G695" s="21" t="s">
        <v>2218</v>
      </c>
      <c r="H695" s="21" t="s">
        <v>1314</v>
      </c>
      <c r="I695" s="21" t="s">
        <v>1735</v>
      </c>
      <c r="J695" s="21" t="s">
        <v>2208</v>
      </c>
      <c r="K695" s="22" t="s">
        <v>3150</v>
      </c>
      <c r="L695" s="21" t="s">
        <v>1641</v>
      </c>
      <c r="M695" s="21" t="s">
        <v>1819</v>
      </c>
    </row>
    <row r="696" spans="1:13" ht="15" hidden="1" customHeight="1" x14ac:dyDescent="0.25">
      <c r="A696" s="21" t="s">
        <v>3151</v>
      </c>
      <c r="B696" s="22" t="s">
        <v>2211</v>
      </c>
      <c r="C696" s="22" t="s">
        <v>3152</v>
      </c>
      <c r="D696" s="21" t="s">
        <v>119</v>
      </c>
      <c r="E696" s="21" t="s">
        <v>1254</v>
      </c>
      <c r="F696" s="21" t="s">
        <v>1443</v>
      </c>
      <c r="G696" s="21" t="s">
        <v>3116</v>
      </c>
      <c r="H696" s="21" t="s">
        <v>1314</v>
      </c>
      <c r="I696" s="21" t="s">
        <v>1735</v>
      </c>
      <c r="J696" s="21" t="s">
        <v>2208</v>
      </c>
      <c r="K696" s="22" t="s">
        <v>3153</v>
      </c>
      <c r="L696" s="21" t="s">
        <v>1641</v>
      </c>
      <c r="M696" s="21" t="s">
        <v>1819</v>
      </c>
    </row>
    <row r="697" spans="1:13" ht="15" hidden="1" customHeight="1" x14ac:dyDescent="0.25">
      <c r="A697" s="21" t="s">
        <v>3154</v>
      </c>
      <c r="B697" s="22" t="s">
        <v>2214</v>
      </c>
      <c r="C697" s="22" t="s">
        <v>885</v>
      </c>
      <c r="D697" s="21" t="s">
        <v>119</v>
      </c>
      <c r="E697" s="21" t="s">
        <v>1256</v>
      </c>
      <c r="F697" s="21" t="s">
        <v>3093</v>
      </c>
      <c r="G697" s="21" t="s">
        <v>2207</v>
      </c>
      <c r="H697" s="21" t="s">
        <v>1314</v>
      </c>
      <c r="I697" s="21" t="s">
        <v>1735</v>
      </c>
      <c r="J697" s="21" t="s">
        <v>2208</v>
      </c>
      <c r="K697" s="22" t="s">
        <v>3155</v>
      </c>
      <c r="L697" s="21" t="s">
        <v>1641</v>
      </c>
      <c r="M697" s="21" t="s">
        <v>1819</v>
      </c>
    </row>
    <row r="698" spans="1:13" ht="15" hidden="1" customHeight="1" x14ac:dyDescent="0.25">
      <c r="A698" s="21" t="s">
        <v>3156</v>
      </c>
      <c r="B698" s="22" t="s">
        <v>2217</v>
      </c>
      <c r="C698" s="22" t="s">
        <v>886</v>
      </c>
      <c r="D698" s="21" t="s">
        <v>119</v>
      </c>
      <c r="E698" s="21" t="s">
        <v>1254</v>
      </c>
      <c r="F698" s="21" t="s">
        <v>1532</v>
      </c>
      <c r="G698" s="21" t="s">
        <v>2880</v>
      </c>
      <c r="H698" s="21" t="s">
        <v>1314</v>
      </c>
      <c r="I698" s="21" t="s">
        <v>1735</v>
      </c>
      <c r="J698" s="21" t="s">
        <v>2208</v>
      </c>
      <c r="K698" s="22" t="s">
        <v>3157</v>
      </c>
      <c r="L698" s="21" t="s">
        <v>1641</v>
      </c>
      <c r="M698" s="21" t="s">
        <v>1819</v>
      </c>
    </row>
    <row r="699" spans="1:13" ht="15" hidden="1" customHeight="1" x14ac:dyDescent="0.25">
      <c r="A699" s="21" t="s">
        <v>3158</v>
      </c>
      <c r="B699" s="22" t="s">
        <v>2220</v>
      </c>
      <c r="C699" s="22" t="s">
        <v>887</v>
      </c>
      <c r="D699" s="21" t="s">
        <v>119</v>
      </c>
      <c r="E699" s="21" t="s">
        <v>1254</v>
      </c>
      <c r="F699" s="21" t="s">
        <v>1532</v>
      </c>
      <c r="G699" s="21" t="s">
        <v>2230</v>
      </c>
      <c r="H699" s="21" t="s">
        <v>1314</v>
      </c>
      <c r="I699" s="21" t="s">
        <v>1735</v>
      </c>
      <c r="J699" s="21" t="s">
        <v>2208</v>
      </c>
      <c r="K699" s="22" t="s">
        <v>3159</v>
      </c>
      <c r="L699" s="21" t="s">
        <v>1641</v>
      </c>
      <c r="M699" s="21" t="s">
        <v>1819</v>
      </c>
    </row>
    <row r="700" spans="1:13" ht="15" hidden="1" customHeight="1" x14ac:dyDescent="0.25">
      <c r="A700" s="21" t="s">
        <v>3160</v>
      </c>
      <c r="B700" s="22" t="s">
        <v>2223</v>
      </c>
      <c r="C700" s="22" t="s">
        <v>888</v>
      </c>
      <c r="D700" s="21" t="s">
        <v>119</v>
      </c>
      <c r="E700" s="21" t="s">
        <v>1254</v>
      </c>
      <c r="F700" s="21" t="s">
        <v>1532</v>
      </c>
      <c r="G700" s="21" t="s">
        <v>2852</v>
      </c>
      <c r="H700" s="21" t="s">
        <v>1314</v>
      </c>
      <c r="I700" s="21" t="s">
        <v>1735</v>
      </c>
      <c r="J700" s="21" t="s">
        <v>2208</v>
      </c>
      <c r="K700" s="22" t="s">
        <v>3161</v>
      </c>
      <c r="L700" s="21" t="s">
        <v>1641</v>
      </c>
      <c r="M700" s="21" t="s">
        <v>1819</v>
      </c>
    </row>
    <row r="701" spans="1:13" ht="15" hidden="1" customHeight="1" x14ac:dyDescent="0.25">
      <c r="A701" s="21" t="s">
        <v>3162</v>
      </c>
      <c r="B701" s="22" t="s">
        <v>2226</v>
      </c>
      <c r="C701" s="22" t="s">
        <v>889</v>
      </c>
      <c r="D701" s="21" t="s">
        <v>119</v>
      </c>
      <c r="E701" s="21" t="s">
        <v>1254</v>
      </c>
      <c r="F701" s="21" t="s">
        <v>1532</v>
      </c>
      <c r="G701" s="21" t="s">
        <v>2856</v>
      </c>
      <c r="H701" s="21" t="s">
        <v>1314</v>
      </c>
      <c r="I701" s="21" t="s">
        <v>1735</v>
      </c>
      <c r="J701" s="21" t="s">
        <v>2208</v>
      </c>
      <c r="K701" s="22" t="s">
        <v>3163</v>
      </c>
      <c r="L701" s="21" t="s">
        <v>1641</v>
      </c>
      <c r="M701" s="21" t="s">
        <v>1819</v>
      </c>
    </row>
    <row r="702" spans="1:13" ht="15" hidden="1" customHeight="1" x14ac:dyDescent="0.25">
      <c r="A702" s="21" t="s">
        <v>3164</v>
      </c>
      <c r="B702" s="22" t="s">
        <v>2229</v>
      </c>
      <c r="C702" s="22" t="s">
        <v>890</v>
      </c>
      <c r="D702" s="21" t="s">
        <v>119</v>
      </c>
      <c r="E702" s="21" t="s">
        <v>1254</v>
      </c>
      <c r="F702" s="21" t="s">
        <v>2875</v>
      </c>
      <c r="G702" s="21" t="s">
        <v>2212</v>
      </c>
      <c r="H702" s="21" t="s">
        <v>1314</v>
      </c>
      <c r="I702" s="21" t="s">
        <v>1735</v>
      </c>
      <c r="J702" s="21" t="s">
        <v>2208</v>
      </c>
      <c r="K702" s="22" t="s">
        <v>3165</v>
      </c>
      <c r="L702" s="21" t="s">
        <v>1641</v>
      </c>
      <c r="M702" s="21" t="s">
        <v>1819</v>
      </c>
    </row>
    <row r="703" spans="1:13" ht="15" hidden="1" customHeight="1" x14ac:dyDescent="0.25">
      <c r="A703" s="21" t="s">
        <v>3166</v>
      </c>
      <c r="B703" s="22" t="s">
        <v>2232</v>
      </c>
      <c r="C703" s="22" t="s">
        <v>3167</v>
      </c>
      <c r="D703" s="21" t="s">
        <v>119</v>
      </c>
      <c r="E703" s="21" t="s">
        <v>1254</v>
      </c>
      <c r="F703" s="21" t="s">
        <v>1532</v>
      </c>
      <c r="G703" s="21" t="s">
        <v>3131</v>
      </c>
      <c r="H703" s="21" t="s">
        <v>1314</v>
      </c>
      <c r="I703" s="21" t="s">
        <v>1735</v>
      </c>
      <c r="J703" s="21" t="s">
        <v>2208</v>
      </c>
      <c r="K703" s="22" t="s">
        <v>3168</v>
      </c>
      <c r="L703" s="21" t="s">
        <v>1641</v>
      </c>
      <c r="M703" s="21" t="s">
        <v>1819</v>
      </c>
    </row>
    <row r="704" spans="1:13" ht="15" hidden="1" customHeight="1" x14ac:dyDescent="0.25">
      <c r="A704" s="21" t="s">
        <v>3169</v>
      </c>
      <c r="B704" s="22" t="s">
        <v>2235</v>
      </c>
      <c r="C704" s="22" t="s">
        <v>3170</v>
      </c>
      <c r="D704" s="21" t="s">
        <v>119</v>
      </c>
      <c r="E704" s="21" t="s">
        <v>1254</v>
      </c>
      <c r="F704" s="21" t="s">
        <v>1532</v>
      </c>
      <c r="G704" s="21" t="s">
        <v>3171</v>
      </c>
      <c r="H704" s="21" t="s">
        <v>1314</v>
      </c>
      <c r="I704" s="21" t="s">
        <v>1735</v>
      </c>
      <c r="J704" s="21" t="s">
        <v>2208</v>
      </c>
      <c r="K704" s="22" t="s">
        <v>3172</v>
      </c>
      <c r="L704" s="21" t="s">
        <v>1641</v>
      </c>
      <c r="M704" s="21" t="s">
        <v>1819</v>
      </c>
    </row>
    <row r="705" spans="1:13" ht="15" hidden="1" customHeight="1" x14ac:dyDescent="0.25">
      <c r="A705" s="21" t="s">
        <v>3173</v>
      </c>
      <c r="B705" s="22" t="s">
        <v>2238</v>
      </c>
      <c r="C705" s="22" t="s">
        <v>891</v>
      </c>
      <c r="D705" s="21" t="s">
        <v>119</v>
      </c>
      <c r="E705" s="21" t="s">
        <v>1254</v>
      </c>
      <c r="F705" s="21" t="s">
        <v>1532</v>
      </c>
      <c r="G705" s="21" t="s">
        <v>2215</v>
      </c>
      <c r="H705" s="21" t="s">
        <v>1314</v>
      </c>
      <c r="I705" s="21" t="s">
        <v>1735</v>
      </c>
      <c r="J705" s="21" t="s">
        <v>2208</v>
      </c>
      <c r="K705" s="22" t="s">
        <v>3174</v>
      </c>
      <c r="L705" s="21" t="s">
        <v>1641</v>
      </c>
      <c r="M705" s="21" t="s">
        <v>1819</v>
      </c>
    </row>
    <row r="706" spans="1:13" ht="15" hidden="1" customHeight="1" x14ac:dyDescent="0.25">
      <c r="A706" s="21" t="s">
        <v>3175</v>
      </c>
      <c r="B706" s="22" t="s">
        <v>2241</v>
      </c>
      <c r="C706" s="22" t="s">
        <v>3176</v>
      </c>
      <c r="D706" s="21" t="s">
        <v>119</v>
      </c>
      <c r="E706" s="21" t="s">
        <v>1254</v>
      </c>
      <c r="F706" s="21" t="s">
        <v>1532</v>
      </c>
      <c r="G706" s="21" t="s">
        <v>3116</v>
      </c>
      <c r="H706" s="21" t="s">
        <v>1314</v>
      </c>
      <c r="I706" s="21" t="s">
        <v>1735</v>
      </c>
      <c r="J706" s="21" t="s">
        <v>2208</v>
      </c>
      <c r="K706" s="22" t="s">
        <v>3177</v>
      </c>
      <c r="L706" s="21" t="s">
        <v>1641</v>
      </c>
      <c r="M706" s="21" t="s">
        <v>1819</v>
      </c>
    </row>
    <row r="707" spans="1:13" ht="15" hidden="1" customHeight="1" x14ac:dyDescent="0.25">
      <c r="A707" s="21" t="s">
        <v>3178</v>
      </c>
      <c r="B707" s="22" t="s">
        <v>2245</v>
      </c>
      <c r="C707" s="22" t="s">
        <v>892</v>
      </c>
      <c r="D707" s="21" t="s">
        <v>119</v>
      </c>
      <c r="E707" s="21" t="s">
        <v>1234</v>
      </c>
      <c r="F707" s="21" t="s">
        <v>1588</v>
      </c>
      <c r="G707" s="21" t="s">
        <v>3179</v>
      </c>
      <c r="H707" s="21" t="s">
        <v>1314</v>
      </c>
      <c r="I707" s="21" t="s">
        <v>1735</v>
      </c>
      <c r="J707" s="21" t="s">
        <v>2251</v>
      </c>
      <c r="K707" s="22" t="s">
        <v>3180</v>
      </c>
      <c r="L707" s="21" t="s">
        <v>1368</v>
      </c>
      <c r="M707" s="21" t="s">
        <v>1819</v>
      </c>
    </row>
    <row r="708" spans="1:13" ht="15" hidden="1" customHeight="1" x14ac:dyDescent="0.25">
      <c r="A708" s="21" t="s">
        <v>3181</v>
      </c>
      <c r="B708" s="22" t="s">
        <v>2248</v>
      </c>
      <c r="C708" s="22" t="s">
        <v>893</v>
      </c>
      <c r="D708" s="21" t="s">
        <v>119</v>
      </c>
      <c r="E708" s="21" t="s">
        <v>1237</v>
      </c>
      <c r="F708" s="21" t="s">
        <v>1214</v>
      </c>
      <c r="G708" s="21" t="s">
        <v>3182</v>
      </c>
      <c r="H708" s="21" t="s">
        <v>1314</v>
      </c>
      <c r="I708" s="21" t="s">
        <v>1735</v>
      </c>
      <c r="J708" s="21" t="s">
        <v>2251</v>
      </c>
      <c r="K708" s="22" t="s">
        <v>3183</v>
      </c>
      <c r="L708" s="21" t="s">
        <v>1599</v>
      </c>
      <c r="M708" s="21" t="s">
        <v>1819</v>
      </c>
    </row>
    <row r="709" spans="1:13" ht="15" hidden="1" customHeight="1" x14ac:dyDescent="0.25">
      <c r="A709" s="21" t="s">
        <v>3184</v>
      </c>
      <c r="B709" s="22" t="s">
        <v>2253</v>
      </c>
      <c r="C709" s="22" t="s">
        <v>894</v>
      </c>
      <c r="D709" s="21" t="s">
        <v>119</v>
      </c>
      <c r="E709" s="21" t="s">
        <v>1240</v>
      </c>
      <c r="F709" s="21" t="s">
        <v>1523</v>
      </c>
      <c r="G709" s="21" t="s">
        <v>2693</v>
      </c>
      <c r="H709" s="21" t="s">
        <v>1624</v>
      </c>
      <c r="I709" s="21" t="s">
        <v>3185</v>
      </c>
      <c r="J709" s="21" t="s">
        <v>3186</v>
      </c>
      <c r="K709" s="22" t="s">
        <v>3187</v>
      </c>
      <c r="L709" s="21" t="s">
        <v>2820</v>
      </c>
      <c r="M709" s="21"/>
    </row>
    <row r="710" spans="1:13" ht="15" hidden="1" customHeight="1" x14ac:dyDescent="0.25">
      <c r="A710" s="21" t="s">
        <v>3188</v>
      </c>
      <c r="B710" s="22" t="s">
        <v>2256</v>
      </c>
      <c r="C710" s="22" t="s">
        <v>895</v>
      </c>
      <c r="D710" s="21" t="s">
        <v>119</v>
      </c>
      <c r="E710" s="21" t="s">
        <v>1245</v>
      </c>
      <c r="F710" s="21" t="s">
        <v>1518</v>
      </c>
      <c r="G710" s="21" t="s">
        <v>1519</v>
      </c>
      <c r="H710" s="21" t="s">
        <v>1314</v>
      </c>
      <c r="I710" s="21" t="s">
        <v>2309</v>
      </c>
      <c r="J710" s="21" t="s">
        <v>2751</v>
      </c>
      <c r="K710" s="22" t="s">
        <v>3189</v>
      </c>
      <c r="L710" s="21" t="s">
        <v>2820</v>
      </c>
      <c r="M710" s="21" t="s">
        <v>1830</v>
      </c>
    </row>
    <row r="711" spans="1:13" ht="15" hidden="1" customHeight="1" x14ac:dyDescent="0.25">
      <c r="A711" s="21" t="s">
        <v>3190</v>
      </c>
      <c r="B711" s="22" t="s">
        <v>2259</v>
      </c>
      <c r="C711" s="22" t="s">
        <v>896</v>
      </c>
      <c r="D711" s="21" t="s">
        <v>119</v>
      </c>
      <c r="E711" s="21" t="s">
        <v>1203</v>
      </c>
      <c r="F711" s="21" t="s">
        <v>2714</v>
      </c>
      <c r="G711" s="21" t="s">
        <v>1416</v>
      </c>
      <c r="H711" s="21" t="s">
        <v>1314</v>
      </c>
      <c r="I711" s="21" t="s">
        <v>1735</v>
      </c>
      <c r="J711" s="21" t="s">
        <v>2316</v>
      </c>
      <c r="K711" s="22" t="s">
        <v>3191</v>
      </c>
      <c r="L711" s="21" t="s">
        <v>1641</v>
      </c>
      <c r="M711" s="21" t="s">
        <v>1819</v>
      </c>
    </row>
    <row r="712" spans="1:13" ht="15" hidden="1" customHeight="1" x14ac:dyDescent="0.25">
      <c r="A712" s="21" t="s">
        <v>3192</v>
      </c>
      <c r="B712" s="22" t="s">
        <v>2262</v>
      </c>
      <c r="C712" s="22" t="s">
        <v>897</v>
      </c>
      <c r="D712" s="21" t="s">
        <v>119</v>
      </c>
      <c r="E712" s="21" t="s">
        <v>1203</v>
      </c>
      <c r="F712" s="21" t="s">
        <v>2714</v>
      </c>
      <c r="G712" s="21" t="s">
        <v>1416</v>
      </c>
      <c r="H712" s="21" t="s">
        <v>1314</v>
      </c>
      <c r="I712" s="21" t="s">
        <v>1735</v>
      </c>
      <c r="J712" s="21" t="s">
        <v>2316</v>
      </c>
      <c r="K712" s="22" t="s">
        <v>3193</v>
      </c>
      <c r="L712" s="21" t="s">
        <v>1641</v>
      </c>
      <c r="M712" s="21" t="s">
        <v>1819</v>
      </c>
    </row>
    <row r="713" spans="1:13" ht="15" hidden="1" customHeight="1" x14ac:dyDescent="0.25">
      <c r="A713" s="21" t="s">
        <v>3194</v>
      </c>
      <c r="B713" s="22" t="s">
        <v>2265</v>
      </c>
      <c r="C713" s="22" t="s">
        <v>898</v>
      </c>
      <c r="D713" s="21" t="s">
        <v>119</v>
      </c>
      <c r="E713" s="21" t="s">
        <v>1206</v>
      </c>
      <c r="F713" s="21" t="s">
        <v>1206</v>
      </c>
      <c r="G713" s="21" t="s">
        <v>1639</v>
      </c>
      <c r="H713" s="21" t="s">
        <v>1314</v>
      </c>
      <c r="I713" s="21" t="s">
        <v>1735</v>
      </c>
      <c r="J713" s="21" t="s">
        <v>2316</v>
      </c>
      <c r="K713" s="22" t="s">
        <v>3195</v>
      </c>
      <c r="L713" s="21" t="s">
        <v>1641</v>
      </c>
      <c r="M713" s="21" t="s">
        <v>1819</v>
      </c>
    </row>
    <row r="714" spans="1:13" ht="15" hidden="1" customHeight="1" x14ac:dyDescent="0.25">
      <c r="A714" s="21" t="s">
        <v>3196</v>
      </c>
      <c r="B714" s="22" t="s">
        <v>2269</v>
      </c>
      <c r="C714" s="22" t="s">
        <v>899</v>
      </c>
      <c r="D714" s="21" t="s">
        <v>119</v>
      </c>
      <c r="E714" s="21" t="s">
        <v>1225</v>
      </c>
      <c r="F714" s="21" t="s">
        <v>1284</v>
      </c>
      <c r="G714" s="21"/>
      <c r="H714" s="21" t="s">
        <v>1314</v>
      </c>
      <c r="I714" s="21" t="s">
        <v>1909</v>
      </c>
      <c r="J714" s="21" t="s">
        <v>3197</v>
      </c>
      <c r="K714" s="22" t="s">
        <v>3198</v>
      </c>
      <c r="L714" s="21" t="s">
        <v>1368</v>
      </c>
      <c r="M714" s="21"/>
    </row>
    <row r="715" spans="1:13" ht="15" hidden="1" customHeight="1" x14ac:dyDescent="0.25">
      <c r="A715" s="21" t="s">
        <v>3199</v>
      </c>
      <c r="B715" s="22" t="s">
        <v>2272</v>
      </c>
      <c r="C715" s="22" t="s">
        <v>3200</v>
      </c>
      <c r="D715" s="21" t="s">
        <v>119</v>
      </c>
      <c r="E715" s="21" t="s">
        <v>1254</v>
      </c>
      <c r="F715" s="21" t="s">
        <v>1532</v>
      </c>
      <c r="G715" s="21" t="s">
        <v>3201</v>
      </c>
      <c r="H715" s="21" t="s">
        <v>1314</v>
      </c>
      <c r="I715" s="21" t="s">
        <v>1735</v>
      </c>
      <c r="J715" s="21" t="s">
        <v>2809</v>
      </c>
      <c r="K715" s="22" t="s">
        <v>3202</v>
      </c>
      <c r="L715" s="21" t="s">
        <v>1290</v>
      </c>
      <c r="M715" s="21" t="s">
        <v>1819</v>
      </c>
    </row>
    <row r="716" spans="1:13" ht="15" hidden="1" customHeight="1" x14ac:dyDescent="0.25">
      <c r="A716" s="21" t="s">
        <v>3203</v>
      </c>
      <c r="B716" s="22" t="s">
        <v>2275</v>
      </c>
      <c r="C716" s="22" t="s">
        <v>900</v>
      </c>
      <c r="D716" s="21" t="s">
        <v>119</v>
      </c>
      <c r="E716" s="21" t="s">
        <v>1227</v>
      </c>
      <c r="F716" s="21" t="s">
        <v>3099</v>
      </c>
      <c r="G716" s="21" t="s">
        <v>2366</v>
      </c>
      <c r="H716" s="21" t="s">
        <v>1314</v>
      </c>
      <c r="I716" s="21" t="s">
        <v>1909</v>
      </c>
      <c r="J716" s="21" t="s">
        <v>3014</v>
      </c>
      <c r="K716" s="22" t="s">
        <v>3204</v>
      </c>
      <c r="L716" s="21" t="s">
        <v>1290</v>
      </c>
      <c r="M716" s="21" t="s">
        <v>1819</v>
      </c>
    </row>
    <row r="717" spans="1:13" ht="15" hidden="1" customHeight="1" x14ac:dyDescent="0.25">
      <c r="A717" s="21" t="s">
        <v>3205</v>
      </c>
      <c r="B717" s="22" t="s">
        <v>2279</v>
      </c>
      <c r="C717" s="22" t="s">
        <v>901</v>
      </c>
      <c r="D717" s="21" t="s">
        <v>119</v>
      </c>
      <c r="E717" s="21" t="s">
        <v>1227</v>
      </c>
      <c r="F717" s="21" t="s">
        <v>3099</v>
      </c>
      <c r="G717" s="21" t="s">
        <v>2418</v>
      </c>
      <c r="H717" s="21" t="s">
        <v>1314</v>
      </c>
      <c r="I717" s="21" t="s">
        <v>1909</v>
      </c>
      <c r="J717" s="21" t="s">
        <v>3014</v>
      </c>
      <c r="K717" s="22" t="s">
        <v>3206</v>
      </c>
      <c r="L717" s="21" t="s">
        <v>1290</v>
      </c>
      <c r="M717" s="21" t="s">
        <v>1819</v>
      </c>
    </row>
    <row r="718" spans="1:13" ht="15" hidden="1" customHeight="1" x14ac:dyDescent="0.25">
      <c r="A718" s="21" t="s">
        <v>3207</v>
      </c>
      <c r="B718" s="22" t="s">
        <v>2282</v>
      </c>
      <c r="C718" s="22" t="s">
        <v>902</v>
      </c>
      <c r="D718" s="21" t="s">
        <v>119</v>
      </c>
      <c r="E718" s="21" t="s">
        <v>1227</v>
      </c>
      <c r="F718" s="21" t="s">
        <v>3099</v>
      </c>
      <c r="G718" s="21" t="s">
        <v>2210</v>
      </c>
      <c r="H718" s="21" t="s">
        <v>1314</v>
      </c>
      <c r="I718" s="21" t="s">
        <v>1909</v>
      </c>
      <c r="J718" s="21" t="s">
        <v>3014</v>
      </c>
      <c r="K718" s="22" t="s">
        <v>3208</v>
      </c>
      <c r="L718" s="21" t="s">
        <v>1290</v>
      </c>
      <c r="M718" s="21" t="s">
        <v>1819</v>
      </c>
    </row>
    <row r="719" spans="1:13" ht="15" hidden="1" customHeight="1" x14ac:dyDescent="0.25">
      <c r="A719" s="21" t="s">
        <v>3209</v>
      </c>
      <c r="B719" s="22" t="s">
        <v>2285</v>
      </c>
      <c r="C719" s="22" t="s">
        <v>903</v>
      </c>
      <c r="D719" s="21" t="s">
        <v>119</v>
      </c>
      <c r="E719" s="21" t="s">
        <v>1227</v>
      </c>
      <c r="F719" s="21" t="s">
        <v>3099</v>
      </c>
      <c r="G719" s="21" t="s">
        <v>2371</v>
      </c>
      <c r="H719" s="21" t="s">
        <v>1314</v>
      </c>
      <c r="I719" s="21" t="s">
        <v>1909</v>
      </c>
      <c r="J719" s="21" t="s">
        <v>3014</v>
      </c>
      <c r="K719" s="22" t="s">
        <v>3210</v>
      </c>
      <c r="L719" s="21" t="s">
        <v>1290</v>
      </c>
      <c r="M719" s="21" t="s">
        <v>1819</v>
      </c>
    </row>
    <row r="720" spans="1:13" ht="15" hidden="1" customHeight="1" x14ac:dyDescent="0.25">
      <c r="A720" s="21" t="s">
        <v>3211</v>
      </c>
      <c r="B720" s="22" t="s">
        <v>2288</v>
      </c>
      <c r="C720" s="22" t="s">
        <v>904</v>
      </c>
      <c r="D720" s="21" t="s">
        <v>119</v>
      </c>
      <c r="E720" s="21" t="s">
        <v>1227</v>
      </c>
      <c r="F720" s="21" t="s">
        <v>3099</v>
      </c>
      <c r="G720" s="21" t="s">
        <v>2466</v>
      </c>
      <c r="H720" s="21" t="s">
        <v>1314</v>
      </c>
      <c r="I720" s="21" t="s">
        <v>1909</v>
      </c>
      <c r="J720" s="21" t="s">
        <v>3014</v>
      </c>
      <c r="K720" s="22" t="s">
        <v>3212</v>
      </c>
      <c r="L720" s="21" t="s">
        <v>1290</v>
      </c>
      <c r="M720" s="21" t="s">
        <v>1819</v>
      </c>
    </row>
    <row r="721" spans="1:13" ht="15" hidden="1" customHeight="1" x14ac:dyDescent="0.25">
      <c r="A721" s="21" t="s">
        <v>3213</v>
      </c>
      <c r="B721" s="22" t="s">
        <v>2291</v>
      </c>
      <c r="C721" s="22" t="s">
        <v>3214</v>
      </c>
      <c r="D721" s="21" t="s">
        <v>119</v>
      </c>
      <c r="E721" s="21" t="s">
        <v>1275</v>
      </c>
      <c r="F721" s="21" t="s">
        <v>1561</v>
      </c>
      <c r="G721" s="21" t="s">
        <v>1799</v>
      </c>
      <c r="H721" s="21" t="s">
        <v>1314</v>
      </c>
      <c r="I721" s="21" t="s">
        <v>1909</v>
      </c>
      <c r="J721" s="21" t="s">
        <v>3014</v>
      </c>
      <c r="K721" s="22" t="s">
        <v>3215</v>
      </c>
      <c r="L721" s="21" t="s">
        <v>1290</v>
      </c>
      <c r="M721" s="21" t="s">
        <v>1819</v>
      </c>
    </row>
    <row r="722" spans="1:13" ht="15" hidden="1" customHeight="1" x14ac:dyDescent="0.25">
      <c r="A722" s="21" t="s">
        <v>3216</v>
      </c>
      <c r="B722" s="22" t="s">
        <v>2294</v>
      </c>
      <c r="C722" s="22" t="s">
        <v>906</v>
      </c>
      <c r="D722" s="21" t="s">
        <v>119</v>
      </c>
      <c r="E722" s="21" t="s">
        <v>1227</v>
      </c>
      <c r="F722" s="21" t="s">
        <v>1227</v>
      </c>
      <c r="G722" s="21" t="s">
        <v>1726</v>
      </c>
      <c r="H722" s="21" t="s">
        <v>1314</v>
      </c>
      <c r="I722" s="21" t="s">
        <v>1735</v>
      </c>
      <c r="J722" s="21" t="s">
        <v>2251</v>
      </c>
      <c r="K722" s="22" t="s">
        <v>3217</v>
      </c>
      <c r="L722" s="21" t="s">
        <v>1290</v>
      </c>
      <c r="M722" s="21" t="s">
        <v>1819</v>
      </c>
    </row>
    <row r="723" spans="1:13" ht="15" hidden="1" customHeight="1" x14ac:dyDescent="0.25">
      <c r="A723" s="21" t="s">
        <v>3218</v>
      </c>
      <c r="B723" s="22" t="s">
        <v>2297</v>
      </c>
      <c r="C723" s="22" t="s">
        <v>907</v>
      </c>
      <c r="D723" s="21" t="s">
        <v>119</v>
      </c>
      <c r="E723" s="21" t="s">
        <v>1225</v>
      </c>
      <c r="F723" s="21" t="s">
        <v>1284</v>
      </c>
      <c r="G723" s="21"/>
      <c r="H723" s="21" t="s">
        <v>1286</v>
      </c>
      <c r="I723" s="21" t="s">
        <v>1909</v>
      </c>
      <c r="J723" s="21" t="s">
        <v>3219</v>
      </c>
      <c r="K723" s="22" t="s">
        <v>3220</v>
      </c>
      <c r="L723" s="21" t="s">
        <v>1676</v>
      </c>
      <c r="M723" s="21" t="s">
        <v>1819</v>
      </c>
    </row>
    <row r="724" spans="1:13" ht="15" hidden="1" customHeight="1" x14ac:dyDescent="0.25">
      <c r="A724" s="21" t="s">
        <v>3221</v>
      </c>
      <c r="B724" s="22" t="s">
        <v>2300</v>
      </c>
      <c r="C724" s="22" t="s">
        <v>908</v>
      </c>
      <c r="D724" s="21" t="s">
        <v>119</v>
      </c>
      <c r="E724" s="21" t="s">
        <v>1225</v>
      </c>
      <c r="F724" s="21" t="s">
        <v>1284</v>
      </c>
      <c r="G724" s="21"/>
      <c r="H724" s="21" t="s">
        <v>1286</v>
      </c>
      <c r="I724" s="21" t="s">
        <v>1909</v>
      </c>
      <c r="J724" s="21" t="s">
        <v>3219</v>
      </c>
      <c r="K724" s="22" t="s">
        <v>3222</v>
      </c>
      <c r="L724" s="21" t="s">
        <v>1676</v>
      </c>
      <c r="M724" s="21" t="s">
        <v>1819</v>
      </c>
    </row>
    <row r="725" spans="1:13" ht="15" hidden="1" customHeight="1" x14ac:dyDescent="0.25">
      <c r="A725" s="21" t="s">
        <v>3223</v>
      </c>
      <c r="B725" s="22" t="s">
        <v>2305</v>
      </c>
      <c r="C725" s="22" t="s">
        <v>909</v>
      </c>
      <c r="D725" s="21" t="s">
        <v>119</v>
      </c>
      <c r="E725" s="21" t="s">
        <v>1225</v>
      </c>
      <c r="F725" s="21" t="s">
        <v>1284</v>
      </c>
      <c r="G725" s="21"/>
      <c r="H725" s="21" t="s">
        <v>1286</v>
      </c>
      <c r="I725" s="21" t="s">
        <v>1909</v>
      </c>
      <c r="J725" s="21" t="s">
        <v>3219</v>
      </c>
      <c r="K725" s="22" t="s">
        <v>3224</v>
      </c>
      <c r="L725" s="21" t="s">
        <v>1676</v>
      </c>
      <c r="M725" s="21" t="s">
        <v>1819</v>
      </c>
    </row>
    <row r="726" spans="1:13" ht="15" hidden="1" customHeight="1" x14ac:dyDescent="0.25">
      <c r="A726" s="21" t="s">
        <v>3225</v>
      </c>
      <c r="B726" s="22" t="s">
        <v>2312</v>
      </c>
      <c r="C726" s="22" t="s">
        <v>910</v>
      </c>
      <c r="D726" s="21" t="s">
        <v>119</v>
      </c>
      <c r="E726" s="21" t="s">
        <v>1225</v>
      </c>
      <c r="F726" s="21" t="s">
        <v>1284</v>
      </c>
      <c r="G726" s="21"/>
      <c r="H726" s="21" t="s">
        <v>1286</v>
      </c>
      <c r="I726" s="21" t="s">
        <v>1909</v>
      </c>
      <c r="J726" s="21" t="s">
        <v>3219</v>
      </c>
      <c r="K726" s="22" t="s">
        <v>3226</v>
      </c>
      <c r="L726" s="21" t="s">
        <v>1676</v>
      </c>
      <c r="M726" s="21" t="s">
        <v>1819</v>
      </c>
    </row>
    <row r="727" spans="1:13" ht="15" hidden="1" customHeight="1" x14ac:dyDescent="0.25">
      <c r="A727" s="21" t="s">
        <v>3227</v>
      </c>
      <c r="B727" s="22" t="s">
        <v>2315</v>
      </c>
      <c r="C727" s="22" t="s">
        <v>911</v>
      </c>
      <c r="D727" s="21" t="s">
        <v>119</v>
      </c>
      <c r="E727" s="21" t="s">
        <v>1225</v>
      </c>
      <c r="F727" s="21" t="s">
        <v>1284</v>
      </c>
      <c r="G727" s="21"/>
      <c r="H727" s="21" t="s">
        <v>1286</v>
      </c>
      <c r="I727" s="21" t="s">
        <v>1909</v>
      </c>
      <c r="J727" s="21" t="s">
        <v>3219</v>
      </c>
      <c r="K727" s="22" t="s">
        <v>3228</v>
      </c>
      <c r="L727" s="21" t="s">
        <v>1676</v>
      </c>
      <c r="M727" s="21" t="s">
        <v>1819</v>
      </c>
    </row>
    <row r="728" spans="1:13" ht="15" hidden="1" customHeight="1" x14ac:dyDescent="0.25">
      <c r="A728" s="21" t="s">
        <v>3229</v>
      </c>
      <c r="B728" s="22" t="s">
        <v>2318</v>
      </c>
      <c r="C728" s="22" t="s">
        <v>912</v>
      </c>
      <c r="D728" s="21" t="s">
        <v>119</v>
      </c>
      <c r="E728" s="21" t="s">
        <v>1225</v>
      </c>
      <c r="F728" s="21" t="s">
        <v>1284</v>
      </c>
      <c r="G728" s="21"/>
      <c r="H728" s="21" t="s">
        <v>1286</v>
      </c>
      <c r="I728" s="21" t="s">
        <v>1909</v>
      </c>
      <c r="J728" s="21" t="s">
        <v>3219</v>
      </c>
      <c r="K728" s="22" t="s">
        <v>3230</v>
      </c>
      <c r="L728" s="21" t="s">
        <v>1676</v>
      </c>
      <c r="M728" s="21" t="s">
        <v>1819</v>
      </c>
    </row>
    <row r="729" spans="1:13" ht="15" hidden="1" customHeight="1" x14ac:dyDescent="0.25">
      <c r="A729" s="21" t="s">
        <v>3231</v>
      </c>
      <c r="B729" s="22" t="s">
        <v>2322</v>
      </c>
      <c r="C729" s="22" t="s">
        <v>913</v>
      </c>
      <c r="D729" s="21" t="s">
        <v>119</v>
      </c>
      <c r="E729" s="21" t="s">
        <v>1225</v>
      </c>
      <c r="F729" s="21" t="s">
        <v>1284</v>
      </c>
      <c r="G729" s="21"/>
      <c r="H729" s="21" t="s">
        <v>1286</v>
      </c>
      <c r="I729" s="21" t="s">
        <v>1909</v>
      </c>
      <c r="J729" s="21" t="s">
        <v>3219</v>
      </c>
      <c r="K729" s="22" t="s">
        <v>3232</v>
      </c>
      <c r="L729" s="21" t="s">
        <v>1676</v>
      </c>
      <c r="M729" s="21" t="s">
        <v>1819</v>
      </c>
    </row>
    <row r="730" spans="1:13" ht="15" hidden="1" customHeight="1" x14ac:dyDescent="0.25">
      <c r="A730" s="21" t="s">
        <v>3233</v>
      </c>
      <c r="B730" s="22" t="s">
        <v>2326</v>
      </c>
      <c r="C730" s="22" t="s">
        <v>914</v>
      </c>
      <c r="D730" s="21" t="s">
        <v>119</v>
      </c>
      <c r="E730" s="21" t="s">
        <v>1225</v>
      </c>
      <c r="F730" s="21" t="s">
        <v>1284</v>
      </c>
      <c r="G730" s="21"/>
      <c r="H730" s="21" t="s">
        <v>1286</v>
      </c>
      <c r="I730" s="21" t="s">
        <v>1909</v>
      </c>
      <c r="J730" s="21" t="s">
        <v>3219</v>
      </c>
      <c r="K730" s="22" t="s">
        <v>3234</v>
      </c>
      <c r="L730" s="21" t="s">
        <v>1676</v>
      </c>
      <c r="M730" s="21" t="s">
        <v>1819</v>
      </c>
    </row>
    <row r="731" spans="1:13" ht="15" hidden="1" customHeight="1" x14ac:dyDescent="0.25">
      <c r="A731" s="21" t="s">
        <v>3235</v>
      </c>
      <c r="B731" s="22" t="s">
        <v>2328</v>
      </c>
      <c r="C731" s="22" t="s">
        <v>915</v>
      </c>
      <c r="D731" s="21" t="s">
        <v>119</v>
      </c>
      <c r="E731" s="21" t="s">
        <v>1225</v>
      </c>
      <c r="F731" s="21" t="s">
        <v>1284</v>
      </c>
      <c r="G731" s="21"/>
      <c r="H731" s="21" t="s">
        <v>1286</v>
      </c>
      <c r="I731" s="21" t="s">
        <v>1909</v>
      </c>
      <c r="J731" s="21" t="s">
        <v>3219</v>
      </c>
      <c r="K731" s="22" t="s">
        <v>3236</v>
      </c>
      <c r="L731" s="21" t="s">
        <v>1676</v>
      </c>
      <c r="M731" s="21" t="s">
        <v>1819</v>
      </c>
    </row>
    <row r="732" spans="1:13" ht="15" hidden="1" customHeight="1" x14ac:dyDescent="0.25">
      <c r="A732" s="21" t="s">
        <v>3237</v>
      </c>
      <c r="B732" s="22" t="s">
        <v>2332</v>
      </c>
      <c r="C732" s="22" t="s">
        <v>916</v>
      </c>
      <c r="D732" s="21" t="s">
        <v>119</v>
      </c>
      <c r="E732" s="21" t="s">
        <v>1225</v>
      </c>
      <c r="F732" s="21" t="s">
        <v>1284</v>
      </c>
      <c r="G732" s="21"/>
      <c r="H732" s="21" t="s">
        <v>1286</v>
      </c>
      <c r="I732" s="21" t="s">
        <v>1909</v>
      </c>
      <c r="J732" s="21" t="s">
        <v>3219</v>
      </c>
      <c r="K732" s="22" t="s">
        <v>3238</v>
      </c>
      <c r="L732" s="21" t="s">
        <v>1676</v>
      </c>
      <c r="M732" s="21" t="s">
        <v>1819</v>
      </c>
    </row>
    <row r="733" spans="1:13" ht="15" hidden="1" customHeight="1" x14ac:dyDescent="0.25">
      <c r="A733" s="21" t="s">
        <v>3239</v>
      </c>
      <c r="B733" s="22" t="s">
        <v>2334</v>
      </c>
      <c r="C733" s="22" t="s">
        <v>917</v>
      </c>
      <c r="D733" s="21" t="s">
        <v>119</v>
      </c>
      <c r="E733" s="21" t="s">
        <v>1225</v>
      </c>
      <c r="F733" s="21" t="s">
        <v>1284</v>
      </c>
      <c r="G733" s="21"/>
      <c r="H733" s="21" t="s">
        <v>1286</v>
      </c>
      <c r="I733" s="21" t="s">
        <v>1909</v>
      </c>
      <c r="J733" s="21" t="s">
        <v>3219</v>
      </c>
      <c r="K733" s="22" t="s">
        <v>3240</v>
      </c>
      <c r="L733" s="21" t="s">
        <v>1676</v>
      </c>
      <c r="M733" s="21" t="s">
        <v>1819</v>
      </c>
    </row>
    <row r="734" spans="1:13" ht="15" hidden="1" customHeight="1" x14ac:dyDescent="0.25">
      <c r="A734" s="21" t="s">
        <v>3241</v>
      </c>
      <c r="B734" s="22" t="s">
        <v>2336</v>
      </c>
      <c r="C734" s="22" t="s">
        <v>918</v>
      </c>
      <c r="D734" s="21" t="s">
        <v>119</v>
      </c>
      <c r="E734" s="21" t="s">
        <v>1225</v>
      </c>
      <c r="F734" s="21" t="s">
        <v>1284</v>
      </c>
      <c r="G734" s="21"/>
      <c r="H734" s="21" t="s">
        <v>1286</v>
      </c>
      <c r="I734" s="21" t="s">
        <v>1909</v>
      </c>
      <c r="J734" s="21" t="s">
        <v>3219</v>
      </c>
      <c r="K734" s="22" t="s">
        <v>3242</v>
      </c>
      <c r="L734" s="21" t="s">
        <v>1676</v>
      </c>
      <c r="M734" s="21" t="s">
        <v>1819</v>
      </c>
    </row>
    <row r="735" spans="1:13" ht="15" hidden="1" customHeight="1" x14ac:dyDescent="0.25">
      <c r="A735" s="21" t="s">
        <v>3243</v>
      </c>
      <c r="B735" s="22" t="s">
        <v>2338</v>
      </c>
      <c r="C735" s="22" t="s">
        <v>919</v>
      </c>
      <c r="D735" s="21" t="s">
        <v>119</v>
      </c>
      <c r="E735" s="21" t="s">
        <v>1225</v>
      </c>
      <c r="F735" s="21" t="s">
        <v>1284</v>
      </c>
      <c r="G735" s="21"/>
      <c r="H735" s="21" t="s">
        <v>1286</v>
      </c>
      <c r="I735" s="21" t="s">
        <v>1909</v>
      </c>
      <c r="J735" s="21" t="s">
        <v>3219</v>
      </c>
      <c r="K735" s="22" t="s">
        <v>3244</v>
      </c>
      <c r="L735" s="21" t="s">
        <v>1676</v>
      </c>
      <c r="M735" s="21" t="s">
        <v>1819</v>
      </c>
    </row>
    <row r="736" spans="1:13" ht="15" hidden="1" customHeight="1" x14ac:dyDescent="0.25">
      <c r="A736" s="21" t="s">
        <v>3245</v>
      </c>
      <c r="B736" s="22" t="s">
        <v>2342</v>
      </c>
      <c r="C736" s="22" t="s">
        <v>920</v>
      </c>
      <c r="D736" s="21" t="s">
        <v>119</v>
      </c>
      <c r="E736" s="21" t="s">
        <v>1225</v>
      </c>
      <c r="F736" s="21" t="s">
        <v>1284</v>
      </c>
      <c r="G736" s="21"/>
      <c r="H736" s="21" t="s">
        <v>1286</v>
      </c>
      <c r="I736" s="21" t="s">
        <v>1909</v>
      </c>
      <c r="J736" s="21" t="s">
        <v>3219</v>
      </c>
      <c r="K736" s="22" t="s">
        <v>3246</v>
      </c>
      <c r="L736" s="21" t="s">
        <v>1676</v>
      </c>
      <c r="M736" s="21" t="s">
        <v>1819</v>
      </c>
    </row>
    <row r="737" spans="1:13" ht="15" hidden="1" customHeight="1" x14ac:dyDescent="0.25">
      <c r="A737" s="21" t="s">
        <v>3247</v>
      </c>
      <c r="B737" s="22" t="s">
        <v>2345</v>
      </c>
      <c r="C737" s="22" t="s">
        <v>921</v>
      </c>
      <c r="D737" s="21" t="s">
        <v>119</v>
      </c>
      <c r="E737" s="21" t="s">
        <v>1225</v>
      </c>
      <c r="F737" s="21" t="s">
        <v>1284</v>
      </c>
      <c r="G737" s="21"/>
      <c r="H737" s="21" t="s">
        <v>1286</v>
      </c>
      <c r="I737" s="21" t="s">
        <v>1909</v>
      </c>
      <c r="J737" s="21" t="s">
        <v>3219</v>
      </c>
      <c r="K737" s="22" t="s">
        <v>3248</v>
      </c>
      <c r="L737" s="21" t="s">
        <v>1676</v>
      </c>
      <c r="M737" s="21" t="s">
        <v>1819</v>
      </c>
    </row>
    <row r="738" spans="1:13" ht="15" hidden="1" customHeight="1" x14ac:dyDescent="0.25">
      <c r="A738" s="21" t="s">
        <v>3249</v>
      </c>
      <c r="B738" s="22" t="s">
        <v>2348</v>
      </c>
      <c r="C738" s="22" t="s">
        <v>922</v>
      </c>
      <c r="D738" s="21" t="s">
        <v>119</v>
      </c>
      <c r="E738" s="21" t="s">
        <v>1225</v>
      </c>
      <c r="F738" s="21" t="s">
        <v>1284</v>
      </c>
      <c r="G738" s="21"/>
      <c r="H738" s="21" t="s">
        <v>1286</v>
      </c>
      <c r="I738" s="21" t="s">
        <v>1909</v>
      </c>
      <c r="J738" s="21" t="s">
        <v>3219</v>
      </c>
      <c r="K738" s="22" t="s">
        <v>3250</v>
      </c>
      <c r="L738" s="21" t="s">
        <v>1676</v>
      </c>
      <c r="M738" s="21" t="s">
        <v>1819</v>
      </c>
    </row>
    <row r="739" spans="1:13" ht="15" hidden="1" customHeight="1" x14ac:dyDescent="0.25">
      <c r="A739" s="21" t="s">
        <v>3251</v>
      </c>
      <c r="B739" s="22" t="s">
        <v>2350</v>
      </c>
      <c r="C739" s="22" t="s">
        <v>923</v>
      </c>
      <c r="D739" s="21" t="s">
        <v>119</v>
      </c>
      <c r="E739" s="21" t="s">
        <v>1265</v>
      </c>
      <c r="F739" s="21" t="s">
        <v>1265</v>
      </c>
      <c r="G739" s="21" t="s">
        <v>3252</v>
      </c>
      <c r="H739" s="21" t="s">
        <v>1286</v>
      </c>
      <c r="I739" s="21" t="s">
        <v>1735</v>
      </c>
      <c r="J739" s="21" t="s">
        <v>2316</v>
      </c>
      <c r="K739" s="22" t="s">
        <v>3253</v>
      </c>
      <c r="L739" s="21" t="s">
        <v>1676</v>
      </c>
      <c r="M739" s="21" t="s">
        <v>1819</v>
      </c>
    </row>
    <row r="740" spans="1:13" ht="15" hidden="1" customHeight="1" x14ac:dyDescent="0.25">
      <c r="A740" s="21" t="s">
        <v>3254</v>
      </c>
      <c r="B740" s="22" t="s">
        <v>2354</v>
      </c>
      <c r="C740" s="22" t="s">
        <v>924</v>
      </c>
      <c r="D740" s="21" t="s">
        <v>119</v>
      </c>
      <c r="E740" s="21" t="s">
        <v>1265</v>
      </c>
      <c r="F740" s="21" t="s">
        <v>1265</v>
      </c>
      <c r="G740" s="21" t="s">
        <v>3255</v>
      </c>
      <c r="H740" s="21" t="s">
        <v>1286</v>
      </c>
      <c r="I740" s="21" t="s">
        <v>1735</v>
      </c>
      <c r="J740" s="21" t="s">
        <v>2316</v>
      </c>
      <c r="K740" s="22" t="s">
        <v>3256</v>
      </c>
      <c r="L740" s="21" t="s">
        <v>1676</v>
      </c>
      <c r="M740" s="21" t="s">
        <v>1819</v>
      </c>
    </row>
    <row r="741" spans="1:13" ht="15" hidden="1" customHeight="1" x14ac:dyDescent="0.25">
      <c r="A741" s="21" t="s">
        <v>3257</v>
      </c>
      <c r="B741" s="22" t="s">
        <v>2357</v>
      </c>
      <c r="C741" s="22" t="s">
        <v>925</v>
      </c>
      <c r="D741" s="21" t="s">
        <v>119</v>
      </c>
      <c r="E741" s="21" t="s">
        <v>1265</v>
      </c>
      <c r="F741" s="21" t="s">
        <v>1265</v>
      </c>
      <c r="G741" s="21" t="s">
        <v>3258</v>
      </c>
      <c r="H741" s="21" t="s">
        <v>1286</v>
      </c>
      <c r="I741" s="21" t="s">
        <v>1735</v>
      </c>
      <c r="J741" s="21" t="s">
        <v>2316</v>
      </c>
      <c r="K741" s="22" t="s">
        <v>3259</v>
      </c>
      <c r="L741" s="21" t="s">
        <v>1676</v>
      </c>
      <c r="M741" s="21" t="s">
        <v>1819</v>
      </c>
    </row>
    <row r="742" spans="1:13" ht="15" hidden="1" customHeight="1" x14ac:dyDescent="0.25">
      <c r="A742" s="21" t="s">
        <v>3260</v>
      </c>
      <c r="B742" s="22" t="s">
        <v>2359</v>
      </c>
      <c r="C742" s="22" t="s">
        <v>926</v>
      </c>
      <c r="D742" s="21" t="s">
        <v>119</v>
      </c>
      <c r="E742" s="21" t="s">
        <v>1265</v>
      </c>
      <c r="F742" s="21" t="s">
        <v>1265</v>
      </c>
      <c r="G742" s="21" t="s">
        <v>3261</v>
      </c>
      <c r="H742" s="21" t="s">
        <v>1286</v>
      </c>
      <c r="I742" s="21" t="s">
        <v>1735</v>
      </c>
      <c r="J742" s="21" t="s">
        <v>2316</v>
      </c>
      <c r="K742" s="22" t="s">
        <v>3262</v>
      </c>
      <c r="L742" s="21" t="s">
        <v>1676</v>
      </c>
      <c r="M742" s="21" t="s">
        <v>1819</v>
      </c>
    </row>
    <row r="743" spans="1:13" ht="15" hidden="1" customHeight="1" x14ac:dyDescent="0.25">
      <c r="A743" s="21" t="s">
        <v>3263</v>
      </c>
      <c r="B743" s="22" t="s">
        <v>2362</v>
      </c>
      <c r="C743" s="22" t="s">
        <v>927</v>
      </c>
      <c r="D743" s="21" t="s">
        <v>119</v>
      </c>
      <c r="E743" s="21" t="s">
        <v>1267</v>
      </c>
      <c r="F743" s="21" t="s">
        <v>1240</v>
      </c>
      <c r="G743" s="21"/>
      <c r="H743" s="21" t="s">
        <v>1286</v>
      </c>
      <c r="I743" s="21" t="s">
        <v>1735</v>
      </c>
      <c r="J743" s="21" t="s">
        <v>2316</v>
      </c>
      <c r="K743" s="22" t="s">
        <v>3264</v>
      </c>
      <c r="L743" s="21" t="s">
        <v>1676</v>
      </c>
      <c r="M743" s="21" t="s">
        <v>1819</v>
      </c>
    </row>
    <row r="744" spans="1:13" ht="15" hidden="1" customHeight="1" x14ac:dyDescent="0.25">
      <c r="A744" s="21" t="s">
        <v>3265</v>
      </c>
      <c r="B744" s="22" t="s">
        <v>2365</v>
      </c>
      <c r="C744" s="22" t="s">
        <v>928</v>
      </c>
      <c r="D744" s="21" t="s">
        <v>119</v>
      </c>
      <c r="E744" s="21" t="s">
        <v>1265</v>
      </c>
      <c r="F744" s="21" t="s">
        <v>1265</v>
      </c>
      <c r="G744" s="21" t="s">
        <v>3266</v>
      </c>
      <c r="H744" s="21" t="s">
        <v>1286</v>
      </c>
      <c r="I744" s="21" t="s">
        <v>1735</v>
      </c>
      <c r="J744" s="21" t="s">
        <v>2316</v>
      </c>
      <c r="K744" s="22" t="s">
        <v>3267</v>
      </c>
      <c r="L744" s="21" t="s">
        <v>1676</v>
      </c>
      <c r="M744" s="21" t="s">
        <v>1819</v>
      </c>
    </row>
    <row r="745" spans="1:13" ht="15" hidden="1" customHeight="1" x14ac:dyDescent="0.25">
      <c r="A745" s="21" t="s">
        <v>3268</v>
      </c>
      <c r="B745" s="22" t="s">
        <v>2368</v>
      </c>
      <c r="C745" s="22" t="s">
        <v>929</v>
      </c>
      <c r="D745" s="21" t="s">
        <v>119</v>
      </c>
      <c r="E745" s="21" t="s">
        <v>1232</v>
      </c>
      <c r="F745" s="21" t="s">
        <v>1232</v>
      </c>
      <c r="G745" s="21" t="s">
        <v>3269</v>
      </c>
      <c r="H745" s="21" t="s">
        <v>1286</v>
      </c>
      <c r="I745" s="21" t="s">
        <v>1735</v>
      </c>
      <c r="J745" s="21" t="s">
        <v>2320</v>
      </c>
      <c r="K745" s="22" t="s">
        <v>3270</v>
      </c>
      <c r="L745" s="21" t="s">
        <v>1676</v>
      </c>
      <c r="M745" s="21" t="s">
        <v>1819</v>
      </c>
    </row>
    <row r="746" spans="1:13" ht="15" hidden="1" customHeight="1" x14ac:dyDescent="0.25">
      <c r="A746" s="21" t="s">
        <v>3271</v>
      </c>
      <c r="B746" s="22" t="s">
        <v>2370</v>
      </c>
      <c r="C746" s="22" t="s">
        <v>930</v>
      </c>
      <c r="D746" s="21" t="s">
        <v>119</v>
      </c>
      <c r="E746" s="21" t="s">
        <v>1234</v>
      </c>
      <c r="F746" s="21" t="s">
        <v>1588</v>
      </c>
      <c r="G746" s="21" t="s">
        <v>2054</v>
      </c>
      <c r="H746" s="21" t="s">
        <v>1286</v>
      </c>
      <c r="I746" s="21" t="s">
        <v>1735</v>
      </c>
      <c r="J746" s="21" t="s">
        <v>2320</v>
      </c>
      <c r="K746" s="22" t="s">
        <v>3272</v>
      </c>
      <c r="L746" s="21" t="s">
        <v>1676</v>
      </c>
      <c r="M746" s="21" t="s">
        <v>1819</v>
      </c>
    </row>
    <row r="747" spans="1:13" ht="15" hidden="1" customHeight="1" x14ac:dyDescent="0.25">
      <c r="A747" s="21" t="s">
        <v>3273</v>
      </c>
      <c r="B747" s="22" t="s">
        <v>2373</v>
      </c>
      <c r="C747" s="22" t="s">
        <v>931</v>
      </c>
      <c r="D747" s="21" t="s">
        <v>119</v>
      </c>
      <c r="E747" s="21" t="s">
        <v>1238</v>
      </c>
      <c r="F747" s="21" t="s">
        <v>3274</v>
      </c>
      <c r="G747" s="21" t="s">
        <v>3275</v>
      </c>
      <c r="H747" s="21" t="s">
        <v>1286</v>
      </c>
      <c r="I747" s="21" t="s">
        <v>1735</v>
      </c>
      <c r="J747" s="21" t="s">
        <v>2320</v>
      </c>
      <c r="K747" s="22" t="s">
        <v>3276</v>
      </c>
      <c r="L747" s="21" t="s">
        <v>1676</v>
      </c>
      <c r="M747" s="21" t="s">
        <v>1819</v>
      </c>
    </row>
    <row r="748" spans="1:13" ht="15" hidden="1" customHeight="1" x14ac:dyDescent="0.25">
      <c r="A748" s="21" t="s">
        <v>3277</v>
      </c>
      <c r="B748" s="22" t="s">
        <v>2375</v>
      </c>
      <c r="C748" s="22" t="s">
        <v>3278</v>
      </c>
      <c r="D748" s="21" t="s">
        <v>119</v>
      </c>
      <c r="E748" s="21" t="s">
        <v>1234</v>
      </c>
      <c r="F748" s="21" t="s">
        <v>1588</v>
      </c>
      <c r="G748" s="21"/>
      <c r="H748" s="21" t="s">
        <v>1314</v>
      </c>
      <c r="I748" s="21" t="s">
        <v>1735</v>
      </c>
      <c r="J748" s="21" t="s">
        <v>2320</v>
      </c>
      <c r="K748" s="22" t="s">
        <v>3279</v>
      </c>
      <c r="L748" s="21" t="s">
        <v>1431</v>
      </c>
      <c r="M748" s="21" t="s">
        <v>1819</v>
      </c>
    </row>
    <row r="749" spans="1:13" ht="15" hidden="1" customHeight="1" x14ac:dyDescent="0.25">
      <c r="A749" s="21" t="s">
        <v>3280</v>
      </c>
      <c r="B749" s="22" t="s">
        <v>2380</v>
      </c>
      <c r="C749" s="22" t="s">
        <v>932</v>
      </c>
      <c r="D749" s="21" t="s">
        <v>119</v>
      </c>
      <c r="E749" s="21" t="s">
        <v>1263</v>
      </c>
      <c r="F749" s="21" t="s">
        <v>1674</v>
      </c>
      <c r="G749" s="21" t="s">
        <v>2054</v>
      </c>
      <c r="H749" s="21" t="s">
        <v>1314</v>
      </c>
      <c r="I749" s="21" t="s">
        <v>2323</v>
      </c>
      <c r="J749" s="21" t="s">
        <v>2330</v>
      </c>
      <c r="K749" s="22" t="s">
        <v>3281</v>
      </c>
      <c r="L749" s="21" t="s">
        <v>1676</v>
      </c>
      <c r="M749" s="21" t="s">
        <v>1819</v>
      </c>
    </row>
    <row r="750" spans="1:13" ht="15" hidden="1" customHeight="1" x14ac:dyDescent="0.25">
      <c r="A750" s="21" t="s">
        <v>3282</v>
      </c>
      <c r="B750" s="22" t="s">
        <v>2383</v>
      </c>
      <c r="C750" s="22" t="s">
        <v>933</v>
      </c>
      <c r="D750" s="21" t="s">
        <v>119</v>
      </c>
      <c r="E750" s="21" t="s">
        <v>1263</v>
      </c>
      <c r="F750" s="21" t="s">
        <v>1674</v>
      </c>
      <c r="G750" s="21" t="s">
        <v>2054</v>
      </c>
      <c r="H750" s="21" t="s">
        <v>1314</v>
      </c>
      <c r="I750" s="21" t="s">
        <v>2323</v>
      </c>
      <c r="J750" s="21" t="s">
        <v>2330</v>
      </c>
      <c r="K750" s="22" t="s">
        <v>3283</v>
      </c>
      <c r="L750" s="21" t="s">
        <v>1676</v>
      </c>
      <c r="M750" s="21" t="s">
        <v>1819</v>
      </c>
    </row>
    <row r="751" spans="1:13" ht="15" hidden="1" customHeight="1" x14ac:dyDescent="0.25">
      <c r="A751" s="21" t="s">
        <v>3284</v>
      </c>
      <c r="B751" s="22" t="s">
        <v>2386</v>
      </c>
      <c r="C751" s="22" t="s">
        <v>934</v>
      </c>
      <c r="D751" s="21" t="s">
        <v>119</v>
      </c>
      <c r="E751" s="21" t="s">
        <v>1206</v>
      </c>
      <c r="F751" s="21" t="s">
        <v>1206</v>
      </c>
      <c r="G751" s="21" t="s">
        <v>1639</v>
      </c>
      <c r="H751" s="21" t="s">
        <v>1314</v>
      </c>
      <c r="I751" s="21" t="s">
        <v>2323</v>
      </c>
      <c r="J751" s="21" t="s">
        <v>2330</v>
      </c>
      <c r="K751" s="22" t="s">
        <v>3285</v>
      </c>
      <c r="L751" s="21" t="s">
        <v>1431</v>
      </c>
      <c r="M751" s="21" t="s">
        <v>1819</v>
      </c>
    </row>
    <row r="752" spans="1:13" ht="15" hidden="1" customHeight="1" x14ac:dyDescent="0.25">
      <c r="A752" s="21" t="s">
        <v>3286</v>
      </c>
      <c r="B752" s="22" t="s">
        <v>2389</v>
      </c>
      <c r="C752" s="22" t="s">
        <v>935</v>
      </c>
      <c r="D752" s="21" t="s">
        <v>119</v>
      </c>
      <c r="E752" s="21" t="s">
        <v>1204</v>
      </c>
      <c r="F752" s="21" t="s">
        <v>1660</v>
      </c>
      <c r="G752" s="21" t="s">
        <v>2665</v>
      </c>
      <c r="H752" s="21" t="s">
        <v>1314</v>
      </c>
      <c r="I752" s="21" t="s">
        <v>2323</v>
      </c>
      <c r="J752" s="21" t="s">
        <v>2330</v>
      </c>
      <c r="K752" s="22" t="s">
        <v>3287</v>
      </c>
      <c r="L752" s="21" t="s">
        <v>1431</v>
      </c>
      <c r="M752" s="21" t="s">
        <v>1819</v>
      </c>
    </row>
    <row r="753" spans="1:13" ht="15" hidden="1" customHeight="1" x14ac:dyDescent="0.25">
      <c r="A753" s="21" t="s">
        <v>3288</v>
      </c>
      <c r="B753" s="22" t="s">
        <v>2394</v>
      </c>
      <c r="C753" s="22" t="s">
        <v>936</v>
      </c>
      <c r="D753" s="21" t="s">
        <v>119</v>
      </c>
      <c r="E753" s="21" t="s">
        <v>1258</v>
      </c>
      <c r="F753" s="21" t="s">
        <v>3289</v>
      </c>
      <c r="G753" s="21" t="s">
        <v>3201</v>
      </c>
      <c r="H753" s="21" t="s">
        <v>1314</v>
      </c>
      <c r="I753" s="21" t="s">
        <v>2323</v>
      </c>
      <c r="J753" s="21" t="s">
        <v>2330</v>
      </c>
      <c r="K753" s="22" t="s">
        <v>3290</v>
      </c>
      <c r="L753" s="21" t="s">
        <v>1431</v>
      </c>
      <c r="M753" s="21" t="s">
        <v>1819</v>
      </c>
    </row>
    <row r="754" spans="1:13" ht="15" hidden="1" customHeight="1" x14ac:dyDescent="0.25">
      <c r="A754" s="21" t="s">
        <v>3291</v>
      </c>
      <c r="B754" s="22" t="s">
        <v>2399</v>
      </c>
      <c r="C754" s="22" t="s">
        <v>937</v>
      </c>
      <c r="D754" s="21" t="s">
        <v>119</v>
      </c>
      <c r="E754" s="21" t="s">
        <v>1204</v>
      </c>
      <c r="F754" s="21" t="s">
        <v>1660</v>
      </c>
      <c r="G754" s="21" t="s">
        <v>1554</v>
      </c>
      <c r="H754" s="21" t="s">
        <v>1314</v>
      </c>
      <c r="I754" s="21" t="s">
        <v>2323</v>
      </c>
      <c r="J754" s="21" t="s">
        <v>2330</v>
      </c>
      <c r="K754" s="22" t="s">
        <v>3292</v>
      </c>
      <c r="L754" s="21" t="s">
        <v>1431</v>
      </c>
      <c r="M754" s="21" t="s">
        <v>1819</v>
      </c>
    </row>
    <row r="755" spans="1:13" ht="15" hidden="1" customHeight="1" x14ac:dyDescent="0.25">
      <c r="A755" s="21" t="s">
        <v>3293</v>
      </c>
      <c r="B755" s="22" t="s">
        <v>2402</v>
      </c>
      <c r="C755" s="22" t="s">
        <v>938</v>
      </c>
      <c r="D755" s="21" t="s">
        <v>119</v>
      </c>
      <c r="E755" s="21" t="s">
        <v>1216</v>
      </c>
      <c r="F755" s="21" t="s">
        <v>1537</v>
      </c>
      <c r="G755" s="21" t="s">
        <v>3294</v>
      </c>
      <c r="H755" s="21" t="s">
        <v>1314</v>
      </c>
      <c r="I755" s="21" t="s">
        <v>2323</v>
      </c>
      <c r="J755" s="21" t="s">
        <v>2330</v>
      </c>
      <c r="K755" s="22" t="s">
        <v>3295</v>
      </c>
      <c r="L755" s="21" t="s">
        <v>1431</v>
      </c>
      <c r="M755" s="21" t="s">
        <v>1819</v>
      </c>
    </row>
    <row r="756" spans="1:13" ht="15" hidden="1" customHeight="1" x14ac:dyDescent="0.25">
      <c r="A756" s="21" t="s">
        <v>3296</v>
      </c>
      <c r="B756" s="22" t="s">
        <v>2405</v>
      </c>
      <c r="C756" s="22" t="s">
        <v>939</v>
      </c>
      <c r="D756" s="21" t="s">
        <v>119</v>
      </c>
      <c r="E756" s="21" t="s">
        <v>1222</v>
      </c>
      <c r="F756" s="21" t="s">
        <v>2714</v>
      </c>
      <c r="G756" s="21" t="s">
        <v>1416</v>
      </c>
      <c r="H756" s="21" t="s">
        <v>1314</v>
      </c>
      <c r="I756" s="21" t="s">
        <v>2323</v>
      </c>
      <c r="J756" s="21" t="s">
        <v>2330</v>
      </c>
      <c r="K756" s="22" t="s">
        <v>3297</v>
      </c>
      <c r="L756" s="21" t="s">
        <v>1431</v>
      </c>
      <c r="M756" s="21" t="s">
        <v>1819</v>
      </c>
    </row>
    <row r="757" spans="1:13" ht="15" hidden="1" customHeight="1" x14ac:dyDescent="0.25">
      <c r="A757" s="21" t="s">
        <v>3298</v>
      </c>
      <c r="B757" s="22" t="s">
        <v>2407</v>
      </c>
      <c r="C757" s="22" t="s">
        <v>940</v>
      </c>
      <c r="D757" s="21" t="s">
        <v>119</v>
      </c>
      <c r="E757" s="21" t="s">
        <v>1216</v>
      </c>
      <c r="F757" s="21" t="s">
        <v>1537</v>
      </c>
      <c r="G757" s="21" t="s">
        <v>3299</v>
      </c>
      <c r="H757" s="21" t="s">
        <v>1314</v>
      </c>
      <c r="I757" s="21" t="s">
        <v>2323</v>
      </c>
      <c r="J757" s="21" t="s">
        <v>2330</v>
      </c>
      <c r="K757" s="22" t="s">
        <v>3300</v>
      </c>
      <c r="L757" s="21" t="s">
        <v>1431</v>
      </c>
      <c r="M757" s="21" t="s">
        <v>1819</v>
      </c>
    </row>
    <row r="758" spans="1:13" ht="15" hidden="1" customHeight="1" x14ac:dyDescent="0.25">
      <c r="A758" s="21" t="s">
        <v>3301</v>
      </c>
      <c r="B758" s="22" t="s">
        <v>2410</v>
      </c>
      <c r="C758" s="22" t="s">
        <v>941</v>
      </c>
      <c r="D758" s="21" t="s">
        <v>119</v>
      </c>
      <c r="E758" s="21" t="s">
        <v>1222</v>
      </c>
      <c r="F758" s="21" t="s">
        <v>2714</v>
      </c>
      <c r="G758" s="21" t="s">
        <v>1416</v>
      </c>
      <c r="H758" s="21" t="s">
        <v>1821</v>
      </c>
      <c r="I758" s="21" t="s">
        <v>2309</v>
      </c>
      <c r="J758" s="21" t="s">
        <v>3302</v>
      </c>
      <c r="K758" s="22" t="s">
        <v>3303</v>
      </c>
      <c r="L758" s="21" t="s">
        <v>1431</v>
      </c>
      <c r="M758" s="21" t="s">
        <v>1819</v>
      </c>
    </row>
    <row r="759" spans="1:13" ht="15" hidden="1" customHeight="1" x14ac:dyDescent="0.25">
      <c r="A759" s="21" t="s">
        <v>3304</v>
      </c>
      <c r="B759" s="22" t="s">
        <v>2414</v>
      </c>
      <c r="C759" s="22" t="s">
        <v>942</v>
      </c>
      <c r="D759" s="21" t="s">
        <v>119</v>
      </c>
      <c r="E759" s="21" t="s">
        <v>1216</v>
      </c>
      <c r="F759" s="21" t="s">
        <v>1537</v>
      </c>
      <c r="G759" s="21" t="s">
        <v>3305</v>
      </c>
      <c r="H759" s="21" t="s">
        <v>1821</v>
      </c>
      <c r="I759" s="21" t="s">
        <v>2309</v>
      </c>
      <c r="J759" s="21" t="s">
        <v>3302</v>
      </c>
      <c r="K759" s="22" t="s">
        <v>3306</v>
      </c>
      <c r="L759" s="21" t="s">
        <v>1431</v>
      </c>
      <c r="M759" s="21" t="s">
        <v>1819</v>
      </c>
    </row>
    <row r="760" spans="1:13" ht="15" hidden="1" customHeight="1" x14ac:dyDescent="0.25">
      <c r="A760" s="21" t="s">
        <v>3307</v>
      </c>
      <c r="B760" s="22" t="s">
        <v>2417</v>
      </c>
      <c r="C760" s="22" t="s">
        <v>943</v>
      </c>
      <c r="D760" s="21" t="s">
        <v>119</v>
      </c>
      <c r="E760" s="21" t="s">
        <v>1216</v>
      </c>
      <c r="F760" s="21" t="s">
        <v>1537</v>
      </c>
      <c r="G760" s="21" t="s">
        <v>3308</v>
      </c>
      <c r="H760" s="21" t="s">
        <v>1821</v>
      </c>
      <c r="I760" s="21" t="s">
        <v>2309</v>
      </c>
      <c r="J760" s="21" t="s">
        <v>3302</v>
      </c>
      <c r="K760" s="22" t="s">
        <v>3309</v>
      </c>
      <c r="L760" s="21" t="s">
        <v>1431</v>
      </c>
      <c r="M760" s="21" t="s">
        <v>1819</v>
      </c>
    </row>
    <row r="761" spans="1:13" ht="15" hidden="1" customHeight="1" x14ac:dyDescent="0.25">
      <c r="A761" s="21" t="s">
        <v>3310</v>
      </c>
      <c r="B761" s="22" t="s">
        <v>2420</v>
      </c>
      <c r="C761" s="22" t="s">
        <v>944</v>
      </c>
      <c r="D761" s="21" t="s">
        <v>119</v>
      </c>
      <c r="E761" s="21" t="s">
        <v>1216</v>
      </c>
      <c r="F761" s="21" t="s">
        <v>1537</v>
      </c>
      <c r="G761" s="21" t="s">
        <v>2654</v>
      </c>
      <c r="H761" s="21" t="s">
        <v>1821</v>
      </c>
      <c r="I761" s="21" t="s">
        <v>2309</v>
      </c>
      <c r="J761" s="21" t="s">
        <v>3302</v>
      </c>
      <c r="K761" s="22" t="s">
        <v>3311</v>
      </c>
      <c r="L761" s="21" t="s">
        <v>1431</v>
      </c>
      <c r="M761" s="21" t="s">
        <v>1819</v>
      </c>
    </row>
    <row r="762" spans="1:13" ht="15" hidden="1" customHeight="1" x14ac:dyDescent="0.25">
      <c r="A762" s="21" t="s">
        <v>3312</v>
      </c>
      <c r="B762" s="22" t="s">
        <v>2422</v>
      </c>
      <c r="C762" s="22" t="s">
        <v>945</v>
      </c>
      <c r="D762" s="21" t="s">
        <v>119</v>
      </c>
      <c r="E762" s="21" t="s">
        <v>1216</v>
      </c>
      <c r="F762" s="21" t="s">
        <v>1537</v>
      </c>
      <c r="G762" s="21" t="s">
        <v>3313</v>
      </c>
      <c r="H762" s="21" t="s">
        <v>1821</v>
      </c>
      <c r="I762" s="21" t="s">
        <v>2309</v>
      </c>
      <c r="J762" s="21" t="s">
        <v>3302</v>
      </c>
      <c r="K762" s="22" t="s">
        <v>3314</v>
      </c>
      <c r="L762" s="21" t="s">
        <v>1431</v>
      </c>
      <c r="M762" s="21" t="s">
        <v>1819</v>
      </c>
    </row>
    <row r="763" spans="1:13" ht="15" hidden="1" customHeight="1" x14ac:dyDescent="0.25">
      <c r="A763" s="21" t="s">
        <v>3315</v>
      </c>
      <c r="B763" s="22" t="s">
        <v>2425</v>
      </c>
      <c r="C763" s="22" t="s">
        <v>946</v>
      </c>
      <c r="D763" s="21" t="s">
        <v>119</v>
      </c>
      <c r="E763" s="21" t="s">
        <v>1274</v>
      </c>
      <c r="F763" s="21" t="s">
        <v>1274</v>
      </c>
      <c r="G763" s="21"/>
      <c r="H763" s="21" t="s">
        <v>1821</v>
      </c>
      <c r="I763" s="21" t="s">
        <v>2309</v>
      </c>
      <c r="J763" s="21" t="s">
        <v>3302</v>
      </c>
      <c r="K763" s="22" t="s">
        <v>3316</v>
      </c>
      <c r="L763" s="21" t="s">
        <v>1431</v>
      </c>
      <c r="M763" s="21" t="s">
        <v>1819</v>
      </c>
    </row>
    <row r="764" spans="1:13" ht="15" hidden="1" customHeight="1" x14ac:dyDescent="0.25">
      <c r="A764" s="21" t="s">
        <v>3317</v>
      </c>
      <c r="B764" s="22" t="s">
        <v>2427</v>
      </c>
      <c r="C764" s="22" t="s">
        <v>947</v>
      </c>
      <c r="D764" s="21" t="s">
        <v>119</v>
      </c>
      <c r="E764" s="21" t="s">
        <v>1274</v>
      </c>
      <c r="F764" s="21" t="s">
        <v>1274</v>
      </c>
      <c r="G764" s="21"/>
      <c r="H764" s="21" t="s">
        <v>1821</v>
      </c>
      <c r="I764" s="21" t="s">
        <v>2309</v>
      </c>
      <c r="J764" s="21" t="s">
        <v>3302</v>
      </c>
      <c r="K764" s="22" t="s">
        <v>3318</v>
      </c>
      <c r="L764" s="21" t="s">
        <v>1431</v>
      </c>
      <c r="M764" s="21" t="s">
        <v>1819</v>
      </c>
    </row>
    <row r="765" spans="1:13" ht="15" hidden="1" customHeight="1" x14ac:dyDescent="0.25">
      <c r="A765" s="21" t="s">
        <v>3319</v>
      </c>
      <c r="B765" s="22" t="s">
        <v>2432</v>
      </c>
      <c r="C765" s="22" t="s">
        <v>948</v>
      </c>
      <c r="D765" s="21" t="s">
        <v>119</v>
      </c>
      <c r="E765" s="21" t="s">
        <v>1265</v>
      </c>
      <c r="F765" s="21" t="s">
        <v>1265</v>
      </c>
      <c r="G765" s="21" t="s">
        <v>3320</v>
      </c>
      <c r="H765" s="21" t="s">
        <v>1821</v>
      </c>
      <c r="I765" s="21" t="s">
        <v>2309</v>
      </c>
      <c r="J765" s="21" t="s">
        <v>3302</v>
      </c>
      <c r="K765" s="22" t="s">
        <v>3321</v>
      </c>
      <c r="L765" s="21" t="s">
        <v>1431</v>
      </c>
      <c r="M765" s="21" t="s">
        <v>1819</v>
      </c>
    </row>
    <row r="766" spans="1:13" ht="15" hidden="1" customHeight="1" x14ac:dyDescent="0.25">
      <c r="A766" s="21" t="s">
        <v>3322</v>
      </c>
      <c r="B766" s="22" t="s">
        <v>2435</v>
      </c>
      <c r="C766" s="22" t="s">
        <v>949</v>
      </c>
      <c r="D766" s="21" t="s">
        <v>119</v>
      </c>
      <c r="E766" s="21" t="s">
        <v>1274</v>
      </c>
      <c r="F766" s="21" t="s">
        <v>1274</v>
      </c>
      <c r="G766" s="21" t="s">
        <v>3323</v>
      </c>
      <c r="H766" s="21" t="s">
        <v>1821</v>
      </c>
      <c r="I766" s="21" t="s">
        <v>2309</v>
      </c>
      <c r="J766" s="21" t="s">
        <v>3302</v>
      </c>
      <c r="K766" s="22" t="s">
        <v>3324</v>
      </c>
      <c r="L766" s="21" t="s">
        <v>1431</v>
      </c>
      <c r="M766" s="21" t="s">
        <v>1819</v>
      </c>
    </row>
    <row r="767" spans="1:13" ht="15" hidden="1" customHeight="1" x14ac:dyDescent="0.25">
      <c r="A767" s="21" t="s">
        <v>3325</v>
      </c>
      <c r="B767" s="22" t="s">
        <v>2437</v>
      </c>
      <c r="C767" s="22" t="s">
        <v>950</v>
      </c>
      <c r="D767" s="21" t="s">
        <v>119</v>
      </c>
      <c r="E767" s="21" t="s">
        <v>1265</v>
      </c>
      <c r="F767" s="21" t="s">
        <v>1265</v>
      </c>
      <c r="G767" s="21" t="s">
        <v>3326</v>
      </c>
      <c r="H767" s="21" t="s">
        <v>1821</v>
      </c>
      <c r="I767" s="21" t="s">
        <v>2309</v>
      </c>
      <c r="J767" s="21" t="s">
        <v>3302</v>
      </c>
      <c r="K767" s="22" t="s">
        <v>3327</v>
      </c>
      <c r="L767" s="21" t="s">
        <v>1431</v>
      </c>
      <c r="M767" s="21" t="s">
        <v>1819</v>
      </c>
    </row>
    <row r="768" spans="1:13" ht="15" hidden="1" customHeight="1" x14ac:dyDescent="0.25">
      <c r="A768" s="21" t="s">
        <v>3328</v>
      </c>
      <c r="B768" s="22" t="s">
        <v>2439</v>
      </c>
      <c r="C768" s="22" t="s">
        <v>951</v>
      </c>
      <c r="D768" s="21" t="s">
        <v>119</v>
      </c>
      <c r="E768" s="21" t="s">
        <v>1249</v>
      </c>
      <c r="F768" s="21" t="s">
        <v>1249</v>
      </c>
      <c r="G768" s="21" t="s">
        <v>3329</v>
      </c>
      <c r="H768" s="21" t="s">
        <v>1314</v>
      </c>
      <c r="I768" s="21" t="s">
        <v>3330</v>
      </c>
      <c r="J768" s="21" t="s">
        <v>3331</v>
      </c>
      <c r="K768" s="22" t="s">
        <v>3332</v>
      </c>
      <c r="L768" s="21" t="s">
        <v>1431</v>
      </c>
      <c r="M768" s="21" t="s">
        <v>1830</v>
      </c>
    </row>
    <row r="769" spans="1:13" ht="15" hidden="1" customHeight="1" x14ac:dyDescent="0.25">
      <c r="A769" s="21" t="s">
        <v>3333</v>
      </c>
      <c r="B769" s="22" t="s">
        <v>2443</v>
      </c>
      <c r="C769" s="22" t="s">
        <v>952</v>
      </c>
      <c r="D769" s="21" t="s">
        <v>119</v>
      </c>
      <c r="E769" s="21" t="s">
        <v>1252</v>
      </c>
      <c r="F769" s="21" t="s">
        <v>1698</v>
      </c>
      <c r="G769" s="21" t="s">
        <v>2127</v>
      </c>
      <c r="H769" s="21" t="s">
        <v>1314</v>
      </c>
      <c r="I769" s="21" t="s">
        <v>1735</v>
      </c>
      <c r="J769" s="21" t="s">
        <v>2251</v>
      </c>
      <c r="K769" s="22" t="s">
        <v>3334</v>
      </c>
      <c r="L769" s="21" t="s">
        <v>1431</v>
      </c>
      <c r="M769" s="21" t="s">
        <v>1819</v>
      </c>
    </row>
    <row r="770" spans="1:13" ht="15" hidden="1" customHeight="1" x14ac:dyDescent="0.25">
      <c r="A770" s="21" t="s">
        <v>3335</v>
      </c>
      <c r="B770" s="22" t="s">
        <v>2447</v>
      </c>
      <c r="C770" s="22" t="s">
        <v>953</v>
      </c>
      <c r="D770" s="21" t="s">
        <v>119</v>
      </c>
      <c r="E770" s="21" t="s">
        <v>1252</v>
      </c>
      <c r="F770" s="21" t="s">
        <v>1698</v>
      </c>
      <c r="G770" s="21" t="s">
        <v>1321</v>
      </c>
      <c r="H770" s="21" t="s">
        <v>1314</v>
      </c>
      <c r="I770" s="21" t="s">
        <v>1735</v>
      </c>
      <c r="J770" s="21" t="s">
        <v>2251</v>
      </c>
      <c r="K770" s="22" t="s">
        <v>3336</v>
      </c>
      <c r="L770" s="21" t="s">
        <v>1431</v>
      </c>
      <c r="M770" s="21" t="s">
        <v>1819</v>
      </c>
    </row>
    <row r="771" spans="1:13" ht="15" hidden="1" customHeight="1" x14ac:dyDescent="0.25">
      <c r="A771" s="21" t="s">
        <v>3337</v>
      </c>
      <c r="B771" s="22" t="s">
        <v>2451</v>
      </c>
      <c r="C771" s="22" t="s">
        <v>954</v>
      </c>
      <c r="D771" s="21" t="s">
        <v>119</v>
      </c>
      <c r="E771" s="21" t="s">
        <v>1252</v>
      </c>
      <c r="F771" s="21" t="s">
        <v>1698</v>
      </c>
      <c r="G771" s="21" t="s">
        <v>2132</v>
      </c>
      <c r="H771" s="21" t="s">
        <v>1314</v>
      </c>
      <c r="I771" s="21" t="s">
        <v>1735</v>
      </c>
      <c r="J771" s="21" t="s">
        <v>2251</v>
      </c>
      <c r="K771" s="22" t="s">
        <v>3338</v>
      </c>
      <c r="L771" s="21" t="s">
        <v>1431</v>
      </c>
      <c r="M771" s="21" t="s">
        <v>1819</v>
      </c>
    </row>
    <row r="772" spans="1:13" ht="15" hidden="1" customHeight="1" x14ac:dyDescent="0.25">
      <c r="A772" s="21" t="s">
        <v>3339</v>
      </c>
      <c r="B772" s="22" t="s">
        <v>2453</v>
      </c>
      <c r="C772" s="22" t="s">
        <v>955</v>
      </c>
      <c r="D772" s="21" t="s">
        <v>119</v>
      </c>
      <c r="E772" s="21" t="s">
        <v>1252</v>
      </c>
      <c r="F772" s="21" t="s">
        <v>1698</v>
      </c>
      <c r="G772" s="21" t="s">
        <v>1357</v>
      </c>
      <c r="H772" s="21" t="s">
        <v>1314</v>
      </c>
      <c r="I772" s="21" t="s">
        <v>1735</v>
      </c>
      <c r="J772" s="21" t="s">
        <v>2251</v>
      </c>
      <c r="K772" s="22" t="s">
        <v>3340</v>
      </c>
      <c r="L772" s="21" t="s">
        <v>1431</v>
      </c>
      <c r="M772" s="21" t="s">
        <v>1819</v>
      </c>
    </row>
    <row r="773" spans="1:13" ht="15" hidden="1" customHeight="1" x14ac:dyDescent="0.25">
      <c r="A773" s="21" t="s">
        <v>3341</v>
      </c>
      <c r="B773" s="22" t="s">
        <v>2456</v>
      </c>
      <c r="C773" s="22" t="s">
        <v>956</v>
      </c>
      <c r="D773" s="21" t="s">
        <v>119</v>
      </c>
      <c r="E773" s="21" t="s">
        <v>1252</v>
      </c>
      <c r="F773" s="21" t="s">
        <v>1698</v>
      </c>
      <c r="G773" s="21" t="s">
        <v>3342</v>
      </c>
      <c r="H773" s="21" t="s">
        <v>1314</v>
      </c>
      <c r="I773" s="21" t="s">
        <v>1735</v>
      </c>
      <c r="J773" s="21" t="s">
        <v>2251</v>
      </c>
      <c r="K773" s="22" t="s">
        <v>3343</v>
      </c>
      <c r="L773" s="21" t="s">
        <v>1431</v>
      </c>
      <c r="M773" s="21" t="s">
        <v>1819</v>
      </c>
    </row>
    <row r="774" spans="1:13" ht="15" hidden="1" customHeight="1" x14ac:dyDescent="0.25">
      <c r="A774" s="21" t="s">
        <v>3344</v>
      </c>
      <c r="B774" s="22" t="s">
        <v>2458</v>
      </c>
      <c r="C774" s="22" t="s">
        <v>957</v>
      </c>
      <c r="D774" s="21" t="s">
        <v>119</v>
      </c>
      <c r="E774" s="21" t="s">
        <v>1252</v>
      </c>
      <c r="F774" s="21" t="s">
        <v>1506</v>
      </c>
      <c r="G774" s="21" t="s">
        <v>3345</v>
      </c>
      <c r="H774" s="21" t="s">
        <v>1821</v>
      </c>
      <c r="I774" s="21" t="s">
        <v>2302</v>
      </c>
      <c r="J774" s="21" t="s">
        <v>2303</v>
      </c>
      <c r="K774" s="22" t="s">
        <v>3346</v>
      </c>
      <c r="L774" s="21" t="s">
        <v>1431</v>
      </c>
      <c r="M774" s="21" t="s">
        <v>1819</v>
      </c>
    </row>
    <row r="775" spans="1:13" ht="15" hidden="1" customHeight="1" x14ac:dyDescent="0.25">
      <c r="A775" s="21" t="s">
        <v>3347</v>
      </c>
      <c r="B775" s="22" t="s">
        <v>2463</v>
      </c>
      <c r="C775" s="22" t="s">
        <v>958</v>
      </c>
      <c r="D775" s="21" t="s">
        <v>119</v>
      </c>
      <c r="E775" s="21" t="s">
        <v>1252</v>
      </c>
      <c r="F775" s="21" t="s">
        <v>1506</v>
      </c>
      <c r="G775" s="21" t="s">
        <v>3348</v>
      </c>
      <c r="H775" s="21" t="s">
        <v>1821</v>
      </c>
      <c r="I775" s="21" t="s">
        <v>2302</v>
      </c>
      <c r="J775" s="21" t="s">
        <v>2303</v>
      </c>
      <c r="K775" s="22" t="s">
        <v>3349</v>
      </c>
      <c r="L775" s="21" t="s">
        <v>1431</v>
      </c>
      <c r="M775" s="21" t="s">
        <v>1819</v>
      </c>
    </row>
    <row r="776" spans="1:13" ht="15" hidden="1" customHeight="1" x14ac:dyDescent="0.25">
      <c r="A776" s="21" t="s">
        <v>3350</v>
      </c>
      <c r="B776" s="22" t="s">
        <v>2465</v>
      </c>
      <c r="C776" s="22" t="s">
        <v>959</v>
      </c>
      <c r="D776" s="21" t="s">
        <v>119</v>
      </c>
      <c r="E776" s="21" t="s">
        <v>1252</v>
      </c>
      <c r="F776" s="21" t="s">
        <v>1506</v>
      </c>
      <c r="G776" s="21" t="s">
        <v>3351</v>
      </c>
      <c r="H776" s="21" t="s">
        <v>1821</v>
      </c>
      <c r="I776" s="21" t="s">
        <v>2302</v>
      </c>
      <c r="J776" s="21" t="s">
        <v>2303</v>
      </c>
      <c r="K776" s="22" t="s">
        <v>3352</v>
      </c>
      <c r="L776" s="21" t="s">
        <v>1431</v>
      </c>
      <c r="M776" s="21" t="s">
        <v>1819</v>
      </c>
    </row>
    <row r="777" spans="1:13" ht="15" hidden="1" customHeight="1" x14ac:dyDescent="0.25">
      <c r="A777" s="21" t="s">
        <v>3353</v>
      </c>
      <c r="B777" s="22" t="s">
        <v>2468</v>
      </c>
      <c r="C777" s="22" t="s">
        <v>960</v>
      </c>
      <c r="D777" s="21" t="s">
        <v>119</v>
      </c>
      <c r="E777" s="21" t="s">
        <v>1252</v>
      </c>
      <c r="F777" s="21" t="s">
        <v>1506</v>
      </c>
      <c r="G777" s="21" t="s">
        <v>3354</v>
      </c>
      <c r="H777" s="21" t="s">
        <v>1821</v>
      </c>
      <c r="I777" s="21" t="s">
        <v>2302</v>
      </c>
      <c r="J777" s="21" t="s">
        <v>2303</v>
      </c>
      <c r="K777" s="22" t="s">
        <v>3355</v>
      </c>
      <c r="L777" s="21" t="s">
        <v>1431</v>
      </c>
      <c r="M777" s="21" t="s">
        <v>1819</v>
      </c>
    </row>
    <row r="778" spans="1:13" ht="15" hidden="1" customHeight="1" x14ac:dyDescent="0.25">
      <c r="A778" s="21" t="s">
        <v>3356</v>
      </c>
      <c r="B778" s="22" t="s">
        <v>2470</v>
      </c>
      <c r="C778" s="22" t="s">
        <v>961</v>
      </c>
      <c r="D778" s="21" t="s">
        <v>119</v>
      </c>
      <c r="E778" s="21" t="s">
        <v>1252</v>
      </c>
      <c r="F778" s="21" t="s">
        <v>1506</v>
      </c>
      <c r="G778" s="21" t="s">
        <v>3357</v>
      </c>
      <c r="H778" s="21" t="s">
        <v>1821</v>
      </c>
      <c r="I778" s="21" t="s">
        <v>2302</v>
      </c>
      <c r="J778" s="21" t="s">
        <v>2303</v>
      </c>
      <c r="K778" s="22" t="s">
        <v>3358</v>
      </c>
      <c r="L778" s="21" t="s">
        <v>1431</v>
      </c>
      <c r="M778" s="21" t="s">
        <v>1819</v>
      </c>
    </row>
    <row r="779" spans="1:13" ht="15" hidden="1" customHeight="1" x14ac:dyDescent="0.25">
      <c r="A779" s="21" t="s">
        <v>3359</v>
      </c>
      <c r="B779" s="22" t="s">
        <v>2473</v>
      </c>
      <c r="C779" s="22" t="s">
        <v>962</v>
      </c>
      <c r="D779" s="21" t="s">
        <v>119</v>
      </c>
      <c r="E779" s="21" t="s">
        <v>1252</v>
      </c>
      <c r="F779" s="21" t="s">
        <v>1506</v>
      </c>
      <c r="G779" s="21" t="s">
        <v>3360</v>
      </c>
      <c r="H779" s="21" t="s">
        <v>1821</v>
      </c>
      <c r="I779" s="21" t="s">
        <v>2302</v>
      </c>
      <c r="J779" s="21" t="s">
        <v>2303</v>
      </c>
      <c r="K779" s="22" t="s">
        <v>3361</v>
      </c>
      <c r="L779" s="21" t="s">
        <v>1431</v>
      </c>
      <c r="M779" s="21" t="s">
        <v>1819</v>
      </c>
    </row>
    <row r="780" spans="1:13" ht="15" hidden="1" customHeight="1" x14ac:dyDescent="0.25">
      <c r="A780" s="21" t="s">
        <v>3362</v>
      </c>
      <c r="B780" s="22" t="s">
        <v>2476</v>
      </c>
      <c r="C780" s="22" t="s">
        <v>963</v>
      </c>
      <c r="D780" s="21" t="s">
        <v>119</v>
      </c>
      <c r="E780" s="21" t="s">
        <v>1214</v>
      </c>
      <c r="F780" s="21" t="s">
        <v>3363</v>
      </c>
      <c r="G780" s="21"/>
      <c r="H780" s="21" t="s">
        <v>1314</v>
      </c>
      <c r="I780" s="21" t="s">
        <v>3364</v>
      </c>
      <c r="J780" s="21" t="s">
        <v>3365</v>
      </c>
      <c r="K780" s="22" t="s">
        <v>3366</v>
      </c>
      <c r="L780" s="21" t="s">
        <v>1431</v>
      </c>
      <c r="M780" s="21" t="s">
        <v>1830</v>
      </c>
    </row>
    <row r="781" spans="1:13" ht="15" hidden="1" customHeight="1" x14ac:dyDescent="0.25">
      <c r="A781" s="21" t="s">
        <v>3367</v>
      </c>
      <c r="B781" s="22" t="s">
        <v>2478</v>
      </c>
      <c r="C781" s="22" t="s">
        <v>964</v>
      </c>
      <c r="D781" s="21" t="s">
        <v>119</v>
      </c>
      <c r="E781" s="21" t="s">
        <v>1265</v>
      </c>
      <c r="F781" s="21" t="s">
        <v>1265</v>
      </c>
      <c r="G781" s="21" t="s">
        <v>3329</v>
      </c>
      <c r="H781" s="21" t="s">
        <v>1821</v>
      </c>
      <c r="I781" s="21" t="s">
        <v>1399</v>
      </c>
      <c r="J781" s="21" t="s">
        <v>3368</v>
      </c>
      <c r="K781" s="22" t="s">
        <v>3369</v>
      </c>
      <c r="L781" s="21" t="s">
        <v>1431</v>
      </c>
      <c r="M781" s="21" t="s">
        <v>1819</v>
      </c>
    </row>
    <row r="782" spans="1:13" ht="15" hidden="1" customHeight="1" x14ac:dyDescent="0.25">
      <c r="A782" s="21" t="s">
        <v>3370</v>
      </c>
      <c r="B782" s="22" t="s">
        <v>2481</v>
      </c>
      <c r="C782" s="22" t="s">
        <v>965</v>
      </c>
      <c r="D782" s="21" t="s">
        <v>119</v>
      </c>
      <c r="E782" s="21" t="s">
        <v>1265</v>
      </c>
      <c r="F782" s="21" t="s">
        <v>1265</v>
      </c>
      <c r="G782" s="21" t="s">
        <v>3371</v>
      </c>
      <c r="H782" s="21" t="s">
        <v>1821</v>
      </c>
      <c r="I782" s="21" t="s">
        <v>1399</v>
      </c>
      <c r="J782" s="21" t="s">
        <v>3368</v>
      </c>
      <c r="K782" s="22" t="s">
        <v>3372</v>
      </c>
      <c r="L782" s="21" t="s">
        <v>1431</v>
      </c>
      <c r="M782" s="21" t="s">
        <v>1819</v>
      </c>
    </row>
    <row r="783" spans="1:13" ht="15" hidden="1" customHeight="1" x14ac:dyDescent="0.25">
      <c r="A783" s="21" t="s">
        <v>3373</v>
      </c>
      <c r="B783" s="22" t="s">
        <v>2484</v>
      </c>
      <c r="C783" s="22" t="s">
        <v>966</v>
      </c>
      <c r="D783" s="21" t="s">
        <v>119</v>
      </c>
      <c r="E783" s="21" t="s">
        <v>1265</v>
      </c>
      <c r="F783" s="21" t="s">
        <v>1265</v>
      </c>
      <c r="G783" s="21" t="s">
        <v>3374</v>
      </c>
      <c r="H783" s="21" t="s">
        <v>1821</v>
      </c>
      <c r="I783" s="21" t="s">
        <v>1399</v>
      </c>
      <c r="J783" s="21" t="s">
        <v>3368</v>
      </c>
      <c r="K783" s="22" t="s">
        <v>3375</v>
      </c>
      <c r="L783" s="21" t="s">
        <v>1431</v>
      </c>
      <c r="M783" s="21" t="s">
        <v>1819</v>
      </c>
    </row>
    <row r="784" spans="1:13" ht="15" hidden="1" customHeight="1" x14ac:dyDescent="0.25">
      <c r="A784" s="21" t="s">
        <v>3376</v>
      </c>
      <c r="B784" s="22" t="s">
        <v>2486</v>
      </c>
      <c r="C784" s="22" t="s">
        <v>967</v>
      </c>
      <c r="D784" s="21" t="s">
        <v>119</v>
      </c>
      <c r="E784" s="21" t="s">
        <v>1265</v>
      </c>
      <c r="F784" s="21" t="s">
        <v>1265</v>
      </c>
      <c r="G784" s="21" t="s">
        <v>3377</v>
      </c>
      <c r="H784" s="21" t="s">
        <v>1821</v>
      </c>
      <c r="I784" s="21" t="s">
        <v>1399</v>
      </c>
      <c r="J784" s="21" t="s">
        <v>3368</v>
      </c>
      <c r="K784" s="22" t="s">
        <v>3378</v>
      </c>
      <c r="L784" s="21" t="s">
        <v>1431</v>
      </c>
      <c r="M784" s="21" t="s">
        <v>1819</v>
      </c>
    </row>
    <row r="785" spans="1:13" ht="15" hidden="1" customHeight="1" x14ac:dyDescent="0.25">
      <c r="A785" s="21" t="s">
        <v>3379</v>
      </c>
      <c r="B785" s="22" t="s">
        <v>2489</v>
      </c>
      <c r="C785" s="22" t="s">
        <v>968</v>
      </c>
      <c r="D785" s="21" t="s">
        <v>119</v>
      </c>
      <c r="E785" s="21" t="s">
        <v>1252</v>
      </c>
      <c r="F785" s="21" t="s">
        <v>1506</v>
      </c>
      <c r="G785" s="21" t="s">
        <v>3380</v>
      </c>
      <c r="H785" s="21" t="s">
        <v>1314</v>
      </c>
      <c r="I785" s="21" t="s">
        <v>2302</v>
      </c>
      <c r="J785" s="21" t="s">
        <v>2303</v>
      </c>
      <c r="K785" s="22" t="s">
        <v>3381</v>
      </c>
      <c r="L785" s="21" t="s">
        <v>1431</v>
      </c>
      <c r="M785" s="21" t="s">
        <v>1819</v>
      </c>
    </row>
    <row r="786" spans="1:13" ht="15" hidden="1" customHeight="1" x14ac:dyDescent="0.25">
      <c r="A786" s="21" t="s">
        <v>3382</v>
      </c>
      <c r="B786" s="22" t="s">
        <v>2492</v>
      </c>
      <c r="C786" s="22" t="s">
        <v>969</v>
      </c>
      <c r="D786" s="21" t="s">
        <v>119</v>
      </c>
      <c r="E786" s="21" t="s">
        <v>1252</v>
      </c>
      <c r="F786" s="21" t="s">
        <v>1506</v>
      </c>
      <c r="G786" s="21" t="s">
        <v>3383</v>
      </c>
      <c r="H786" s="21" t="s">
        <v>1314</v>
      </c>
      <c r="I786" s="21" t="s">
        <v>2302</v>
      </c>
      <c r="J786" s="21" t="s">
        <v>2303</v>
      </c>
      <c r="K786" s="22" t="s">
        <v>3384</v>
      </c>
      <c r="L786" s="21" t="s">
        <v>1431</v>
      </c>
      <c r="M786" s="21" t="s">
        <v>1819</v>
      </c>
    </row>
    <row r="787" spans="1:13" ht="15" hidden="1" customHeight="1" x14ac:dyDescent="0.25">
      <c r="A787" s="21" t="s">
        <v>3385</v>
      </c>
      <c r="B787" s="22" t="s">
        <v>2495</v>
      </c>
      <c r="C787" s="22" t="s">
        <v>970</v>
      </c>
      <c r="D787" s="21" t="s">
        <v>119</v>
      </c>
      <c r="E787" s="21" t="s">
        <v>1252</v>
      </c>
      <c r="F787" s="21" t="s">
        <v>1506</v>
      </c>
      <c r="G787" s="21" t="s">
        <v>3383</v>
      </c>
      <c r="H787" s="21" t="s">
        <v>1314</v>
      </c>
      <c r="I787" s="21" t="s">
        <v>2302</v>
      </c>
      <c r="J787" s="21" t="s">
        <v>2303</v>
      </c>
      <c r="K787" s="22" t="s">
        <v>3386</v>
      </c>
      <c r="L787" s="21" t="s">
        <v>1431</v>
      </c>
      <c r="M787" s="21" t="s">
        <v>1819</v>
      </c>
    </row>
    <row r="788" spans="1:13" ht="15" hidden="1" customHeight="1" x14ac:dyDescent="0.25">
      <c r="A788" s="21" t="s">
        <v>3387</v>
      </c>
      <c r="B788" s="22" t="s">
        <v>2497</v>
      </c>
      <c r="C788" s="22" t="s">
        <v>971</v>
      </c>
      <c r="D788" s="21" t="s">
        <v>119</v>
      </c>
      <c r="E788" s="21" t="s">
        <v>1252</v>
      </c>
      <c r="F788" s="21" t="s">
        <v>1506</v>
      </c>
      <c r="G788" s="21" t="s">
        <v>3388</v>
      </c>
      <c r="H788" s="21" t="s">
        <v>1314</v>
      </c>
      <c r="I788" s="21" t="s">
        <v>2302</v>
      </c>
      <c r="J788" s="21" t="s">
        <v>2303</v>
      </c>
      <c r="K788" s="22" t="s">
        <v>3389</v>
      </c>
      <c r="L788" s="21" t="s">
        <v>1431</v>
      </c>
      <c r="M788" s="21" t="s">
        <v>1819</v>
      </c>
    </row>
    <row r="789" spans="1:13" ht="15" hidden="1" customHeight="1" x14ac:dyDescent="0.25">
      <c r="A789" s="21" t="s">
        <v>3390</v>
      </c>
      <c r="B789" s="22" t="s">
        <v>2499</v>
      </c>
      <c r="C789" s="22" t="s">
        <v>972</v>
      </c>
      <c r="D789" s="21" t="s">
        <v>119</v>
      </c>
      <c r="E789" s="21" t="s">
        <v>1252</v>
      </c>
      <c r="F789" s="21" t="s">
        <v>1506</v>
      </c>
      <c r="G789" s="21" t="s">
        <v>3391</v>
      </c>
      <c r="H789" s="21" t="s">
        <v>1314</v>
      </c>
      <c r="I789" s="21" t="s">
        <v>2302</v>
      </c>
      <c r="J789" s="21" t="s">
        <v>2303</v>
      </c>
      <c r="K789" s="22" t="s">
        <v>3392</v>
      </c>
      <c r="L789" s="21" t="s">
        <v>1431</v>
      </c>
      <c r="M789" s="21" t="s">
        <v>1819</v>
      </c>
    </row>
    <row r="790" spans="1:13" ht="15" hidden="1" customHeight="1" x14ac:dyDescent="0.25">
      <c r="A790" s="21" t="s">
        <v>3393</v>
      </c>
      <c r="B790" s="22" t="s">
        <v>2502</v>
      </c>
      <c r="C790" s="22" t="s">
        <v>973</v>
      </c>
      <c r="D790" s="21" t="s">
        <v>119</v>
      </c>
      <c r="E790" s="21" t="s">
        <v>1252</v>
      </c>
      <c r="F790" s="21" t="s">
        <v>2054</v>
      </c>
      <c r="G790" s="21" t="s">
        <v>2054</v>
      </c>
      <c r="H790" s="21" t="s">
        <v>1821</v>
      </c>
      <c r="I790" s="21" t="s">
        <v>1399</v>
      </c>
      <c r="J790" s="21" t="s">
        <v>3394</v>
      </c>
      <c r="K790" s="22" t="s">
        <v>3395</v>
      </c>
      <c r="L790" s="21" t="s">
        <v>1431</v>
      </c>
      <c r="M790" s="21"/>
    </row>
    <row r="791" spans="1:13" ht="15" hidden="1" customHeight="1" x14ac:dyDescent="0.25">
      <c r="A791" s="21" t="s">
        <v>3396</v>
      </c>
      <c r="B791" s="22" t="s">
        <v>2505</v>
      </c>
      <c r="C791" s="22" t="s">
        <v>974</v>
      </c>
      <c r="D791" s="21" t="s">
        <v>119</v>
      </c>
      <c r="E791" s="21" t="s">
        <v>1232</v>
      </c>
      <c r="F791" s="21" t="s">
        <v>1232</v>
      </c>
      <c r="G791" s="21"/>
      <c r="H791" s="21" t="s">
        <v>1314</v>
      </c>
      <c r="I791" s="21" t="s">
        <v>2323</v>
      </c>
      <c r="J791" s="21" t="s">
        <v>3397</v>
      </c>
      <c r="K791" s="22" t="s">
        <v>3398</v>
      </c>
      <c r="L791" s="21" t="s">
        <v>1431</v>
      </c>
      <c r="M791" s="21" t="s">
        <v>1819</v>
      </c>
    </row>
    <row r="792" spans="1:13" ht="15" hidden="1" customHeight="1" x14ac:dyDescent="0.25">
      <c r="A792" s="21" t="s">
        <v>3399</v>
      </c>
      <c r="B792" s="22" t="s">
        <v>2507</v>
      </c>
      <c r="C792" s="22" t="s">
        <v>975</v>
      </c>
      <c r="D792" s="21" t="s">
        <v>119</v>
      </c>
      <c r="E792" s="21" t="s">
        <v>1232</v>
      </c>
      <c r="F792" s="21" t="s">
        <v>1232</v>
      </c>
      <c r="G792" s="21"/>
      <c r="H792" s="21" t="s">
        <v>1314</v>
      </c>
      <c r="I792" s="21" t="s">
        <v>2323</v>
      </c>
      <c r="J792" s="21" t="s">
        <v>3397</v>
      </c>
      <c r="K792" s="22" t="s">
        <v>3400</v>
      </c>
      <c r="L792" s="21" t="s">
        <v>1431</v>
      </c>
      <c r="M792" s="21" t="s">
        <v>1819</v>
      </c>
    </row>
    <row r="793" spans="1:13" ht="15" hidden="1" customHeight="1" x14ac:dyDescent="0.25">
      <c r="A793" s="21" t="s">
        <v>3401</v>
      </c>
      <c r="B793" s="22" t="s">
        <v>2509</v>
      </c>
      <c r="C793" s="22" t="s">
        <v>976</v>
      </c>
      <c r="D793" s="21" t="s">
        <v>119</v>
      </c>
      <c r="E793" s="21" t="s">
        <v>1252</v>
      </c>
      <c r="F793" s="21" t="s">
        <v>1698</v>
      </c>
      <c r="G793" s="21" t="s">
        <v>1389</v>
      </c>
      <c r="H793" s="21" t="s">
        <v>1314</v>
      </c>
      <c r="I793" s="21" t="s">
        <v>1735</v>
      </c>
      <c r="J793" s="21" t="s">
        <v>2251</v>
      </c>
      <c r="K793" s="22" t="s">
        <v>3402</v>
      </c>
      <c r="L793" s="21" t="s">
        <v>1431</v>
      </c>
      <c r="M793" s="21" t="s">
        <v>1819</v>
      </c>
    </row>
    <row r="794" spans="1:13" ht="15" hidden="1" customHeight="1" x14ac:dyDescent="0.25">
      <c r="A794" s="21" t="s">
        <v>3403</v>
      </c>
      <c r="B794" s="22" t="s">
        <v>2512</v>
      </c>
      <c r="C794" s="22" t="s">
        <v>977</v>
      </c>
      <c r="D794" s="21" t="s">
        <v>119</v>
      </c>
      <c r="E794" s="21" t="s">
        <v>1265</v>
      </c>
      <c r="F794" s="21" t="s">
        <v>1265</v>
      </c>
      <c r="G794" s="21" t="s">
        <v>3404</v>
      </c>
      <c r="H794" s="21" t="s">
        <v>1314</v>
      </c>
      <c r="I794" s="21" t="s">
        <v>1735</v>
      </c>
      <c r="J794" s="21" t="s">
        <v>2316</v>
      </c>
      <c r="K794" s="22" t="s">
        <v>3405</v>
      </c>
      <c r="L794" s="21" t="s">
        <v>1431</v>
      </c>
      <c r="M794" s="21" t="s">
        <v>1819</v>
      </c>
    </row>
    <row r="795" spans="1:13" ht="15" hidden="1" customHeight="1" x14ac:dyDescent="0.25">
      <c r="A795" s="21" t="s">
        <v>3406</v>
      </c>
      <c r="B795" s="22" t="s">
        <v>2514</v>
      </c>
      <c r="C795" s="22" t="s">
        <v>978</v>
      </c>
      <c r="D795" s="21" t="s">
        <v>119</v>
      </c>
      <c r="E795" s="21" t="s">
        <v>1265</v>
      </c>
      <c r="F795" s="21" t="s">
        <v>1265</v>
      </c>
      <c r="G795" s="21" t="s">
        <v>3407</v>
      </c>
      <c r="H795" s="21" t="s">
        <v>1314</v>
      </c>
      <c r="I795" s="21" t="s">
        <v>1735</v>
      </c>
      <c r="J795" s="21" t="s">
        <v>2316</v>
      </c>
      <c r="K795" s="22" t="s">
        <v>3408</v>
      </c>
      <c r="L795" s="21" t="s">
        <v>1431</v>
      </c>
      <c r="M795" s="21" t="s">
        <v>1819</v>
      </c>
    </row>
    <row r="796" spans="1:13" ht="15" hidden="1" customHeight="1" x14ac:dyDescent="0.25">
      <c r="A796" s="21" t="s">
        <v>3409</v>
      </c>
      <c r="B796" s="22" t="s">
        <v>2517</v>
      </c>
      <c r="C796" s="22" t="s">
        <v>979</v>
      </c>
      <c r="D796" s="21" t="s">
        <v>119</v>
      </c>
      <c r="E796" s="21" t="s">
        <v>1265</v>
      </c>
      <c r="F796" s="21" t="s">
        <v>1265</v>
      </c>
      <c r="G796" s="21" t="s">
        <v>3410</v>
      </c>
      <c r="H796" s="21" t="s">
        <v>1314</v>
      </c>
      <c r="I796" s="21" t="s">
        <v>1735</v>
      </c>
      <c r="J796" s="21" t="s">
        <v>2316</v>
      </c>
      <c r="K796" s="22" t="s">
        <v>3411</v>
      </c>
      <c r="L796" s="21" t="s">
        <v>1431</v>
      </c>
      <c r="M796" s="21" t="s">
        <v>1819</v>
      </c>
    </row>
    <row r="797" spans="1:13" ht="15" hidden="1" customHeight="1" x14ac:dyDescent="0.25">
      <c r="A797" s="21" t="s">
        <v>3412</v>
      </c>
      <c r="B797" s="22" t="s">
        <v>2521</v>
      </c>
      <c r="C797" s="22" t="s">
        <v>980</v>
      </c>
      <c r="D797" s="21" t="s">
        <v>119</v>
      </c>
      <c r="E797" s="21" t="s">
        <v>1265</v>
      </c>
      <c r="F797" s="21" t="s">
        <v>1265</v>
      </c>
      <c r="G797" s="21" t="s">
        <v>3413</v>
      </c>
      <c r="H797" s="21" t="s">
        <v>1314</v>
      </c>
      <c r="I797" s="21" t="s">
        <v>1735</v>
      </c>
      <c r="J797" s="21" t="s">
        <v>2316</v>
      </c>
      <c r="K797" s="22" t="s">
        <v>3414</v>
      </c>
      <c r="L797" s="21" t="s">
        <v>1431</v>
      </c>
      <c r="M797" s="21" t="s">
        <v>1819</v>
      </c>
    </row>
    <row r="798" spans="1:13" ht="15" hidden="1" customHeight="1" x14ac:dyDescent="0.25">
      <c r="A798" s="21" t="s">
        <v>3415</v>
      </c>
      <c r="B798" s="22" t="s">
        <v>2523</v>
      </c>
      <c r="C798" s="22" t="s">
        <v>981</v>
      </c>
      <c r="D798" s="21" t="s">
        <v>119</v>
      </c>
      <c r="E798" s="21" t="s">
        <v>1209</v>
      </c>
      <c r="F798" s="21" t="s">
        <v>1209</v>
      </c>
      <c r="G798" s="21"/>
      <c r="H798" s="21" t="s">
        <v>1314</v>
      </c>
      <c r="I798" s="21" t="s">
        <v>1399</v>
      </c>
      <c r="J798" s="21" t="s">
        <v>3394</v>
      </c>
      <c r="K798" s="22" t="s">
        <v>3416</v>
      </c>
      <c r="L798" s="21" t="s">
        <v>1431</v>
      </c>
      <c r="M798" s="21"/>
    </row>
    <row r="799" spans="1:13" ht="15" hidden="1" customHeight="1" x14ac:dyDescent="0.25">
      <c r="A799" s="21" t="s">
        <v>3417</v>
      </c>
      <c r="B799" s="22" t="s">
        <v>2525</v>
      </c>
      <c r="C799" s="22" t="s">
        <v>982</v>
      </c>
      <c r="D799" s="21" t="s">
        <v>119</v>
      </c>
      <c r="E799" s="21" t="s">
        <v>1265</v>
      </c>
      <c r="F799" s="21" t="s">
        <v>1265</v>
      </c>
      <c r="G799" s="21" t="s">
        <v>3418</v>
      </c>
      <c r="H799" s="21" t="s">
        <v>1314</v>
      </c>
      <c r="I799" s="21" t="s">
        <v>2309</v>
      </c>
      <c r="J799" s="21" t="s">
        <v>3419</v>
      </c>
      <c r="K799" s="22" t="s">
        <v>3420</v>
      </c>
      <c r="L799" s="21" t="s">
        <v>1431</v>
      </c>
      <c r="M799" s="21" t="s">
        <v>1830</v>
      </c>
    </row>
    <row r="800" spans="1:13" ht="15" hidden="1" customHeight="1" x14ac:dyDescent="0.25">
      <c r="A800" s="21" t="s">
        <v>3421</v>
      </c>
      <c r="B800" s="22" t="s">
        <v>2528</v>
      </c>
      <c r="C800" s="22" t="s">
        <v>983</v>
      </c>
      <c r="D800" s="21" t="s">
        <v>119</v>
      </c>
      <c r="E800" s="21" t="s">
        <v>1265</v>
      </c>
      <c r="F800" s="21" t="s">
        <v>1265</v>
      </c>
      <c r="G800" s="21" t="s">
        <v>3422</v>
      </c>
      <c r="H800" s="21" t="s">
        <v>1314</v>
      </c>
      <c r="I800" s="21" t="s">
        <v>2309</v>
      </c>
      <c r="J800" s="21" t="s">
        <v>3419</v>
      </c>
      <c r="K800" s="22" t="s">
        <v>3423</v>
      </c>
      <c r="L800" s="21" t="s">
        <v>1431</v>
      </c>
      <c r="M800" s="21" t="s">
        <v>1830</v>
      </c>
    </row>
    <row r="801" spans="1:13" ht="15" hidden="1" customHeight="1" x14ac:dyDescent="0.25">
      <c r="A801" s="21" t="s">
        <v>3424</v>
      </c>
      <c r="B801" s="22" t="s">
        <v>2531</v>
      </c>
      <c r="C801" s="22" t="s">
        <v>984</v>
      </c>
      <c r="D801" s="21" t="s">
        <v>119</v>
      </c>
      <c r="E801" s="21" t="s">
        <v>1265</v>
      </c>
      <c r="F801" s="21" t="s">
        <v>1265</v>
      </c>
      <c r="G801" s="21" t="s">
        <v>3425</v>
      </c>
      <c r="H801" s="21" t="s">
        <v>1314</v>
      </c>
      <c r="I801" s="21" t="s">
        <v>2309</v>
      </c>
      <c r="J801" s="21" t="s">
        <v>3419</v>
      </c>
      <c r="K801" s="22" t="s">
        <v>3426</v>
      </c>
      <c r="L801" s="21" t="s">
        <v>1431</v>
      </c>
      <c r="M801" s="21" t="s">
        <v>1830</v>
      </c>
    </row>
    <row r="802" spans="1:13" ht="15" hidden="1" customHeight="1" x14ac:dyDescent="0.25">
      <c r="A802" s="21" t="s">
        <v>3427</v>
      </c>
      <c r="B802" s="22" t="s">
        <v>2533</v>
      </c>
      <c r="C802" s="22" t="s">
        <v>985</v>
      </c>
      <c r="D802" s="21" t="s">
        <v>119</v>
      </c>
      <c r="E802" s="21" t="s">
        <v>1249</v>
      </c>
      <c r="F802" s="21" t="s">
        <v>1249</v>
      </c>
      <c r="G802" s="21" t="s">
        <v>2833</v>
      </c>
      <c r="H802" s="21" t="s">
        <v>1314</v>
      </c>
      <c r="I802" s="21" t="s">
        <v>2377</v>
      </c>
      <c r="J802" s="21" t="s">
        <v>2378</v>
      </c>
      <c r="K802" s="22" t="s">
        <v>3428</v>
      </c>
      <c r="L802" s="21" t="s">
        <v>1706</v>
      </c>
      <c r="M802" s="21" t="s">
        <v>1830</v>
      </c>
    </row>
    <row r="803" spans="1:13" ht="15" hidden="1" customHeight="1" x14ac:dyDescent="0.25">
      <c r="A803" s="21" t="s">
        <v>3429</v>
      </c>
      <c r="B803" s="22" t="s">
        <v>2536</v>
      </c>
      <c r="C803" s="22" t="s">
        <v>986</v>
      </c>
      <c r="D803" s="21" t="s">
        <v>119</v>
      </c>
      <c r="E803" s="21" t="s">
        <v>1249</v>
      </c>
      <c r="F803" s="21" t="s">
        <v>1249</v>
      </c>
      <c r="G803" s="21" t="s">
        <v>2833</v>
      </c>
      <c r="H803" s="21" t="s">
        <v>1314</v>
      </c>
      <c r="I803" s="21" t="s">
        <v>3430</v>
      </c>
      <c r="J803" s="21" t="s">
        <v>3431</v>
      </c>
      <c r="K803" s="22" t="s">
        <v>3432</v>
      </c>
      <c r="L803" s="21" t="s">
        <v>1706</v>
      </c>
      <c r="M803" s="21" t="s">
        <v>1830</v>
      </c>
    </row>
    <row r="804" spans="1:13" ht="15" hidden="1" customHeight="1" x14ac:dyDescent="0.25">
      <c r="A804" s="21" t="s">
        <v>3433</v>
      </c>
      <c r="B804" s="22" t="s">
        <v>2538</v>
      </c>
      <c r="C804" s="22" t="s">
        <v>988</v>
      </c>
      <c r="D804" s="21" t="s">
        <v>119</v>
      </c>
      <c r="E804" s="21" t="s">
        <v>1249</v>
      </c>
      <c r="F804" s="21" t="s">
        <v>1249</v>
      </c>
      <c r="G804" s="21" t="s">
        <v>2571</v>
      </c>
      <c r="H804" s="21" t="s">
        <v>1314</v>
      </c>
      <c r="I804" s="21" t="s">
        <v>2377</v>
      </c>
      <c r="J804" s="21" t="s">
        <v>2378</v>
      </c>
      <c r="K804" s="22" t="s">
        <v>3434</v>
      </c>
      <c r="L804" s="21" t="s">
        <v>1706</v>
      </c>
      <c r="M804" s="21" t="s">
        <v>1830</v>
      </c>
    </row>
    <row r="805" spans="1:13" ht="15" hidden="1" customHeight="1" x14ac:dyDescent="0.25">
      <c r="A805" s="21" t="s">
        <v>3435</v>
      </c>
      <c r="B805" s="22" t="s">
        <v>2540</v>
      </c>
      <c r="C805" s="22" t="s">
        <v>989</v>
      </c>
      <c r="D805" s="21" t="s">
        <v>119</v>
      </c>
      <c r="E805" s="21" t="s">
        <v>1216</v>
      </c>
      <c r="F805" s="21" t="s">
        <v>1537</v>
      </c>
      <c r="G805" s="21" t="s">
        <v>3436</v>
      </c>
      <c r="H805" s="21" t="s">
        <v>1821</v>
      </c>
      <c r="I805" s="21" t="s">
        <v>2309</v>
      </c>
      <c r="J805" s="21" t="s">
        <v>2412</v>
      </c>
      <c r="K805" s="22" t="s">
        <v>3437</v>
      </c>
      <c r="L805" s="21" t="s">
        <v>1706</v>
      </c>
      <c r="M805" s="21" t="s">
        <v>1819</v>
      </c>
    </row>
    <row r="806" spans="1:13" ht="15" hidden="1" customHeight="1" x14ac:dyDescent="0.25">
      <c r="A806" s="21" t="s">
        <v>3438</v>
      </c>
      <c r="B806" s="22" t="s">
        <v>2543</v>
      </c>
      <c r="C806" s="22" t="s">
        <v>990</v>
      </c>
      <c r="D806" s="21" t="s">
        <v>119</v>
      </c>
      <c r="E806" s="21" t="s">
        <v>1216</v>
      </c>
      <c r="F806" s="21" t="s">
        <v>1537</v>
      </c>
      <c r="G806" s="21" t="s">
        <v>3439</v>
      </c>
      <c r="H806" s="21" t="s">
        <v>1821</v>
      </c>
      <c r="I806" s="21" t="s">
        <v>2309</v>
      </c>
      <c r="J806" s="21" t="s">
        <v>2412</v>
      </c>
      <c r="K806" s="22" t="s">
        <v>3440</v>
      </c>
      <c r="L806" s="21" t="s">
        <v>1706</v>
      </c>
      <c r="M806" s="21" t="s">
        <v>1819</v>
      </c>
    </row>
    <row r="807" spans="1:13" ht="15" hidden="1" customHeight="1" x14ac:dyDescent="0.25">
      <c r="A807" s="21" t="s">
        <v>3441</v>
      </c>
      <c r="B807" s="22" t="s">
        <v>2547</v>
      </c>
      <c r="C807" s="22" t="s">
        <v>991</v>
      </c>
      <c r="D807" s="21" t="s">
        <v>119</v>
      </c>
      <c r="E807" s="21" t="s">
        <v>1216</v>
      </c>
      <c r="F807" s="21" t="s">
        <v>1537</v>
      </c>
      <c r="G807" s="21" t="s">
        <v>3442</v>
      </c>
      <c r="H807" s="21" t="s">
        <v>1821</v>
      </c>
      <c r="I807" s="21" t="s">
        <v>2309</v>
      </c>
      <c r="J807" s="21" t="s">
        <v>2412</v>
      </c>
      <c r="K807" s="22" t="s">
        <v>3443</v>
      </c>
      <c r="L807" s="21" t="s">
        <v>1706</v>
      </c>
      <c r="M807" s="21" t="s">
        <v>1819</v>
      </c>
    </row>
    <row r="808" spans="1:13" ht="15" hidden="1" customHeight="1" x14ac:dyDescent="0.25">
      <c r="A808" s="21" t="s">
        <v>3444</v>
      </c>
      <c r="B808" s="22" t="s">
        <v>2549</v>
      </c>
      <c r="C808" s="22" t="s">
        <v>992</v>
      </c>
      <c r="D808" s="21" t="s">
        <v>119</v>
      </c>
      <c r="E808" s="21" t="s">
        <v>1216</v>
      </c>
      <c r="F808" s="21" t="s">
        <v>1537</v>
      </c>
      <c r="G808" s="21" t="s">
        <v>3445</v>
      </c>
      <c r="H808" s="21" t="s">
        <v>1821</v>
      </c>
      <c r="I808" s="21" t="s">
        <v>2309</v>
      </c>
      <c r="J808" s="21" t="s">
        <v>2412</v>
      </c>
      <c r="K808" s="22" t="s">
        <v>3446</v>
      </c>
      <c r="L808" s="21" t="s">
        <v>1706</v>
      </c>
      <c r="M808" s="21" t="s">
        <v>1819</v>
      </c>
    </row>
    <row r="809" spans="1:13" ht="15" hidden="1" customHeight="1" x14ac:dyDescent="0.25">
      <c r="A809" s="21" t="s">
        <v>3447</v>
      </c>
      <c r="B809" s="22" t="s">
        <v>2551</v>
      </c>
      <c r="C809" s="22" t="s">
        <v>993</v>
      </c>
      <c r="D809" s="21" t="s">
        <v>119</v>
      </c>
      <c r="E809" s="21" t="s">
        <v>1216</v>
      </c>
      <c r="F809" s="21" t="s">
        <v>1537</v>
      </c>
      <c r="G809" s="21" t="s">
        <v>3448</v>
      </c>
      <c r="H809" s="21" t="s">
        <v>1821</v>
      </c>
      <c r="I809" s="21" t="s">
        <v>2309</v>
      </c>
      <c r="J809" s="21" t="s">
        <v>2412</v>
      </c>
      <c r="K809" s="22" t="s">
        <v>3449</v>
      </c>
      <c r="L809" s="21" t="s">
        <v>1706</v>
      </c>
      <c r="M809" s="21" t="s">
        <v>1819</v>
      </c>
    </row>
    <row r="810" spans="1:13" ht="15" hidden="1" customHeight="1" x14ac:dyDescent="0.25">
      <c r="A810" s="21" t="s">
        <v>3450</v>
      </c>
      <c r="B810" s="22" t="s">
        <v>2556</v>
      </c>
      <c r="C810" s="22" t="s">
        <v>994</v>
      </c>
      <c r="D810" s="21" t="s">
        <v>119</v>
      </c>
      <c r="E810" s="21" t="s">
        <v>1216</v>
      </c>
      <c r="F810" s="21" t="s">
        <v>1537</v>
      </c>
      <c r="G810" s="21" t="s">
        <v>2707</v>
      </c>
      <c r="H810" s="21" t="s">
        <v>1821</v>
      </c>
      <c r="I810" s="21" t="s">
        <v>2309</v>
      </c>
      <c r="J810" s="21" t="s">
        <v>2412</v>
      </c>
      <c r="K810" s="22" t="s">
        <v>3451</v>
      </c>
      <c r="L810" s="21" t="s">
        <v>1706</v>
      </c>
      <c r="M810" s="21" t="s">
        <v>1819</v>
      </c>
    </row>
    <row r="811" spans="1:13" ht="15" hidden="1" customHeight="1" x14ac:dyDescent="0.25">
      <c r="A811" s="21" t="s">
        <v>3452</v>
      </c>
      <c r="B811" s="22" t="s">
        <v>2558</v>
      </c>
      <c r="C811" s="22" t="s">
        <v>995</v>
      </c>
      <c r="D811" s="21" t="s">
        <v>119</v>
      </c>
      <c r="E811" s="21" t="s">
        <v>1216</v>
      </c>
      <c r="F811" s="21" t="s">
        <v>1537</v>
      </c>
      <c r="G811" s="21" t="s">
        <v>3453</v>
      </c>
      <c r="H811" s="21" t="s">
        <v>1821</v>
      </c>
      <c r="I811" s="21" t="s">
        <v>2309</v>
      </c>
      <c r="J811" s="21" t="s">
        <v>2412</v>
      </c>
      <c r="K811" s="22" t="s">
        <v>3454</v>
      </c>
      <c r="L811" s="21" t="s">
        <v>1706</v>
      </c>
      <c r="M811" s="21" t="s">
        <v>1819</v>
      </c>
    </row>
    <row r="812" spans="1:13" ht="15" hidden="1" customHeight="1" x14ac:dyDescent="0.25">
      <c r="A812" s="21" t="s">
        <v>3455</v>
      </c>
      <c r="B812" s="22" t="s">
        <v>2561</v>
      </c>
      <c r="C812" s="22" t="s">
        <v>996</v>
      </c>
      <c r="D812" s="21" t="s">
        <v>119</v>
      </c>
      <c r="E812" s="21" t="s">
        <v>1216</v>
      </c>
      <c r="F812" s="21" t="s">
        <v>1537</v>
      </c>
      <c r="G812" s="21" t="s">
        <v>3456</v>
      </c>
      <c r="H812" s="21" t="s">
        <v>1821</v>
      </c>
      <c r="I812" s="21" t="s">
        <v>2309</v>
      </c>
      <c r="J812" s="21" t="s">
        <v>2412</v>
      </c>
      <c r="K812" s="22" t="s">
        <v>3457</v>
      </c>
      <c r="L812" s="21" t="s">
        <v>1706</v>
      </c>
      <c r="M812" s="21" t="s">
        <v>1819</v>
      </c>
    </row>
    <row r="813" spans="1:13" ht="15" hidden="1" customHeight="1" x14ac:dyDescent="0.25">
      <c r="A813" s="21" t="s">
        <v>3458</v>
      </c>
      <c r="B813" s="22" t="s">
        <v>2564</v>
      </c>
      <c r="C813" s="22" t="s">
        <v>997</v>
      </c>
      <c r="D813" s="21" t="s">
        <v>119</v>
      </c>
      <c r="E813" s="21" t="s">
        <v>1216</v>
      </c>
      <c r="F813" s="21" t="s">
        <v>1537</v>
      </c>
      <c r="G813" s="21" t="s">
        <v>3459</v>
      </c>
      <c r="H813" s="21" t="s">
        <v>1821</v>
      </c>
      <c r="I813" s="21" t="s">
        <v>2309</v>
      </c>
      <c r="J813" s="21" t="s">
        <v>2412</v>
      </c>
      <c r="K813" s="22" t="s">
        <v>3460</v>
      </c>
      <c r="L813" s="21" t="s">
        <v>1706</v>
      </c>
      <c r="M813" s="21" t="s">
        <v>1819</v>
      </c>
    </row>
    <row r="814" spans="1:13" ht="15" hidden="1" customHeight="1" x14ac:dyDescent="0.25">
      <c r="A814" s="21" t="s">
        <v>3461</v>
      </c>
      <c r="B814" s="22" t="s">
        <v>2567</v>
      </c>
      <c r="C814" s="22" t="s">
        <v>998</v>
      </c>
      <c r="D814" s="21" t="s">
        <v>119</v>
      </c>
      <c r="E814" s="21" t="s">
        <v>1216</v>
      </c>
      <c r="F814" s="21" t="s">
        <v>1537</v>
      </c>
      <c r="G814" s="21" t="s">
        <v>3462</v>
      </c>
      <c r="H814" s="21" t="s">
        <v>1821</v>
      </c>
      <c r="I814" s="21" t="s">
        <v>3185</v>
      </c>
      <c r="J814" s="21" t="s">
        <v>3463</v>
      </c>
      <c r="K814" s="22" t="s">
        <v>3464</v>
      </c>
      <c r="L814" s="21" t="s">
        <v>1706</v>
      </c>
      <c r="M814" s="21" t="s">
        <v>1819</v>
      </c>
    </row>
    <row r="815" spans="1:13" ht="15" hidden="1" customHeight="1" x14ac:dyDescent="0.25">
      <c r="A815" s="21" t="s">
        <v>3465</v>
      </c>
      <c r="B815" s="22" t="s">
        <v>2570</v>
      </c>
      <c r="C815" s="22" t="s">
        <v>999</v>
      </c>
      <c r="D815" s="21" t="s">
        <v>119</v>
      </c>
      <c r="E815" s="21" t="s">
        <v>1216</v>
      </c>
      <c r="F815" s="21" t="s">
        <v>1537</v>
      </c>
      <c r="G815" s="21" t="s">
        <v>2661</v>
      </c>
      <c r="H815" s="21" t="s">
        <v>1821</v>
      </c>
      <c r="I815" s="21" t="s">
        <v>3185</v>
      </c>
      <c r="J815" s="21" t="s">
        <v>3463</v>
      </c>
      <c r="K815" s="22" t="s">
        <v>3466</v>
      </c>
      <c r="L815" s="21" t="s">
        <v>1706</v>
      </c>
      <c r="M815" s="21" t="s">
        <v>1819</v>
      </c>
    </row>
    <row r="816" spans="1:13" ht="15" hidden="1" customHeight="1" x14ac:dyDescent="0.25">
      <c r="A816" s="21" t="s">
        <v>3467</v>
      </c>
      <c r="B816" s="22" t="s">
        <v>2573</v>
      </c>
      <c r="C816" s="22" t="s">
        <v>1000</v>
      </c>
      <c r="D816" s="21" t="s">
        <v>119</v>
      </c>
      <c r="E816" s="21" t="s">
        <v>1216</v>
      </c>
      <c r="F816" s="21" t="s">
        <v>1537</v>
      </c>
      <c r="G816" s="21" t="s">
        <v>3468</v>
      </c>
      <c r="H816" s="21" t="s">
        <v>1821</v>
      </c>
      <c r="I816" s="21" t="s">
        <v>3185</v>
      </c>
      <c r="J816" s="21" t="s">
        <v>3463</v>
      </c>
      <c r="K816" s="22" t="s">
        <v>3469</v>
      </c>
      <c r="L816" s="21" t="s">
        <v>1706</v>
      </c>
      <c r="M816" s="21" t="s">
        <v>1819</v>
      </c>
    </row>
    <row r="817" spans="1:13" ht="15" hidden="1" customHeight="1" x14ac:dyDescent="0.25">
      <c r="A817" s="21" t="s">
        <v>3470</v>
      </c>
      <c r="B817" s="22" t="s">
        <v>2576</v>
      </c>
      <c r="C817" s="22" t="s">
        <v>1001</v>
      </c>
      <c r="D817" s="21" t="s">
        <v>119</v>
      </c>
      <c r="E817" s="21" t="s">
        <v>1216</v>
      </c>
      <c r="F817" s="21" t="s">
        <v>1537</v>
      </c>
      <c r="G817" s="21" t="s">
        <v>2719</v>
      </c>
      <c r="H817" s="21" t="s">
        <v>1821</v>
      </c>
      <c r="I817" s="21" t="s">
        <v>3185</v>
      </c>
      <c r="J817" s="21" t="s">
        <v>3463</v>
      </c>
      <c r="K817" s="22" t="s">
        <v>3471</v>
      </c>
      <c r="L817" s="21" t="s">
        <v>1706</v>
      </c>
      <c r="M817" s="21" t="s">
        <v>1819</v>
      </c>
    </row>
    <row r="818" spans="1:13" ht="15" hidden="1" customHeight="1" x14ac:dyDescent="0.25">
      <c r="A818" s="21" t="s">
        <v>3472</v>
      </c>
      <c r="B818" s="22" t="s">
        <v>2579</v>
      </c>
      <c r="C818" s="22" t="s">
        <v>1002</v>
      </c>
      <c r="D818" s="21" t="s">
        <v>119</v>
      </c>
      <c r="E818" s="21" t="s">
        <v>1216</v>
      </c>
      <c r="F818" s="21" t="s">
        <v>1537</v>
      </c>
      <c r="G818" s="21" t="s">
        <v>3473</v>
      </c>
      <c r="H818" s="21" t="s">
        <v>1821</v>
      </c>
      <c r="I818" s="21" t="s">
        <v>3185</v>
      </c>
      <c r="J818" s="21" t="s">
        <v>3463</v>
      </c>
      <c r="K818" s="22" t="s">
        <v>3474</v>
      </c>
      <c r="L818" s="21" t="s">
        <v>1706</v>
      </c>
      <c r="M818" s="21" t="s">
        <v>1819</v>
      </c>
    </row>
    <row r="819" spans="1:13" ht="15" hidden="1" customHeight="1" x14ac:dyDescent="0.25">
      <c r="A819" s="21" t="s">
        <v>3475</v>
      </c>
      <c r="B819" s="22" t="s">
        <v>2582</v>
      </c>
      <c r="C819" s="22" t="s">
        <v>1005</v>
      </c>
      <c r="D819" s="21" t="s">
        <v>119</v>
      </c>
      <c r="E819" s="21" t="s">
        <v>1216</v>
      </c>
      <c r="F819" s="21" t="s">
        <v>3476</v>
      </c>
      <c r="G819" s="21" t="s">
        <v>2699</v>
      </c>
      <c r="H819" s="21" t="s">
        <v>1821</v>
      </c>
      <c r="I819" s="21" t="s">
        <v>3185</v>
      </c>
      <c r="J819" s="21" t="s">
        <v>3463</v>
      </c>
      <c r="K819" s="22" t="s">
        <v>3477</v>
      </c>
      <c r="L819" s="21" t="s">
        <v>1706</v>
      </c>
      <c r="M819" s="21" t="s">
        <v>1819</v>
      </c>
    </row>
    <row r="820" spans="1:13" ht="15" hidden="1" customHeight="1" x14ac:dyDescent="0.25">
      <c r="A820" s="21" t="s">
        <v>3478</v>
      </c>
      <c r="B820" s="22" t="s">
        <v>2585</v>
      </c>
      <c r="C820" s="22" t="s">
        <v>1006</v>
      </c>
      <c r="D820" s="21" t="s">
        <v>119</v>
      </c>
      <c r="E820" s="21" t="s">
        <v>1216</v>
      </c>
      <c r="F820" s="21" t="s">
        <v>1537</v>
      </c>
      <c r="G820" s="21" t="s">
        <v>2415</v>
      </c>
      <c r="H820" s="21" t="s">
        <v>1821</v>
      </c>
      <c r="I820" s="21" t="s">
        <v>3185</v>
      </c>
      <c r="J820" s="21" t="s">
        <v>3463</v>
      </c>
      <c r="K820" s="22" t="s">
        <v>3479</v>
      </c>
      <c r="L820" s="21" t="s">
        <v>1706</v>
      </c>
      <c r="M820" s="21" t="s">
        <v>1819</v>
      </c>
    </row>
    <row r="821" spans="1:13" ht="15" hidden="1" customHeight="1" x14ac:dyDescent="0.25">
      <c r="A821" s="21" t="s">
        <v>3480</v>
      </c>
      <c r="B821" s="22" t="s">
        <v>2587</v>
      </c>
      <c r="C821" s="22" t="s">
        <v>1007</v>
      </c>
      <c r="D821" s="21" t="s">
        <v>119</v>
      </c>
      <c r="E821" s="21" t="s">
        <v>1222</v>
      </c>
      <c r="F821" s="21" t="s">
        <v>2714</v>
      </c>
      <c r="G821" s="21"/>
      <c r="H821" s="21" t="s">
        <v>1821</v>
      </c>
      <c r="I821" s="21" t="s">
        <v>3185</v>
      </c>
      <c r="J821" s="21" t="s">
        <v>3463</v>
      </c>
      <c r="K821" s="22" t="s">
        <v>3481</v>
      </c>
      <c r="L821" s="21" t="s">
        <v>1706</v>
      </c>
      <c r="M821" s="21" t="s">
        <v>1819</v>
      </c>
    </row>
    <row r="822" spans="1:13" ht="15" hidden="1" customHeight="1" x14ac:dyDescent="0.25">
      <c r="A822" s="21" t="s">
        <v>3482</v>
      </c>
      <c r="B822" s="22" t="s">
        <v>2589</v>
      </c>
      <c r="C822" s="22" t="s">
        <v>1008</v>
      </c>
      <c r="D822" s="21" t="s">
        <v>119</v>
      </c>
      <c r="E822" s="21" t="s">
        <v>1216</v>
      </c>
      <c r="F822" s="21" t="s">
        <v>1537</v>
      </c>
      <c r="G822" s="21" t="s">
        <v>3305</v>
      </c>
      <c r="H822" s="21" t="s">
        <v>1821</v>
      </c>
      <c r="I822" s="21" t="s">
        <v>3185</v>
      </c>
      <c r="J822" s="21" t="s">
        <v>3463</v>
      </c>
      <c r="K822" s="22" t="s">
        <v>3483</v>
      </c>
      <c r="L822" s="21" t="s">
        <v>1706</v>
      </c>
      <c r="M822" s="21" t="s">
        <v>1819</v>
      </c>
    </row>
    <row r="823" spans="1:13" ht="15" hidden="1" customHeight="1" x14ac:dyDescent="0.25">
      <c r="A823" s="21" t="s">
        <v>3484</v>
      </c>
      <c r="B823" s="22" t="s">
        <v>2591</v>
      </c>
      <c r="C823" s="22" t="s">
        <v>1009</v>
      </c>
      <c r="D823" s="21" t="s">
        <v>119</v>
      </c>
      <c r="E823" s="21" t="s">
        <v>1216</v>
      </c>
      <c r="F823" s="21" t="s">
        <v>1537</v>
      </c>
      <c r="G823" s="21"/>
      <c r="H823" s="21" t="s">
        <v>1821</v>
      </c>
      <c r="I823" s="21" t="s">
        <v>3185</v>
      </c>
      <c r="J823" s="21" t="s">
        <v>3463</v>
      </c>
      <c r="K823" s="22" t="s">
        <v>3485</v>
      </c>
      <c r="L823" s="21" t="s">
        <v>1706</v>
      </c>
      <c r="M823" s="21" t="s">
        <v>1819</v>
      </c>
    </row>
    <row r="824" spans="1:13" ht="15" hidden="1" customHeight="1" x14ac:dyDescent="0.25">
      <c r="A824" s="21" t="s">
        <v>3486</v>
      </c>
      <c r="B824" s="22" t="s">
        <v>2593</v>
      </c>
      <c r="C824" s="22" t="s">
        <v>1010</v>
      </c>
      <c r="D824" s="21" t="s">
        <v>119</v>
      </c>
      <c r="E824" s="21" t="s">
        <v>1216</v>
      </c>
      <c r="F824" s="21" t="s">
        <v>1537</v>
      </c>
      <c r="G824" s="21"/>
      <c r="H824" s="21" t="s">
        <v>1624</v>
      </c>
      <c r="I824" s="21" t="s">
        <v>3487</v>
      </c>
      <c r="J824" s="21" t="s">
        <v>3488</v>
      </c>
      <c r="K824" s="22" t="s">
        <v>3489</v>
      </c>
      <c r="L824" s="21" t="s">
        <v>1706</v>
      </c>
      <c r="M824" s="21" t="s">
        <v>1830</v>
      </c>
    </row>
    <row r="825" spans="1:13" ht="15" hidden="1" customHeight="1" x14ac:dyDescent="0.25">
      <c r="A825" s="21" t="s">
        <v>3490</v>
      </c>
      <c r="B825" s="22" t="s">
        <v>2595</v>
      </c>
      <c r="C825" s="22" t="s">
        <v>1011</v>
      </c>
      <c r="D825" s="21" t="s">
        <v>119</v>
      </c>
      <c r="E825" s="21" t="s">
        <v>1222</v>
      </c>
      <c r="F825" s="21" t="s">
        <v>2714</v>
      </c>
      <c r="G825" s="21"/>
      <c r="H825" s="21" t="s">
        <v>1624</v>
      </c>
      <c r="I825" s="21" t="s">
        <v>3487</v>
      </c>
      <c r="J825" s="21" t="s">
        <v>3488</v>
      </c>
      <c r="K825" s="22" t="s">
        <v>3491</v>
      </c>
      <c r="L825" s="21" t="s">
        <v>1706</v>
      </c>
      <c r="M825" s="21" t="s">
        <v>1830</v>
      </c>
    </row>
    <row r="826" spans="1:13" ht="15" hidden="1" customHeight="1" x14ac:dyDescent="0.25">
      <c r="A826" s="21" t="s">
        <v>3492</v>
      </c>
      <c r="B826" s="22" t="s">
        <v>2597</v>
      </c>
      <c r="C826" s="22" t="s">
        <v>1012</v>
      </c>
      <c r="D826" s="21" t="s">
        <v>119</v>
      </c>
      <c r="E826" s="21" t="s">
        <v>1222</v>
      </c>
      <c r="F826" s="21" t="s">
        <v>2714</v>
      </c>
      <c r="G826" s="21"/>
      <c r="H826" s="21" t="s">
        <v>1624</v>
      </c>
      <c r="I826" s="21" t="s">
        <v>3487</v>
      </c>
      <c r="J826" s="21" t="s">
        <v>3488</v>
      </c>
      <c r="K826" s="22" t="s">
        <v>3493</v>
      </c>
      <c r="L826" s="21" t="s">
        <v>1706</v>
      </c>
      <c r="M826" s="21" t="s">
        <v>1830</v>
      </c>
    </row>
    <row r="827" spans="1:13" ht="15" hidden="1" customHeight="1" x14ac:dyDescent="0.25">
      <c r="A827" s="21" t="s">
        <v>3494</v>
      </c>
      <c r="B827" s="22" t="s">
        <v>2599</v>
      </c>
      <c r="C827" s="22" t="s">
        <v>1013</v>
      </c>
      <c r="D827" s="21" t="s">
        <v>119</v>
      </c>
      <c r="E827" s="21" t="s">
        <v>1216</v>
      </c>
      <c r="F827" s="21" t="s">
        <v>1537</v>
      </c>
      <c r="G827" s="21"/>
      <c r="H827" s="21" t="s">
        <v>1624</v>
      </c>
      <c r="I827" s="21" t="s">
        <v>3487</v>
      </c>
      <c r="J827" s="21" t="s">
        <v>3488</v>
      </c>
      <c r="K827" s="22" t="s">
        <v>3495</v>
      </c>
      <c r="L827" s="21" t="s">
        <v>1706</v>
      </c>
      <c r="M827" s="21" t="s">
        <v>1830</v>
      </c>
    </row>
    <row r="828" spans="1:13" ht="15" hidden="1" customHeight="1" x14ac:dyDescent="0.25">
      <c r="A828" s="21" t="s">
        <v>3496</v>
      </c>
      <c r="B828" s="22" t="s">
        <v>2601</v>
      </c>
      <c r="C828" s="22" t="s">
        <v>1014</v>
      </c>
      <c r="D828" s="21" t="s">
        <v>119</v>
      </c>
      <c r="E828" s="21" t="s">
        <v>1217</v>
      </c>
      <c r="F828" s="21" t="s">
        <v>1205</v>
      </c>
      <c r="G828" s="21"/>
      <c r="H828" s="21" t="s">
        <v>1624</v>
      </c>
      <c r="I828" s="21" t="s">
        <v>3487</v>
      </c>
      <c r="J828" s="21" t="s">
        <v>3488</v>
      </c>
      <c r="K828" s="22" t="s">
        <v>3497</v>
      </c>
      <c r="L828" s="21" t="s">
        <v>1706</v>
      </c>
      <c r="M828" s="21" t="s">
        <v>1830</v>
      </c>
    </row>
    <row r="829" spans="1:13" ht="15" hidden="1" customHeight="1" x14ac:dyDescent="0.25">
      <c r="A829" s="21" t="s">
        <v>3498</v>
      </c>
      <c r="B829" s="22" t="s">
        <v>2603</v>
      </c>
      <c r="C829" s="22" t="s">
        <v>1015</v>
      </c>
      <c r="D829" s="21" t="s">
        <v>119</v>
      </c>
      <c r="E829" s="21" t="s">
        <v>1216</v>
      </c>
      <c r="F829" s="21" t="s">
        <v>1537</v>
      </c>
      <c r="G829" s="21"/>
      <c r="H829" s="21" t="s">
        <v>1624</v>
      </c>
      <c r="I829" s="21" t="s">
        <v>3487</v>
      </c>
      <c r="J829" s="21" t="s">
        <v>3488</v>
      </c>
      <c r="K829" s="22" t="s">
        <v>3499</v>
      </c>
      <c r="L829" s="21" t="s">
        <v>1706</v>
      </c>
      <c r="M829" s="21" t="s">
        <v>1830</v>
      </c>
    </row>
    <row r="830" spans="1:13" ht="15" hidden="1" customHeight="1" x14ac:dyDescent="0.25">
      <c r="A830" s="21" t="s">
        <v>3500</v>
      </c>
      <c r="B830" s="22" t="s">
        <v>2605</v>
      </c>
      <c r="C830" s="22" t="s">
        <v>1016</v>
      </c>
      <c r="D830" s="21" t="s">
        <v>119</v>
      </c>
      <c r="E830" s="21" t="s">
        <v>1216</v>
      </c>
      <c r="F830" s="21" t="s">
        <v>1537</v>
      </c>
      <c r="G830" s="21"/>
      <c r="H830" s="21" t="s">
        <v>1624</v>
      </c>
      <c r="I830" s="21" t="s">
        <v>3487</v>
      </c>
      <c r="J830" s="21" t="s">
        <v>3488</v>
      </c>
      <c r="K830" s="22" t="s">
        <v>3501</v>
      </c>
      <c r="L830" s="21" t="s">
        <v>1706</v>
      </c>
      <c r="M830" s="21" t="s">
        <v>1830</v>
      </c>
    </row>
    <row r="831" spans="1:13" ht="15" hidden="1" customHeight="1" x14ac:dyDescent="0.25">
      <c r="A831" s="21" t="s">
        <v>3502</v>
      </c>
      <c r="B831" s="22" t="s">
        <v>2607</v>
      </c>
      <c r="C831" s="22" t="s">
        <v>1017</v>
      </c>
      <c r="D831" s="21" t="s">
        <v>119</v>
      </c>
      <c r="E831" s="21" t="s">
        <v>1216</v>
      </c>
      <c r="F831" s="21" t="s">
        <v>1537</v>
      </c>
      <c r="G831" s="21"/>
      <c r="H831" s="21" t="s">
        <v>1624</v>
      </c>
      <c r="I831" s="21" t="s">
        <v>3487</v>
      </c>
      <c r="J831" s="21" t="s">
        <v>3488</v>
      </c>
      <c r="K831" s="22" t="s">
        <v>3503</v>
      </c>
      <c r="L831" s="21" t="s">
        <v>1706</v>
      </c>
      <c r="M831" s="21" t="s">
        <v>1830</v>
      </c>
    </row>
    <row r="832" spans="1:13" ht="15" hidden="1" customHeight="1" x14ac:dyDescent="0.25">
      <c r="A832" s="21" t="s">
        <v>3504</v>
      </c>
      <c r="B832" s="22" t="s">
        <v>2609</v>
      </c>
      <c r="C832" s="22" t="s">
        <v>1018</v>
      </c>
      <c r="D832" s="21" t="s">
        <v>119</v>
      </c>
      <c r="E832" s="21" t="s">
        <v>1219</v>
      </c>
      <c r="F832" s="21" t="s">
        <v>3505</v>
      </c>
      <c r="G832" s="21" t="s">
        <v>3506</v>
      </c>
      <c r="H832" s="21" t="s">
        <v>1624</v>
      </c>
      <c r="I832" s="21" t="s">
        <v>3487</v>
      </c>
      <c r="J832" s="21" t="s">
        <v>3488</v>
      </c>
      <c r="K832" s="22" t="s">
        <v>3507</v>
      </c>
      <c r="L832" s="21" t="s">
        <v>1706</v>
      </c>
      <c r="M832" s="21" t="s">
        <v>1830</v>
      </c>
    </row>
    <row r="833" spans="1:13" ht="15" hidden="1" customHeight="1" x14ac:dyDescent="0.25">
      <c r="A833" s="21" t="s">
        <v>3508</v>
      </c>
      <c r="B833" s="22" t="s">
        <v>2611</v>
      </c>
      <c r="C833" s="22" t="s">
        <v>1019</v>
      </c>
      <c r="D833" s="21" t="s">
        <v>119</v>
      </c>
      <c r="E833" s="21" t="s">
        <v>1240</v>
      </c>
      <c r="F833" s="21" t="s">
        <v>3505</v>
      </c>
      <c r="G833" s="21" t="s">
        <v>3509</v>
      </c>
      <c r="H833" s="21" t="s">
        <v>1624</v>
      </c>
      <c r="I833" s="21" t="s">
        <v>3487</v>
      </c>
      <c r="J833" s="21" t="s">
        <v>3488</v>
      </c>
      <c r="K833" s="22" t="s">
        <v>3510</v>
      </c>
      <c r="L833" s="21" t="s">
        <v>1706</v>
      </c>
      <c r="M833" s="21" t="s">
        <v>1830</v>
      </c>
    </row>
    <row r="834" spans="1:13" ht="15" hidden="1" customHeight="1" x14ac:dyDescent="0.25">
      <c r="A834" s="21" t="s">
        <v>3511</v>
      </c>
      <c r="B834" s="22" t="s">
        <v>2613</v>
      </c>
      <c r="C834" s="22" t="s">
        <v>1020</v>
      </c>
      <c r="D834" s="21" t="s">
        <v>119</v>
      </c>
      <c r="E834" s="21" t="s">
        <v>1216</v>
      </c>
      <c r="F834" s="21" t="s">
        <v>1537</v>
      </c>
      <c r="G834" s="21"/>
      <c r="H834" s="21" t="s">
        <v>1624</v>
      </c>
      <c r="I834" s="21" t="s">
        <v>3487</v>
      </c>
      <c r="J834" s="21" t="s">
        <v>3488</v>
      </c>
      <c r="K834" s="22" t="s">
        <v>3512</v>
      </c>
      <c r="L834" s="21" t="s">
        <v>1706</v>
      </c>
      <c r="M834" s="21" t="s">
        <v>1830</v>
      </c>
    </row>
    <row r="835" spans="1:13" ht="15" hidden="1" customHeight="1" x14ac:dyDescent="0.25">
      <c r="A835" s="21" t="s">
        <v>3513</v>
      </c>
      <c r="B835" s="22" t="s">
        <v>2616</v>
      </c>
      <c r="C835" s="22" t="s">
        <v>1021</v>
      </c>
      <c r="D835" s="21" t="s">
        <v>119</v>
      </c>
      <c r="E835" s="21" t="s">
        <v>1216</v>
      </c>
      <c r="F835" s="21" t="s">
        <v>1537</v>
      </c>
      <c r="G835" s="21"/>
      <c r="H835" s="21" t="s">
        <v>1624</v>
      </c>
      <c r="I835" s="21" t="s">
        <v>3487</v>
      </c>
      <c r="J835" s="21" t="s">
        <v>3488</v>
      </c>
      <c r="K835" s="22" t="s">
        <v>3514</v>
      </c>
      <c r="L835" s="21" t="s">
        <v>1706</v>
      </c>
      <c r="M835" s="21" t="s">
        <v>1830</v>
      </c>
    </row>
    <row r="836" spans="1:13" ht="15" hidden="1" customHeight="1" x14ac:dyDescent="0.25">
      <c r="A836" s="21" t="s">
        <v>3515</v>
      </c>
      <c r="B836" s="22" t="s">
        <v>2618</v>
      </c>
      <c r="C836" s="22" t="s">
        <v>1022</v>
      </c>
      <c r="D836" s="21" t="s">
        <v>119</v>
      </c>
      <c r="E836" s="21" t="s">
        <v>1216</v>
      </c>
      <c r="F836" s="21" t="s">
        <v>1537</v>
      </c>
      <c r="G836" s="21"/>
      <c r="H836" s="21" t="s">
        <v>1624</v>
      </c>
      <c r="I836" s="21" t="s">
        <v>3487</v>
      </c>
      <c r="J836" s="21" t="s">
        <v>3488</v>
      </c>
      <c r="K836" s="22" t="s">
        <v>3516</v>
      </c>
      <c r="L836" s="21" t="s">
        <v>1706</v>
      </c>
      <c r="M836" s="21" t="s">
        <v>1830</v>
      </c>
    </row>
    <row r="837" spans="1:13" ht="15" hidden="1" customHeight="1" x14ac:dyDescent="0.25">
      <c r="A837" s="21" t="s">
        <v>3517</v>
      </c>
      <c r="B837" s="22" t="s">
        <v>2620</v>
      </c>
      <c r="C837" s="22" t="s">
        <v>1023</v>
      </c>
      <c r="D837" s="21" t="s">
        <v>119</v>
      </c>
      <c r="E837" s="21" t="s">
        <v>1219</v>
      </c>
      <c r="F837" s="21" t="s">
        <v>3505</v>
      </c>
      <c r="G837" s="21" t="s">
        <v>3518</v>
      </c>
      <c r="H837" s="21" t="s">
        <v>1624</v>
      </c>
      <c r="I837" s="21" t="s">
        <v>3487</v>
      </c>
      <c r="J837" s="21" t="s">
        <v>3488</v>
      </c>
      <c r="K837" s="22" t="s">
        <v>3519</v>
      </c>
      <c r="L837" s="21" t="s">
        <v>1706</v>
      </c>
      <c r="M837" s="21" t="s">
        <v>1830</v>
      </c>
    </row>
    <row r="838" spans="1:13" ht="15" hidden="1" customHeight="1" x14ac:dyDescent="0.25">
      <c r="A838" s="21" t="s">
        <v>3520</v>
      </c>
      <c r="B838" s="22" t="s">
        <v>2623</v>
      </c>
      <c r="C838" s="22" t="s">
        <v>1024</v>
      </c>
      <c r="D838" s="21" t="s">
        <v>119</v>
      </c>
      <c r="E838" s="21" t="s">
        <v>1222</v>
      </c>
      <c r="F838" s="21" t="s">
        <v>2714</v>
      </c>
      <c r="G838" s="21"/>
      <c r="H838" s="21" t="s">
        <v>1624</v>
      </c>
      <c r="I838" s="21" t="s">
        <v>3487</v>
      </c>
      <c r="J838" s="21" t="s">
        <v>3488</v>
      </c>
      <c r="K838" s="22" t="s">
        <v>3521</v>
      </c>
      <c r="L838" s="21" t="s">
        <v>1706</v>
      </c>
      <c r="M838" s="21" t="s">
        <v>1830</v>
      </c>
    </row>
    <row r="839" spans="1:13" ht="15" hidden="1" customHeight="1" x14ac:dyDescent="0.25">
      <c r="A839" s="21" t="s">
        <v>3522</v>
      </c>
      <c r="B839" s="22" t="s">
        <v>2628</v>
      </c>
      <c r="C839" s="22" t="s">
        <v>1025</v>
      </c>
      <c r="D839" s="21" t="s">
        <v>119</v>
      </c>
      <c r="E839" s="21" t="s">
        <v>1216</v>
      </c>
      <c r="F839" s="21" t="s">
        <v>1537</v>
      </c>
      <c r="G839" s="21"/>
      <c r="H839" s="21" t="s">
        <v>1624</v>
      </c>
      <c r="I839" s="21" t="s">
        <v>3487</v>
      </c>
      <c r="J839" s="21" t="s">
        <v>3488</v>
      </c>
      <c r="K839" s="22" t="s">
        <v>3523</v>
      </c>
      <c r="L839" s="21" t="s">
        <v>1706</v>
      </c>
      <c r="M839" s="21" t="s">
        <v>1830</v>
      </c>
    </row>
    <row r="840" spans="1:13" ht="15" hidden="1" customHeight="1" x14ac:dyDescent="0.25">
      <c r="A840" s="21" t="s">
        <v>3524</v>
      </c>
      <c r="B840" s="22" t="s">
        <v>2631</v>
      </c>
      <c r="C840" s="22" t="s">
        <v>1026</v>
      </c>
      <c r="D840" s="21" t="s">
        <v>119</v>
      </c>
      <c r="E840" s="21" t="s">
        <v>1216</v>
      </c>
      <c r="F840" s="21" t="s">
        <v>1537</v>
      </c>
      <c r="G840" s="21"/>
      <c r="H840" s="21" t="s">
        <v>1624</v>
      </c>
      <c r="I840" s="21" t="s">
        <v>3487</v>
      </c>
      <c r="J840" s="21" t="s">
        <v>3488</v>
      </c>
      <c r="K840" s="22" t="s">
        <v>3525</v>
      </c>
      <c r="L840" s="21" t="s">
        <v>1706</v>
      </c>
      <c r="M840" s="21" t="s">
        <v>1830</v>
      </c>
    </row>
    <row r="841" spans="1:13" ht="15" hidden="1" customHeight="1" x14ac:dyDescent="0.25">
      <c r="A841" s="21" t="s">
        <v>1833</v>
      </c>
      <c r="B841" s="22" t="s">
        <v>2634</v>
      </c>
      <c r="C841" s="22" t="s">
        <v>1027</v>
      </c>
      <c r="D841" s="21" t="s">
        <v>119</v>
      </c>
      <c r="E841" s="21" t="s">
        <v>1216</v>
      </c>
      <c r="F841" s="21" t="s">
        <v>1537</v>
      </c>
      <c r="G841" s="21"/>
      <c r="H841" s="21" t="s">
        <v>1624</v>
      </c>
      <c r="I841" s="21" t="s">
        <v>3487</v>
      </c>
      <c r="J841" s="21" t="s">
        <v>3488</v>
      </c>
      <c r="K841" s="22" t="s">
        <v>3526</v>
      </c>
      <c r="L841" s="21" t="s">
        <v>1706</v>
      </c>
      <c r="M841" s="21" t="s">
        <v>1830</v>
      </c>
    </row>
    <row r="842" spans="1:13" ht="15" hidden="1" customHeight="1" x14ac:dyDescent="0.25">
      <c r="A842" s="21" t="s">
        <v>3527</v>
      </c>
      <c r="B842" s="22" t="s">
        <v>2637</v>
      </c>
      <c r="C842" s="22" t="s">
        <v>1028</v>
      </c>
      <c r="D842" s="21" t="s">
        <v>119</v>
      </c>
      <c r="E842" s="21" t="s">
        <v>1216</v>
      </c>
      <c r="F842" s="21" t="s">
        <v>1537</v>
      </c>
      <c r="G842" s="21"/>
      <c r="H842" s="21" t="s">
        <v>1624</v>
      </c>
      <c r="I842" s="21" t="s">
        <v>3487</v>
      </c>
      <c r="J842" s="21" t="s">
        <v>3488</v>
      </c>
      <c r="K842" s="22" t="s">
        <v>3528</v>
      </c>
      <c r="L842" s="21" t="s">
        <v>1706</v>
      </c>
      <c r="M842" s="21" t="s">
        <v>1830</v>
      </c>
    </row>
    <row r="843" spans="1:13" ht="15" hidden="1" customHeight="1" x14ac:dyDescent="0.25">
      <c r="A843" s="21" t="s">
        <v>3529</v>
      </c>
      <c r="B843" s="22" t="s">
        <v>2640</v>
      </c>
      <c r="C843" s="22" t="s">
        <v>1029</v>
      </c>
      <c r="D843" s="21" t="s">
        <v>119</v>
      </c>
      <c r="E843" s="21" t="s">
        <v>1216</v>
      </c>
      <c r="F843" s="21" t="s">
        <v>1537</v>
      </c>
      <c r="G843" s="21" t="s">
        <v>1863</v>
      </c>
      <c r="H843" s="21" t="s">
        <v>1624</v>
      </c>
      <c r="I843" s="21" t="s">
        <v>3487</v>
      </c>
      <c r="J843" s="21" t="s">
        <v>3488</v>
      </c>
      <c r="K843" s="22" t="s">
        <v>3530</v>
      </c>
      <c r="L843" s="21" t="s">
        <v>1706</v>
      </c>
      <c r="M843" s="21" t="s">
        <v>1830</v>
      </c>
    </row>
    <row r="844" spans="1:13" ht="15" hidden="1" customHeight="1" x14ac:dyDescent="0.25">
      <c r="A844" s="21" t="s">
        <v>3531</v>
      </c>
      <c r="B844" s="22" t="s">
        <v>2643</v>
      </c>
      <c r="C844" s="22" t="s">
        <v>1030</v>
      </c>
      <c r="D844" s="21" t="s">
        <v>119</v>
      </c>
      <c r="E844" s="21" t="s">
        <v>1222</v>
      </c>
      <c r="F844" s="21" t="s">
        <v>2714</v>
      </c>
      <c r="G844" s="21"/>
      <c r="H844" s="21" t="s">
        <v>1624</v>
      </c>
      <c r="I844" s="21" t="s">
        <v>3487</v>
      </c>
      <c r="J844" s="21" t="s">
        <v>3488</v>
      </c>
      <c r="K844" s="22" t="s">
        <v>3532</v>
      </c>
      <c r="L844" s="21" t="s">
        <v>1706</v>
      </c>
      <c r="M844" s="21" t="s">
        <v>1830</v>
      </c>
    </row>
    <row r="845" spans="1:13" ht="15" hidden="1" customHeight="1" x14ac:dyDescent="0.25">
      <c r="A845" s="21" t="s">
        <v>3533</v>
      </c>
      <c r="B845" s="22" t="s">
        <v>2646</v>
      </c>
      <c r="C845" s="22" t="s">
        <v>1031</v>
      </c>
      <c r="D845" s="21" t="s">
        <v>119</v>
      </c>
      <c r="E845" s="21" t="s">
        <v>1216</v>
      </c>
      <c r="F845" s="21" t="s">
        <v>1537</v>
      </c>
      <c r="G845" s="21"/>
      <c r="H845" s="21" t="s">
        <v>1624</v>
      </c>
      <c r="I845" s="21" t="s">
        <v>3487</v>
      </c>
      <c r="J845" s="21" t="s">
        <v>3488</v>
      </c>
      <c r="K845" s="22" t="s">
        <v>3534</v>
      </c>
      <c r="L845" s="21" t="s">
        <v>1706</v>
      </c>
      <c r="M845" s="21" t="s">
        <v>1830</v>
      </c>
    </row>
    <row r="846" spans="1:13" ht="15" hidden="1" customHeight="1" x14ac:dyDescent="0.25">
      <c r="A846" s="21" t="s">
        <v>3535</v>
      </c>
      <c r="B846" s="22" t="s">
        <v>2649</v>
      </c>
      <c r="C846" s="22" t="s">
        <v>1032</v>
      </c>
      <c r="D846" s="21" t="s">
        <v>119</v>
      </c>
      <c r="E846" s="21" t="s">
        <v>1213</v>
      </c>
      <c r="F846" s="21" t="s">
        <v>2191</v>
      </c>
      <c r="G846" s="21"/>
      <c r="H846" s="21" t="s">
        <v>1624</v>
      </c>
      <c r="I846" s="21" t="s">
        <v>3487</v>
      </c>
      <c r="J846" s="21" t="s">
        <v>3488</v>
      </c>
      <c r="K846" s="22" t="s">
        <v>3536</v>
      </c>
      <c r="L846" s="21" t="s">
        <v>1706</v>
      </c>
      <c r="M846" s="21" t="s">
        <v>1830</v>
      </c>
    </row>
    <row r="847" spans="1:13" ht="15" hidden="1" customHeight="1" x14ac:dyDescent="0.25">
      <c r="A847" s="21" t="s">
        <v>3537</v>
      </c>
      <c r="B847" s="22" t="s">
        <v>2651</v>
      </c>
      <c r="C847" s="22" t="s">
        <v>1033</v>
      </c>
      <c r="D847" s="21" t="s">
        <v>119</v>
      </c>
      <c r="E847" s="21" t="s">
        <v>1216</v>
      </c>
      <c r="F847" s="21" t="s">
        <v>1537</v>
      </c>
      <c r="G847" s="21"/>
      <c r="H847" s="21" t="s">
        <v>1624</v>
      </c>
      <c r="I847" s="21" t="s">
        <v>3487</v>
      </c>
      <c r="J847" s="21" t="s">
        <v>3488</v>
      </c>
      <c r="K847" s="22" t="s">
        <v>3538</v>
      </c>
      <c r="L847" s="21" t="s">
        <v>1706</v>
      </c>
      <c r="M847" s="21" t="s">
        <v>1830</v>
      </c>
    </row>
    <row r="848" spans="1:13" ht="15" hidden="1" customHeight="1" x14ac:dyDescent="0.25">
      <c r="A848" s="21" t="s">
        <v>3539</v>
      </c>
      <c r="B848" s="22" t="s">
        <v>2654</v>
      </c>
      <c r="C848" s="22" t="s">
        <v>1034</v>
      </c>
      <c r="D848" s="21" t="s">
        <v>119</v>
      </c>
      <c r="E848" s="21" t="s">
        <v>1216</v>
      </c>
      <c r="F848" s="21" t="s">
        <v>1537</v>
      </c>
      <c r="G848" s="21" t="s">
        <v>3518</v>
      </c>
      <c r="H848" s="21" t="s">
        <v>1624</v>
      </c>
      <c r="I848" s="21" t="s">
        <v>3487</v>
      </c>
      <c r="J848" s="21" t="s">
        <v>3488</v>
      </c>
      <c r="K848" s="22" t="s">
        <v>3540</v>
      </c>
      <c r="L848" s="21" t="s">
        <v>1706</v>
      </c>
      <c r="M848" s="21" t="s">
        <v>1830</v>
      </c>
    </row>
    <row r="849" spans="1:13" ht="15" hidden="1" customHeight="1" x14ac:dyDescent="0.25">
      <c r="A849" s="21" t="s">
        <v>3541</v>
      </c>
      <c r="B849" s="22" t="s">
        <v>2657</v>
      </c>
      <c r="C849" s="22" t="s">
        <v>1035</v>
      </c>
      <c r="D849" s="21" t="s">
        <v>119</v>
      </c>
      <c r="E849" s="21" t="s">
        <v>1216</v>
      </c>
      <c r="F849" s="21" t="s">
        <v>1537</v>
      </c>
      <c r="G849" s="21"/>
      <c r="H849" s="21" t="s">
        <v>1624</v>
      </c>
      <c r="I849" s="21" t="s">
        <v>3487</v>
      </c>
      <c r="J849" s="21" t="s">
        <v>3488</v>
      </c>
      <c r="K849" s="22" t="s">
        <v>3542</v>
      </c>
      <c r="L849" s="21" t="s">
        <v>1706</v>
      </c>
      <c r="M849" s="21" t="s">
        <v>1830</v>
      </c>
    </row>
    <row r="850" spans="1:13" ht="15" hidden="1" customHeight="1" x14ac:dyDescent="0.25">
      <c r="A850" s="21" t="s">
        <v>3543</v>
      </c>
      <c r="B850" s="22" t="s">
        <v>2659</v>
      </c>
      <c r="C850" s="22" t="s">
        <v>1036</v>
      </c>
      <c r="D850" s="21" t="s">
        <v>119</v>
      </c>
      <c r="E850" s="21" t="s">
        <v>1216</v>
      </c>
      <c r="F850" s="21" t="s">
        <v>1537</v>
      </c>
      <c r="G850" s="21"/>
      <c r="H850" s="21" t="s">
        <v>1624</v>
      </c>
      <c r="I850" s="21" t="s">
        <v>3487</v>
      </c>
      <c r="J850" s="21" t="s">
        <v>3488</v>
      </c>
      <c r="K850" s="22" t="s">
        <v>3544</v>
      </c>
      <c r="L850" s="21" t="s">
        <v>1706</v>
      </c>
      <c r="M850" s="21" t="s">
        <v>1830</v>
      </c>
    </row>
    <row r="851" spans="1:13" ht="15" hidden="1" customHeight="1" x14ac:dyDescent="0.25">
      <c r="A851" s="21" t="s">
        <v>3545</v>
      </c>
      <c r="B851" s="22" t="s">
        <v>2661</v>
      </c>
      <c r="C851" s="22" t="s">
        <v>1037</v>
      </c>
      <c r="D851" s="21" t="s">
        <v>119</v>
      </c>
      <c r="E851" s="21" t="s">
        <v>1216</v>
      </c>
      <c r="F851" s="21" t="s">
        <v>1537</v>
      </c>
      <c r="G851" s="21"/>
      <c r="H851" s="21" t="s">
        <v>1624</v>
      </c>
      <c r="I851" s="21" t="s">
        <v>3487</v>
      </c>
      <c r="J851" s="21" t="s">
        <v>3488</v>
      </c>
      <c r="K851" s="22" t="s">
        <v>3546</v>
      </c>
      <c r="L851" s="21" t="s">
        <v>1706</v>
      </c>
      <c r="M851" s="21" t="s">
        <v>1830</v>
      </c>
    </row>
    <row r="852" spans="1:13" ht="15" hidden="1" customHeight="1" x14ac:dyDescent="0.25">
      <c r="A852" s="21" t="s">
        <v>3547</v>
      </c>
      <c r="B852" s="22" t="s">
        <v>2664</v>
      </c>
      <c r="C852" s="22" t="s">
        <v>1038</v>
      </c>
      <c r="D852" s="21" t="s">
        <v>119</v>
      </c>
      <c r="E852" s="21" t="s">
        <v>1205</v>
      </c>
      <c r="F852" s="21" t="s">
        <v>1205</v>
      </c>
      <c r="G852" s="21" t="s">
        <v>3548</v>
      </c>
      <c r="H852" s="21" t="s">
        <v>1624</v>
      </c>
      <c r="I852" s="21" t="s">
        <v>3487</v>
      </c>
      <c r="J852" s="21" t="s">
        <v>3488</v>
      </c>
      <c r="K852" s="22" t="s">
        <v>3549</v>
      </c>
      <c r="L852" s="21" t="s">
        <v>1706</v>
      </c>
      <c r="M852" s="21" t="s">
        <v>1830</v>
      </c>
    </row>
    <row r="853" spans="1:13" ht="15" hidden="1" customHeight="1" x14ac:dyDescent="0.25">
      <c r="A853" s="21" t="s">
        <v>3550</v>
      </c>
      <c r="B853" s="22" t="s">
        <v>2667</v>
      </c>
      <c r="C853" s="22" t="s">
        <v>1039</v>
      </c>
      <c r="D853" s="21" t="s">
        <v>119</v>
      </c>
      <c r="E853" s="21" t="s">
        <v>1216</v>
      </c>
      <c r="F853" s="21" t="s">
        <v>1537</v>
      </c>
      <c r="G853" s="21"/>
      <c r="H853" s="21" t="s">
        <v>1624</v>
      </c>
      <c r="I853" s="21" t="s">
        <v>3487</v>
      </c>
      <c r="J853" s="21" t="s">
        <v>3488</v>
      </c>
      <c r="K853" s="22" t="s">
        <v>3551</v>
      </c>
      <c r="L853" s="21" t="s">
        <v>1706</v>
      </c>
      <c r="M853" s="21" t="s">
        <v>1830</v>
      </c>
    </row>
    <row r="854" spans="1:13" ht="15" hidden="1" customHeight="1" x14ac:dyDescent="0.25">
      <c r="A854" s="21" t="s">
        <v>3552</v>
      </c>
      <c r="B854" s="22" t="s">
        <v>2669</v>
      </c>
      <c r="C854" s="22" t="s">
        <v>1040</v>
      </c>
      <c r="D854" s="21" t="s">
        <v>119</v>
      </c>
      <c r="E854" s="21" t="s">
        <v>1216</v>
      </c>
      <c r="F854" s="21" t="s">
        <v>1537</v>
      </c>
      <c r="G854" s="21"/>
      <c r="H854" s="21" t="s">
        <v>1624</v>
      </c>
      <c r="I854" s="21" t="s">
        <v>3487</v>
      </c>
      <c r="J854" s="21" t="s">
        <v>3488</v>
      </c>
      <c r="K854" s="22" t="s">
        <v>3553</v>
      </c>
      <c r="L854" s="21" t="s">
        <v>1706</v>
      </c>
      <c r="M854" s="21" t="s">
        <v>1830</v>
      </c>
    </row>
    <row r="855" spans="1:13" ht="15" hidden="1" customHeight="1" x14ac:dyDescent="0.25">
      <c r="A855" s="21" t="s">
        <v>3554</v>
      </c>
      <c r="B855" s="22" t="s">
        <v>2672</v>
      </c>
      <c r="C855" s="22" t="s">
        <v>1041</v>
      </c>
      <c r="D855" s="21" t="s">
        <v>119</v>
      </c>
      <c r="E855" s="21" t="s">
        <v>1216</v>
      </c>
      <c r="F855" s="21" t="s">
        <v>1537</v>
      </c>
      <c r="G855" s="21"/>
      <c r="H855" s="21" t="s">
        <v>1624</v>
      </c>
      <c r="I855" s="21" t="s">
        <v>3487</v>
      </c>
      <c r="J855" s="21" t="s">
        <v>3488</v>
      </c>
      <c r="K855" s="22" t="s">
        <v>3555</v>
      </c>
      <c r="L855" s="21" t="s">
        <v>1706</v>
      </c>
      <c r="M855" s="21" t="s">
        <v>1830</v>
      </c>
    </row>
    <row r="856" spans="1:13" ht="15" hidden="1" customHeight="1" x14ac:dyDescent="0.25">
      <c r="A856" s="21" t="s">
        <v>3556</v>
      </c>
      <c r="B856" s="22" t="s">
        <v>2675</v>
      </c>
      <c r="C856" s="22" t="s">
        <v>1042</v>
      </c>
      <c r="D856" s="21" t="s">
        <v>119</v>
      </c>
      <c r="E856" s="21" t="s">
        <v>1216</v>
      </c>
      <c r="F856" s="21" t="s">
        <v>1537</v>
      </c>
      <c r="G856" s="21"/>
      <c r="H856" s="21" t="s">
        <v>1624</v>
      </c>
      <c r="I856" s="21" t="s">
        <v>3487</v>
      </c>
      <c r="J856" s="21" t="s">
        <v>3488</v>
      </c>
      <c r="K856" s="22" t="s">
        <v>3557</v>
      </c>
      <c r="L856" s="21" t="s">
        <v>1706</v>
      </c>
      <c r="M856" s="21" t="s">
        <v>1830</v>
      </c>
    </row>
    <row r="857" spans="1:13" ht="15" hidden="1" customHeight="1" x14ac:dyDescent="0.25">
      <c r="A857" s="21" t="s">
        <v>3558</v>
      </c>
      <c r="B857" s="22" t="s">
        <v>2677</v>
      </c>
      <c r="C857" s="22" t="s">
        <v>1043</v>
      </c>
      <c r="D857" s="21" t="s">
        <v>119</v>
      </c>
      <c r="E857" s="21" t="s">
        <v>1216</v>
      </c>
      <c r="F857" s="21" t="s">
        <v>1537</v>
      </c>
      <c r="G857" s="21"/>
      <c r="H857" s="21" t="s">
        <v>1624</v>
      </c>
      <c r="I857" s="21" t="s">
        <v>3487</v>
      </c>
      <c r="J857" s="21" t="s">
        <v>3488</v>
      </c>
      <c r="K857" s="22" t="s">
        <v>3559</v>
      </c>
      <c r="L857" s="21" t="s">
        <v>1706</v>
      </c>
      <c r="M857" s="21" t="s">
        <v>1830</v>
      </c>
    </row>
    <row r="858" spans="1:13" ht="15" hidden="1" customHeight="1" x14ac:dyDescent="0.25">
      <c r="A858" s="21" t="s">
        <v>3560</v>
      </c>
      <c r="B858" s="22" t="s">
        <v>2679</v>
      </c>
      <c r="C858" s="22" t="s">
        <v>1044</v>
      </c>
      <c r="D858" s="21" t="s">
        <v>119</v>
      </c>
      <c r="E858" s="21" t="s">
        <v>1216</v>
      </c>
      <c r="F858" s="21" t="s">
        <v>1537</v>
      </c>
      <c r="G858" s="21"/>
      <c r="H858" s="21" t="s">
        <v>1624</v>
      </c>
      <c r="I858" s="21" t="s">
        <v>3487</v>
      </c>
      <c r="J858" s="21" t="s">
        <v>3488</v>
      </c>
      <c r="K858" s="22" t="s">
        <v>3561</v>
      </c>
      <c r="L858" s="21" t="s">
        <v>1706</v>
      </c>
      <c r="M858" s="21" t="s">
        <v>1830</v>
      </c>
    </row>
    <row r="859" spans="1:13" ht="15" hidden="1" customHeight="1" x14ac:dyDescent="0.25">
      <c r="A859" s="21" t="s">
        <v>3562</v>
      </c>
      <c r="B859" s="22" t="s">
        <v>2681</v>
      </c>
      <c r="C859" s="22" t="s">
        <v>3563</v>
      </c>
      <c r="D859" s="21" t="s">
        <v>119</v>
      </c>
      <c r="E859" s="21" t="s">
        <v>1234</v>
      </c>
      <c r="F859" s="21" t="s">
        <v>1588</v>
      </c>
      <c r="G859" s="21" t="s">
        <v>1805</v>
      </c>
      <c r="H859" s="21" t="s">
        <v>1314</v>
      </c>
      <c r="I859" s="21" t="s">
        <v>1735</v>
      </c>
      <c r="J859" s="21" t="s">
        <v>2320</v>
      </c>
      <c r="K859" s="22" t="s">
        <v>3564</v>
      </c>
      <c r="L859" s="21" t="s">
        <v>1706</v>
      </c>
      <c r="M859" s="21" t="s">
        <v>1819</v>
      </c>
    </row>
    <row r="860" spans="1:13" ht="15" hidden="1" customHeight="1" x14ac:dyDescent="0.25">
      <c r="A860" s="21" t="s">
        <v>3565</v>
      </c>
      <c r="B860" s="22" t="s">
        <v>2683</v>
      </c>
      <c r="C860" s="22" t="s">
        <v>1045</v>
      </c>
      <c r="D860" s="21" t="s">
        <v>119</v>
      </c>
      <c r="E860" s="21" t="s">
        <v>1207</v>
      </c>
      <c r="F860" s="21" t="s">
        <v>1207</v>
      </c>
      <c r="G860" s="21" t="s">
        <v>1194</v>
      </c>
      <c r="H860" s="21" t="s">
        <v>1624</v>
      </c>
      <c r="I860" s="21" t="s">
        <v>3487</v>
      </c>
      <c r="J860" s="21" t="s">
        <v>3488</v>
      </c>
      <c r="K860" s="22" t="s">
        <v>3566</v>
      </c>
      <c r="L860" s="21" t="s">
        <v>1706</v>
      </c>
      <c r="M860" s="21" t="s">
        <v>1830</v>
      </c>
    </row>
    <row r="861" spans="1:13" ht="15" hidden="1" customHeight="1" x14ac:dyDescent="0.25">
      <c r="A861" s="21" t="s">
        <v>3567</v>
      </c>
      <c r="B861" s="22" t="s">
        <v>2685</v>
      </c>
      <c r="C861" s="22" t="s">
        <v>1046</v>
      </c>
      <c r="D861" s="21" t="s">
        <v>119</v>
      </c>
      <c r="E861" s="21" t="s">
        <v>1207</v>
      </c>
      <c r="F861" s="21" t="s">
        <v>1207</v>
      </c>
      <c r="G861" s="21" t="s">
        <v>1194</v>
      </c>
      <c r="H861" s="21" t="s">
        <v>1624</v>
      </c>
      <c r="I861" s="21" t="s">
        <v>3487</v>
      </c>
      <c r="J861" s="21" t="s">
        <v>3488</v>
      </c>
      <c r="K861" s="22" t="s">
        <v>3568</v>
      </c>
      <c r="L861" s="21" t="s">
        <v>1706</v>
      </c>
      <c r="M861" s="21" t="s">
        <v>1830</v>
      </c>
    </row>
    <row r="862" spans="1:13" ht="15" hidden="1" customHeight="1" x14ac:dyDescent="0.25">
      <c r="A862" s="21" t="s">
        <v>3569</v>
      </c>
      <c r="B862" s="22" t="s">
        <v>2687</v>
      </c>
      <c r="C862" s="22" t="s">
        <v>1047</v>
      </c>
      <c r="D862" s="21" t="s">
        <v>119</v>
      </c>
      <c r="E862" s="21" t="s">
        <v>1216</v>
      </c>
      <c r="F862" s="21" t="s">
        <v>1537</v>
      </c>
      <c r="G862" s="21"/>
      <c r="H862" s="21" t="s">
        <v>1624</v>
      </c>
      <c r="I862" s="21" t="s">
        <v>3487</v>
      </c>
      <c r="J862" s="21" t="s">
        <v>3488</v>
      </c>
      <c r="K862" s="22" t="s">
        <v>3570</v>
      </c>
      <c r="L862" s="21" t="s">
        <v>1706</v>
      </c>
      <c r="M862" s="21" t="s">
        <v>1830</v>
      </c>
    </row>
    <row r="863" spans="1:13" ht="15" hidden="1" customHeight="1" x14ac:dyDescent="0.25">
      <c r="A863" s="21" t="s">
        <v>3571</v>
      </c>
      <c r="B863" s="22" t="s">
        <v>2690</v>
      </c>
      <c r="C863" s="22" t="s">
        <v>1048</v>
      </c>
      <c r="D863" s="21" t="s">
        <v>119</v>
      </c>
      <c r="E863" s="21" t="s">
        <v>1216</v>
      </c>
      <c r="F863" s="21" t="s">
        <v>1537</v>
      </c>
      <c r="G863" s="21" t="s">
        <v>3572</v>
      </c>
      <c r="H863" s="21" t="s">
        <v>1624</v>
      </c>
      <c r="I863" s="21" t="s">
        <v>3487</v>
      </c>
      <c r="J863" s="21" t="s">
        <v>3488</v>
      </c>
      <c r="K863" s="22" t="s">
        <v>3573</v>
      </c>
      <c r="L863" s="21" t="s">
        <v>1706</v>
      </c>
      <c r="M863" s="21" t="s">
        <v>1830</v>
      </c>
    </row>
    <row r="864" spans="1:13" ht="15" hidden="1" customHeight="1" x14ac:dyDescent="0.25">
      <c r="A864" s="21" t="s">
        <v>3574</v>
      </c>
      <c r="B864" s="22" t="s">
        <v>2692</v>
      </c>
      <c r="C864" s="22" t="s">
        <v>1049</v>
      </c>
      <c r="D864" s="21" t="s">
        <v>119</v>
      </c>
      <c r="E864" s="21" t="s">
        <v>1216</v>
      </c>
      <c r="F864" s="21" t="s">
        <v>1537</v>
      </c>
      <c r="G864" s="21"/>
      <c r="H864" s="21" t="s">
        <v>1624</v>
      </c>
      <c r="I864" s="21" t="s">
        <v>3487</v>
      </c>
      <c r="J864" s="21" t="s">
        <v>3488</v>
      </c>
      <c r="K864" s="22" t="s">
        <v>3575</v>
      </c>
      <c r="L864" s="21" t="s">
        <v>1706</v>
      </c>
      <c r="M864" s="21" t="s">
        <v>1830</v>
      </c>
    </row>
    <row r="865" spans="1:13" ht="15" hidden="1" customHeight="1" x14ac:dyDescent="0.25">
      <c r="A865" s="21" t="s">
        <v>3576</v>
      </c>
      <c r="B865" s="22" t="s">
        <v>2695</v>
      </c>
      <c r="C865" s="22" t="s">
        <v>1050</v>
      </c>
      <c r="D865" s="21" t="s">
        <v>119</v>
      </c>
      <c r="E865" s="21" t="s">
        <v>1205</v>
      </c>
      <c r="F865" s="21" t="s">
        <v>1205</v>
      </c>
      <c r="G865" s="21" t="s">
        <v>3548</v>
      </c>
      <c r="H865" s="21" t="s">
        <v>1624</v>
      </c>
      <c r="I865" s="21" t="s">
        <v>3487</v>
      </c>
      <c r="J865" s="21" t="s">
        <v>3488</v>
      </c>
      <c r="K865" s="22" t="s">
        <v>3577</v>
      </c>
      <c r="L865" s="21" t="s">
        <v>1706</v>
      </c>
      <c r="M865" s="21" t="s">
        <v>1830</v>
      </c>
    </row>
    <row r="866" spans="1:13" ht="15" hidden="1" customHeight="1" x14ac:dyDescent="0.25">
      <c r="A866" s="21" t="s">
        <v>3578</v>
      </c>
      <c r="B866" s="22" t="s">
        <v>2698</v>
      </c>
      <c r="C866" s="22" t="s">
        <v>1051</v>
      </c>
      <c r="D866" s="21" t="s">
        <v>119</v>
      </c>
      <c r="E866" s="21" t="s">
        <v>1216</v>
      </c>
      <c r="F866" s="21" t="s">
        <v>1537</v>
      </c>
      <c r="G866" s="21" t="s">
        <v>3579</v>
      </c>
      <c r="H866" s="21" t="s">
        <v>1624</v>
      </c>
      <c r="I866" s="21" t="s">
        <v>3487</v>
      </c>
      <c r="J866" s="21" t="s">
        <v>3488</v>
      </c>
      <c r="K866" s="22" t="s">
        <v>3580</v>
      </c>
      <c r="L866" s="21" t="s">
        <v>1706</v>
      </c>
      <c r="M866" s="21" t="s">
        <v>1830</v>
      </c>
    </row>
    <row r="867" spans="1:13" ht="15" hidden="1" customHeight="1" x14ac:dyDescent="0.25">
      <c r="A867" s="21" t="s">
        <v>3581</v>
      </c>
      <c r="B867" s="22" t="s">
        <v>2701</v>
      </c>
      <c r="C867" s="22" t="s">
        <v>1052</v>
      </c>
      <c r="D867" s="21" t="s">
        <v>119</v>
      </c>
      <c r="E867" s="21" t="s">
        <v>1216</v>
      </c>
      <c r="F867" s="21" t="s">
        <v>1537</v>
      </c>
      <c r="G867" s="21" t="s">
        <v>3582</v>
      </c>
      <c r="H867" s="21" t="s">
        <v>1624</v>
      </c>
      <c r="I867" s="21" t="s">
        <v>3487</v>
      </c>
      <c r="J867" s="21" t="s">
        <v>3488</v>
      </c>
      <c r="K867" s="22" t="s">
        <v>3583</v>
      </c>
      <c r="L867" s="21" t="s">
        <v>1706</v>
      </c>
      <c r="M867" s="21" t="s">
        <v>1830</v>
      </c>
    </row>
    <row r="868" spans="1:13" ht="15" hidden="1" customHeight="1" x14ac:dyDescent="0.25">
      <c r="A868" s="21" t="s">
        <v>3584</v>
      </c>
      <c r="B868" s="22" t="s">
        <v>2703</v>
      </c>
      <c r="C868" s="22" t="s">
        <v>1053</v>
      </c>
      <c r="D868" s="21" t="s">
        <v>119</v>
      </c>
      <c r="E868" s="21" t="s">
        <v>1216</v>
      </c>
      <c r="F868" s="21" t="s">
        <v>1537</v>
      </c>
      <c r="G868" s="21"/>
      <c r="H868" s="21" t="s">
        <v>1624</v>
      </c>
      <c r="I868" s="21" t="s">
        <v>3487</v>
      </c>
      <c r="J868" s="21" t="s">
        <v>3488</v>
      </c>
      <c r="K868" s="22" t="s">
        <v>3585</v>
      </c>
      <c r="L868" s="21" t="s">
        <v>1706</v>
      </c>
      <c r="M868" s="21" t="s">
        <v>1830</v>
      </c>
    </row>
    <row r="869" spans="1:13" ht="15" hidden="1" customHeight="1" x14ac:dyDescent="0.25">
      <c r="A869" s="21" t="s">
        <v>3586</v>
      </c>
      <c r="B869" s="22" t="s">
        <v>2706</v>
      </c>
      <c r="C869" s="22" t="s">
        <v>1054</v>
      </c>
      <c r="D869" s="21" t="s">
        <v>119</v>
      </c>
      <c r="E869" s="21" t="s">
        <v>1222</v>
      </c>
      <c r="F869" s="21" t="s">
        <v>2714</v>
      </c>
      <c r="G869" s="21"/>
      <c r="H869" s="21" t="s">
        <v>1624</v>
      </c>
      <c r="I869" s="21" t="s">
        <v>3487</v>
      </c>
      <c r="J869" s="21" t="s">
        <v>3488</v>
      </c>
      <c r="K869" s="22" t="s">
        <v>3587</v>
      </c>
      <c r="L869" s="21" t="s">
        <v>1706</v>
      </c>
      <c r="M869" s="21" t="s">
        <v>1830</v>
      </c>
    </row>
    <row r="870" spans="1:13" ht="15" hidden="1" customHeight="1" x14ac:dyDescent="0.25">
      <c r="A870" s="21" t="s">
        <v>3588</v>
      </c>
      <c r="B870" s="22" t="s">
        <v>2709</v>
      </c>
      <c r="C870" s="22" t="s">
        <v>1055</v>
      </c>
      <c r="D870" s="21" t="s">
        <v>119</v>
      </c>
      <c r="E870" s="21" t="s">
        <v>1222</v>
      </c>
      <c r="F870" s="21" t="s">
        <v>2714</v>
      </c>
      <c r="G870" s="21"/>
      <c r="H870" s="21" t="s">
        <v>1624</v>
      </c>
      <c r="I870" s="21" t="s">
        <v>3487</v>
      </c>
      <c r="J870" s="21" t="s">
        <v>3488</v>
      </c>
      <c r="K870" s="22" t="s">
        <v>3589</v>
      </c>
      <c r="L870" s="21" t="s">
        <v>1706</v>
      </c>
      <c r="M870" s="21" t="s">
        <v>1830</v>
      </c>
    </row>
    <row r="871" spans="1:13" ht="15" hidden="1" customHeight="1" x14ac:dyDescent="0.25">
      <c r="A871" s="21" t="s">
        <v>3590</v>
      </c>
      <c r="B871" s="22" t="s">
        <v>2711</v>
      </c>
      <c r="C871" s="22" t="s">
        <v>1056</v>
      </c>
      <c r="D871" s="21" t="s">
        <v>119</v>
      </c>
      <c r="E871" s="21" t="s">
        <v>1216</v>
      </c>
      <c r="F871" s="21" t="s">
        <v>1537</v>
      </c>
      <c r="G871" s="21" t="s">
        <v>3591</v>
      </c>
      <c r="H871" s="21" t="s">
        <v>1624</v>
      </c>
      <c r="I871" s="21" t="s">
        <v>3487</v>
      </c>
      <c r="J871" s="21" t="s">
        <v>3488</v>
      </c>
      <c r="K871" s="22" t="s">
        <v>3592</v>
      </c>
      <c r="L871" s="21" t="s">
        <v>1706</v>
      </c>
      <c r="M871" s="21" t="s">
        <v>1830</v>
      </c>
    </row>
    <row r="872" spans="1:13" ht="15" hidden="1" customHeight="1" x14ac:dyDescent="0.25">
      <c r="A872" s="21" t="s">
        <v>3593</v>
      </c>
      <c r="B872" s="22" t="s">
        <v>2713</v>
      </c>
      <c r="C872" s="22" t="s">
        <v>1057</v>
      </c>
      <c r="D872" s="21" t="s">
        <v>119</v>
      </c>
      <c r="E872" s="21" t="s">
        <v>1240</v>
      </c>
      <c r="F872" s="21" t="s">
        <v>1448</v>
      </c>
      <c r="G872" s="21" t="s">
        <v>3594</v>
      </c>
      <c r="H872" s="21" t="s">
        <v>1624</v>
      </c>
      <c r="I872" s="21" t="s">
        <v>3487</v>
      </c>
      <c r="J872" s="21" t="s">
        <v>3488</v>
      </c>
      <c r="K872" s="22" t="s">
        <v>3595</v>
      </c>
      <c r="L872" s="21" t="s">
        <v>1706</v>
      </c>
      <c r="M872" s="21" t="s">
        <v>1830</v>
      </c>
    </row>
    <row r="873" spans="1:13" ht="15" hidden="1" customHeight="1" x14ac:dyDescent="0.25">
      <c r="A873" s="21" t="s">
        <v>3596</v>
      </c>
      <c r="B873" s="22" t="s">
        <v>2717</v>
      </c>
      <c r="C873" s="22" t="s">
        <v>1058</v>
      </c>
      <c r="D873" s="21" t="s">
        <v>119</v>
      </c>
      <c r="E873" s="21" t="s">
        <v>1240</v>
      </c>
      <c r="F873" s="21" t="s">
        <v>1448</v>
      </c>
      <c r="G873" s="21" t="s">
        <v>2688</v>
      </c>
      <c r="H873" s="21" t="s">
        <v>1624</v>
      </c>
      <c r="I873" s="21" t="s">
        <v>3487</v>
      </c>
      <c r="J873" s="21" t="s">
        <v>3488</v>
      </c>
      <c r="K873" s="22" t="s">
        <v>3597</v>
      </c>
      <c r="L873" s="21" t="s">
        <v>1706</v>
      </c>
      <c r="M873" s="21" t="s">
        <v>1830</v>
      </c>
    </row>
    <row r="874" spans="1:13" ht="15" hidden="1" customHeight="1" x14ac:dyDescent="0.25">
      <c r="A874" s="21" t="s">
        <v>3598</v>
      </c>
      <c r="B874" s="22" t="s">
        <v>2719</v>
      </c>
      <c r="C874" s="22" t="s">
        <v>1059</v>
      </c>
      <c r="D874" s="21" t="s">
        <v>119</v>
      </c>
      <c r="E874" s="21" t="s">
        <v>1240</v>
      </c>
      <c r="F874" s="21" t="s">
        <v>1448</v>
      </c>
      <c r="G874" s="21" t="s">
        <v>2688</v>
      </c>
      <c r="H874" s="21" t="s">
        <v>1624</v>
      </c>
      <c r="I874" s="21" t="s">
        <v>3487</v>
      </c>
      <c r="J874" s="21" t="s">
        <v>3488</v>
      </c>
      <c r="K874" s="22" t="s">
        <v>3599</v>
      </c>
      <c r="L874" s="21" t="s">
        <v>1706</v>
      </c>
      <c r="M874" s="21" t="s">
        <v>1830</v>
      </c>
    </row>
    <row r="875" spans="1:13" ht="15" hidden="1" customHeight="1" x14ac:dyDescent="0.25">
      <c r="A875" s="21" t="s">
        <v>3600</v>
      </c>
      <c r="B875" s="22" t="s">
        <v>2722</v>
      </c>
      <c r="C875" s="22" t="s">
        <v>1060</v>
      </c>
      <c r="D875" s="21" t="s">
        <v>119</v>
      </c>
      <c r="E875" s="21" t="s">
        <v>1240</v>
      </c>
      <c r="F875" s="21" t="s">
        <v>1448</v>
      </c>
      <c r="G875" s="21" t="s">
        <v>3594</v>
      </c>
      <c r="H875" s="21" t="s">
        <v>1624</v>
      </c>
      <c r="I875" s="21" t="s">
        <v>3487</v>
      </c>
      <c r="J875" s="21" t="s">
        <v>3488</v>
      </c>
      <c r="K875" s="22" t="s">
        <v>3601</v>
      </c>
      <c r="L875" s="21" t="s">
        <v>1706</v>
      </c>
      <c r="M875" s="21" t="s">
        <v>1830</v>
      </c>
    </row>
    <row r="876" spans="1:13" ht="15" hidden="1" customHeight="1" x14ac:dyDescent="0.25">
      <c r="A876" s="21" t="s">
        <v>3602</v>
      </c>
      <c r="B876" s="22" t="s">
        <v>2725</v>
      </c>
      <c r="C876" s="22" t="s">
        <v>1061</v>
      </c>
      <c r="D876" s="21" t="s">
        <v>119</v>
      </c>
      <c r="E876" s="21" t="s">
        <v>1240</v>
      </c>
      <c r="F876" s="21" t="s">
        <v>1448</v>
      </c>
      <c r="G876" s="21"/>
      <c r="H876" s="21" t="s">
        <v>1624</v>
      </c>
      <c r="I876" s="21" t="s">
        <v>3487</v>
      </c>
      <c r="J876" s="21" t="s">
        <v>3488</v>
      </c>
      <c r="K876" s="22" t="s">
        <v>3603</v>
      </c>
      <c r="L876" s="21" t="s">
        <v>1706</v>
      </c>
      <c r="M876" s="21" t="s">
        <v>1830</v>
      </c>
    </row>
    <row r="877" spans="1:13" ht="15" hidden="1" customHeight="1" x14ac:dyDescent="0.25">
      <c r="A877" s="21" t="s">
        <v>3604</v>
      </c>
      <c r="B877" s="22" t="s">
        <v>2727</v>
      </c>
      <c r="C877" s="22" t="s">
        <v>1062</v>
      </c>
      <c r="D877" s="21" t="s">
        <v>119</v>
      </c>
      <c r="E877" s="21" t="s">
        <v>1240</v>
      </c>
      <c r="F877" s="21" t="s">
        <v>1448</v>
      </c>
      <c r="G877" s="21" t="s">
        <v>3506</v>
      </c>
      <c r="H877" s="21" t="s">
        <v>1624</v>
      </c>
      <c r="I877" s="21" t="s">
        <v>3487</v>
      </c>
      <c r="J877" s="21" t="s">
        <v>3488</v>
      </c>
      <c r="K877" s="22" t="s">
        <v>3605</v>
      </c>
      <c r="L877" s="21" t="s">
        <v>1706</v>
      </c>
      <c r="M877" s="21" t="s">
        <v>1830</v>
      </c>
    </row>
    <row r="878" spans="1:13" ht="15" hidden="1" customHeight="1" x14ac:dyDescent="0.25">
      <c r="A878" s="21" t="s">
        <v>3606</v>
      </c>
      <c r="B878" s="22" t="s">
        <v>2730</v>
      </c>
      <c r="C878" s="22" t="s">
        <v>1063</v>
      </c>
      <c r="D878" s="21" t="s">
        <v>119</v>
      </c>
      <c r="E878" s="21" t="s">
        <v>1240</v>
      </c>
      <c r="F878" s="21" t="s">
        <v>1448</v>
      </c>
      <c r="G878" s="21" t="s">
        <v>3607</v>
      </c>
      <c r="H878" s="21" t="s">
        <v>1624</v>
      </c>
      <c r="I878" s="21" t="s">
        <v>3487</v>
      </c>
      <c r="J878" s="21" t="s">
        <v>3488</v>
      </c>
      <c r="K878" s="22" t="s">
        <v>3608</v>
      </c>
      <c r="L878" s="21" t="s">
        <v>1706</v>
      </c>
      <c r="M878" s="21" t="s">
        <v>1830</v>
      </c>
    </row>
    <row r="879" spans="1:13" ht="15" hidden="1" customHeight="1" x14ac:dyDescent="0.25">
      <c r="A879" s="21" t="s">
        <v>3609</v>
      </c>
      <c r="B879" s="22" t="s">
        <v>2734</v>
      </c>
      <c r="C879" s="22" t="s">
        <v>1064</v>
      </c>
      <c r="D879" s="21" t="s">
        <v>119</v>
      </c>
      <c r="E879" s="21" t="s">
        <v>1240</v>
      </c>
      <c r="F879" s="21" t="s">
        <v>1448</v>
      </c>
      <c r="G879" s="21" t="s">
        <v>3610</v>
      </c>
      <c r="H879" s="21" t="s">
        <v>1624</v>
      </c>
      <c r="I879" s="21" t="s">
        <v>3487</v>
      </c>
      <c r="J879" s="21" t="s">
        <v>3488</v>
      </c>
      <c r="K879" s="22" t="s">
        <v>3611</v>
      </c>
      <c r="L879" s="21" t="s">
        <v>1706</v>
      </c>
      <c r="M879" s="21" t="s">
        <v>1830</v>
      </c>
    </row>
    <row r="880" spans="1:13" ht="15" hidden="1" customHeight="1" x14ac:dyDescent="0.25">
      <c r="A880" s="21" t="s">
        <v>3612</v>
      </c>
      <c r="B880" s="22" t="s">
        <v>2737</v>
      </c>
      <c r="C880" s="22" t="s">
        <v>3613</v>
      </c>
      <c r="D880" s="21" t="s">
        <v>119</v>
      </c>
      <c r="E880" s="21" t="s">
        <v>1275</v>
      </c>
      <c r="F880" s="21" t="s">
        <v>1561</v>
      </c>
      <c r="G880" s="21" t="s">
        <v>2960</v>
      </c>
      <c r="H880" s="21" t="s">
        <v>1314</v>
      </c>
      <c r="I880" s="21" t="s">
        <v>2309</v>
      </c>
      <c r="J880" s="21" t="s">
        <v>3085</v>
      </c>
      <c r="K880" s="22" t="s">
        <v>3614</v>
      </c>
      <c r="L880" s="21" t="s">
        <v>1706</v>
      </c>
      <c r="M880" s="21" t="s">
        <v>1830</v>
      </c>
    </row>
    <row r="881" spans="1:13" ht="15" hidden="1" customHeight="1" x14ac:dyDescent="0.25">
      <c r="A881" s="21" t="s">
        <v>3615</v>
      </c>
      <c r="B881" s="22" t="s">
        <v>2740</v>
      </c>
      <c r="C881" s="22" t="s">
        <v>3616</v>
      </c>
      <c r="D881" s="21" t="s">
        <v>119</v>
      </c>
      <c r="E881" s="21" t="s">
        <v>1275</v>
      </c>
      <c r="F881" s="21" t="s">
        <v>1561</v>
      </c>
      <c r="G881" s="21" t="s">
        <v>2960</v>
      </c>
      <c r="H881" s="21" t="s">
        <v>1314</v>
      </c>
      <c r="I881" s="21" t="s">
        <v>2309</v>
      </c>
      <c r="J881" s="21" t="s">
        <v>3085</v>
      </c>
      <c r="K881" s="22" t="s">
        <v>3617</v>
      </c>
      <c r="L881" s="21" t="s">
        <v>1706</v>
      </c>
      <c r="M881" s="21" t="s">
        <v>1830</v>
      </c>
    </row>
    <row r="882" spans="1:13" ht="15" hidden="1" customHeight="1" x14ac:dyDescent="0.25">
      <c r="A882" s="21" t="s">
        <v>3618</v>
      </c>
      <c r="B882" s="22" t="s">
        <v>2743</v>
      </c>
      <c r="C882" s="22" t="s">
        <v>3619</v>
      </c>
      <c r="D882" s="21" t="s">
        <v>119</v>
      </c>
      <c r="E882" s="21" t="s">
        <v>1275</v>
      </c>
      <c r="F882" s="21" t="s">
        <v>1561</v>
      </c>
      <c r="G882" s="21" t="s">
        <v>2960</v>
      </c>
      <c r="H882" s="21" t="s">
        <v>1314</v>
      </c>
      <c r="I882" s="21" t="s">
        <v>2309</v>
      </c>
      <c r="J882" s="21" t="s">
        <v>3085</v>
      </c>
      <c r="K882" s="22" t="s">
        <v>3620</v>
      </c>
      <c r="L882" s="21" t="s">
        <v>1706</v>
      </c>
      <c r="M882" s="21" t="s">
        <v>1830</v>
      </c>
    </row>
    <row r="883" spans="1:13" ht="15" hidden="1" customHeight="1" x14ac:dyDescent="0.25">
      <c r="A883" s="21" t="s">
        <v>3621</v>
      </c>
      <c r="B883" s="22" t="s">
        <v>2746</v>
      </c>
      <c r="C883" s="22" t="s">
        <v>1065</v>
      </c>
      <c r="D883" s="21" t="s">
        <v>119</v>
      </c>
      <c r="E883" s="21" t="s">
        <v>1210</v>
      </c>
      <c r="F883" s="21" t="s">
        <v>1210</v>
      </c>
      <c r="G883" s="21"/>
      <c r="H883" s="21" t="s">
        <v>1314</v>
      </c>
      <c r="I883" s="21" t="s">
        <v>2309</v>
      </c>
      <c r="J883" s="21" t="s">
        <v>3622</v>
      </c>
      <c r="K883" s="22" t="s">
        <v>3623</v>
      </c>
      <c r="L883" s="21" t="s">
        <v>1706</v>
      </c>
      <c r="M883" s="21" t="s">
        <v>1819</v>
      </c>
    </row>
    <row r="884" spans="1:13" ht="15" hidden="1" customHeight="1" x14ac:dyDescent="0.25">
      <c r="A884" s="21" t="s">
        <v>3624</v>
      </c>
      <c r="B884" s="22" t="s">
        <v>2749</v>
      </c>
      <c r="C884" s="22" t="s">
        <v>1066</v>
      </c>
      <c r="D884" s="21" t="s">
        <v>119</v>
      </c>
      <c r="E884" s="21" t="s">
        <v>1210</v>
      </c>
      <c r="F884" s="21" t="s">
        <v>1210</v>
      </c>
      <c r="G884" s="21"/>
      <c r="H884" s="21" t="s">
        <v>1314</v>
      </c>
      <c r="I884" s="21" t="s">
        <v>2309</v>
      </c>
      <c r="J884" s="21" t="s">
        <v>3622</v>
      </c>
      <c r="K884" s="22" t="s">
        <v>3625</v>
      </c>
      <c r="L884" s="21" t="s">
        <v>1706</v>
      </c>
      <c r="M884" s="21" t="s">
        <v>1819</v>
      </c>
    </row>
    <row r="885" spans="1:13" ht="15" hidden="1" customHeight="1" x14ac:dyDescent="0.25">
      <c r="A885" s="21" t="s">
        <v>3626</v>
      </c>
      <c r="B885" s="22" t="s">
        <v>2753</v>
      </c>
      <c r="C885" s="22" t="s">
        <v>1067</v>
      </c>
      <c r="D885" s="21" t="s">
        <v>119</v>
      </c>
      <c r="E885" s="21" t="s">
        <v>1210</v>
      </c>
      <c r="F885" s="21" t="s">
        <v>1210</v>
      </c>
      <c r="G885" s="21"/>
      <c r="H885" s="21" t="s">
        <v>1314</v>
      </c>
      <c r="I885" s="21" t="s">
        <v>2309</v>
      </c>
      <c r="J885" s="21" t="s">
        <v>3622</v>
      </c>
      <c r="K885" s="22" t="s">
        <v>3627</v>
      </c>
      <c r="L885" s="21" t="s">
        <v>1706</v>
      </c>
      <c r="M885" s="21" t="s">
        <v>1819</v>
      </c>
    </row>
    <row r="886" spans="1:13" ht="15" hidden="1" customHeight="1" x14ac:dyDescent="0.25">
      <c r="A886" s="21" t="s">
        <v>3628</v>
      </c>
      <c r="B886" s="22" t="s">
        <v>2755</v>
      </c>
      <c r="C886" s="22" t="s">
        <v>1068</v>
      </c>
      <c r="D886" s="21" t="s">
        <v>119</v>
      </c>
      <c r="E886" s="21" t="s">
        <v>1210</v>
      </c>
      <c r="F886" s="21" t="s">
        <v>1210</v>
      </c>
      <c r="G886" s="21"/>
      <c r="H886" s="21" t="s">
        <v>1314</v>
      </c>
      <c r="I886" s="21" t="s">
        <v>2309</v>
      </c>
      <c r="J886" s="21" t="s">
        <v>3622</v>
      </c>
      <c r="K886" s="22" t="s">
        <v>3629</v>
      </c>
      <c r="L886" s="21" t="s">
        <v>1706</v>
      </c>
      <c r="M886" s="21" t="s">
        <v>1819</v>
      </c>
    </row>
    <row r="887" spans="1:13" ht="15" hidden="1" customHeight="1" x14ac:dyDescent="0.25">
      <c r="A887" s="21" t="s">
        <v>3630</v>
      </c>
      <c r="B887" s="22" t="s">
        <v>2757</v>
      </c>
      <c r="C887" s="22" t="s">
        <v>1069</v>
      </c>
      <c r="D887" s="21" t="s">
        <v>119</v>
      </c>
      <c r="E887" s="21" t="s">
        <v>1249</v>
      </c>
      <c r="F887" s="21" t="s">
        <v>1249</v>
      </c>
      <c r="G887" s="21" t="s">
        <v>2833</v>
      </c>
      <c r="H887" s="21" t="s">
        <v>1314</v>
      </c>
      <c r="I887" s="21" t="s">
        <v>3631</v>
      </c>
      <c r="J887" s="21" t="s">
        <v>3632</v>
      </c>
      <c r="K887" s="22" t="s">
        <v>3633</v>
      </c>
      <c r="L887" s="21" t="s">
        <v>1706</v>
      </c>
      <c r="M887" s="21" t="s">
        <v>1830</v>
      </c>
    </row>
    <row r="888" spans="1:13" ht="15" hidden="1" customHeight="1" x14ac:dyDescent="0.25">
      <c r="A888" s="21" t="s">
        <v>3634</v>
      </c>
      <c r="B888" s="22" t="s">
        <v>2759</v>
      </c>
      <c r="C888" s="22" t="s">
        <v>1070</v>
      </c>
      <c r="D888" s="21" t="s">
        <v>119</v>
      </c>
      <c r="E888" s="21" t="s">
        <v>1249</v>
      </c>
      <c r="F888" s="21" t="s">
        <v>1249</v>
      </c>
      <c r="G888" s="21" t="s">
        <v>2833</v>
      </c>
      <c r="H888" s="21" t="s">
        <v>1314</v>
      </c>
      <c r="I888" s="21" t="s">
        <v>3631</v>
      </c>
      <c r="J888" s="21" t="s">
        <v>3635</v>
      </c>
      <c r="K888" s="22" t="s">
        <v>3636</v>
      </c>
      <c r="L888" s="21" t="s">
        <v>1706</v>
      </c>
      <c r="M888" s="21" t="s">
        <v>1830</v>
      </c>
    </row>
    <row r="889" spans="1:13" ht="15" hidden="1" customHeight="1" x14ac:dyDescent="0.25">
      <c r="A889" s="21" t="s">
        <v>3637</v>
      </c>
      <c r="B889" s="22" t="s">
        <v>2761</v>
      </c>
      <c r="C889" s="22" t="s">
        <v>1071</v>
      </c>
      <c r="D889" s="21" t="s">
        <v>119</v>
      </c>
      <c r="E889" s="21" t="s">
        <v>1194</v>
      </c>
      <c r="F889" s="21" t="s">
        <v>3638</v>
      </c>
      <c r="G889" s="21" t="s">
        <v>3639</v>
      </c>
      <c r="H889" s="21" t="s">
        <v>1314</v>
      </c>
      <c r="I889" s="21" t="s">
        <v>1909</v>
      </c>
      <c r="J889" s="21" t="s">
        <v>2298</v>
      </c>
      <c r="K889" s="22" t="s">
        <v>3640</v>
      </c>
      <c r="L889" s="21" t="s">
        <v>1706</v>
      </c>
      <c r="M889" s="21" t="s">
        <v>1830</v>
      </c>
    </row>
    <row r="890" spans="1:13" ht="15" hidden="1" customHeight="1" x14ac:dyDescent="0.25">
      <c r="A890" s="21" t="s">
        <v>3641</v>
      </c>
      <c r="B890" s="22" t="s">
        <v>2764</v>
      </c>
      <c r="C890" s="22" t="s">
        <v>1072</v>
      </c>
      <c r="D890" s="21" t="s">
        <v>119</v>
      </c>
      <c r="E890" s="21" t="s">
        <v>1245</v>
      </c>
      <c r="F890" s="21" t="s">
        <v>1518</v>
      </c>
      <c r="G890" s="21" t="s">
        <v>1519</v>
      </c>
      <c r="H890" s="21" t="s">
        <v>1314</v>
      </c>
      <c r="I890" s="21" t="s">
        <v>1909</v>
      </c>
      <c r="J890" s="21" t="s">
        <v>2298</v>
      </c>
      <c r="K890" s="22" t="s">
        <v>3642</v>
      </c>
      <c r="L890" s="21" t="s">
        <v>1706</v>
      </c>
      <c r="M890" s="21" t="s">
        <v>1830</v>
      </c>
    </row>
    <row r="891" spans="1:13" ht="15" hidden="1" customHeight="1" x14ac:dyDescent="0.25">
      <c r="A891" s="21" t="s">
        <v>3643</v>
      </c>
      <c r="B891" s="22" t="s">
        <v>2767</v>
      </c>
      <c r="C891" s="22" t="s">
        <v>1073</v>
      </c>
      <c r="D891" s="21" t="s">
        <v>119</v>
      </c>
      <c r="E891" s="21" t="s">
        <v>1245</v>
      </c>
      <c r="F891" s="21" t="s">
        <v>1518</v>
      </c>
      <c r="G891" s="21" t="s">
        <v>1519</v>
      </c>
      <c r="H891" s="21" t="s">
        <v>1314</v>
      </c>
      <c r="I891" s="21" t="s">
        <v>1909</v>
      </c>
      <c r="J891" s="21" t="s">
        <v>2298</v>
      </c>
      <c r="K891" s="22" t="s">
        <v>3644</v>
      </c>
      <c r="L891" s="21" t="s">
        <v>1706</v>
      </c>
      <c r="M891" s="21" t="s">
        <v>1830</v>
      </c>
    </row>
    <row r="892" spans="1:13" ht="15" hidden="1" customHeight="1" x14ac:dyDescent="0.25">
      <c r="A892" s="21" t="s">
        <v>3645</v>
      </c>
      <c r="B892" s="22" t="s">
        <v>2770</v>
      </c>
      <c r="C892" s="22" t="s">
        <v>1074</v>
      </c>
      <c r="D892" s="21" t="s">
        <v>119</v>
      </c>
      <c r="E892" s="21" t="s">
        <v>1245</v>
      </c>
      <c r="F892" s="21" t="s">
        <v>1518</v>
      </c>
      <c r="G892" s="21" t="s">
        <v>1519</v>
      </c>
      <c r="H892" s="21" t="s">
        <v>1314</v>
      </c>
      <c r="I892" s="21" t="s">
        <v>1909</v>
      </c>
      <c r="J892" s="21" t="s">
        <v>2298</v>
      </c>
      <c r="K892" s="22" t="s">
        <v>3646</v>
      </c>
      <c r="L892" s="21" t="s">
        <v>1706</v>
      </c>
      <c r="M892" s="21" t="s">
        <v>1830</v>
      </c>
    </row>
    <row r="893" spans="1:13" ht="15" hidden="1" customHeight="1" x14ac:dyDescent="0.25">
      <c r="A893" s="21" t="s">
        <v>3647</v>
      </c>
      <c r="B893" s="22" t="s">
        <v>2774</v>
      </c>
      <c r="C893" s="22" t="s">
        <v>1075</v>
      </c>
      <c r="D893" s="21" t="s">
        <v>119</v>
      </c>
      <c r="E893" s="21" t="s">
        <v>1245</v>
      </c>
      <c r="F893" s="21" t="s">
        <v>1518</v>
      </c>
      <c r="G893" s="21" t="s">
        <v>1519</v>
      </c>
      <c r="H893" s="21" t="s">
        <v>1314</v>
      </c>
      <c r="I893" s="21" t="s">
        <v>1909</v>
      </c>
      <c r="J893" s="21" t="s">
        <v>2298</v>
      </c>
      <c r="K893" s="22" t="s">
        <v>3648</v>
      </c>
      <c r="L893" s="21" t="s">
        <v>1706</v>
      </c>
      <c r="M893" s="21" t="s">
        <v>1830</v>
      </c>
    </row>
    <row r="894" spans="1:13" ht="15" hidden="1" customHeight="1" x14ac:dyDescent="0.25">
      <c r="A894" s="21" t="s">
        <v>3649</v>
      </c>
      <c r="B894" s="22" t="s">
        <v>2776</v>
      </c>
      <c r="C894" s="22" t="s">
        <v>1076</v>
      </c>
      <c r="D894" s="21" t="s">
        <v>119</v>
      </c>
      <c r="E894" s="21" t="s">
        <v>1245</v>
      </c>
      <c r="F894" s="21" t="s">
        <v>1518</v>
      </c>
      <c r="G894" s="21" t="s">
        <v>1519</v>
      </c>
      <c r="H894" s="21" t="s">
        <v>1314</v>
      </c>
      <c r="I894" s="21" t="s">
        <v>1909</v>
      </c>
      <c r="J894" s="21" t="s">
        <v>2298</v>
      </c>
      <c r="K894" s="22" t="s">
        <v>3650</v>
      </c>
      <c r="L894" s="21" t="s">
        <v>1706</v>
      </c>
      <c r="M894" s="21" t="s">
        <v>1830</v>
      </c>
    </row>
    <row r="895" spans="1:13" ht="15" hidden="1" customHeight="1" x14ac:dyDescent="0.25">
      <c r="A895" s="21" t="s">
        <v>3651</v>
      </c>
      <c r="B895" s="22" t="s">
        <v>2778</v>
      </c>
      <c r="C895" s="22" t="s">
        <v>1077</v>
      </c>
      <c r="D895" s="21" t="s">
        <v>119</v>
      </c>
      <c r="E895" s="21" t="s">
        <v>1207</v>
      </c>
      <c r="F895" s="21" t="s">
        <v>1207</v>
      </c>
      <c r="G895" s="21"/>
      <c r="H895" s="21" t="s">
        <v>1314</v>
      </c>
      <c r="I895" s="21" t="s">
        <v>1909</v>
      </c>
      <c r="J895" s="21" t="s">
        <v>3652</v>
      </c>
      <c r="K895" s="22" t="s">
        <v>3653</v>
      </c>
      <c r="L895" s="21" t="s">
        <v>1706</v>
      </c>
      <c r="M895" s="21" t="s">
        <v>1819</v>
      </c>
    </row>
    <row r="896" spans="1:13" ht="15" hidden="1" customHeight="1" x14ac:dyDescent="0.25">
      <c r="A896" s="21" t="s">
        <v>3654</v>
      </c>
      <c r="B896" s="22" t="s">
        <v>2781</v>
      </c>
      <c r="C896" s="22" t="s">
        <v>1078</v>
      </c>
      <c r="D896" s="21" t="s">
        <v>119</v>
      </c>
      <c r="E896" s="21" t="s">
        <v>1207</v>
      </c>
      <c r="F896" s="21" t="s">
        <v>1207</v>
      </c>
      <c r="G896" s="21"/>
      <c r="H896" s="21" t="s">
        <v>1314</v>
      </c>
      <c r="I896" s="21" t="s">
        <v>1909</v>
      </c>
      <c r="J896" s="21" t="s">
        <v>3652</v>
      </c>
      <c r="K896" s="22" t="s">
        <v>3655</v>
      </c>
      <c r="L896" s="21" t="s">
        <v>1706</v>
      </c>
      <c r="M896" s="21" t="s">
        <v>1819</v>
      </c>
    </row>
    <row r="897" spans="1:13" ht="15" hidden="1" customHeight="1" x14ac:dyDescent="0.25">
      <c r="A897" s="21" t="s">
        <v>3656</v>
      </c>
      <c r="B897" s="22" t="s">
        <v>2784</v>
      </c>
      <c r="C897" s="22" t="s">
        <v>1079</v>
      </c>
      <c r="D897" s="21" t="s">
        <v>119</v>
      </c>
      <c r="E897" s="21" t="s">
        <v>1272</v>
      </c>
      <c r="F897" s="21" t="s">
        <v>1272</v>
      </c>
      <c r="G897" s="21" t="s">
        <v>3657</v>
      </c>
      <c r="H897" s="21" t="s">
        <v>1314</v>
      </c>
      <c r="I897" s="21" t="s">
        <v>2309</v>
      </c>
      <c r="J897" s="21" t="s">
        <v>3085</v>
      </c>
      <c r="K897" s="22" t="s">
        <v>3658</v>
      </c>
      <c r="L897" s="21" t="s">
        <v>1706</v>
      </c>
      <c r="M897" s="21" t="s">
        <v>1830</v>
      </c>
    </row>
    <row r="898" spans="1:13" ht="15" hidden="1" customHeight="1" x14ac:dyDescent="0.25">
      <c r="A898" s="21" t="s">
        <v>3659</v>
      </c>
      <c r="B898" s="22" t="s">
        <v>2789</v>
      </c>
      <c r="C898" s="22" t="s">
        <v>1080</v>
      </c>
      <c r="D898" s="21" t="s">
        <v>119</v>
      </c>
      <c r="E898" s="21" t="s">
        <v>1272</v>
      </c>
      <c r="F898" s="21" t="s">
        <v>1272</v>
      </c>
      <c r="G898" s="21" t="s">
        <v>3660</v>
      </c>
      <c r="H898" s="21" t="s">
        <v>1314</v>
      </c>
      <c r="I898" s="21" t="s">
        <v>2309</v>
      </c>
      <c r="J898" s="21" t="s">
        <v>3085</v>
      </c>
      <c r="K898" s="22" t="s">
        <v>3661</v>
      </c>
      <c r="L898" s="21" t="s">
        <v>1706</v>
      </c>
      <c r="M898" s="21" t="s">
        <v>1830</v>
      </c>
    </row>
    <row r="899" spans="1:13" ht="15" hidden="1" customHeight="1" x14ac:dyDescent="0.25">
      <c r="A899" s="21" t="s">
        <v>3662</v>
      </c>
      <c r="B899" s="22" t="s">
        <v>2791</v>
      </c>
      <c r="C899" s="22" t="s">
        <v>1081</v>
      </c>
      <c r="D899" s="21" t="s">
        <v>119</v>
      </c>
      <c r="E899" s="21" t="s">
        <v>1272</v>
      </c>
      <c r="F899" s="21" t="s">
        <v>1272</v>
      </c>
      <c r="G899" s="21" t="s">
        <v>3663</v>
      </c>
      <c r="H899" s="21" t="s">
        <v>1314</v>
      </c>
      <c r="I899" s="21" t="s">
        <v>2309</v>
      </c>
      <c r="J899" s="21" t="s">
        <v>3085</v>
      </c>
      <c r="K899" s="22" t="s">
        <v>3664</v>
      </c>
      <c r="L899" s="21" t="s">
        <v>1706</v>
      </c>
      <c r="M899" s="21" t="s">
        <v>1830</v>
      </c>
    </row>
    <row r="900" spans="1:13" ht="15" hidden="1" customHeight="1" x14ac:dyDescent="0.25">
      <c r="A900" s="21" t="s">
        <v>3665</v>
      </c>
      <c r="B900" s="22" t="s">
        <v>2794</v>
      </c>
      <c r="C900" s="22" t="s">
        <v>1082</v>
      </c>
      <c r="D900" s="21" t="s">
        <v>119</v>
      </c>
      <c r="E900" s="21" t="s">
        <v>1272</v>
      </c>
      <c r="F900" s="21" t="s">
        <v>1272</v>
      </c>
      <c r="G900" s="21" t="s">
        <v>2945</v>
      </c>
      <c r="H900" s="21" t="s">
        <v>1314</v>
      </c>
      <c r="I900" s="21" t="s">
        <v>2309</v>
      </c>
      <c r="J900" s="21" t="s">
        <v>3085</v>
      </c>
      <c r="K900" s="22" t="s">
        <v>3666</v>
      </c>
      <c r="L900" s="21" t="s">
        <v>1706</v>
      </c>
      <c r="M900" s="21" t="s">
        <v>1830</v>
      </c>
    </row>
    <row r="901" spans="1:13" ht="15" hidden="1" customHeight="1" x14ac:dyDescent="0.25">
      <c r="A901" s="21" t="s">
        <v>3667</v>
      </c>
      <c r="B901" s="22" t="s">
        <v>2797</v>
      </c>
      <c r="C901" s="22" t="s">
        <v>1083</v>
      </c>
      <c r="D901" s="21" t="s">
        <v>119</v>
      </c>
      <c r="E901" s="21" t="s">
        <v>1272</v>
      </c>
      <c r="F901" s="21" t="s">
        <v>1272</v>
      </c>
      <c r="G901" s="21" t="s">
        <v>3668</v>
      </c>
      <c r="H901" s="21" t="s">
        <v>1314</v>
      </c>
      <c r="I901" s="21" t="s">
        <v>2309</v>
      </c>
      <c r="J901" s="21" t="s">
        <v>3085</v>
      </c>
      <c r="K901" s="22" t="s">
        <v>3669</v>
      </c>
      <c r="L901" s="21" t="s">
        <v>1706</v>
      </c>
      <c r="M901" s="21" t="s">
        <v>1830</v>
      </c>
    </row>
    <row r="902" spans="1:13" ht="15" hidden="1" customHeight="1" x14ac:dyDescent="0.25">
      <c r="A902" s="21" t="s">
        <v>3670</v>
      </c>
      <c r="B902" s="22" t="s">
        <v>2799</v>
      </c>
      <c r="C902" s="22" t="s">
        <v>1084</v>
      </c>
      <c r="D902" s="21" t="s">
        <v>119</v>
      </c>
      <c r="E902" s="21" t="s">
        <v>1272</v>
      </c>
      <c r="F902" s="21" t="s">
        <v>1272</v>
      </c>
      <c r="G902" s="21" t="s">
        <v>3671</v>
      </c>
      <c r="H902" s="21" t="s">
        <v>1314</v>
      </c>
      <c r="I902" s="21" t="s">
        <v>2309</v>
      </c>
      <c r="J902" s="21" t="s">
        <v>3085</v>
      </c>
      <c r="K902" s="22" t="s">
        <v>3672</v>
      </c>
      <c r="L902" s="21" t="s">
        <v>1706</v>
      </c>
      <c r="M902" s="21" t="s">
        <v>1830</v>
      </c>
    </row>
    <row r="903" spans="1:13" ht="15" hidden="1" customHeight="1" x14ac:dyDescent="0.25">
      <c r="A903" s="21" t="s">
        <v>3673</v>
      </c>
      <c r="B903" s="22" t="s">
        <v>2801</v>
      </c>
      <c r="C903" s="22" t="s">
        <v>1085</v>
      </c>
      <c r="D903" s="21" t="s">
        <v>119</v>
      </c>
      <c r="E903" s="21" t="s">
        <v>1272</v>
      </c>
      <c r="F903" s="21" t="s">
        <v>1272</v>
      </c>
      <c r="G903" s="21" t="s">
        <v>3674</v>
      </c>
      <c r="H903" s="21" t="s">
        <v>1314</v>
      </c>
      <c r="I903" s="21" t="s">
        <v>2309</v>
      </c>
      <c r="J903" s="21" t="s">
        <v>3085</v>
      </c>
      <c r="K903" s="22" t="s">
        <v>3675</v>
      </c>
      <c r="L903" s="21" t="s">
        <v>1706</v>
      </c>
      <c r="M903" s="21" t="s">
        <v>1830</v>
      </c>
    </row>
    <row r="904" spans="1:13" ht="15" hidden="1" customHeight="1" x14ac:dyDescent="0.25">
      <c r="A904" s="21" t="s">
        <v>3676</v>
      </c>
      <c r="B904" s="22" t="s">
        <v>2803</v>
      </c>
      <c r="C904" s="22" t="s">
        <v>1086</v>
      </c>
      <c r="D904" s="21" t="s">
        <v>119</v>
      </c>
      <c r="E904" s="21" t="s">
        <v>1272</v>
      </c>
      <c r="F904" s="21" t="s">
        <v>1272</v>
      </c>
      <c r="G904" s="21" t="s">
        <v>3677</v>
      </c>
      <c r="H904" s="21" t="s">
        <v>1314</v>
      </c>
      <c r="I904" s="21" t="s">
        <v>2309</v>
      </c>
      <c r="J904" s="21" t="s">
        <v>3085</v>
      </c>
      <c r="K904" s="22" t="s">
        <v>3678</v>
      </c>
      <c r="L904" s="21" t="s">
        <v>1706</v>
      </c>
      <c r="M904" s="21" t="s">
        <v>1830</v>
      </c>
    </row>
    <row r="905" spans="1:13" ht="15" hidden="1" customHeight="1" x14ac:dyDescent="0.25">
      <c r="A905" s="21" t="s">
        <v>3679</v>
      </c>
      <c r="B905" s="22" t="s">
        <v>2805</v>
      </c>
      <c r="C905" s="22" t="s">
        <v>1087</v>
      </c>
      <c r="D905" s="21" t="s">
        <v>119</v>
      </c>
      <c r="E905" s="21" t="s">
        <v>1272</v>
      </c>
      <c r="F905" s="21" t="s">
        <v>1272</v>
      </c>
      <c r="G905" s="21" t="s">
        <v>2945</v>
      </c>
      <c r="H905" s="21" t="s">
        <v>1314</v>
      </c>
      <c r="I905" s="21" t="s">
        <v>2309</v>
      </c>
      <c r="J905" s="21" t="s">
        <v>3680</v>
      </c>
      <c r="K905" s="22" t="s">
        <v>3681</v>
      </c>
      <c r="L905" s="21" t="s">
        <v>1706</v>
      </c>
      <c r="M905" s="21" t="s">
        <v>1819</v>
      </c>
    </row>
    <row r="906" spans="1:13" ht="15" hidden="1" customHeight="1" x14ac:dyDescent="0.25">
      <c r="A906" s="21" t="s">
        <v>3682</v>
      </c>
      <c r="B906" s="22" t="s">
        <v>2807</v>
      </c>
      <c r="C906" s="22" t="s">
        <v>1088</v>
      </c>
      <c r="D906" s="21" t="s">
        <v>119</v>
      </c>
      <c r="E906" s="21" t="s">
        <v>1272</v>
      </c>
      <c r="F906" s="21" t="s">
        <v>1272</v>
      </c>
      <c r="G906" s="21" t="s">
        <v>2931</v>
      </c>
      <c r="H906" s="21" t="s">
        <v>1314</v>
      </c>
      <c r="I906" s="21" t="s">
        <v>2309</v>
      </c>
      <c r="J906" s="21" t="s">
        <v>2449</v>
      </c>
      <c r="K906" s="22" t="s">
        <v>3683</v>
      </c>
      <c r="L906" s="21" t="s">
        <v>1706</v>
      </c>
      <c r="M906" s="21" t="s">
        <v>1819</v>
      </c>
    </row>
    <row r="907" spans="1:13" ht="15" hidden="1" customHeight="1" x14ac:dyDescent="0.25">
      <c r="A907" s="21" t="s">
        <v>3684</v>
      </c>
      <c r="B907" s="22" t="s">
        <v>2051</v>
      </c>
      <c r="C907" s="22" t="s">
        <v>1089</v>
      </c>
      <c r="D907" s="21" t="s">
        <v>119</v>
      </c>
      <c r="E907" s="21" t="s">
        <v>1232</v>
      </c>
      <c r="F907" s="21" t="s">
        <v>1232</v>
      </c>
      <c r="G907" s="21"/>
      <c r="H907" s="21" t="s">
        <v>1314</v>
      </c>
      <c r="I907" s="21" t="s">
        <v>1399</v>
      </c>
      <c r="J907" s="21" t="s">
        <v>3685</v>
      </c>
      <c r="K907" s="22" t="s">
        <v>3686</v>
      </c>
      <c r="L907" s="21" t="s">
        <v>1706</v>
      </c>
      <c r="M907" s="21" t="s">
        <v>1819</v>
      </c>
    </row>
    <row r="908" spans="1:13" ht="15" hidden="1" customHeight="1" x14ac:dyDescent="0.25">
      <c r="A908" s="21" t="s">
        <v>3687</v>
      </c>
      <c r="B908" s="22" t="s">
        <v>2811</v>
      </c>
      <c r="C908" s="22" t="s">
        <v>1090</v>
      </c>
      <c r="D908" s="21" t="s">
        <v>119</v>
      </c>
      <c r="E908" s="21" t="s">
        <v>1209</v>
      </c>
      <c r="F908" s="21" t="s">
        <v>1209</v>
      </c>
      <c r="G908" s="21"/>
      <c r="H908" s="21" t="s">
        <v>1314</v>
      </c>
      <c r="I908" s="21" t="s">
        <v>1909</v>
      </c>
      <c r="J908" s="21" t="s">
        <v>2298</v>
      </c>
      <c r="K908" s="22" t="s">
        <v>3688</v>
      </c>
      <c r="L908" s="21" t="s">
        <v>1425</v>
      </c>
      <c r="M908" s="21" t="s">
        <v>1830</v>
      </c>
    </row>
    <row r="909" spans="1:13" ht="15" hidden="1" customHeight="1" x14ac:dyDescent="0.25">
      <c r="A909" s="21" t="s">
        <v>3689</v>
      </c>
      <c r="B909" s="22" t="s">
        <v>2814</v>
      </c>
      <c r="C909" s="22" t="s">
        <v>1091</v>
      </c>
      <c r="D909" s="21" t="s">
        <v>119</v>
      </c>
      <c r="E909" s="21" t="s">
        <v>1249</v>
      </c>
      <c r="F909" s="21" t="s">
        <v>1249</v>
      </c>
      <c r="G909" s="21"/>
      <c r="H909" s="21" t="s">
        <v>1314</v>
      </c>
      <c r="I909" s="21" t="s">
        <v>3430</v>
      </c>
      <c r="J909" s="21" t="s">
        <v>3431</v>
      </c>
      <c r="K909" s="22" t="s">
        <v>3690</v>
      </c>
      <c r="L909" s="21" t="s">
        <v>1332</v>
      </c>
      <c r="M909" s="21" t="s">
        <v>1830</v>
      </c>
    </row>
    <row r="910" spans="1:13" ht="15" hidden="1" customHeight="1" x14ac:dyDescent="0.25">
      <c r="A910" s="21" t="s">
        <v>3691</v>
      </c>
      <c r="B910" s="22" t="s">
        <v>2816</v>
      </c>
      <c r="C910" s="22" t="s">
        <v>1092</v>
      </c>
      <c r="D910" s="21" t="s">
        <v>119</v>
      </c>
      <c r="E910" s="21" t="s">
        <v>1249</v>
      </c>
      <c r="F910" s="21" t="s">
        <v>1249</v>
      </c>
      <c r="G910" s="21"/>
      <c r="H910" s="21" t="s">
        <v>1314</v>
      </c>
      <c r="I910" s="21" t="s">
        <v>3430</v>
      </c>
      <c r="J910" s="21" t="s">
        <v>3431</v>
      </c>
      <c r="K910" s="22" t="s">
        <v>3692</v>
      </c>
      <c r="L910" s="21" t="s">
        <v>1332</v>
      </c>
      <c r="M910" s="21" t="s">
        <v>1830</v>
      </c>
    </row>
    <row r="911" spans="1:13" ht="15" hidden="1" customHeight="1" x14ac:dyDescent="0.25">
      <c r="A911" s="21" t="s">
        <v>3693</v>
      </c>
      <c r="B911" s="22" t="s">
        <v>2817</v>
      </c>
      <c r="C911" s="22" t="s">
        <v>1093</v>
      </c>
      <c r="D911" s="21" t="s">
        <v>119</v>
      </c>
      <c r="E911" s="21" t="s">
        <v>1265</v>
      </c>
      <c r="F911" s="21" t="s">
        <v>1265</v>
      </c>
      <c r="G911" s="21"/>
      <c r="H911" s="21" t="s">
        <v>1314</v>
      </c>
      <c r="I911" s="21" t="s">
        <v>1735</v>
      </c>
      <c r="J911" s="21" t="s">
        <v>2454</v>
      </c>
      <c r="K911" s="22" t="s">
        <v>3694</v>
      </c>
      <c r="L911" s="21" t="s">
        <v>1332</v>
      </c>
      <c r="M911" s="21"/>
    </row>
    <row r="912" spans="1:13" ht="15" hidden="1" customHeight="1" x14ac:dyDescent="0.25">
      <c r="A912" s="21" t="s">
        <v>3695</v>
      </c>
      <c r="B912" s="22" t="s">
        <v>2821</v>
      </c>
      <c r="C912" s="22" t="s">
        <v>1094</v>
      </c>
      <c r="D912" s="21" t="s">
        <v>119</v>
      </c>
      <c r="E912" s="21" t="s">
        <v>1265</v>
      </c>
      <c r="F912" s="21" t="s">
        <v>1265</v>
      </c>
      <c r="G912" s="21"/>
      <c r="H912" s="21" t="s">
        <v>1314</v>
      </c>
      <c r="I912" s="21" t="s">
        <v>1735</v>
      </c>
      <c r="J912" s="21" t="s">
        <v>2454</v>
      </c>
      <c r="K912" s="22" t="s">
        <v>3696</v>
      </c>
      <c r="L912" s="21" t="s">
        <v>1332</v>
      </c>
      <c r="M912" s="21"/>
    </row>
    <row r="913" spans="1:13" ht="15" hidden="1" customHeight="1" x14ac:dyDescent="0.25">
      <c r="A913" s="21" t="s">
        <v>3697</v>
      </c>
      <c r="B913" s="22" t="s">
        <v>2823</v>
      </c>
      <c r="C913" s="22" t="s">
        <v>1095</v>
      </c>
      <c r="D913" s="21" t="s">
        <v>119</v>
      </c>
      <c r="E913" s="21" t="s">
        <v>1265</v>
      </c>
      <c r="F913" s="21" t="s">
        <v>1265</v>
      </c>
      <c r="G913" s="21"/>
      <c r="H913" s="21" t="s">
        <v>1314</v>
      </c>
      <c r="I913" s="21" t="s">
        <v>1735</v>
      </c>
      <c r="J913" s="21" t="s">
        <v>2316</v>
      </c>
      <c r="K913" s="22" t="s">
        <v>3698</v>
      </c>
      <c r="L913" s="21" t="s">
        <v>1332</v>
      </c>
      <c r="M913" s="21" t="s">
        <v>1819</v>
      </c>
    </row>
    <row r="914" spans="1:13" ht="15" hidden="1" customHeight="1" x14ac:dyDescent="0.25">
      <c r="A914" s="21" t="s">
        <v>3699</v>
      </c>
      <c r="B914" s="22" t="s">
        <v>2825</v>
      </c>
      <c r="C914" s="22" t="s">
        <v>1096</v>
      </c>
      <c r="D914" s="21" t="s">
        <v>119</v>
      </c>
      <c r="E914" s="21" t="s">
        <v>1265</v>
      </c>
      <c r="F914" s="21" t="s">
        <v>1265</v>
      </c>
      <c r="G914" s="21"/>
      <c r="H914" s="21" t="s">
        <v>1314</v>
      </c>
      <c r="I914" s="21" t="s">
        <v>1735</v>
      </c>
      <c r="J914" s="21" t="s">
        <v>2316</v>
      </c>
      <c r="K914" s="22" t="s">
        <v>3700</v>
      </c>
      <c r="L914" s="21" t="s">
        <v>1332</v>
      </c>
      <c r="M914" s="21" t="s">
        <v>1819</v>
      </c>
    </row>
    <row r="915" spans="1:13" ht="15" hidden="1" customHeight="1" x14ac:dyDescent="0.25">
      <c r="A915" s="21" t="s">
        <v>3701</v>
      </c>
      <c r="B915" s="22" t="s">
        <v>2827</v>
      </c>
      <c r="C915" s="22" t="s">
        <v>1097</v>
      </c>
      <c r="D915" s="21" t="s">
        <v>119</v>
      </c>
      <c r="E915" s="21" t="s">
        <v>1265</v>
      </c>
      <c r="F915" s="21" t="s">
        <v>1265</v>
      </c>
      <c r="G915" s="21"/>
      <c r="H915" s="21" t="s">
        <v>1314</v>
      </c>
      <c r="I915" s="21" t="s">
        <v>1735</v>
      </c>
      <c r="J915" s="21" t="s">
        <v>2316</v>
      </c>
      <c r="K915" s="22" t="s">
        <v>3702</v>
      </c>
      <c r="L915" s="21" t="s">
        <v>1332</v>
      </c>
      <c r="M915" s="21" t="s">
        <v>1819</v>
      </c>
    </row>
    <row r="916" spans="1:13" ht="15" hidden="1" customHeight="1" x14ac:dyDescent="0.25">
      <c r="A916" s="21" t="s">
        <v>3703</v>
      </c>
      <c r="B916" s="22" t="s">
        <v>2830</v>
      </c>
      <c r="C916" s="22" t="s">
        <v>1098</v>
      </c>
      <c r="D916" s="21" t="s">
        <v>119</v>
      </c>
      <c r="E916" s="21" t="s">
        <v>1265</v>
      </c>
      <c r="F916" s="21" t="s">
        <v>1265</v>
      </c>
      <c r="G916" s="21"/>
      <c r="H916" s="21" t="s">
        <v>1314</v>
      </c>
      <c r="I916" s="21" t="s">
        <v>1735</v>
      </c>
      <c r="J916" s="21" t="s">
        <v>2316</v>
      </c>
      <c r="K916" s="22" t="s">
        <v>3704</v>
      </c>
      <c r="L916" s="21" t="s">
        <v>1332</v>
      </c>
      <c r="M916" s="21" t="s">
        <v>1819</v>
      </c>
    </row>
    <row r="917" spans="1:13" ht="15" hidden="1" customHeight="1" x14ac:dyDescent="0.25">
      <c r="A917" s="21" t="s">
        <v>3705</v>
      </c>
      <c r="B917" s="22" t="s">
        <v>2832</v>
      </c>
      <c r="C917" s="22" t="s">
        <v>1099</v>
      </c>
      <c r="D917" s="21" t="s">
        <v>119</v>
      </c>
      <c r="E917" s="21" t="s">
        <v>1265</v>
      </c>
      <c r="F917" s="21" t="s">
        <v>1265</v>
      </c>
      <c r="G917" s="21"/>
      <c r="H917" s="21" t="s">
        <v>1314</v>
      </c>
      <c r="I917" s="21" t="s">
        <v>1735</v>
      </c>
      <c r="J917" s="21" t="s">
        <v>2316</v>
      </c>
      <c r="K917" s="22" t="s">
        <v>3706</v>
      </c>
      <c r="L917" s="21" t="s">
        <v>1332</v>
      </c>
      <c r="M917" s="21" t="s">
        <v>1819</v>
      </c>
    </row>
    <row r="918" spans="1:13" ht="15" hidden="1" customHeight="1" x14ac:dyDescent="0.25">
      <c r="A918" s="21" t="s">
        <v>3707</v>
      </c>
      <c r="B918" s="22" t="s">
        <v>2835</v>
      </c>
      <c r="C918" s="22" t="s">
        <v>1100</v>
      </c>
      <c r="D918" s="21" t="s">
        <v>119</v>
      </c>
      <c r="E918" s="21" t="s">
        <v>1265</v>
      </c>
      <c r="F918" s="21" t="s">
        <v>1265</v>
      </c>
      <c r="G918" s="21"/>
      <c r="H918" s="21" t="s">
        <v>1314</v>
      </c>
      <c r="I918" s="21" t="s">
        <v>1735</v>
      </c>
      <c r="J918" s="21" t="s">
        <v>2316</v>
      </c>
      <c r="K918" s="22" t="s">
        <v>3708</v>
      </c>
      <c r="L918" s="21" t="s">
        <v>1332</v>
      </c>
      <c r="M918" s="21" t="s">
        <v>1819</v>
      </c>
    </row>
    <row r="919" spans="1:13" ht="15" hidden="1" customHeight="1" x14ac:dyDescent="0.25">
      <c r="A919" s="21" t="s">
        <v>3709</v>
      </c>
      <c r="B919" s="22" t="s">
        <v>2838</v>
      </c>
      <c r="C919" s="22" t="s">
        <v>1101</v>
      </c>
      <c r="D919" s="21" t="s">
        <v>119</v>
      </c>
      <c r="E919" s="21" t="s">
        <v>1265</v>
      </c>
      <c r="F919" s="21" t="s">
        <v>1265</v>
      </c>
      <c r="G919" s="21"/>
      <c r="H919" s="21" t="s">
        <v>1314</v>
      </c>
      <c r="I919" s="21" t="s">
        <v>1735</v>
      </c>
      <c r="J919" s="21" t="s">
        <v>2316</v>
      </c>
      <c r="K919" s="22" t="s">
        <v>3710</v>
      </c>
      <c r="L919" s="21" t="s">
        <v>1332</v>
      </c>
      <c r="M919" s="21" t="s">
        <v>1819</v>
      </c>
    </row>
    <row r="920" spans="1:13" ht="15" hidden="1" customHeight="1" x14ac:dyDescent="0.25">
      <c r="A920" s="21" t="s">
        <v>3711</v>
      </c>
      <c r="B920" s="22" t="s">
        <v>2840</v>
      </c>
      <c r="C920" s="22" t="s">
        <v>1102</v>
      </c>
      <c r="D920" s="21" t="s">
        <v>119</v>
      </c>
      <c r="E920" s="21" t="s">
        <v>1265</v>
      </c>
      <c r="F920" s="21" t="s">
        <v>1265</v>
      </c>
      <c r="G920" s="21"/>
      <c r="H920" s="21" t="s">
        <v>1314</v>
      </c>
      <c r="I920" s="21" t="s">
        <v>1735</v>
      </c>
      <c r="J920" s="21" t="s">
        <v>2316</v>
      </c>
      <c r="K920" s="22" t="s">
        <v>3712</v>
      </c>
      <c r="L920" s="21" t="s">
        <v>1332</v>
      </c>
      <c r="M920" s="21" t="s">
        <v>1819</v>
      </c>
    </row>
    <row r="921" spans="1:13" ht="15" hidden="1" customHeight="1" x14ac:dyDescent="0.25">
      <c r="A921" s="21" t="s">
        <v>3713</v>
      </c>
      <c r="B921" s="22" t="s">
        <v>2842</v>
      </c>
      <c r="C921" s="22" t="s">
        <v>1103</v>
      </c>
      <c r="D921" s="21" t="s">
        <v>119</v>
      </c>
      <c r="E921" s="21" t="s">
        <v>1265</v>
      </c>
      <c r="F921" s="21" t="s">
        <v>1265</v>
      </c>
      <c r="G921" s="21"/>
      <c r="H921" s="21" t="s">
        <v>1314</v>
      </c>
      <c r="I921" s="21" t="s">
        <v>1735</v>
      </c>
      <c r="J921" s="21" t="s">
        <v>2316</v>
      </c>
      <c r="K921" s="22" t="s">
        <v>3714</v>
      </c>
      <c r="L921" s="21" t="s">
        <v>1332</v>
      </c>
      <c r="M921" s="21" t="s">
        <v>1819</v>
      </c>
    </row>
    <row r="922" spans="1:13" ht="15" hidden="1" customHeight="1" x14ac:dyDescent="0.25">
      <c r="A922" s="21" t="s">
        <v>3715</v>
      </c>
      <c r="B922" s="22" t="s">
        <v>2844</v>
      </c>
      <c r="C922" s="22" t="s">
        <v>1104</v>
      </c>
      <c r="D922" s="21" t="s">
        <v>119</v>
      </c>
      <c r="E922" s="21" t="s">
        <v>1194</v>
      </c>
      <c r="F922" s="21" t="s">
        <v>2731</v>
      </c>
      <c r="G922" s="21" t="s">
        <v>3716</v>
      </c>
      <c r="H922" s="21" t="s">
        <v>1314</v>
      </c>
      <c r="I922" s="21" t="s">
        <v>3717</v>
      </c>
      <c r="J922" s="21" t="s">
        <v>2461</v>
      </c>
      <c r="K922" s="22" t="s">
        <v>3718</v>
      </c>
      <c r="L922" s="21" t="s">
        <v>1733</v>
      </c>
      <c r="M922" s="21" t="s">
        <v>1819</v>
      </c>
    </row>
    <row r="923" spans="1:13" ht="15" hidden="1" customHeight="1" x14ac:dyDescent="0.25">
      <c r="A923" s="21" t="s">
        <v>3719</v>
      </c>
      <c r="B923" s="22" t="s">
        <v>2847</v>
      </c>
      <c r="C923" s="22" t="s">
        <v>1105</v>
      </c>
      <c r="D923" s="21" t="s">
        <v>119</v>
      </c>
      <c r="E923" s="21" t="s">
        <v>1194</v>
      </c>
      <c r="F923" s="21" t="s">
        <v>2731</v>
      </c>
      <c r="G923" s="21" t="s">
        <v>3720</v>
      </c>
      <c r="H923" s="21" t="s">
        <v>1314</v>
      </c>
      <c r="I923" s="21" t="s">
        <v>3717</v>
      </c>
      <c r="J923" s="21" t="s">
        <v>2461</v>
      </c>
      <c r="K923" s="22" t="s">
        <v>3721</v>
      </c>
      <c r="L923" s="21" t="s">
        <v>1733</v>
      </c>
      <c r="M923" s="21" t="s">
        <v>1819</v>
      </c>
    </row>
    <row r="924" spans="1:13" ht="15" hidden="1" customHeight="1" x14ac:dyDescent="0.25">
      <c r="A924" s="21" t="s">
        <v>3722</v>
      </c>
      <c r="B924" s="22" t="s">
        <v>2849</v>
      </c>
      <c r="C924" s="22" t="s">
        <v>1106</v>
      </c>
      <c r="D924" s="21" t="s">
        <v>119</v>
      </c>
      <c r="E924" s="21" t="s">
        <v>1194</v>
      </c>
      <c r="F924" s="21" t="s">
        <v>2731</v>
      </c>
      <c r="G924" s="21" t="s">
        <v>3716</v>
      </c>
      <c r="H924" s="21" t="s">
        <v>1314</v>
      </c>
      <c r="I924" s="21" t="s">
        <v>3717</v>
      </c>
      <c r="J924" s="21" t="s">
        <v>2461</v>
      </c>
      <c r="K924" s="22" t="s">
        <v>3723</v>
      </c>
      <c r="L924" s="21" t="s">
        <v>1733</v>
      </c>
      <c r="M924" s="21" t="s">
        <v>1819</v>
      </c>
    </row>
    <row r="925" spans="1:13" ht="15" hidden="1" customHeight="1" x14ac:dyDescent="0.25">
      <c r="A925" s="21" t="s">
        <v>3724</v>
      </c>
      <c r="B925" s="22" t="s">
        <v>2851</v>
      </c>
      <c r="C925" s="22" t="s">
        <v>1107</v>
      </c>
      <c r="D925" s="21" t="s">
        <v>119</v>
      </c>
      <c r="E925" s="21" t="s">
        <v>1194</v>
      </c>
      <c r="F925" s="21" t="s">
        <v>2731</v>
      </c>
      <c r="G925" s="21" t="s">
        <v>3720</v>
      </c>
      <c r="H925" s="21" t="s">
        <v>1314</v>
      </c>
      <c r="I925" s="21" t="s">
        <v>3717</v>
      </c>
      <c r="J925" s="21" t="s">
        <v>2461</v>
      </c>
      <c r="K925" s="22" t="s">
        <v>3725</v>
      </c>
      <c r="L925" s="21" t="s">
        <v>1733</v>
      </c>
      <c r="M925" s="21" t="s">
        <v>1819</v>
      </c>
    </row>
    <row r="926" spans="1:13" ht="15" hidden="1" customHeight="1" x14ac:dyDescent="0.25">
      <c r="A926" s="21" t="s">
        <v>3726</v>
      </c>
      <c r="B926" s="22" t="s">
        <v>1282</v>
      </c>
      <c r="C926" s="22"/>
      <c r="D926" s="21" t="s">
        <v>84</v>
      </c>
      <c r="E926" s="21"/>
      <c r="F926" s="21"/>
      <c r="G926" s="21"/>
      <c r="H926" s="21"/>
      <c r="I926" s="21"/>
      <c r="J926" s="21"/>
      <c r="K926" s="22"/>
      <c r="L926" s="21"/>
      <c r="M926" s="21"/>
    </row>
    <row r="927" spans="1:13" ht="15" hidden="1" customHeight="1" x14ac:dyDescent="0.25">
      <c r="A927" s="21" t="s">
        <v>3727</v>
      </c>
      <c r="B927" s="22" t="s">
        <v>1292</v>
      </c>
      <c r="C927" s="22"/>
      <c r="D927" s="21" t="s">
        <v>84</v>
      </c>
      <c r="E927" s="21"/>
      <c r="F927" s="21"/>
      <c r="G927" s="21"/>
      <c r="H927" s="21"/>
      <c r="I927" s="21"/>
      <c r="J927" s="21"/>
      <c r="K927" s="22"/>
      <c r="L927" s="21"/>
      <c r="M927" s="21"/>
    </row>
    <row r="928" spans="1:13" ht="15" hidden="1" customHeight="1" x14ac:dyDescent="0.25">
      <c r="A928" s="21" t="s">
        <v>3728</v>
      </c>
      <c r="B928" s="22" t="s">
        <v>1297</v>
      </c>
      <c r="C928" s="22"/>
      <c r="D928" s="21" t="s">
        <v>84</v>
      </c>
      <c r="E928" s="21"/>
      <c r="F928" s="21"/>
      <c r="G928" s="21"/>
      <c r="H928" s="21"/>
      <c r="I928" s="21"/>
      <c r="J928" s="21"/>
      <c r="K928" s="22"/>
      <c r="L928" s="21"/>
      <c r="M928" s="21"/>
    </row>
    <row r="929" spans="1:13" ht="15" hidden="1" customHeight="1" x14ac:dyDescent="0.25">
      <c r="A929" s="21" t="s">
        <v>3729</v>
      </c>
      <c r="B929" s="22" t="s">
        <v>1300</v>
      </c>
      <c r="C929" s="22"/>
      <c r="D929" s="21" t="s">
        <v>84</v>
      </c>
      <c r="E929" s="21"/>
      <c r="F929" s="21"/>
      <c r="G929" s="21"/>
      <c r="H929" s="21"/>
      <c r="I929" s="21"/>
      <c r="J929" s="21"/>
      <c r="K929" s="22"/>
      <c r="L929" s="21"/>
      <c r="M929" s="21"/>
    </row>
    <row r="930" spans="1:13" ht="15" hidden="1" customHeight="1" x14ac:dyDescent="0.25">
      <c r="A930" s="21" t="s">
        <v>3730</v>
      </c>
      <c r="B930" s="22" t="s">
        <v>1303</v>
      </c>
      <c r="C930" s="22" t="s">
        <v>1108</v>
      </c>
      <c r="D930" s="21" t="s">
        <v>84</v>
      </c>
      <c r="E930" s="21" t="s">
        <v>1211</v>
      </c>
      <c r="F930" s="21" t="s">
        <v>1211</v>
      </c>
      <c r="G930" s="21" t="s">
        <v>1623</v>
      </c>
      <c r="H930" s="21" t="s">
        <v>1314</v>
      </c>
      <c r="I930" s="21" t="s">
        <v>3731</v>
      </c>
      <c r="J930" s="21" t="s">
        <v>3732</v>
      </c>
      <c r="K930" s="22" t="s">
        <v>3733</v>
      </c>
      <c r="L930" s="21" t="s">
        <v>1500</v>
      </c>
      <c r="M930" s="21"/>
    </row>
    <row r="931" spans="1:13" ht="15" hidden="1" customHeight="1" x14ac:dyDescent="0.25">
      <c r="A931" s="21" t="s">
        <v>3734</v>
      </c>
      <c r="B931" s="22" t="s">
        <v>1306</v>
      </c>
      <c r="C931" s="22" t="s">
        <v>1109</v>
      </c>
      <c r="D931" s="21" t="s">
        <v>84</v>
      </c>
      <c r="E931" s="21" t="s">
        <v>1211</v>
      </c>
      <c r="F931" s="21" t="s">
        <v>1211</v>
      </c>
      <c r="G931" s="21" t="s">
        <v>1623</v>
      </c>
      <c r="H931" s="21" t="s">
        <v>1314</v>
      </c>
      <c r="I931" s="21" t="s">
        <v>3731</v>
      </c>
      <c r="J931" s="21" t="s">
        <v>3732</v>
      </c>
      <c r="K931" s="22" t="s">
        <v>3735</v>
      </c>
      <c r="L931" s="21" t="s">
        <v>1420</v>
      </c>
      <c r="M931" s="21"/>
    </row>
    <row r="932" spans="1:13" ht="15" hidden="1" customHeight="1" x14ac:dyDescent="0.25">
      <c r="A932" s="21" t="s">
        <v>3736</v>
      </c>
      <c r="B932" s="22" t="s">
        <v>1312</v>
      </c>
      <c r="C932" s="22"/>
      <c r="D932" s="21" t="s">
        <v>84</v>
      </c>
      <c r="E932" s="21"/>
      <c r="F932" s="21"/>
      <c r="G932" s="21"/>
      <c r="H932" s="21"/>
      <c r="I932" s="21"/>
      <c r="J932" s="21"/>
      <c r="K932" s="22"/>
      <c r="L932" s="21"/>
      <c r="M932" s="21"/>
    </row>
    <row r="933" spans="1:13" ht="15" hidden="1" customHeight="1" x14ac:dyDescent="0.25">
      <c r="A933" s="21" t="s">
        <v>3737</v>
      </c>
      <c r="B933" s="22" t="s">
        <v>1320</v>
      </c>
      <c r="C933" s="22" t="s">
        <v>86</v>
      </c>
      <c r="D933" s="21" t="s">
        <v>84</v>
      </c>
      <c r="E933" s="21" t="s">
        <v>1254</v>
      </c>
      <c r="F933" s="21"/>
      <c r="G933" s="21"/>
      <c r="H933" s="21" t="s">
        <v>1314</v>
      </c>
      <c r="I933" s="21" t="s">
        <v>3731</v>
      </c>
      <c r="J933" s="21" t="s">
        <v>3732</v>
      </c>
      <c r="K933" s="22" t="s">
        <v>85</v>
      </c>
      <c r="L933" s="21" t="s">
        <v>1451</v>
      </c>
      <c r="M933" s="21"/>
    </row>
    <row r="934" spans="1:13" ht="15" hidden="1" customHeight="1" x14ac:dyDescent="0.25">
      <c r="A934" s="21" t="s">
        <v>3738</v>
      </c>
      <c r="B934" s="22" t="s">
        <v>1323</v>
      </c>
      <c r="C934" s="22"/>
      <c r="D934" s="21" t="s">
        <v>84</v>
      </c>
      <c r="E934" s="21"/>
      <c r="F934" s="21"/>
      <c r="G934" s="21"/>
      <c r="H934" s="21"/>
      <c r="I934" s="21"/>
      <c r="J934" s="21"/>
      <c r="K934" s="22"/>
      <c r="L934" s="21"/>
      <c r="M934" s="21"/>
    </row>
    <row r="935" spans="1:13" ht="15" hidden="1" customHeight="1" x14ac:dyDescent="0.25">
      <c r="A935" s="21" t="s">
        <v>3739</v>
      </c>
      <c r="B935" s="22" t="s">
        <v>1326</v>
      </c>
      <c r="C935" s="22"/>
      <c r="D935" s="21" t="s">
        <v>84</v>
      </c>
      <c r="E935" s="21"/>
      <c r="F935" s="21"/>
      <c r="G935" s="21"/>
      <c r="H935" s="21"/>
      <c r="I935" s="21"/>
      <c r="J935" s="21"/>
      <c r="K935" s="22"/>
      <c r="L935" s="21"/>
      <c r="M935" s="21"/>
    </row>
    <row r="936" spans="1:13" ht="15" hidden="1" customHeight="1" x14ac:dyDescent="0.25">
      <c r="A936" s="21" t="s">
        <v>3740</v>
      </c>
      <c r="B936" s="22" t="s">
        <v>1327</v>
      </c>
      <c r="C936" s="22"/>
      <c r="D936" s="21" t="s">
        <v>84</v>
      </c>
      <c r="E936" s="21"/>
      <c r="F936" s="21"/>
      <c r="G936" s="21"/>
      <c r="H936" s="21"/>
      <c r="I936" s="21"/>
      <c r="J936" s="21"/>
      <c r="K936" s="22"/>
      <c r="L936" s="21"/>
      <c r="M936" s="21"/>
    </row>
    <row r="937" spans="1:13" ht="15" hidden="1" customHeight="1" x14ac:dyDescent="0.25">
      <c r="A937" s="21" t="s">
        <v>3741</v>
      </c>
      <c r="B937" s="22" t="s">
        <v>1333</v>
      </c>
      <c r="C937" s="22" t="s">
        <v>1110</v>
      </c>
      <c r="D937" s="21" t="s">
        <v>84</v>
      </c>
      <c r="E937" s="21" t="s">
        <v>1254</v>
      </c>
      <c r="F937" s="21"/>
      <c r="G937" s="21"/>
      <c r="H937" s="21" t="s">
        <v>1286</v>
      </c>
      <c r="I937" s="21" t="s">
        <v>3731</v>
      </c>
      <c r="J937" s="21" t="s">
        <v>3742</v>
      </c>
      <c r="K937" s="22" t="s">
        <v>3743</v>
      </c>
      <c r="L937" s="21" t="s">
        <v>1733</v>
      </c>
      <c r="M937" s="21"/>
    </row>
    <row r="938" spans="1:13" ht="15" hidden="1" customHeight="1" x14ac:dyDescent="0.25">
      <c r="A938" s="21" t="s">
        <v>3744</v>
      </c>
      <c r="B938" s="22" t="s">
        <v>1334</v>
      </c>
      <c r="C938" s="22" t="s">
        <v>1111</v>
      </c>
      <c r="D938" s="21" t="s">
        <v>84</v>
      </c>
      <c r="E938" s="21" t="s">
        <v>1254</v>
      </c>
      <c r="F938" s="21"/>
      <c r="G938" s="21"/>
      <c r="H938" s="21" t="s">
        <v>1286</v>
      </c>
      <c r="I938" s="21" t="s">
        <v>3731</v>
      </c>
      <c r="J938" s="21" t="s">
        <v>3742</v>
      </c>
      <c r="K938" s="22" t="s">
        <v>3745</v>
      </c>
      <c r="L938" s="21" t="s">
        <v>1733</v>
      </c>
      <c r="M938" s="21"/>
    </row>
    <row r="939" spans="1:13" ht="15" hidden="1" customHeight="1" x14ac:dyDescent="0.25">
      <c r="A939" s="21" t="s">
        <v>3746</v>
      </c>
      <c r="B939" s="22" t="s">
        <v>1335</v>
      </c>
      <c r="C939" s="22" t="s">
        <v>1112</v>
      </c>
      <c r="D939" s="21" t="s">
        <v>84</v>
      </c>
      <c r="E939" s="21" t="s">
        <v>1254</v>
      </c>
      <c r="F939" s="21"/>
      <c r="G939" s="21"/>
      <c r="H939" s="21" t="s">
        <v>1286</v>
      </c>
      <c r="I939" s="21" t="s">
        <v>3731</v>
      </c>
      <c r="J939" s="21" t="s">
        <v>3742</v>
      </c>
      <c r="K939" s="22" t="s">
        <v>3747</v>
      </c>
      <c r="L939" s="21" t="s">
        <v>1733</v>
      </c>
      <c r="M939" s="21"/>
    </row>
    <row r="940" spans="1:13" ht="15" hidden="1" customHeight="1" x14ac:dyDescent="0.25">
      <c r="A940" s="21" t="s">
        <v>3748</v>
      </c>
      <c r="B940" s="22" t="s">
        <v>1336</v>
      </c>
      <c r="C940" s="22"/>
      <c r="D940" s="21" t="s">
        <v>84</v>
      </c>
      <c r="E940" s="21"/>
      <c r="F940" s="21"/>
      <c r="G940" s="21"/>
      <c r="H940" s="21"/>
      <c r="I940" s="21"/>
      <c r="J940" s="21"/>
      <c r="K940" s="22"/>
      <c r="L940" s="21"/>
      <c r="M940" s="21"/>
    </row>
    <row r="941" spans="1:13" ht="15" hidden="1" customHeight="1" x14ac:dyDescent="0.25">
      <c r="A941" s="21" t="s">
        <v>3749</v>
      </c>
      <c r="B941" s="22" t="s">
        <v>1337</v>
      </c>
      <c r="C941" s="22"/>
      <c r="D941" s="21" t="s">
        <v>84</v>
      </c>
      <c r="E941" s="21"/>
      <c r="F941" s="21"/>
      <c r="G941" s="21"/>
      <c r="H941" s="21"/>
      <c r="I941" s="21"/>
      <c r="J941" s="21"/>
      <c r="K941" s="22"/>
      <c r="L941" s="21"/>
      <c r="M941" s="21"/>
    </row>
    <row r="942" spans="1:13" ht="15" hidden="1" customHeight="1" x14ac:dyDescent="0.25">
      <c r="A942" s="21" t="s">
        <v>3750</v>
      </c>
      <c r="B942" s="22" t="s">
        <v>1340</v>
      </c>
      <c r="C942" s="22"/>
      <c r="D942" s="21" t="s">
        <v>84</v>
      </c>
      <c r="E942" s="21"/>
      <c r="F942" s="21"/>
      <c r="G942" s="21"/>
      <c r="H942" s="21"/>
      <c r="I942" s="21"/>
      <c r="J942" s="21"/>
      <c r="K942" s="22"/>
      <c r="L942" s="21"/>
      <c r="M942" s="21"/>
    </row>
    <row r="943" spans="1:13" ht="15" hidden="1" customHeight="1" x14ac:dyDescent="0.25">
      <c r="A943" s="21" t="s">
        <v>3751</v>
      </c>
      <c r="B943" s="22" t="s">
        <v>1341</v>
      </c>
      <c r="C943" s="22"/>
      <c r="D943" s="21" t="s">
        <v>84</v>
      </c>
      <c r="E943" s="21"/>
      <c r="F943" s="21"/>
      <c r="G943" s="21"/>
      <c r="H943" s="21"/>
      <c r="I943" s="21"/>
      <c r="J943" s="21"/>
      <c r="K943" s="22"/>
      <c r="L943" s="21"/>
      <c r="M943" s="21"/>
    </row>
    <row r="944" spans="1:13" ht="15" hidden="1" customHeight="1" x14ac:dyDescent="0.25">
      <c r="A944" s="21" t="s">
        <v>3752</v>
      </c>
      <c r="B944" s="22" t="s">
        <v>1345</v>
      </c>
      <c r="C944" s="22" t="s">
        <v>1113</v>
      </c>
      <c r="D944" s="21" t="s">
        <v>84</v>
      </c>
      <c r="E944" s="21" t="s">
        <v>1211</v>
      </c>
      <c r="F944" s="21" t="s">
        <v>1211</v>
      </c>
      <c r="G944" s="21" t="s">
        <v>1623</v>
      </c>
      <c r="H944" s="21" t="s">
        <v>1314</v>
      </c>
      <c r="I944" s="21" t="s">
        <v>3731</v>
      </c>
      <c r="J944" s="21" t="s">
        <v>3753</v>
      </c>
      <c r="K944" s="22" t="s">
        <v>3754</v>
      </c>
      <c r="L944" s="21" t="s">
        <v>1344</v>
      </c>
      <c r="M944" s="21"/>
    </row>
    <row r="945" spans="1:13" ht="15" hidden="1" customHeight="1" x14ac:dyDescent="0.25">
      <c r="A945" s="21" t="s">
        <v>3755</v>
      </c>
      <c r="B945" s="22" t="s">
        <v>1348</v>
      </c>
      <c r="C945" s="22" t="s">
        <v>1114</v>
      </c>
      <c r="D945" s="21" t="s">
        <v>84</v>
      </c>
      <c r="E945" s="21" t="s">
        <v>1263</v>
      </c>
      <c r="F945" s="21" t="s">
        <v>1674</v>
      </c>
      <c r="G945" s="21"/>
      <c r="H945" s="21" t="s">
        <v>1314</v>
      </c>
      <c r="I945" s="21" t="s">
        <v>3756</v>
      </c>
      <c r="J945" s="21" t="s">
        <v>3757</v>
      </c>
      <c r="K945" s="22" t="s">
        <v>3758</v>
      </c>
      <c r="L945" s="21" t="s">
        <v>1599</v>
      </c>
      <c r="M945" s="21"/>
    </row>
    <row r="946" spans="1:13" ht="15" hidden="1" customHeight="1" x14ac:dyDescent="0.25">
      <c r="A946" s="21" t="s">
        <v>3759</v>
      </c>
      <c r="B946" s="22" t="s">
        <v>1351</v>
      </c>
      <c r="C946" s="22" t="s">
        <v>1115</v>
      </c>
      <c r="D946" s="21" t="s">
        <v>84</v>
      </c>
      <c r="E946" s="21" t="s">
        <v>1254</v>
      </c>
      <c r="F946" s="21"/>
      <c r="G946" s="21"/>
      <c r="H946" s="21" t="s">
        <v>1314</v>
      </c>
      <c r="I946" s="21" t="s">
        <v>3731</v>
      </c>
      <c r="J946" s="21" t="s">
        <v>3760</v>
      </c>
      <c r="K946" s="22" t="s">
        <v>3761</v>
      </c>
      <c r="L946" s="21" t="s">
        <v>1641</v>
      </c>
      <c r="M946" s="21"/>
    </row>
    <row r="947" spans="1:13" ht="15" hidden="1" customHeight="1" x14ac:dyDescent="0.25">
      <c r="A947" s="21" t="s">
        <v>3762</v>
      </c>
      <c r="B947" s="22" t="s">
        <v>1354</v>
      </c>
      <c r="C947" s="22" t="s">
        <v>1116</v>
      </c>
      <c r="D947" s="21" t="s">
        <v>84</v>
      </c>
      <c r="E947" s="21" t="s">
        <v>1254</v>
      </c>
      <c r="F947" s="21"/>
      <c r="G947" s="21"/>
      <c r="H947" s="21" t="s">
        <v>1314</v>
      </c>
      <c r="I947" s="21" t="s">
        <v>3731</v>
      </c>
      <c r="J947" s="21" t="s">
        <v>3760</v>
      </c>
      <c r="K947" s="22" t="s">
        <v>3763</v>
      </c>
      <c r="L947" s="21" t="s">
        <v>1641</v>
      </c>
      <c r="M947" s="21"/>
    </row>
    <row r="948" spans="1:13" ht="15" hidden="1" customHeight="1" x14ac:dyDescent="0.25">
      <c r="A948" s="21" t="s">
        <v>3764</v>
      </c>
      <c r="B948" s="22" t="s">
        <v>1355</v>
      </c>
      <c r="C948" s="22" t="s">
        <v>1117</v>
      </c>
      <c r="D948" s="21" t="s">
        <v>84</v>
      </c>
      <c r="E948" s="21" t="s">
        <v>1254</v>
      </c>
      <c r="F948" s="21"/>
      <c r="G948" s="21"/>
      <c r="H948" s="21" t="s">
        <v>1314</v>
      </c>
      <c r="I948" s="21" t="s">
        <v>3731</v>
      </c>
      <c r="J948" s="21" t="s">
        <v>3760</v>
      </c>
      <c r="K948" s="22" t="s">
        <v>3765</v>
      </c>
      <c r="L948" s="21" t="s">
        <v>1641</v>
      </c>
      <c r="M948" s="21"/>
    </row>
    <row r="949" spans="1:13" ht="15" hidden="1" customHeight="1" x14ac:dyDescent="0.25">
      <c r="A949" s="21" t="s">
        <v>3766</v>
      </c>
      <c r="B949" s="22" t="s">
        <v>1356</v>
      </c>
      <c r="C949" s="22"/>
      <c r="D949" s="21" t="s">
        <v>84</v>
      </c>
      <c r="E949" s="21"/>
      <c r="F949" s="21"/>
      <c r="G949" s="21"/>
      <c r="H949" s="21"/>
      <c r="I949" s="21"/>
      <c r="J949" s="21"/>
      <c r="K949" s="22"/>
      <c r="L949" s="21"/>
      <c r="M949" s="21"/>
    </row>
    <row r="950" spans="1:13" ht="15" hidden="1" customHeight="1" x14ac:dyDescent="0.25">
      <c r="A950" s="21" t="s">
        <v>3767</v>
      </c>
      <c r="B950" s="22" t="s">
        <v>1359</v>
      </c>
      <c r="C950" s="22"/>
      <c r="D950" s="21" t="s">
        <v>84</v>
      </c>
      <c r="E950" s="21"/>
      <c r="F950" s="21"/>
      <c r="G950" s="21"/>
      <c r="H950" s="21"/>
      <c r="I950" s="21"/>
      <c r="J950" s="21"/>
      <c r="K950" s="22"/>
      <c r="L950" s="21"/>
      <c r="M950" s="21"/>
    </row>
    <row r="951" spans="1:13" ht="15" hidden="1" customHeight="1" x14ac:dyDescent="0.25">
      <c r="A951" s="21" t="s">
        <v>3768</v>
      </c>
      <c r="B951" s="22" t="s">
        <v>1360</v>
      </c>
      <c r="C951" s="22"/>
      <c r="D951" s="21" t="s">
        <v>84</v>
      </c>
      <c r="E951" s="21"/>
      <c r="F951" s="21"/>
      <c r="G951" s="21"/>
      <c r="H951" s="21"/>
      <c r="I951" s="21"/>
      <c r="J951" s="21"/>
      <c r="K951" s="22"/>
      <c r="L951" s="21"/>
      <c r="M951" s="21"/>
    </row>
    <row r="952" spans="1:13" ht="15" hidden="1" customHeight="1" x14ac:dyDescent="0.25">
      <c r="A952" s="21" t="s">
        <v>3769</v>
      </c>
      <c r="B952" s="22" t="s">
        <v>1361</v>
      </c>
      <c r="C952" s="22"/>
      <c r="D952" s="21" t="s">
        <v>84</v>
      </c>
      <c r="E952" s="21"/>
      <c r="F952" s="21"/>
      <c r="G952" s="21"/>
      <c r="H952" s="21"/>
      <c r="I952" s="21"/>
      <c r="J952" s="21"/>
      <c r="K952" s="22"/>
      <c r="L952" s="21"/>
      <c r="M952" s="21"/>
    </row>
    <row r="953" spans="1:13" ht="15" hidden="1" customHeight="1" x14ac:dyDescent="0.25">
      <c r="A953" s="21" t="s">
        <v>3770</v>
      </c>
      <c r="B953" s="22" t="s">
        <v>1362</v>
      </c>
      <c r="C953" s="22"/>
      <c r="D953" s="21" t="s">
        <v>84</v>
      </c>
      <c r="E953" s="21"/>
      <c r="F953" s="21"/>
      <c r="G953" s="21"/>
      <c r="H953" s="21"/>
      <c r="I953" s="21"/>
      <c r="J953" s="21"/>
      <c r="K953" s="22"/>
      <c r="L953" s="21"/>
      <c r="M953" s="21"/>
    </row>
    <row r="954" spans="1:13" ht="15" hidden="1" customHeight="1" x14ac:dyDescent="0.25">
      <c r="A954" s="21" t="s">
        <v>3771</v>
      </c>
      <c r="B954" s="22" t="s">
        <v>1363</v>
      </c>
      <c r="C954" s="22"/>
      <c r="D954" s="21" t="s">
        <v>84</v>
      </c>
      <c r="E954" s="21"/>
      <c r="F954" s="21"/>
      <c r="G954" s="21"/>
      <c r="H954" s="21"/>
      <c r="I954" s="21"/>
      <c r="J954" s="21"/>
      <c r="K954" s="22"/>
      <c r="L954" s="21"/>
      <c r="M954" s="21"/>
    </row>
    <row r="955" spans="1:13" ht="15" hidden="1" customHeight="1" x14ac:dyDescent="0.25">
      <c r="A955" s="21" t="s">
        <v>3772</v>
      </c>
      <c r="B955" s="22" t="s">
        <v>1364</v>
      </c>
      <c r="C955" s="22" t="s">
        <v>1118</v>
      </c>
      <c r="D955" s="21" t="s">
        <v>84</v>
      </c>
      <c r="E955" s="21" t="s">
        <v>1211</v>
      </c>
      <c r="F955" s="21" t="s">
        <v>1211</v>
      </c>
      <c r="G955" s="21"/>
      <c r="H955" s="21" t="s">
        <v>1314</v>
      </c>
      <c r="I955" s="21" t="s">
        <v>3731</v>
      </c>
      <c r="J955" s="21" t="s">
        <v>3760</v>
      </c>
      <c r="K955" s="22" t="s">
        <v>3773</v>
      </c>
      <c r="L955" s="21" t="s">
        <v>1332</v>
      </c>
      <c r="M955" s="21"/>
    </row>
    <row r="956" spans="1:13" ht="15" hidden="1" customHeight="1" x14ac:dyDescent="0.25">
      <c r="A956" s="21" t="s">
        <v>3774</v>
      </c>
      <c r="B956" s="22" t="s">
        <v>1365</v>
      </c>
      <c r="C956" s="22" t="s">
        <v>1119</v>
      </c>
      <c r="D956" s="21" t="s">
        <v>84</v>
      </c>
      <c r="E956" s="21" t="s">
        <v>1211</v>
      </c>
      <c r="F956" s="21" t="s">
        <v>1211</v>
      </c>
      <c r="G956" s="21"/>
      <c r="H956" s="21" t="s">
        <v>1314</v>
      </c>
      <c r="I956" s="21" t="s">
        <v>3731</v>
      </c>
      <c r="J956" s="21" t="s">
        <v>3760</v>
      </c>
      <c r="K956" s="22" t="s">
        <v>3775</v>
      </c>
      <c r="L956" s="21" t="s">
        <v>1332</v>
      </c>
      <c r="M956" s="21"/>
    </row>
    <row r="957" spans="1:13" ht="15" hidden="1" customHeight="1" x14ac:dyDescent="0.25">
      <c r="A957" s="21" t="s">
        <v>3776</v>
      </c>
      <c r="B957" s="22" t="s">
        <v>1369</v>
      </c>
      <c r="C957" s="22" t="s">
        <v>1120</v>
      </c>
      <c r="D957" s="21" t="s">
        <v>84</v>
      </c>
      <c r="E957" s="21" t="s">
        <v>1211</v>
      </c>
      <c r="F957" s="21" t="s">
        <v>1211</v>
      </c>
      <c r="G957" s="21"/>
      <c r="H957" s="21" t="s">
        <v>1314</v>
      </c>
      <c r="I957" s="21" t="s">
        <v>3731</v>
      </c>
      <c r="J957" s="21" t="s">
        <v>3760</v>
      </c>
      <c r="K957" s="22" t="s">
        <v>3777</v>
      </c>
      <c r="L957" s="21" t="s">
        <v>1332</v>
      </c>
      <c r="M957" s="21"/>
    </row>
    <row r="958" spans="1:13" ht="15" hidden="1" customHeight="1" x14ac:dyDescent="0.25">
      <c r="A958" s="21" t="s">
        <v>3778</v>
      </c>
      <c r="B958" s="22" t="s">
        <v>1372</v>
      </c>
      <c r="C958" s="22" t="s">
        <v>102</v>
      </c>
      <c r="D958" s="21" t="s">
        <v>84</v>
      </c>
      <c r="E958" s="21" t="s">
        <v>1211</v>
      </c>
      <c r="F958" s="21" t="s">
        <v>1211</v>
      </c>
      <c r="G958" s="21"/>
      <c r="H958" s="21" t="s">
        <v>1314</v>
      </c>
      <c r="I958" s="21" t="s">
        <v>3731</v>
      </c>
      <c r="J958" s="21" t="s">
        <v>3760</v>
      </c>
      <c r="K958" s="22" t="s">
        <v>101</v>
      </c>
      <c r="L958" s="21" t="s">
        <v>1332</v>
      </c>
      <c r="M958" s="21"/>
    </row>
    <row r="959" spans="1:13" ht="15" hidden="1" customHeight="1" x14ac:dyDescent="0.25">
      <c r="A959" s="21" t="s">
        <v>3779</v>
      </c>
      <c r="B959" s="22" t="s">
        <v>1374</v>
      </c>
      <c r="C959" s="22" t="s">
        <v>1121</v>
      </c>
      <c r="D959" s="21" t="s">
        <v>84</v>
      </c>
      <c r="E959" s="21" t="s">
        <v>1211</v>
      </c>
      <c r="F959" s="21" t="s">
        <v>1211</v>
      </c>
      <c r="G959" s="21"/>
      <c r="H959" s="21" t="s">
        <v>1314</v>
      </c>
      <c r="I959" s="21" t="s">
        <v>3731</v>
      </c>
      <c r="J959" s="21" t="s">
        <v>3760</v>
      </c>
      <c r="K959" s="22" t="s">
        <v>3780</v>
      </c>
      <c r="L959" s="21" t="s">
        <v>1332</v>
      </c>
      <c r="M959" s="21"/>
    </row>
    <row r="960" spans="1:13" ht="15" hidden="1" customHeight="1" x14ac:dyDescent="0.25">
      <c r="A960" s="21" t="s">
        <v>3781</v>
      </c>
      <c r="B960" s="22" t="s">
        <v>1377</v>
      </c>
      <c r="C960" s="22" t="s">
        <v>1122</v>
      </c>
      <c r="D960" s="21" t="s">
        <v>84</v>
      </c>
      <c r="E960" s="21" t="s">
        <v>1211</v>
      </c>
      <c r="F960" s="21" t="s">
        <v>1211</v>
      </c>
      <c r="G960" s="21"/>
      <c r="H960" s="21" t="s">
        <v>1314</v>
      </c>
      <c r="I960" s="21" t="s">
        <v>3731</v>
      </c>
      <c r="J960" s="21" t="s">
        <v>3760</v>
      </c>
      <c r="K960" s="22" t="s">
        <v>3782</v>
      </c>
      <c r="L960" s="21" t="s">
        <v>1332</v>
      </c>
      <c r="M960" s="21"/>
    </row>
    <row r="961" spans="1:13" ht="15" hidden="1" customHeight="1" x14ac:dyDescent="0.25">
      <c r="A961" s="21" t="s">
        <v>3783</v>
      </c>
      <c r="B961" s="22" t="s">
        <v>1380</v>
      </c>
      <c r="C961" s="22" t="s">
        <v>1123</v>
      </c>
      <c r="D961" s="21" t="s">
        <v>84</v>
      </c>
      <c r="E961" s="21" t="s">
        <v>1211</v>
      </c>
      <c r="F961" s="21" t="s">
        <v>1211</v>
      </c>
      <c r="G961" s="21"/>
      <c r="H961" s="21" t="s">
        <v>1314</v>
      </c>
      <c r="I961" s="21" t="s">
        <v>3731</v>
      </c>
      <c r="J961" s="21" t="s">
        <v>3760</v>
      </c>
      <c r="K961" s="22" t="s">
        <v>3784</v>
      </c>
      <c r="L961" s="21" t="s">
        <v>1332</v>
      </c>
      <c r="M961" s="21"/>
    </row>
    <row r="962" spans="1:13" ht="15" hidden="1" customHeight="1" x14ac:dyDescent="0.25">
      <c r="A962" s="21" t="s">
        <v>3785</v>
      </c>
      <c r="B962" s="22" t="s">
        <v>1383</v>
      </c>
      <c r="C962" s="22" t="s">
        <v>1124</v>
      </c>
      <c r="D962" s="21" t="s">
        <v>84</v>
      </c>
      <c r="E962" s="21" t="s">
        <v>1211</v>
      </c>
      <c r="F962" s="21" t="s">
        <v>1211</v>
      </c>
      <c r="G962" s="21"/>
      <c r="H962" s="21" t="s">
        <v>1314</v>
      </c>
      <c r="I962" s="21" t="s">
        <v>3731</v>
      </c>
      <c r="J962" s="21" t="s">
        <v>3760</v>
      </c>
      <c r="K962" s="22" t="s">
        <v>3786</v>
      </c>
      <c r="L962" s="21" t="s">
        <v>1332</v>
      </c>
      <c r="M962" s="21"/>
    </row>
    <row r="963" spans="1:13" ht="15" hidden="1" customHeight="1" x14ac:dyDescent="0.25">
      <c r="A963" s="21" t="s">
        <v>3787</v>
      </c>
      <c r="B963" s="22" t="s">
        <v>1385</v>
      </c>
      <c r="C963" s="22" t="s">
        <v>1125</v>
      </c>
      <c r="D963" s="21" t="s">
        <v>84</v>
      </c>
      <c r="E963" s="21" t="s">
        <v>1211</v>
      </c>
      <c r="F963" s="21" t="s">
        <v>1211</v>
      </c>
      <c r="G963" s="21"/>
      <c r="H963" s="21" t="s">
        <v>1314</v>
      </c>
      <c r="I963" s="21" t="s">
        <v>3731</v>
      </c>
      <c r="J963" s="21" t="s">
        <v>3760</v>
      </c>
      <c r="K963" s="22" t="s">
        <v>3788</v>
      </c>
      <c r="L963" s="21" t="s">
        <v>1332</v>
      </c>
      <c r="M963" s="21"/>
    </row>
    <row r="964" spans="1:13" ht="15" hidden="1" customHeight="1" x14ac:dyDescent="0.25">
      <c r="A964" s="21" t="s">
        <v>3789</v>
      </c>
      <c r="B964" s="22" t="s">
        <v>1388</v>
      </c>
      <c r="C964" s="22" t="s">
        <v>97</v>
      </c>
      <c r="D964" s="21" t="s">
        <v>84</v>
      </c>
      <c r="E964" s="21" t="s">
        <v>1254</v>
      </c>
      <c r="F964" s="21" t="s">
        <v>3790</v>
      </c>
      <c r="G964" s="21"/>
      <c r="H964" s="21" t="s">
        <v>1314</v>
      </c>
      <c r="I964" s="21" t="s">
        <v>3731</v>
      </c>
      <c r="J964" s="21" t="s">
        <v>3760</v>
      </c>
      <c r="K964" s="22" t="s">
        <v>96</v>
      </c>
      <c r="L964" s="21" t="s">
        <v>1332</v>
      </c>
      <c r="M964" s="21"/>
    </row>
    <row r="965" spans="1:13" ht="15" hidden="1" customHeight="1" x14ac:dyDescent="0.25">
      <c r="A965" s="21" t="s">
        <v>3791</v>
      </c>
      <c r="B965" s="22" t="s">
        <v>1391</v>
      </c>
      <c r="C965" s="22" t="s">
        <v>107</v>
      </c>
      <c r="D965" s="21" t="s">
        <v>84</v>
      </c>
      <c r="E965" s="21" t="s">
        <v>1211</v>
      </c>
      <c r="F965" s="21" t="s">
        <v>1211</v>
      </c>
      <c r="G965" s="21"/>
      <c r="H965" s="21" t="s">
        <v>1314</v>
      </c>
      <c r="I965" s="21" t="s">
        <v>3731</v>
      </c>
      <c r="J965" s="21" t="s">
        <v>3792</v>
      </c>
      <c r="K965" s="22" t="s">
        <v>106</v>
      </c>
      <c r="L965" s="21" t="s">
        <v>1332</v>
      </c>
      <c r="M965" s="21"/>
    </row>
    <row r="966" spans="1:13" ht="15" hidden="1" customHeight="1" x14ac:dyDescent="0.25">
      <c r="A966" s="21" t="s">
        <v>3793</v>
      </c>
      <c r="B966" s="22" t="s">
        <v>1394</v>
      </c>
      <c r="C966" s="22" t="s">
        <v>1126</v>
      </c>
      <c r="D966" s="21" t="s">
        <v>84</v>
      </c>
      <c r="E966" s="21" t="s">
        <v>1211</v>
      </c>
      <c r="F966" s="21" t="s">
        <v>1211</v>
      </c>
      <c r="G966" s="21"/>
      <c r="H966" s="21" t="s">
        <v>1314</v>
      </c>
      <c r="I966" s="21" t="s">
        <v>3731</v>
      </c>
      <c r="J966" s="21" t="s">
        <v>3792</v>
      </c>
      <c r="K966" s="22" t="s">
        <v>3794</v>
      </c>
      <c r="L966" s="21" t="s">
        <v>1332</v>
      </c>
      <c r="M966" s="21"/>
    </row>
    <row r="967" spans="1:13" ht="15" hidden="1" customHeight="1" x14ac:dyDescent="0.25">
      <c r="A967" s="21" t="s">
        <v>3795</v>
      </c>
      <c r="B967" s="22" t="s">
        <v>1397</v>
      </c>
      <c r="C967" s="22" t="s">
        <v>3796</v>
      </c>
      <c r="D967" s="21" t="s">
        <v>84</v>
      </c>
      <c r="E967" s="21" t="s">
        <v>1211</v>
      </c>
      <c r="F967" s="21" t="s">
        <v>1211</v>
      </c>
      <c r="G967" s="21"/>
      <c r="H967" s="21" t="s">
        <v>1314</v>
      </c>
      <c r="I967" s="21" t="s">
        <v>3731</v>
      </c>
      <c r="J967" s="21" t="s">
        <v>3792</v>
      </c>
      <c r="K967" s="22" t="s">
        <v>3797</v>
      </c>
      <c r="L967" s="21" t="s">
        <v>1332</v>
      </c>
      <c r="M967" s="21"/>
    </row>
  </sheetData>
  <autoFilter ref="A1:M967" xr:uid="{00000000-0009-0000-0000-000007000000}">
    <filterColumn colId="2">
      <filters>
        <filter val="2-003526"/>
      </filters>
    </filterColumn>
  </autoFilter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3C5A8A"/>
  </sheetPr>
  <dimension ref="A1:K301"/>
  <sheetViews>
    <sheetView zoomScaleNormal="100" workbookViewId="0">
      <pane ySplit="1" topLeftCell="A2" activePane="bottomLeft" state="frozen"/>
      <selection pane="bottomLeft" activeCell="J16" sqref="J16"/>
    </sheetView>
  </sheetViews>
  <sheetFormatPr baseColWidth="10" defaultColWidth="8.7109375" defaultRowHeight="15" x14ac:dyDescent="0.25"/>
  <cols>
    <col min="1" max="1" width="20.28515625" customWidth="1"/>
    <col min="2" max="2" width="12" customWidth="1"/>
    <col min="3" max="3" width="22" customWidth="1"/>
    <col min="4" max="4" width="28" customWidth="1"/>
    <col min="5" max="5" width="22" customWidth="1"/>
    <col min="6" max="8" width="14" customWidth="1"/>
    <col min="9" max="9" width="20" customWidth="1"/>
    <col min="10" max="10" width="14" customWidth="1"/>
    <col min="11" max="11" width="13" customWidth="1"/>
  </cols>
  <sheetData>
    <row r="1" spans="1:11" ht="30" customHeight="1" x14ac:dyDescent="0.25">
      <c r="A1" s="13" t="s">
        <v>252</v>
      </c>
      <c r="B1" s="13" t="s">
        <v>31</v>
      </c>
      <c r="C1" s="13" t="s">
        <v>254</v>
      </c>
      <c r="D1" s="13" t="s">
        <v>32</v>
      </c>
      <c r="E1" s="23" t="s">
        <v>280</v>
      </c>
      <c r="F1" s="13" t="s">
        <v>65</v>
      </c>
      <c r="G1" s="23" t="s">
        <v>281</v>
      </c>
      <c r="H1" s="13" t="s">
        <v>3798</v>
      </c>
      <c r="I1" s="23" t="s">
        <v>282</v>
      </c>
      <c r="J1" s="13" t="s">
        <v>3799</v>
      </c>
      <c r="K1" s="13" t="s">
        <v>3800</v>
      </c>
    </row>
    <row r="2" spans="1:11" ht="15" customHeight="1" x14ac:dyDescent="0.25">
      <c r="A2" s="24" t="s">
        <v>3801</v>
      </c>
      <c r="B2" t="s">
        <v>3802</v>
      </c>
      <c r="C2" t="s">
        <v>113</v>
      </c>
      <c r="D2" t="s">
        <v>3803</v>
      </c>
      <c r="E2" s="25" t="str">
        <f>IFERROR(VLOOKUP(F2,Equipos!$C$2:$E$967,2,FALSE()),"")</f>
        <v xml:space="preserve">Ventilador Mecánico </v>
      </c>
      <c r="F2" s="24" t="s">
        <v>68</v>
      </c>
      <c r="G2" s="26" t="str">
        <f>IFERROR(VLOOKUP(F2,Equipos!$C$2:$K$967,9,FALSE()),"")</f>
        <v>ASHK-0151</v>
      </c>
      <c r="H2" t="s">
        <v>513</v>
      </c>
      <c r="I2" s="25" t="str">
        <f>IFERROR(VLOOKUP(F2,Equipos!$C$2:$E$967,3,FALSE()),"")</f>
        <v>UPC Adulto</v>
      </c>
      <c r="J2" t="s">
        <v>1152</v>
      </c>
      <c r="K2" t="s">
        <v>3804</v>
      </c>
    </row>
    <row r="3" spans="1:11" ht="15" customHeight="1" x14ac:dyDescent="0.25">
      <c r="A3" s="24" t="s">
        <v>3805</v>
      </c>
      <c r="B3" t="s">
        <v>3806</v>
      </c>
      <c r="C3" t="s">
        <v>113</v>
      </c>
      <c r="D3" t="s">
        <v>3807</v>
      </c>
      <c r="E3" s="25" t="str">
        <f>IFERROR(VLOOKUP(F3,Equipos!$C$2:$E$967,2,FALSE()),"")</f>
        <v xml:space="preserve">Ventilador Mecánico </v>
      </c>
      <c r="F3" s="24" t="s">
        <v>472</v>
      </c>
      <c r="G3" s="26" t="str">
        <f>IFERROR(VLOOKUP(F3,Equipos!$C$2:$K$967,9,FALSE()),"")</f>
        <v>27406</v>
      </c>
      <c r="H3" t="s">
        <v>513</v>
      </c>
      <c r="I3" s="25" t="str">
        <f>IFERROR(VLOOKUP(F3,Equipos!$C$2:$E$967,3,FALSE()),"")</f>
        <v xml:space="preserve">UPC Pediátrica </v>
      </c>
      <c r="J3" t="s">
        <v>1143</v>
      </c>
    </row>
    <row r="4" spans="1:11" ht="15" customHeight="1" x14ac:dyDescent="0.25">
      <c r="A4" s="24" t="s">
        <v>3808</v>
      </c>
      <c r="B4" t="s">
        <v>3809</v>
      </c>
      <c r="C4" t="s">
        <v>91</v>
      </c>
      <c r="D4" t="s">
        <v>3810</v>
      </c>
      <c r="E4" s="25" t="str">
        <f>IFERROR(VLOOKUP(F4,Equipos!$C$2:$E$967,2,FALSE()),"")</f>
        <v>Máquina Diálisis</v>
      </c>
      <c r="F4" s="24" t="s">
        <v>1115</v>
      </c>
      <c r="G4" s="26" t="str">
        <f>IFERROR(VLOOKUP(F4,Equipos!$C$2:$K$967,9,FALSE()),"")</f>
        <v>5SXAEL56</v>
      </c>
      <c r="H4" t="s">
        <v>461</v>
      </c>
      <c r="I4" s="25" t="str">
        <f>IFERROR(VLOOKUP(F4,Equipos!$C$2:$E$967,3,FALSE()),"")</f>
        <v>UPC Adulto</v>
      </c>
      <c r="J4" t="s">
        <v>1152</v>
      </c>
      <c r="K4" t="s">
        <v>3811</v>
      </c>
    </row>
    <row r="5" spans="1:11" ht="15" customHeight="1" x14ac:dyDescent="0.25">
      <c r="A5" s="24" t="s">
        <v>3812</v>
      </c>
      <c r="B5" t="s">
        <v>3813</v>
      </c>
      <c r="C5" t="s">
        <v>91</v>
      </c>
      <c r="D5" t="s">
        <v>3814</v>
      </c>
      <c r="E5" s="25" t="str">
        <f>IFERROR(VLOOKUP(F5,Equipos!$C$2:$E$967,2,FALSE()),"")</f>
        <v>Máquina Diálisis</v>
      </c>
      <c r="F5" s="24" t="s">
        <v>1120</v>
      </c>
      <c r="G5" s="26" t="str">
        <f>IFERROR(VLOOKUP(F5,Equipos!$C$2:$K$967,9,FALSE()),"")</f>
        <v>3SXA4HDK</v>
      </c>
      <c r="H5" t="s">
        <v>513</v>
      </c>
      <c r="I5" s="25" t="str">
        <f>IFERROR(VLOOKUP(F5,Equipos!$C$2:$E$967,3,FALSE()),"")</f>
        <v>Hemodiálisis</v>
      </c>
      <c r="J5" t="s">
        <v>1152</v>
      </c>
      <c r="K5" t="s">
        <v>3811</v>
      </c>
    </row>
    <row r="6" spans="1:11" ht="15" customHeight="1" x14ac:dyDescent="0.25">
      <c r="A6" s="24" t="s">
        <v>3815</v>
      </c>
      <c r="B6" t="s">
        <v>3816</v>
      </c>
      <c r="C6" t="s">
        <v>91</v>
      </c>
      <c r="D6" t="s">
        <v>3817</v>
      </c>
      <c r="E6" s="25" t="str">
        <f>IFERROR(VLOOKUP(F6,Equipos!$C$2:$E$967,2,FALSE()),"")</f>
        <v>Máquina Diálisis</v>
      </c>
      <c r="F6" s="24" t="s">
        <v>1126</v>
      </c>
      <c r="G6" s="26" t="str">
        <f>IFERROR(VLOOKUP(F6,Equipos!$C$2:$K$967,9,FALSE()),"")</f>
        <v>9VSAMM17</v>
      </c>
      <c r="H6" t="s">
        <v>513</v>
      </c>
      <c r="I6" s="25" t="str">
        <f>IFERROR(VLOOKUP(F6,Equipos!$C$2:$E$967,3,FALSE()),"")</f>
        <v>Hemodiálisis</v>
      </c>
      <c r="J6" t="s">
        <v>1143</v>
      </c>
    </row>
    <row r="7" spans="1:11" ht="15" customHeight="1" x14ac:dyDescent="0.25">
      <c r="A7" s="24" t="s">
        <v>3818</v>
      </c>
      <c r="B7" t="s">
        <v>3819</v>
      </c>
      <c r="C7" t="s">
        <v>113</v>
      </c>
      <c r="D7" t="s">
        <v>3820</v>
      </c>
      <c r="E7" s="25" t="str">
        <f>IFERROR(VLOOKUP(F7,Equipos!$C$2:$E$967,2,FALSE()),"")</f>
        <v xml:space="preserve">Ventilador Mecánico </v>
      </c>
      <c r="F7" s="24" t="s">
        <v>69</v>
      </c>
      <c r="G7" s="26" t="str">
        <f>IFERROR(VLOOKUP(F7,Equipos!$C$2:$K$967,9,FALSE()),"")</f>
        <v>40966N0134</v>
      </c>
      <c r="H7" t="s">
        <v>513</v>
      </c>
      <c r="I7" s="25" t="str">
        <f>IFERROR(VLOOKUP(F7,Equipos!$C$2:$E$967,3,FALSE()),"")</f>
        <v>UPC 3er Piso</v>
      </c>
      <c r="J7" t="s">
        <v>1143</v>
      </c>
    </row>
    <row r="8" spans="1:11" ht="15" customHeight="1" x14ac:dyDescent="0.25">
      <c r="A8" s="24" t="s">
        <v>3821</v>
      </c>
      <c r="B8" t="s">
        <v>3822</v>
      </c>
      <c r="C8" t="s">
        <v>113</v>
      </c>
      <c r="D8" t="s">
        <v>3820</v>
      </c>
      <c r="E8" s="25" t="str">
        <f>IFERROR(VLOOKUP(F8,Equipos!$C$2:$E$967,2,FALSE()),"")</f>
        <v xml:space="preserve">Ventilador Mecánico </v>
      </c>
      <c r="F8" s="24" t="s">
        <v>70</v>
      </c>
      <c r="G8" s="26" t="str">
        <f>IFERROR(VLOOKUP(F8,Equipos!$C$2:$K$967,9,FALSE()),"")</f>
        <v>40966N0118</v>
      </c>
      <c r="H8" t="s">
        <v>513</v>
      </c>
      <c r="I8" s="25" t="str">
        <f>IFERROR(VLOOKUP(F8,Equipos!$C$2:$E$967,3,FALSE()),"")</f>
        <v>UPC 3er Piso</v>
      </c>
      <c r="J8" t="s">
        <v>1143</v>
      </c>
    </row>
    <row r="9" spans="1:11" ht="15" customHeight="1" x14ac:dyDescent="0.25">
      <c r="A9" s="24" t="s">
        <v>3823</v>
      </c>
      <c r="B9" t="s">
        <v>3824</v>
      </c>
      <c r="C9" t="s">
        <v>113</v>
      </c>
      <c r="D9" t="s">
        <v>3825</v>
      </c>
      <c r="E9" s="25" t="str">
        <f>IFERROR(VLOOKUP(F9,Equipos!$C$2:$E$967,2,FALSE()),"")</f>
        <v xml:space="preserve">Ventilador Mecánico </v>
      </c>
      <c r="F9" s="24" t="s">
        <v>3</v>
      </c>
      <c r="G9" s="26" t="str">
        <f>IFERROR(VLOOKUP(F9,Equipos!$C$2:$K$967,9,FALSE()),"")</f>
        <v>ASFN-0008</v>
      </c>
      <c r="H9" t="s">
        <v>513</v>
      </c>
      <c r="I9" s="25" t="str">
        <f>IFERROR(VLOOKUP(F9,Equipos!$C$2:$E$967,3,FALSE()),"")</f>
        <v>UPC Adulto</v>
      </c>
      <c r="J9" t="s">
        <v>1152</v>
      </c>
      <c r="K9" t="s">
        <v>3804</v>
      </c>
    </row>
    <row r="10" spans="1:11" ht="15" customHeight="1" x14ac:dyDescent="0.25">
      <c r="A10" s="24" t="s">
        <v>3826</v>
      </c>
      <c r="B10" t="s">
        <v>3827</v>
      </c>
      <c r="C10" t="s">
        <v>1003</v>
      </c>
      <c r="D10" t="s">
        <v>3828</v>
      </c>
      <c r="E10" s="25" t="str">
        <f>IFERROR(VLOOKUP(F10,Equipos!$C$2:$E$967,2,FALSE()),"")</f>
        <v>Monitor Multiparámetros</v>
      </c>
      <c r="F10" s="24" t="s">
        <v>1002</v>
      </c>
      <c r="G10" s="26" t="str">
        <f>IFERROR(VLOOKUP(F10,Equipos!$C$2:$K$967,9,FALSE()),"")</f>
        <v>261594-M21407240059</v>
      </c>
      <c r="H10" t="s">
        <v>513</v>
      </c>
      <c r="I10" s="25" t="str">
        <f>IFERROR(VLOOKUP(F10,Equipos!$C$2:$E$967,3,FALSE()),"")</f>
        <v>Medicina</v>
      </c>
      <c r="J10" t="s">
        <v>1143</v>
      </c>
    </row>
    <row r="11" spans="1:11" ht="15" customHeight="1" x14ac:dyDescent="0.25">
      <c r="A11" s="24" t="s">
        <v>3829</v>
      </c>
      <c r="B11" t="s">
        <v>3830</v>
      </c>
      <c r="C11" t="s">
        <v>1003</v>
      </c>
      <c r="D11" t="s">
        <v>3831</v>
      </c>
      <c r="E11" s="25" t="str">
        <f>IFERROR(VLOOKUP(F11,Equipos!$C$2:$E$967,2,FALSE()),"")</f>
        <v>Monitor Multiparámetros</v>
      </c>
      <c r="F11" s="24" t="s">
        <v>1001</v>
      </c>
      <c r="G11" s="26" t="str">
        <f>IFERROR(VLOOKUP(F11,Equipos!$C$2:$K$967,9,FALSE()),"")</f>
        <v>261594-M21407000058</v>
      </c>
      <c r="H11" t="s">
        <v>513</v>
      </c>
      <c r="I11" s="25" t="str">
        <f>IFERROR(VLOOKUP(F11,Equipos!$C$2:$E$967,3,FALSE()),"")</f>
        <v>Medicina</v>
      </c>
      <c r="J11" t="s">
        <v>1143</v>
      </c>
    </row>
    <row r="12" spans="1:11" ht="15" customHeight="1" x14ac:dyDescent="0.25">
      <c r="A12" s="24" t="s">
        <v>3832</v>
      </c>
      <c r="B12" t="s">
        <v>3833</v>
      </c>
      <c r="C12" t="s">
        <v>905</v>
      </c>
      <c r="D12" t="s">
        <v>3834</v>
      </c>
      <c r="E12" s="25" t="str">
        <f>IFERROR(VLOOKUP(F12,Equipos!$C$2:$E$967,2,FALSE()),"")</f>
        <v>Monitor Multiparámetros</v>
      </c>
      <c r="F12" s="24" t="s">
        <v>904</v>
      </c>
      <c r="G12" s="26" t="str">
        <f>IFERROR(VLOOKUP(F12,Equipos!$C$2:$K$967,9,FALSE()),"")</f>
        <v>DE351C1466</v>
      </c>
      <c r="H12" t="s">
        <v>513</v>
      </c>
      <c r="I12" s="25" t="str">
        <f>IFERROR(VLOOKUP(F12,Equipos!$C$2:$E$967,3,FALSE()),"")</f>
        <v>Pabellones Gineco-Obstétricos</v>
      </c>
      <c r="J12" t="s">
        <v>1143</v>
      </c>
    </row>
    <row r="13" spans="1:11" ht="15" customHeight="1" x14ac:dyDescent="0.25">
      <c r="A13" s="24" t="s">
        <v>3835</v>
      </c>
      <c r="B13" t="s">
        <v>3836</v>
      </c>
      <c r="C13" t="s">
        <v>91</v>
      </c>
      <c r="D13" t="s">
        <v>3837</v>
      </c>
      <c r="E13" s="25" t="str">
        <f>IFERROR(VLOOKUP(F13,Equipos!$C$2:$E$967,2,FALSE()),"")</f>
        <v>Máquina Diálisis</v>
      </c>
      <c r="F13" s="24" t="s">
        <v>1115</v>
      </c>
      <c r="G13" s="26" t="str">
        <f>IFERROR(VLOOKUP(F13,Equipos!$C$2:$K$967,9,FALSE()),"")</f>
        <v>5SXAEL56</v>
      </c>
      <c r="H13" t="s">
        <v>513</v>
      </c>
      <c r="I13" s="25" t="str">
        <f>IFERROR(VLOOKUP(F13,Equipos!$C$2:$E$967,3,FALSE()),"")</f>
        <v>UPC Adulto</v>
      </c>
      <c r="J13" t="s">
        <v>1143</v>
      </c>
    </row>
    <row r="14" spans="1:11" ht="15" customHeight="1" x14ac:dyDescent="0.25">
      <c r="A14" s="24" t="s">
        <v>3838</v>
      </c>
      <c r="B14" t="s">
        <v>3804</v>
      </c>
      <c r="C14" t="s">
        <v>113</v>
      </c>
      <c r="D14" t="s">
        <v>3839</v>
      </c>
      <c r="E14" s="25" t="str">
        <f>IFERROR(VLOOKUP(F14,Equipos!$C$2:$E$967,2,FALSE()),"")</f>
        <v xml:space="preserve">Ventilador Mecánico </v>
      </c>
      <c r="F14" s="24" t="s">
        <v>3</v>
      </c>
      <c r="G14" s="26" t="str">
        <f>IFERROR(VLOOKUP(F14,Equipos!$C$2:$K$967,9,FALSE()),"")</f>
        <v>ASFN-0008</v>
      </c>
      <c r="H14" t="s">
        <v>513</v>
      </c>
      <c r="I14" s="25" t="str">
        <f>IFERROR(VLOOKUP(F14,Equipos!$C$2:$E$967,3,FALSE()),"")</f>
        <v>UPC Adulto</v>
      </c>
      <c r="J14" t="s">
        <v>1143</v>
      </c>
    </row>
    <row r="15" spans="1:11" ht="15" customHeight="1" x14ac:dyDescent="0.25">
      <c r="A15" s="24" t="s">
        <v>3840</v>
      </c>
      <c r="B15" t="s">
        <v>3841</v>
      </c>
      <c r="C15" t="s">
        <v>113</v>
      </c>
      <c r="D15" t="s">
        <v>3842</v>
      </c>
      <c r="E15" s="25" t="str">
        <f>IFERROR(VLOOKUP(F15,Equipos!$C$2:$E$967,2,FALSE()),"")</f>
        <v xml:space="preserve">Ventilador Mecánico </v>
      </c>
      <c r="F15" s="24" t="s">
        <v>71</v>
      </c>
      <c r="G15" s="26" t="str">
        <f>IFERROR(VLOOKUP(F15,Equipos!$C$2:$K$967,9,FALSE()),"")</f>
        <v>ASJL-0081</v>
      </c>
      <c r="H15" t="s">
        <v>513</v>
      </c>
      <c r="I15" s="25" t="str">
        <f>IFERROR(VLOOKUP(F15,Equipos!$C$2:$E$967,3,FALSE()),"")</f>
        <v>UPC 3er Piso</v>
      </c>
      <c r="J15" t="s">
        <v>1143</v>
      </c>
    </row>
    <row r="16" spans="1:11" ht="15" customHeight="1" x14ac:dyDescent="0.25">
      <c r="A16" t="s">
        <v>3893</v>
      </c>
      <c r="B16" s="94">
        <v>46184</v>
      </c>
      <c r="C16" t="s">
        <v>905</v>
      </c>
      <c r="D16" t="s">
        <v>3894</v>
      </c>
      <c r="E16" s="25" t="str">
        <f>IFERROR(VLOOKUP(F16,Equipos!$C$2:$E$967,2,FALSE()),"")</f>
        <v>Monitor Multiparámetros</v>
      </c>
      <c r="F16" s="24" t="s">
        <v>600</v>
      </c>
      <c r="G16" s="26" t="str">
        <f>IFERROR(VLOOKUP(F16,Equipos!$C$2:$K$967,9,FALSE()),"")</f>
        <v>5613543568</v>
      </c>
      <c r="H16" t="s">
        <v>513</v>
      </c>
      <c r="I16" s="25" t="str">
        <f>IFERROR(VLOOKUP(F16,Equipos!$C$2:$E$967,3,FALSE()),"")</f>
        <v>Pabellón Quirúrgico</v>
      </c>
      <c r="J16" t="s">
        <v>1143</v>
      </c>
    </row>
    <row r="17" spans="1:9" ht="15" customHeight="1" x14ac:dyDescent="0.25">
      <c r="A17" s="24"/>
      <c r="E17" s="25" t="str">
        <f>IFERROR(VLOOKUP(F17,Equipos!$C$2:$E$967,2,FALSE()),"")</f>
        <v/>
      </c>
      <c r="F17" s="24"/>
      <c r="G17" s="26" t="str">
        <f>IFERROR(VLOOKUP(F17,Equipos!$C$2:$K$967,9,FALSE()),"")</f>
        <v/>
      </c>
      <c r="I17" s="25" t="str">
        <f>IFERROR(VLOOKUP(F17,Equipos!$C$2:$E$967,3,FALSE()),"")</f>
        <v/>
      </c>
    </row>
    <row r="18" spans="1:9" ht="15" customHeight="1" x14ac:dyDescent="0.25">
      <c r="A18" s="24"/>
      <c r="E18" s="25" t="str">
        <f>IFERROR(VLOOKUP(F18,Equipos!$C$2:$E$967,2,FALSE()),"")</f>
        <v/>
      </c>
      <c r="F18" s="24"/>
      <c r="G18" s="26" t="str">
        <f>IFERROR(VLOOKUP(F18,Equipos!$C$2:$K$967,9,FALSE()),"")</f>
        <v/>
      </c>
      <c r="I18" s="25" t="str">
        <f>IFERROR(VLOOKUP(F18,Equipos!$C$2:$E$967,3,FALSE()),"")</f>
        <v/>
      </c>
    </row>
    <row r="19" spans="1:9" ht="15" customHeight="1" x14ac:dyDescent="0.25">
      <c r="A19" s="24"/>
      <c r="E19" s="25" t="str">
        <f>IFERROR(VLOOKUP(F19,Equipos!$C$2:$E$967,2,FALSE()),"")</f>
        <v/>
      </c>
      <c r="F19" s="24"/>
      <c r="G19" s="26" t="str">
        <f>IFERROR(VLOOKUP(F19,Equipos!$C$2:$K$967,9,FALSE()),"")</f>
        <v/>
      </c>
      <c r="I19" s="25" t="str">
        <f>IFERROR(VLOOKUP(F19,Equipos!$C$2:$E$967,3,FALSE()),"")</f>
        <v/>
      </c>
    </row>
    <row r="20" spans="1:9" ht="15" customHeight="1" x14ac:dyDescent="0.25">
      <c r="A20" s="24"/>
      <c r="E20" s="25" t="str">
        <f>IFERROR(VLOOKUP(F20,Equipos!$C$2:$E$967,2,FALSE()),"")</f>
        <v/>
      </c>
      <c r="F20" s="24"/>
      <c r="G20" s="26" t="str">
        <f>IFERROR(VLOOKUP(F20,Equipos!$C$2:$K$967,9,FALSE()),"")</f>
        <v/>
      </c>
      <c r="I20" s="25" t="str">
        <f>IFERROR(VLOOKUP(F20,Equipos!$C$2:$E$967,3,FALSE()),"")</f>
        <v/>
      </c>
    </row>
    <row r="21" spans="1:9" ht="15" customHeight="1" x14ac:dyDescent="0.25">
      <c r="A21" s="24"/>
      <c r="E21" s="25" t="str">
        <f>IFERROR(VLOOKUP(F21,Equipos!$C$2:$E$967,2,FALSE()),"")</f>
        <v/>
      </c>
      <c r="F21" s="24"/>
      <c r="G21" s="26" t="str">
        <f>IFERROR(VLOOKUP(F21,Equipos!$C$2:$K$967,9,FALSE()),"")</f>
        <v/>
      </c>
      <c r="I21" s="25" t="str">
        <f>IFERROR(VLOOKUP(F21,Equipos!$C$2:$E$967,3,FALSE()),"")</f>
        <v/>
      </c>
    </row>
    <row r="22" spans="1:9" ht="15" customHeight="1" x14ac:dyDescent="0.25">
      <c r="A22" s="24"/>
      <c r="E22" s="25" t="str">
        <f>IFERROR(VLOOKUP(F22,Equipos!$C$2:$E$967,2,FALSE()),"")</f>
        <v/>
      </c>
      <c r="F22" s="24"/>
      <c r="G22" s="26" t="str">
        <f>IFERROR(VLOOKUP(F22,Equipos!$C$2:$K$967,9,FALSE()),"")</f>
        <v/>
      </c>
      <c r="I22" s="25" t="str">
        <f>IFERROR(VLOOKUP(F22,Equipos!$C$2:$E$967,3,FALSE()),"")</f>
        <v/>
      </c>
    </row>
    <row r="23" spans="1:9" ht="15" customHeight="1" x14ac:dyDescent="0.25">
      <c r="A23" s="24"/>
      <c r="E23" s="25" t="str">
        <f>IFERROR(VLOOKUP(F23,Equipos!$C$2:$E$967,2,FALSE()),"")</f>
        <v/>
      </c>
      <c r="F23" s="24"/>
      <c r="G23" s="26" t="str">
        <f>IFERROR(VLOOKUP(F23,Equipos!$C$2:$K$967,9,FALSE()),"")</f>
        <v/>
      </c>
      <c r="I23" s="25" t="str">
        <f>IFERROR(VLOOKUP(F23,Equipos!$C$2:$E$967,3,FALSE()),"")</f>
        <v/>
      </c>
    </row>
    <row r="24" spans="1:9" ht="15" customHeight="1" x14ac:dyDescent="0.25">
      <c r="A24" s="24"/>
      <c r="E24" s="25" t="str">
        <f>IFERROR(VLOOKUP(F24,Equipos!$C$2:$E$967,2,FALSE()),"")</f>
        <v/>
      </c>
      <c r="F24" s="24"/>
      <c r="G24" s="26" t="str">
        <f>IFERROR(VLOOKUP(F24,Equipos!$C$2:$K$967,9,FALSE()),"")</f>
        <v/>
      </c>
      <c r="I24" s="25" t="str">
        <f>IFERROR(VLOOKUP(F24,Equipos!$C$2:$E$967,3,FALSE()),"")</f>
        <v/>
      </c>
    </row>
    <row r="25" spans="1:9" ht="15" customHeight="1" x14ac:dyDescent="0.25">
      <c r="A25" s="24"/>
      <c r="E25" s="25" t="str">
        <f>IFERROR(VLOOKUP(F25,Equipos!$C$2:$E$967,2,FALSE()),"")</f>
        <v/>
      </c>
      <c r="F25" s="24"/>
      <c r="G25" s="26" t="str">
        <f>IFERROR(VLOOKUP(F25,Equipos!$C$2:$K$967,9,FALSE()),"")</f>
        <v/>
      </c>
      <c r="I25" s="25" t="str">
        <f>IFERROR(VLOOKUP(F25,Equipos!$C$2:$E$967,3,FALSE()),"")</f>
        <v/>
      </c>
    </row>
    <row r="26" spans="1:9" ht="15" customHeight="1" x14ac:dyDescent="0.25">
      <c r="A26" s="24"/>
      <c r="E26" s="25" t="str">
        <f>IFERROR(VLOOKUP(F26,Equipos!$C$2:$E$967,2,FALSE()),"")</f>
        <v/>
      </c>
      <c r="F26" s="24"/>
      <c r="G26" s="26" t="str">
        <f>IFERROR(VLOOKUP(F26,Equipos!$C$2:$K$967,9,FALSE()),"")</f>
        <v/>
      </c>
      <c r="I26" s="25" t="str">
        <f>IFERROR(VLOOKUP(F26,Equipos!$C$2:$E$967,3,FALSE()),"")</f>
        <v/>
      </c>
    </row>
    <row r="27" spans="1:9" ht="15" customHeight="1" x14ac:dyDescent="0.25">
      <c r="A27" s="24"/>
      <c r="E27" s="25" t="str">
        <f>IFERROR(VLOOKUP(F27,Equipos!$C$2:$E$967,2,FALSE()),"")</f>
        <v/>
      </c>
      <c r="F27" s="24"/>
      <c r="G27" s="26" t="str">
        <f>IFERROR(VLOOKUP(F27,Equipos!$C$2:$K$967,9,FALSE()),"")</f>
        <v/>
      </c>
      <c r="I27" s="25" t="str">
        <f>IFERROR(VLOOKUP(F27,Equipos!$C$2:$E$967,3,FALSE()),"")</f>
        <v/>
      </c>
    </row>
    <row r="28" spans="1:9" ht="15" customHeight="1" x14ac:dyDescent="0.25">
      <c r="A28" s="24"/>
      <c r="E28" s="25" t="str">
        <f>IFERROR(VLOOKUP(F28,Equipos!$C$2:$E$967,2,FALSE()),"")</f>
        <v/>
      </c>
      <c r="F28" s="24"/>
      <c r="G28" s="26" t="str">
        <f>IFERROR(VLOOKUP(F28,Equipos!$C$2:$K$967,9,FALSE()),"")</f>
        <v/>
      </c>
      <c r="I28" s="25" t="str">
        <f>IFERROR(VLOOKUP(F28,Equipos!$C$2:$E$967,3,FALSE()),"")</f>
        <v/>
      </c>
    </row>
    <row r="29" spans="1:9" ht="15" customHeight="1" x14ac:dyDescent="0.25">
      <c r="A29" s="24"/>
      <c r="E29" s="25" t="str">
        <f>IFERROR(VLOOKUP(F29,Equipos!$C$2:$E$967,2,FALSE()),"")</f>
        <v/>
      </c>
      <c r="F29" s="24"/>
      <c r="G29" s="26" t="str">
        <f>IFERROR(VLOOKUP(F29,Equipos!$C$2:$K$967,9,FALSE()),"")</f>
        <v/>
      </c>
      <c r="I29" s="25" t="str">
        <f>IFERROR(VLOOKUP(F29,Equipos!$C$2:$E$967,3,FALSE()),"")</f>
        <v/>
      </c>
    </row>
    <row r="30" spans="1:9" ht="15" customHeight="1" x14ac:dyDescent="0.25">
      <c r="A30" s="24"/>
      <c r="E30" s="25" t="str">
        <f>IFERROR(VLOOKUP(F30,Equipos!$C$2:$E$967,2,FALSE()),"")</f>
        <v/>
      </c>
      <c r="F30" s="24"/>
      <c r="G30" s="26" t="str">
        <f>IFERROR(VLOOKUP(F30,Equipos!$C$2:$K$967,9,FALSE()),"")</f>
        <v/>
      </c>
      <c r="I30" s="25" t="str">
        <f>IFERROR(VLOOKUP(F30,Equipos!$C$2:$E$967,3,FALSE()),"")</f>
        <v/>
      </c>
    </row>
    <row r="31" spans="1:9" ht="15" customHeight="1" x14ac:dyDescent="0.25">
      <c r="A31" s="24"/>
      <c r="E31" s="25" t="str">
        <f>IFERROR(VLOOKUP(F31,Equipos!$C$2:$E$967,2,FALSE()),"")</f>
        <v/>
      </c>
      <c r="F31" s="24"/>
      <c r="G31" s="26" t="str">
        <f>IFERROR(VLOOKUP(F31,Equipos!$C$2:$K$967,9,FALSE()),"")</f>
        <v/>
      </c>
      <c r="I31" s="25" t="str">
        <f>IFERROR(VLOOKUP(F31,Equipos!$C$2:$E$967,3,FALSE()),"")</f>
        <v/>
      </c>
    </row>
    <row r="32" spans="1:9" ht="15" customHeight="1" x14ac:dyDescent="0.25">
      <c r="A32" s="24"/>
      <c r="E32" s="25" t="str">
        <f>IFERROR(VLOOKUP(F32,Equipos!$C$2:$E$967,2,FALSE()),"")</f>
        <v/>
      </c>
      <c r="F32" s="24"/>
      <c r="G32" s="26" t="str">
        <f>IFERROR(VLOOKUP(F32,Equipos!$C$2:$K$967,9,FALSE()),"")</f>
        <v/>
      </c>
      <c r="I32" s="25" t="str">
        <f>IFERROR(VLOOKUP(F32,Equipos!$C$2:$E$967,3,FALSE()),"")</f>
        <v/>
      </c>
    </row>
    <row r="33" spans="1:9" ht="15" customHeight="1" x14ac:dyDescent="0.25">
      <c r="A33" s="24"/>
      <c r="E33" s="25" t="str">
        <f>IFERROR(VLOOKUP(F33,Equipos!$C$2:$E$967,2,FALSE()),"")</f>
        <v/>
      </c>
      <c r="F33" s="24"/>
      <c r="G33" s="26" t="str">
        <f>IFERROR(VLOOKUP(F33,Equipos!$C$2:$K$967,9,FALSE()),"")</f>
        <v/>
      </c>
      <c r="I33" s="25" t="str">
        <f>IFERROR(VLOOKUP(F33,Equipos!$C$2:$E$967,3,FALSE()),"")</f>
        <v/>
      </c>
    </row>
    <row r="34" spans="1:9" ht="15" customHeight="1" x14ac:dyDescent="0.25">
      <c r="A34" s="24"/>
      <c r="E34" s="25" t="str">
        <f>IFERROR(VLOOKUP(F34,Equipos!$C$2:$E$967,2,FALSE()),"")</f>
        <v/>
      </c>
      <c r="F34" s="24"/>
      <c r="G34" s="26" t="str">
        <f>IFERROR(VLOOKUP(F34,Equipos!$C$2:$K$967,9,FALSE()),"")</f>
        <v/>
      </c>
      <c r="I34" s="25" t="str">
        <f>IFERROR(VLOOKUP(F34,Equipos!$C$2:$E$967,3,FALSE()),"")</f>
        <v/>
      </c>
    </row>
    <row r="35" spans="1:9" ht="15" customHeight="1" x14ac:dyDescent="0.25">
      <c r="A35" s="24"/>
      <c r="E35" s="25" t="str">
        <f>IFERROR(VLOOKUP(F35,Equipos!$C$2:$E$967,2,FALSE()),"")</f>
        <v/>
      </c>
      <c r="F35" s="24"/>
      <c r="G35" s="26" t="str">
        <f>IFERROR(VLOOKUP(F35,Equipos!$C$2:$K$967,9,FALSE()),"")</f>
        <v/>
      </c>
      <c r="I35" s="25" t="str">
        <f>IFERROR(VLOOKUP(F35,Equipos!$C$2:$E$967,3,FALSE()),"")</f>
        <v/>
      </c>
    </row>
    <row r="36" spans="1:9" ht="15" customHeight="1" x14ac:dyDescent="0.25">
      <c r="A36" s="24"/>
      <c r="E36" s="25" t="str">
        <f>IFERROR(VLOOKUP(F36,Equipos!$C$2:$E$967,2,FALSE()),"")</f>
        <v/>
      </c>
      <c r="F36" s="24"/>
      <c r="G36" s="26" t="str">
        <f>IFERROR(VLOOKUP(F36,Equipos!$C$2:$K$967,9,FALSE()),"")</f>
        <v/>
      </c>
      <c r="I36" s="25" t="str">
        <f>IFERROR(VLOOKUP(F36,Equipos!$C$2:$E$967,3,FALSE()),"")</f>
        <v/>
      </c>
    </row>
    <row r="37" spans="1:9" ht="15" customHeight="1" x14ac:dyDescent="0.25">
      <c r="A37" s="24"/>
      <c r="E37" s="25" t="str">
        <f>IFERROR(VLOOKUP(F37,Equipos!$C$2:$E$967,2,FALSE()),"")</f>
        <v/>
      </c>
      <c r="F37" s="24"/>
      <c r="G37" s="26" t="str">
        <f>IFERROR(VLOOKUP(F37,Equipos!$C$2:$K$967,9,FALSE()),"")</f>
        <v/>
      </c>
      <c r="I37" s="25" t="str">
        <f>IFERROR(VLOOKUP(F37,Equipos!$C$2:$E$967,3,FALSE()),"")</f>
        <v/>
      </c>
    </row>
    <row r="38" spans="1:9" ht="15" customHeight="1" x14ac:dyDescent="0.25">
      <c r="A38" s="24"/>
      <c r="E38" s="25" t="str">
        <f>IFERROR(VLOOKUP(F38,Equipos!$C$2:$E$967,2,FALSE()),"")</f>
        <v/>
      </c>
      <c r="F38" s="24"/>
      <c r="G38" s="26" t="str">
        <f>IFERROR(VLOOKUP(F38,Equipos!$C$2:$K$967,9,FALSE()),"")</f>
        <v/>
      </c>
      <c r="I38" s="25" t="str">
        <f>IFERROR(VLOOKUP(F38,Equipos!$C$2:$E$967,3,FALSE()),"")</f>
        <v/>
      </c>
    </row>
    <row r="39" spans="1:9" ht="15" customHeight="1" x14ac:dyDescent="0.25">
      <c r="A39" s="24"/>
      <c r="E39" s="25" t="str">
        <f>IFERROR(VLOOKUP(F39,Equipos!$C$2:$E$967,2,FALSE()),"")</f>
        <v/>
      </c>
      <c r="F39" s="24"/>
      <c r="G39" s="26" t="str">
        <f>IFERROR(VLOOKUP(F39,Equipos!$C$2:$K$967,9,FALSE()),"")</f>
        <v/>
      </c>
      <c r="I39" s="25" t="str">
        <f>IFERROR(VLOOKUP(F39,Equipos!$C$2:$E$967,3,FALSE()),"")</f>
        <v/>
      </c>
    </row>
    <row r="40" spans="1:9" ht="15" customHeight="1" x14ac:dyDescent="0.25">
      <c r="A40" s="24"/>
      <c r="E40" s="25" t="str">
        <f>IFERROR(VLOOKUP(F40,Equipos!$C$2:$E$967,2,FALSE()),"")</f>
        <v/>
      </c>
      <c r="F40" s="24"/>
      <c r="G40" s="26" t="str">
        <f>IFERROR(VLOOKUP(F40,Equipos!$C$2:$K$967,9,FALSE()),"")</f>
        <v/>
      </c>
      <c r="I40" s="25" t="str">
        <f>IFERROR(VLOOKUP(F40,Equipos!$C$2:$E$967,3,FALSE()),"")</f>
        <v/>
      </c>
    </row>
    <row r="41" spans="1:9" ht="15" customHeight="1" x14ac:dyDescent="0.25">
      <c r="A41" s="24"/>
      <c r="E41" s="25" t="str">
        <f>IFERROR(VLOOKUP(F41,Equipos!$C$2:$E$967,2,FALSE()),"")</f>
        <v/>
      </c>
      <c r="F41" s="24"/>
      <c r="G41" s="26" t="str">
        <f>IFERROR(VLOOKUP(F41,Equipos!$C$2:$K$967,9,FALSE()),"")</f>
        <v/>
      </c>
      <c r="I41" s="25" t="str">
        <f>IFERROR(VLOOKUP(F41,Equipos!$C$2:$E$967,3,FALSE()),"")</f>
        <v/>
      </c>
    </row>
    <row r="42" spans="1:9" ht="15" customHeight="1" x14ac:dyDescent="0.25">
      <c r="A42" s="24"/>
      <c r="E42" s="25" t="str">
        <f>IFERROR(VLOOKUP(F42,Equipos!$C$2:$E$967,2,FALSE()),"")</f>
        <v/>
      </c>
      <c r="F42" s="24"/>
      <c r="G42" s="26" t="str">
        <f>IFERROR(VLOOKUP(F42,Equipos!$C$2:$K$967,9,FALSE()),"")</f>
        <v/>
      </c>
      <c r="I42" s="25" t="str">
        <f>IFERROR(VLOOKUP(F42,Equipos!$C$2:$E$967,3,FALSE()),"")</f>
        <v/>
      </c>
    </row>
    <row r="43" spans="1:9" ht="15" customHeight="1" x14ac:dyDescent="0.25">
      <c r="A43" s="24"/>
      <c r="E43" s="25" t="str">
        <f>IFERROR(VLOOKUP(F43,Equipos!$C$2:$E$967,2,FALSE()),"")</f>
        <v/>
      </c>
      <c r="F43" s="24"/>
      <c r="G43" s="26" t="str">
        <f>IFERROR(VLOOKUP(F43,Equipos!$C$2:$K$967,9,FALSE()),"")</f>
        <v/>
      </c>
      <c r="I43" s="25" t="str">
        <f>IFERROR(VLOOKUP(F43,Equipos!$C$2:$E$967,3,FALSE()),"")</f>
        <v/>
      </c>
    </row>
    <row r="44" spans="1:9" ht="15" customHeight="1" x14ac:dyDescent="0.25">
      <c r="A44" s="24"/>
      <c r="E44" s="25" t="str">
        <f>IFERROR(VLOOKUP(F44,Equipos!$C$2:$E$967,2,FALSE()),"")</f>
        <v/>
      </c>
      <c r="F44" s="24"/>
      <c r="G44" s="26" t="str">
        <f>IFERROR(VLOOKUP(F44,Equipos!$C$2:$K$967,9,FALSE()),"")</f>
        <v/>
      </c>
      <c r="I44" s="25" t="str">
        <f>IFERROR(VLOOKUP(F44,Equipos!$C$2:$E$967,3,FALSE()),"")</f>
        <v/>
      </c>
    </row>
    <row r="45" spans="1:9" ht="15" customHeight="1" x14ac:dyDescent="0.25">
      <c r="A45" s="24"/>
      <c r="E45" s="25" t="str">
        <f>IFERROR(VLOOKUP(F45,Equipos!$C$2:$E$967,2,FALSE()),"")</f>
        <v/>
      </c>
      <c r="F45" s="24"/>
      <c r="G45" s="26" t="str">
        <f>IFERROR(VLOOKUP(F45,Equipos!$C$2:$K$967,9,FALSE()),"")</f>
        <v/>
      </c>
      <c r="I45" s="25" t="str">
        <f>IFERROR(VLOOKUP(F45,Equipos!$C$2:$E$967,3,FALSE()),"")</f>
        <v/>
      </c>
    </row>
    <row r="46" spans="1:9" ht="15" customHeight="1" x14ac:dyDescent="0.25">
      <c r="A46" s="24"/>
      <c r="E46" s="25" t="str">
        <f>IFERROR(VLOOKUP(F46,Equipos!$C$2:$E$967,2,FALSE()),"")</f>
        <v/>
      </c>
      <c r="F46" s="24"/>
      <c r="G46" s="26" t="str">
        <f>IFERROR(VLOOKUP(F46,Equipos!$C$2:$K$967,9,FALSE()),"")</f>
        <v/>
      </c>
      <c r="I46" s="25" t="str">
        <f>IFERROR(VLOOKUP(F46,Equipos!$C$2:$E$967,3,FALSE()),"")</f>
        <v/>
      </c>
    </row>
    <row r="47" spans="1:9" ht="15" customHeight="1" x14ac:dyDescent="0.25">
      <c r="A47" s="24"/>
      <c r="E47" s="25" t="str">
        <f>IFERROR(VLOOKUP(F47,Equipos!$C$2:$E$967,2,FALSE()),"")</f>
        <v/>
      </c>
      <c r="F47" s="24"/>
      <c r="G47" s="26" t="str">
        <f>IFERROR(VLOOKUP(F47,Equipos!$C$2:$K$967,9,FALSE()),"")</f>
        <v/>
      </c>
      <c r="I47" s="25" t="str">
        <f>IFERROR(VLOOKUP(F47,Equipos!$C$2:$E$967,3,FALSE()),"")</f>
        <v/>
      </c>
    </row>
    <row r="48" spans="1:9" ht="15" customHeight="1" x14ac:dyDescent="0.25">
      <c r="A48" s="24"/>
      <c r="E48" s="25" t="str">
        <f>IFERROR(VLOOKUP(F48,Equipos!$C$2:$E$967,2,FALSE()),"")</f>
        <v/>
      </c>
      <c r="F48" s="24"/>
      <c r="G48" s="26" t="str">
        <f>IFERROR(VLOOKUP(F48,Equipos!$C$2:$K$967,9,FALSE()),"")</f>
        <v/>
      </c>
      <c r="I48" s="25" t="str">
        <f>IFERROR(VLOOKUP(F48,Equipos!$C$2:$E$967,3,FALSE()),"")</f>
        <v/>
      </c>
    </row>
    <row r="49" spans="1:9" ht="15" customHeight="1" x14ac:dyDescent="0.25">
      <c r="A49" s="24"/>
      <c r="E49" s="25" t="str">
        <f>IFERROR(VLOOKUP(F49,Equipos!$C$2:$E$967,2,FALSE()),"")</f>
        <v/>
      </c>
      <c r="F49" s="24"/>
      <c r="G49" s="26" t="str">
        <f>IFERROR(VLOOKUP(F49,Equipos!$C$2:$K$967,9,FALSE()),"")</f>
        <v/>
      </c>
      <c r="I49" s="25" t="str">
        <f>IFERROR(VLOOKUP(F49,Equipos!$C$2:$E$967,3,FALSE()),"")</f>
        <v/>
      </c>
    </row>
    <row r="50" spans="1:9" ht="15" customHeight="1" x14ac:dyDescent="0.25">
      <c r="A50" s="24"/>
      <c r="E50" s="25" t="str">
        <f>IFERROR(VLOOKUP(F50,Equipos!$C$2:$E$967,2,FALSE()),"")</f>
        <v/>
      </c>
      <c r="F50" s="24"/>
      <c r="G50" s="26" t="str">
        <f>IFERROR(VLOOKUP(F50,Equipos!$C$2:$K$967,9,FALSE()),"")</f>
        <v/>
      </c>
      <c r="I50" s="25" t="str">
        <f>IFERROR(VLOOKUP(F50,Equipos!$C$2:$E$967,3,FALSE()),"")</f>
        <v/>
      </c>
    </row>
    <row r="51" spans="1:9" ht="15" customHeight="1" x14ac:dyDescent="0.25">
      <c r="A51" s="24"/>
      <c r="E51" s="25" t="str">
        <f>IFERROR(VLOOKUP(F51,Equipos!$C$2:$E$967,2,FALSE()),"")</f>
        <v/>
      </c>
      <c r="F51" s="24"/>
      <c r="G51" s="26" t="str">
        <f>IFERROR(VLOOKUP(F51,Equipos!$C$2:$K$967,9,FALSE()),"")</f>
        <v/>
      </c>
      <c r="I51" s="25" t="str">
        <f>IFERROR(VLOOKUP(F51,Equipos!$C$2:$E$967,3,FALSE()),"")</f>
        <v/>
      </c>
    </row>
    <row r="52" spans="1:9" ht="15" customHeight="1" x14ac:dyDescent="0.25">
      <c r="A52" s="24"/>
      <c r="E52" s="25" t="str">
        <f>IFERROR(VLOOKUP(F52,Equipos!$C$2:$E$967,2,FALSE()),"")</f>
        <v/>
      </c>
      <c r="F52" s="24"/>
      <c r="G52" s="26" t="str">
        <f>IFERROR(VLOOKUP(F52,Equipos!$C$2:$K$967,9,FALSE()),"")</f>
        <v/>
      </c>
      <c r="I52" s="25" t="str">
        <f>IFERROR(VLOOKUP(F52,Equipos!$C$2:$E$967,3,FALSE()),"")</f>
        <v/>
      </c>
    </row>
    <row r="53" spans="1:9" ht="15" customHeight="1" x14ac:dyDescent="0.25">
      <c r="A53" s="24"/>
      <c r="E53" s="25" t="str">
        <f>IFERROR(VLOOKUP(F53,Equipos!$C$2:$E$967,2,FALSE()),"")</f>
        <v/>
      </c>
      <c r="F53" s="24"/>
      <c r="G53" s="26" t="str">
        <f>IFERROR(VLOOKUP(F53,Equipos!$C$2:$K$967,9,FALSE()),"")</f>
        <v/>
      </c>
      <c r="I53" s="25" t="str">
        <f>IFERROR(VLOOKUP(F53,Equipos!$C$2:$E$967,3,FALSE()),"")</f>
        <v/>
      </c>
    </row>
    <row r="54" spans="1:9" ht="15" customHeight="1" x14ac:dyDescent="0.25">
      <c r="A54" s="24"/>
      <c r="E54" s="25" t="str">
        <f>IFERROR(VLOOKUP(F54,Equipos!$C$2:$E$967,2,FALSE()),"")</f>
        <v/>
      </c>
      <c r="F54" s="24"/>
      <c r="G54" s="26" t="str">
        <f>IFERROR(VLOOKUP(F54,Equipos!$C$2:$K$967,9,FALSE()),"")</f>
        <v/>
      </c>
      <c r="I54" s="25" t="str">
        <f>IFERROR(VLOOKUP(F54,Equipos!$C$2:$E$967,3,FALSE()),"")</f>
        <v/>
      </c>
    </row>
    <row r="55" spans="1:9" ht="15" customHeight="1" x14ac:dyDescent="0.25">
      <c r="A55" s="24"/>
      <c r="E55" s="25" t="str">
        <f>IFERROR(VLOOKUP(F55,Equipos!$C$2:$E$967,2,FALSE()),"")</f>
        <v/>
      </c>
      <c r="F55" s="24"/>
      <c r="G55" s="26" t="str">
        <f>IFERROR(VLOOKUP(F55,Equipos!$C$2:$K$967,9,FALSE()),"")</f>
        <v/>
      </c>
      <c r="I55" s="25" t="str">
        <f>IFERROR(VLOOKUP(F55,Equipos!$C$2:$E$967,3,FALSE()),"")</f>
        <v/>
      </c>
    </row>
    <row r="56" spans="1:9" ht="15" customHeight="1" x14ac:dyDescent="0.25">
      <c r="A56" s="24"/>
      <c r="E56" s="25" t="str">
        <f>IFERROR(VLOOKUP(F56,Equipos!$C$2:$E$967,2,FALSE()),"")</f>
        <v/>
      </c>
      <c r="F56" s="24"/>
      <c r="G56" s="26" t="str">
        <f>IFERROR(VLOOKUP(F56,Equipos!$C$2:$K$967,9,FALSE()),"")</f>
        <v/>
      </c>
      <c r="I56" s="25" t="str">
        <f>IFERROR(VLOOKUP(F56,Equipos!$C$2:$E$967,3,FALSE()),"")</f>
        <v/>
      </c>
    </row>
    <row r="57" spans="1:9" ht="15" customHeight="1" x14ac:dyDescent="0.25">
      <c r="A57" s="24"/>
      <c r="E57" s="25" t="str">
        <f>IFERROR(VLOOKUP(F57,Equipos!$C$2:$E$967,2,FALSE()),"")</f>
        <v/>
      </c>
      <c r="F57" s="24"/>
      <c r="G57" s="26" t="str">
        <f>IFERROR(VLOOKUP(F57,Equipos!$C$2:$K$967,9,FALSE()),"")</f>
        <v/>
      </c>
      <c r="I57" s="25" t="str">
        <f>IFERROR(VLOOKUP(F57,Equipos!$C$2:$E$967,3,FALSE()),"")</f>
        <v/>
      </c>
    </row>
    <row r="58" spans="1:9" ht="15" customHeight="1" x14ac:dyDescent="0.25">
      <c r="A58" s="24"/>
      <c r="E58" s="25" t="str">
        <f>IFERROR(VLOOKUP(F58,Equipos!$C$2:$E$967,2,FALSE()),"")</f>
        <v/>
      </c>
      <c r="F58" s="24"/>
      <c r="G58" s="26" t="str">
        <f>IFERROR(VLOOKUP(F58,Equipos!$C$2:$K$967,9,FALSE()),"")</f>
        <v/>
      </c>
      <c r="I58" s="25" t="str">
        <f>IFERROR(VLOOKUP(F58,Equipos!$C$2:$E$967,3,FALSE()),"")</f>
        <v/>
      </c>
    </row>
    <row r="59" spans="1:9" ht="15" customHeight="1" x14ac:dyDescent="0.25">
      <c r="A59" s="24"/>
      <c r="E59" s="25" t="str">
        <f>IFERROR(VLOOKUP(F59,Equipos!$C$2:$E$967,2,FALSE()),"")</f>
        <v/>
      </c>
      <c r="F59" s="24"/>
      <c r="G59" s="26" t="str">
        <f>IFERROR(VLOOKUP(F59,Equipos!$C$2:$K$967,9,FALSE()),"")</f>
        <v/>
      </c>
      <c r="I59" s="25" t="str">
        <f>IFERROR(VLOOKUP(F59,Equipos!$C$2:$E$967,3,FALSE()),"")</f>
        <v/>
      </c>
    </row>
    <row r="60" spans="1:9" ht="15" customHeight="1" x14ac:dyDescent="0.25">
      <c r="A60" s="24"/>
      <c r="E60" s="25" t="str">
        <f>IFERROR(VLOOKUP(F60,Equipos!$C$2:$E$967,2,FALSE()),"")</f>
        <v/>
      </c>
      <c r="F60" s="24"/>
      <c r="G60" s="26" t="str">
        <f>IFERROR(VLOOKUP(F60,Equipos!$C$2:$K$967,9,FALSE()),"")</f>
        <v/>
      </c>
      <c r="I60" s="25" t="str">
        <f>IFERROR(VLOOKUP(F60,Equipos!$C$2:$E$967,3,FALSE()),"")</f>
        <v/>
      </c>
    </row>
    <row r="61" spans="1:9" ht="15" customHeight="1" x14ac:dyDescent="0.25">
      <c r="A61" s="24"/>
      <c r="E61" s="25" t="str">
        <f>IFERROR(VLOOKUP(F61,Equipos!$C$2:$E$967,2,FALSE()),"")</f>
        <v/>
      </c>
      <c r="F61" s="24"/>
      <c r="G61" s="26" t="str">
        <f>IFERROR(VLOOKUP(F61,Equipos!$C$2:$K$967,9,FALSE()),"")</f>
        <v/>
      </c>
      <c r="I61" s="25" t="str">
        <f>IFERROR(VLOOKUP(F61,Equipos!$C$2:$E$967,3,FALSE()),"")</f>
        <v/>
      </c>
    </row>
    <row r="62" spans="1:9" ht="15" customHeight="1" x14ac:dyDescent="0.25">
      <c r="A62" s="24"/>
      <c r="E62" s="25" t="str">
        <f>IFERROR(VLOOKUP(F62,Equipos!$C$2:$E$967,2,FALSE()),"")</f>
        <v/>
      </c>
      <c r="F62" s="24"/>
      <c r="G62" s="26" t="str">
        <f>IFERROR(VLOOKUP(F62,Equipos!$C$2:$K$967,9,FALSE()),"")</f>
        <v/>
      </c>
      <c r="I62" s="25" t="str">
        <f>IFERROR(VLOOKUP(F62,Equipos!$C$2:$E$967,3,FALSE()),"")</f>
        <v/>
      </c>
    </row>
    <row r="63" spans="1:9" ht="15" customHeight="1" x14ac:dyDescent="0.25">
      <c r="A63" s="24"/>
      <c r="E63" s="25" t="str">
        <f>IFERROR(VLOOKUP(F63,Equipos!$C$2:$E$967,2,FALSE()),"")</f>
        <v/>
      </c>
      <c r="F63" s="24"/>
      <c r="G63" s="26" t="str">
        <f>IFERROR(VLOOKUP(F63,Equipos!$C$2:$K$967,9,FALSE()),"")</f>
        <v/>
      </c>
      <c r="I63" s="25" t="str">
        <f>IFERROR(VLOOKUP(F63,Equipos!$C$2:$E$967,3,FALSE()),"")</f>
        <v/>
      </c>
    </row>
    <row r="64" spans="1:9" ht="15" customHeight="1" x14ac:dyDescent="0.25">
      <c r="A64" s="24"/>
      <c r="E64" s="25" t="str">
        <f>IFERROR(VLOOKUP(F64,Equipos!$C$2:$E$967,2,FALSE()),"")</f>
        <v/>
      </c>
      <c r="F64" s="24"/>
      <c r="G64" s="26" t="str">
        <f>IFERROR(VLOOKUP(F64,Equipos!$C$2:$K$967,9,FALSE()),"")</f>
        <v/>
      </c>
      <c r="I64" s="25" t="str">
        <f>IFERROR(VLOOKUP(F64,Equipos!$C$2:$E$967,3,FALSE()),"")</f>
        <v/>
      </c>
    </row>
    <row r="65" spans="1:9" ht="15" customHeight="1" x14ac:dyDescent="0.25">
      <c r="A65" s="24"/>
      <c r="E65" s="25" t="str">
        <f>IFERROR(VLOOKUP(F65,Equipos!$C$2:$E$967,2,FALSE()),"")</f>
        <v/>
      </c>
      <c r="F65" s="24"/>
      <c r="G65" s="26" t="str">
        <f>IFERROR(VLOOKUP(F65,Equipos!$C$2:$K$967,9,FALSE()),"")</f>
        <v/>
      </c>
      <c r="I65" s="25" t="str">
        <f>IFERROR(VLOOKUP(F65,Equipos!$C$2:$E$967,3,FALSE()),"")</f>
        <v/>
      </c>
    </row>
    <row r="66" spans="1:9" ht="15" customHeight="1" x14ac:dyDescent="0.25">
      <c r="A66" s="24"/>
      <c r="E66" s="25" t="str">
        <f>IFERROR(VLOOKUP(F66,Equipos!$C$2:$E$967,2,FALSE()),"")</f>
        <v/>
      </c>
      <c r="F66" s="24"/>
      <c r="G66" s="26" t="str">
        <f>IFERROR(VLOOKUP(F66,Equipos!$C$2:$K$967,9,FALSE()),"")</f>
        <v/>
      </c>
      <c r="I66" s="25" t="str">
        <f>IFERROR(VLOOKUP(F66,Equipos!$C$2:$E$967,3,FALSE()),"")</f>
        <v/>
      </c>
    </row>
    <row r="67" spans="1:9" ht="15" customHeight="1" x14ac:dyDescent="0.25">
      <c r="A67" s="24"/>
      <c r="E67" s="25" t="str">
        <f>IFERROR(VLOOKUP(F67,Equipos!$C$2:$E$967,2,FALSE()),"")</f>
        <v/>
      </c>
      <c r="F67" s="24"/>
      <c r="G67" s="26" t="str">
        <f>IFERROR(VLOOKUP(F67,Equipos!$C$2:$K$967,9,FALSE()),"")</f>
        <v/>
      </c>
      <c r="I67" s="25" t="str">
        <f>IFERROR(VLOOKUP(F67,Equipos!$C$2:$E$967,3,FALSE()),"")</f>
        <v/>
      </c>
    </row>
    <row r="68" spans="1:9" ht="15" customHeight="1" x14ac:dyDescent="0.25">
      <c r="A68" s="24"/>
      <c r="E68" s="25" t="str">
        <f>IFERROR(VLOOKUP(F68,Equipos!$C$2:$E$967,2,FALSE()),"")</f>
        <v/>
      </c>
      <c r="F68" s="24"/>
      <c r="G68" s="26" t="str">
        <f>IFERROR(VLOOKUP(F68,Equipos!$C$2:$K$967,9,FALSE()),"")</f>
        <v/>
      </c>
      <c r="I68" s="25" t="str">
        <f>IFERROR(VLOOKUP(F68,Equipos!$C$2:$E$967,3,FALSE()),"")</f>
        <v/>
      </c>
    </row>
    <row r="69" spans="1:9" ht="15" customHeight="1" x14ac:dyDescent="0.25">
      <c r="A69" s="24"/>
      <c r="E69" s="25" t="str">
        <f>IFERROR(VLOOKUP(F69,Equipos!$C$2:$E$967,2,FALSE()),"")</f>
        <v/>
      </c>
      <c r="F69" s="24"/>
      <c r="G69" s="26" t="str">
        <f>IFERROR(VLOOKUP(F69,Equipos!$C$2:$K$967,9,FALSE()),"")</f>
        <v/>
      </c>
      <c r="I69" s="25" t="str">
        <f>IFERROR(VLOOKUP(F69,Equipos!$C$2:$E$967,3,FALSE()),"")</f>
        <v/>
      </c>
    </row>
    <row r="70" spans="1:9" ht="15" customHeight="1" x14ac:dyDescent="0.25">
      <c r="A70" s="24"/>
      <c r="E70" s="25" t="str">
        <f>IFERROR(VLOOKUP(F70,Equipos!$C$2:$E$967,2,FALSE()),"")</f>
        <v/>
      </c>
      <c r="F70" s="24"/>
      <c r="G70" s="26" t="str">
        <f>IFERROR(VLOOKUP(F70,Equipos!$C$2:$K$967,9,FALSE()),"")</f>
        <v/>
      </c>
      <c r="I70" s="25" t="str">
        <f>IFERROR(VLOOKUP(F70,Equipos!$C$2:$E$967,3,FALSE()),"")</f>
        <v/>
      </c>
    </row>
    <row r="71" spans="1:9" ht="15" customHeight="1" x14ac:dyDescent="0.25">
      <c r="A71" s="24"/>
      <c r="E71" s="25" t="str">
        <f>IFERROR(VLOOKUP(F71,Equipos!$C$2:$E$967,2,FALSE()),"")</f>
        <v/>
      </c>
      <c r="F71" s="24"/>
      <c r="G71" s="26" t="str">
        <f>IFERROR(VLOOKUP(F71,Equipos!$C$2:$K$967,9,FALSE()),"")</f>
        <v/>
      </c>
      <c r="I71" s="25" t="str">
        <f>IFERROR(VLOOKUP(F71,Equipos!$C$2:$E$967,3,FALSE()),"")</f>
        <v/>
      </c>
    </row>
    <row r="72" spans="1:9" ht="15" customHeight="1" x14ac:dyDescent="0.25">
      <c r="A72" s="24"/>
      <c r="E72" s="25" t="str">
        <f>IFERROR(VLOOKUP(F72,Equipos!$C$2:$E$967,2,FALSE()),"")</f>
        <v/>
      </c>
      <c r="F72" s="24"/>
      <c r="G72" s="26" t="str">
        <f>IFERROR(VLOOKUP(F72,Equipos!$C$2:$K$967,9,FALSE()),"")</f>
        <v/>
      </c>
      <c r="I72" s="25" t="str">
        <f>IFERROR(VLOOKUP(F72,Equipos!$C$2:$E$967,3,FALSE()),"")</f>
        <v/>
      </c>
    </row>
    <row r="73" spans="1:9" ht="15" customHeight="1" x14ac:dyDescent="0.25">
      <c r="A73" s="24"/>
      <c r="E73" s="25" t="str">
        <f>IFERROR(VLOOKUP(F73,Equipos!$C$2:$E$967,2,FALSE()),"")</f>
        <v/>
      </c>
      <c r="F73" s="24"/>
      <c r="G73" s="26" t="str">
        <f>IFERROR(VLOOKUP(F73,Equipos!$C$2:$K$967,9,FALSE()),"")</f>
        <v/>
      </c>
      <c r="I73" s="25" t="str">
        <f>IFERROR(VLOOKUP(F73,Equipos!$C$2:$E$967,3,FALSE()),"")</f>
        <v/>
      </c>
    </row>
    <row r="74" spans="1:9" ht="15" customHeight="1" x14ac:dyDescent="0.25">
      <c r="A74" s="24"/>
      <c r="E74" s="25" t="str">
        <f>IFERROR(VLOOKUP(F74,Equipos!$C$2:$E$967,2,FALSE()),"")</f>
        <v/>
      </c>
      <c r="F74" s="24"/>
      <c r="G74" s="26" t="str">
        <f>IFERROR(VLOOKUP(F74,Equipos!$C$2:$K$967,9,FALSE()),"")</f>
        <v/>
      </c>
      <c r="I74" s="25" t="str">
        <f>IFERROR(VLOOKUP(F74,Equipos!$C$2:$E$967,3,FALSE()),"")</f>
        <v/>
      </c>
    </row>
    <row r="75" spans="1:9" ht="15" customHeight="1" x14ac:dyDescent="0.25">
      <c r="A75" s="24"/>
      <c r="E75" s="25" t="str">
        <f>IFERROR(VLOOKUP(F75,Equipos!$C$2:$E$967,2,FALSE()),"")</f>
        <v/>
      </c>
      <c r="F75" s="24"/>
      <c r="G75" s="26" t="str">
        <f>IFERROR(VLOOKUP(F75,Equipos!$C$2:$K$967,9,FALSE()),"")</f>
        <v/>
      </c>
      <c r="I75" s="25" t="str">
        <f>IFERROR(VLOOKUP(F75,Equipos!$C$2:$E$967,3,FALSE()),"")</f>
        <v/>
      </c>
    </row>
    <row r="76" spans="1:9" ht="15" customHeight="1" x14ac:dyDescent="0.25">
      <c r="A76" s="24"/>
      <c r="E76" s="25" t="str">
        <f>IFERROR(VLOOKUP(F76,Equipos!$C$2:$E$967,2,FALSE()),"")</f>
        <v/>
      </c>
      <c r="F76" s="24"/>
      <c r="G76" s="26" t="str">
        <f>IFERROR(VLOOKUP(F76,Equipos!$C$2:$K$967,9,FALSE()),"")</f>
        <v/>
      </c>
      <c r="I76" s="25" t="str">
        <f>IFERROR(VLOOKUP(F76,Equipos!$C$2:$E$967,3,FALSE()),"")</f>
        <v/>
      </c>
    </row>
    <row r="77" spans="1:9" ht="15" customHeight="1" x14ac:dyDescent="0.25">
      <c r="A77" s="24"/>
      <c r="E77" s="25" t="str">
        <f>IFERROR(VLOOKUP(F77,Equipos!$C$2:$E$967,2,FALSE()),"")</f>
        <v/>
      </c>
      <c r="F77" s="24"/>
      <c r="G77" s="26" t="str">
        <f>IFERROR(VLOOKUP(F77,Equipos!$C$2:$K$967,9,FALSE()),"")</f>
        <v/>
      </c>
      <c r="I77" s="25" t="str">
        <f>IFERROR(VLOOKUP(F77,Equipos!$C$2:$E$967,3,FALSE()),"")</f>
        <v/>
      </c>
    </row>
    <row r="78" spans="1:9" ht="15" customHeight="1" x14ac:dyDescent="0.25">
      <c r="A78" s="24"/>
      <c r="E78" s="25" t="str">
        <f>IFERROR(VLOOKUP(F78,Equipos!$C$2:$E$967,2,FALSE()),"")</f>
        <v/>
      </c>
      <c r="F78" s="24"/>
      <c r="G78" s="26" t="str">
        <f>IFERROR(VLOOKUP(F78,Equipos!$C$2:$K$967,9,FALSE()),"")</f>
        <v/>
      </c>
      <c r="I78" s="25" t="str">
        <f>IFERROR(VLOOKUP(F78,Equipos!$C$2:$E$967,3,FALSE()),"")</f>
        <v/>
      </c>
    </row>
    <row r="79" spans="1:9" ht="15" customHeight="1" x14ac:dyDescent="0.25">
      <c r="A79" s="24"/>
      <c r="E79" s="25" t="str">
        <f>IFERROR(VLOOKUP(F79,Equipos!$C$2:$E$967,2,FALSE()),"")</f>
        <v/>
      </c>
      <c r="F79" s="24"/>
      <c r="G79" s="26" t="str">
        <f>IFERROR(VLOOKUP(F79,Equipos!$C$2:$K$967,9,FALSE()),"")</f>
        <v/>
      </c>
      <c r="I79" s="25" t="str">
        <f>IFERROR(VLOOKUP(F79,Equipos!$C$2:$E$967,3,FALSE()),"")</f>
        <v/>
      </c>
    </row>
    <row r="80" spans="1:9" ht="15" customHeight="1" x14ac:dyDescent="0.25">
      <c r="A80" s="24"/>
      <c r="E80" s="25" t="str">
        <f>IFERROR(VLOOKUP(F80,Equipos!$C$2:$E$967,2,FALSE()),"")</f>
        <v/>
      </c>
      <c r="F80" s="24"/>
      <c r="G80" s="26" t="str">
        <f>IFERROR(VLOOKUP(F80,Equipos!$C$2:$K$967,9,FALSE()),"")</f>
        <v/>
      </c>
      <c r="I80" s="25" t="str">
        <f>IFERROR(VLOOKUP(F80,Equipos!$C$2:$E$967,3,FALSE()),"")</f>
        <v/>
      </c>
    </row>
    <row r="81" spans="1:9" ht="15" customHeight="1" x14ac:dyDescent="0.25">
      <c r="A81" s="24"/>
      <c r="E81" s="25" t="str">
        <f>IFERROR(VLOOKUP(F81,Equipos!$C$2:$E$967,2,FALSE()),"")</f>
        <v/>
      </c>
      <c r="F81" s="24"/>
      <c r="G81" s="26" t="str">
        <f>IFERROR(VLOOKUP(F81,Equipos!$C$2:$K$967,9,FALSE()),"")</f>
        <v/>
      </c>
      <c r="I81" s="25" t="str">
        <f>IFERROR(VLOOKUP(F81,Equipos!$C$2:$E$967,3,FALSE()),"")</f>
        <v/>
      </c>
    </row>
    <row r="82" spans="1:9" ht="15" customHeight="1" x14ac:dyDescent="0.25">
      <c r="A82" s="24"/>
      <c r="E82" s="25" t="str">
        <f>IFERROR(VLOOKUP(F82,Equipos!$C$2:$E$967,2,FALSE()),"")</f>
        <v/>
      </c>
      <c r="F82" s="24"/>
      <c r="G82" s="26" t="str">
        <f>IFERROR(VLOOKUP(F82,Equipos!$C$2:$K$967,9,FALSE()),"")</f>
        <v/>
      </c>
      <c r="I82" s="25" t="str">
        <f>IFERROR(VLOOKUP(F82,Equipos!$C$2:$E$967,3,FALSE()),"")</f>
        <v/>
      </c>
    </row>
    <row r="83" spans="1:9" ht="15" customHeight="1" x14ac:dyDescent="0.25">
      <c r="A83" s="24"/>
      <c r="E83" s="25" t="str">
        <f>IFERROR(VLOOKUP(F83,Equipos!$C$2:$E$967,2,FALSE()),"")</f>
        <v/>
      </c>
      <c r="F83" s="24"/>
      <c r="G83" s="26" t="str">
        <f>IFERROR(VLOOKUP(F83,Equipos!$C$2:$K$967,9,FALSE()),"")</f>
        <v/>
      </c>
      <c r="I83" s="25" t="str">
        <f>IFERROR(VLOOKUP(F83,Equipos!$C$2:$E$967,3,FALSE()),"")</f>
        <v/>
      </c>
    </row>
    <row r="84" spans="1:9" ht="15" customHeight="1" x14ac:dyDescent="0.25">
      <c r="A84" s="24"/>
      <c r="E84" s="25" t="str">
        <f>IFERROR(VLOOKUP(F84,Equipos!$C$2:$E$967,2,FALSE()),"")</f>
        <v/>
      </c>
      <c r="F84" s="24"/>
      <c r="G84" s="26" t="str">
        <f>IFERROR(VLOOKUP(F84,Equipos!$C$2:$K$967,9,FALSE()),"")</f>
        <v/>
      </c>
      <c r="I84" s="25" t="str">
        <f>IFERROR(VLOOKUP(F84,Equipos!$C$2:$E$967,3,FALSE()),"")</f>
        <v/>
      </c>
    </row>
    <row r="85" spans="1:9" ht="15" customHeight="1" x14ac:dyDescent="0.25">
      <c r="A85" s="24"/>
      <c r="E85" s="25" t="str">
        <f>IFERROR(VLOOKUP(F85,Equipos!$C$2:$E$967,2,FALSE()),"")</f>
        <v/>
      </c>
      <c r="F85" s="24"/>
      <c r="G85" s="26" t="str">
        <f>IFERROR(VLOOKUP(F85,Equipos!$C$2:$K$967,9,FALSE()),"")</f>
        <v/>
      </c>
      <c r="I85" s="25" t="str">
        <f>IFERROR(VLOOKUP(F85,Equipos!$C$2:$E$967,3,FALSE()),"")</f>
        <v/>
      </c>
    </row>
    <row r="86" spans="1:9" ht="15" customHeight="1" x14ac:dyDescent="0.25">
      <c r="A86" s="24"/>
      <c r="E86" s="25" t="str">
        <f>IFERROR(VLOOKUP(F86,Equipos!$C$2:$E$967,2,FALSE()),"")</f>
        <v/>
      </c>
      <c r="F86" s="24"/>
      <c r="G86" s="26" t="str">
        <f>IFERROR(VLOOKUP(F86,Equipos!$C$2:$K$967,9,FALSE()),"")</f>
        <v/>
      </c>
      <c r="I86" s="25" t="str">
        <f>IFERROR(VLOOKUP(F86,Equipos!$C$2:$E$967,3,FALSE()),"")</f>
        <v/>
      </c>
    </row>
    <row r="87" spans="1:9" ht="15" customHeight="1" x14ac:dyDescent="0.25">
      <c r="A87" s="24"/>
      <c r="E87" s="25" t="str">
        <f>IFERROR(VLOOKUP(F87,Equipos!$C$2:$E$967,2,FALSE()),"")</f>
        <v/>
      </c>
      <c r="F87" s="24"/>
      <c r="G87" s="26" t="str">
        <f>IFERROR(VLOOKUP(F87,Equipos!$C$2:$K$967,9,FALSE()),"")</f>
        <v/>
      </c>
      <c r="I87" s="25" t="str">
        <f>IFERROR(VLOOKUP(F87,Equipos!$C$2:$E$967,3,FALSE()),"")</f>
        <v/>
      </c>
    </row>
    <row r="88" spans="1:9" ht="15" customHeight="1" x14ac:dyDescent="0.25">
      <c r="A88" s="24"/>
      <c r="E88" s="25" t="str">
        <f>IFERROR(VLOOKUP(F88,Equipos!$C$2:$E$967,2,FALSE()),"")</f>
        <v/>
      </c>
      <c r="F88" s="24"/>
      <c r="G88" s="26" t="str">
        <f>IFERROR(VLOOKUP(F88,Equipos!$C$2:$K$967,9,FALSE()),"")</f>
        <v/>
      </c>
      <c r="I88" s="25" t="str">
        <f>IFERROR(VLOOKUP(F88,Equipos!$C$2:$E$967,3,FALSE()),"")</f>
        <v/>
      </c>
    </row>
    <row r="89" spans="1:9" ht="15" customHeight="1" x14ac:dyDescent="0.25">
      <c r="A89" s="24"/>
      <c r="E89" s="25" t="str">
        <f>IFERROR(VLOOKUP(F89,Equipos!$C$2:$E$967,2,FALSE()),"")</f>
        <v/>
      </c>
      <c r="F89" s="24"/>
      <c r="G89" s="26" t="str">
        <f>IFERROR(VLOOKUP(F89,Equipos!$C$2:$K$967,9,FALSE()),"")</f>
        <v/>
      </c>
      <c r="I89" s="25" t="str">
        <f>IFERROR(VLOOKUP(F89,Equipos!$C$2:$E$967,3,FALSE()),"")</f>
        <v/>
      </c>
    </row>
    <row r="90" spans="1:9" ht="15" customHeight="1" x14ac:dyDescent="0.25">
      <c r="A90" s="24"/>
      <c r="E90" s="25" t="str">
        <f>IFERROR(VLOOKUP(F90,Equipos!$C$2:$E$967,2,FALSE()),"")</f>
        <v/>
      </c>
      <c r="F90" s="24"/>
      <c r="G90" s="26" t="str">
        <f>IFERROR(VLOOKUP(F90,Equipos!$C$2:$K$967,9,FALSE()),"")</f>
        <v/>
      </c>
      <c r="I90" s="25" t="str">
        <f>IFERROR(VLOOKUP(F90,Equipos!$C$2:$E$967,3,FALSE()),"")</f>
        <v/>
      </c>
    </row>
    <row r="91" spans="1:9" ht="15" customHeight="1" x14ac:dyDescent="0.25">
      <c r="A91" s="24"/>
      <c r="E91" s="25" t="str">
        <f>IFERROR(VLOOKUP(F91,Equipos!$C$2:$E$967,2,FALSE()),"")</f>
        <v/>
      </c>
      <c r="F91" s="24"/>
      <c r="G91" s="26" t="str">
        <f>IFERROR(VLOOKUP(F91,Equipos!$C$2:$K$967,9,FALSE()),"")</f>
        <v/>
      </c>
      <c r="I91" s="25" t="str">
        <f>IFERROR(VLOOKUP(F91,Equipos!$C$2:$E$967,3,FALSE()),"")</f>
        <v/>
      </c>
    </row>
    <row r="92" spans="1:9" ht="15" customHeight="1" x14ac:dyDescent="0.25">
      <c r="A92" s="24"/>
      <c r="E92" s="25" t="str">
        <f>IFERROR(VLOOKUP(F92,Equipos!$C$2:$E$967,2,FALSE()),"")</f>
        <v/>
      </c>
      <c r="F92" s="24"/>
      <c r="G92" s="26" t="str">
        <f>IFERROR(VLOOKUP(F92,Equipos!$C$2:$K$967,9,FALSE()),"")</f>
        <v/>
      </c>
      <c r="I92" s="25" t="str">
        <f>IFERROR(VLOOKUP(F92,Equipos!$C$2:$E$967,3,FALSE()),"")</f>
        <v/>
      </c>
    </row>
    <row r="93" spans="1:9" ht="15" customHeight="1" x14ac:dyDescent="0.25">
      <c r="A93" s="24"/>
      <c r="E93" s="25" t="str">
        <f>IFERROR(VLOOKUP(F93,Equipos!$C$2:$E$967,2,FALSE()),"")</f>
        <v/>
      </c>
      <c r="F93" s="24"/>
      <c r="G93" s="26" t="str">
        <f>IFERROR(VLOOKUP(F93,Equipos!$C$2:$K$967,9,FALSE()),"")</f>
        <v/>
      </c>
      <c r="I93" s="25" t="str">
        <f>IFERROR(VLOOKUP(F93,Equipos!$C$2:$E$967,3,FALSE()),"")</f>
        <v/>
      </c>
    </row>
    <row r="94" spans="1:9" ht="15" customHeight="1" x14ac:dyDescent="0.25">
      <c r="A94" s="24"/>
      <c r="E94" s="25" t="str">
        <f>IFERROR(VLOOKUP(F94,Equipos!$C$2:$E$967,2,FALSE()),"")</f>
        <v/>
      </c>
      <c r="F94" s="24"/>
      <c r="G94" s="26" t="str">
        <f>IFERROR(VLOOKUP(F94,Equipos!$C$2:$K$967,9,FALSE()),"")</f>
        <v/>
      </c>
      <c r="I94" s="25" t="str">
        <f>IFERROR(VLOOKUP(F94,Equipos!$C$2:$E$967,3,FALSE()),"")</f>
        <v/>
      </c>
    </row>
    <row r="95" spans="1:9" ht="15" customHeight="1" x14ac:dyDescent="0.25">
      <c r="A95" s="24"/>
      <c r="E95" s="25" t="str">
        <f>IFERROR(VLOOKUP(F95,Equipos!$C$2:$E$967,2,FALSE()),"")</f>
        <v/>
      </c>
      <c r="F95" s="24"/>
      <c r="G95" s="26" t="str">
        <f>IFERROR(VLOOKUP(F95,Equipos!$C$2:$K$967,9,FALSE()),"")</f>
        <v/>
      </c>
      <c r="I95" s="25" t="str">
        <f>IFERROR(VLOOKUP(F95,Equipos!$C$2:$E$967,3,FALSE()),"")</f>
        <v/>
      </c>
    </row>
    <row r="96" spans="1:9" ht="15" customHeight="1" x14ac:dyDescent="0.25">
      <c r="A96" s="24"/>
      <c r="E96" s="25" t="str">
        <f>IFERROR(VLOOKUP(F96,Equipos!$C$2:$E$967,2,FALSE()),"")</f>
        <v/>
      </c>
      <c r="F96" s="24"/>
      <c r="G96" s="26" t="str">
        <f>IFERROR(VLOOKUP(F96,Equipos!$C$2:$K$967,9,FALSE()),"")</f>
        <v/>
      </c>
      <c r="I96" s="25" t="str">
        <f>IFERROR(VLOOKUP(F96,Equipos!$C$2:$E$967,3,FALSE()),"")</f>
        <v/>
      </c>
    </row>
    <row r="97" spans="1:9" ht="15" customHeight="1" x14ac:dyDescent="0.25">
      <c r="A97" s="24"/>
      <c r="E97" s="25" t="str">
        <f>IFERROR(VLOOKUP(F97,Equipos!$C$2:$E$967,2,FALSE()),"")</f>
        <v/>
      </c>
      <c r="F97" s="24"/>
      <c r="G97" s="26" t="str">
        <f>IFERROR(VLOOKUP(F97,Equipos!$C$2:$K$967,9,FALSE()),"")</f>
        <v/>
      </c>
      <c r="I97" s="25" t="str">
        <f>IFERROR(VLOOKUP(F97,Equipos!$C$2:$E$967,3,FALSE()),"")</f>
        <v/>
      </c>
    </row>
    <row r="98" spans="1:9" ht="15" customHeight="1" x14ac:dyDescent="0.25">
      <c r="A98" s="24"/>
      <c r="E98" s="25" t="str">
        <f>IFERROR(VLOOKUP(F98,Equipos!$C$2:$E$967,2,FALSE()),"")</f>
        <v/>
      </c>
      <c r="F98" s="24"/>
      <c r="G98" s="26" t="str">
        <f>IFERROR(VLOOKUP(F98,Equipos!$C$2:$K$967,9,FALSE()),"")</f>
        <v/>
      </c>
      <c r="I98" s="25" t="str">
        <f>IFERROR(VLOOKUP(F98,Equipos!$C$2:$E$967,3,FALSE()),"")</f>
        <v/>
      </c>
    </row>
    <row r="99" spans="1:9" ht="15" customHeight="1" x14ac:dyDescent="0.25">
      <c r="A99" s="24"/>
      <c r="E99" s="25" t="str">
        <f>IFERROR(VLOOKUP(F99,Equipos!$C$2:$E$967,2,FALSE()),"")</f>
        <v/>
      </c>
      <c r="F99" s="24"/>
      <c r="G99" s="26" t="str">
        <f>IFERROR(VLOOKUP(F99,Equipos!$C$2:$K$967,9,FALSE()),"")</f>
        <v/>
      </c>
      <c r="I99" s="25" t="str">
        <f>IFERROR(VLOOKUP(F99,Equipos!$C$2:$E$967,3,FALSE()),"")</f>
        <v/>
      </c>
    </row>
    <row r="100" spans="1:9" ht="15" customHeight="1" x14ac:dyDescent="0.25">
      <c r="A100" s="24"/>
      <c r="E100" s="25" t="str">
        <f>IFERROR(VLOOKUP(F100,Equipos!$C$2:$E$967,2,FALSE()),"")</f>
        <v/>
      </c>
      <c r="F100" s="24"/>
      <c r="G100" s="26" t="str">
        <f>IFERROR(VLOOKUP(F100,Equipos!$C$2:$K$967,9,FALSE()),"")</f>
        <v/>
      </c>
      <c r="I100" s="25" t="str">
        <f>IFERROR(VLOOKUP(F100,Equipos!$C$2:$E$967,3,FALSE()),"")</f>
        <v/>
      </c>
    </row>
    <row r="101" spans="1:9" ht="15" customHeight="1" x14ac:dyDescent="0.25">
      <c r="A101" s="24"/>
      <c r="E101" s="25" t="str">
        <f>IFERROR(VLOOKUP(F101,Equipos!$C$2:$E$967,2,FALSE()),"")</f>
        <v/>
      </c>
      <c r="F101" s="24"/>
      <c r="G101" s="26" t="str">
        <f>IFERROR(VLOOKUP(F101,Equipos!$C$2:$K$967,9,FALSE()),"")</f>
        <v/>
      </c>
      <c r="I101" s="25" t="str">
        <f>IFERROR(VLOOKUP(F101,Equipos!$C$2:$E$967,3,FALSE()),"")</f>
        <v/>
      </c>
    </row>
    <row r="102" spans="1:9" ht="15" customHeight="1" x14ac:dyDescent="0.25">
      <c r="A102" s="24"/>
      <c r="E102" s="25" t="str">
        <f>IFERROR(VLOOKUP(F102,Equipos!$C$2:$E$967,2,FALSE()),"")</f>
        <v/>
      </c>
      <c r="F102" s="24"/>
      <c r="G102" s="26" t="str">
        <f>IFERROR(VLOOKUP(F102,Equipos!$C$2:$K$967,9,FALSE()),"")</f>
        <v/>
      </c>
      <c r="I102" s="25" t="str">
        <f>IFERROR(VLOOKUP(F102,Equipos!$C$2:$E$967,3,FALSE()),"")</f>
        <v/>
      </c>
    </row>
    <row r="103" spans="1:9" ht="15" customHeight="1" x14ac:dyDescent="0.25">
      <c r="A103" s="24"/>
      <c r="E103" s="25" t="str">
        <f>IFERROR(VLOOKUP(F103,Equipos!$C$2:$E$967,2,FALSE()),"")</f>
        <v/>
      </c>
      <c r="F103" s="24"/>
      <c r="G103" s="26" t="str">
        <f>IFERROR(VLOOKUP(F103,Equipos!$C$2:$K$967,9,FALSE()),"")</f>
        <v/>
      </c>
      <c r="I103" s="25" t="str">
        <f>IFERROR(VLOOKUP(F103,Equipos!$C$2:$E$967,3,FALSE()),"")</f>
        <v/>
      </c>
    </row>
    <row r="104" spans="1:9" ht="15" customHeight="1" x14ac:dyDescent="0.25">
      <c r="A104" s="24"/>
      <c r="E104" s="25" t="str">
        <f>IFERROR(VLOOKUP(F104,Equipos!$C$2:$E$967,2,FALSE()),"")</f>
        <v/>
      </c>
      <c r="F104" s="24"/>
      <c r="G104" s="26" t="str">
        <f>IFERROR(VLOOKUP(F104,Equipos!$C$2:$K$967,9,FALSE()),"")</f>
        <v/>
      </c>
      <c r="I104" s="25" t="str">
        <f>IFERROR(VLOOKUP(F104,Equipos!$C$2:$E$967,3,FALSE()),"")</f>
        <v/>
      </c>
    </row>
    <row r="105" spans="1:9" ht="15" customHeight="1" x14ac:dyDescent="0.25">
      <c r="A105" s="24"/>
      <c r="E105" s="25" t="str">
        <f>IFERROR(VLOOKUP(F105,Equipos!$C$2:$E$967,2,FALSE()),"")</f>
        <v/>
      </c>
      <c r="F105" s="24"/>
      <c r="G105" s="26" t="str">
        <f>IFERROR(VLOOKUP(F105,Equipos!$C$2:$K$967,9,FALSE()),"")</f>
        <v/>
      </c>
      <c r="I105" s="25" t="str">
        <f>IFERROR(VLOOKUP(F105,Equipos!$C$2:$E$967,3,FALSE()),"")</f>
        <v/>
      </c>
    </row>
    <row r="106" spans="1:9" ht="15" customHeight="1" x14ac:dyDescent="0.25">
      <c r="A106" s="24"/>
      <c r="E106" s="25" t="str">
        <f>IFERROR(VLOOKUP(F106,Equipos!$C$2:$E$967,2,FALSE()),"")</f>
        <v/>
      </c>
      <c r="F106" s="24"/>
      <c r="G106" s="26" t="str">
        <f>IFERROR(VLOOKUP(F106,Equipos!$C$2:$K$967,9,FALSE()),"")</f>
        <v/>
      </c>
      <c r="I106" s="25" t="str">
        <f>IFERROR(VLOOKUP(F106,Equipos!$C$2:$E$967,3,FALSE()),"")</f>
        <v/>
      </c>
    </row>
    <row r="107" spans="1:9" ht="15" customHeight="1" x14ac:dyDescent="0.25">
      <c r="A107" s="24"/>
      <c r="E107" s="25" t="str">
        <f>IFERROR(VLOOKUP(F107,Equipos!$C$2:$E$967,2,FALSE()),"")</f>
        <v/>
      </c>
      <c r="F107" s="24"/>
      <c r="G107" s="26" t="str">
        <f>IFERROR(VLOOKUP(F107,Equipos!$C$2:$K$967,9,FALSE()),"")</f>
        <v/>
      </c>
      <c r="I107" s="25" t="str">
        <f>IFERROR(VLOOKUP(F107,Equipos!$C$2:$E$967,3,FALSE()),"")</f>
        <v/>
      </c>
    </row>
    <row r="108" spans="1:9" ht="15" customHeight="1" x14ac:dyDescent="0.25">
      <c r="A108" s="24"/>
      <c r="E108" s="25" t="str">
        <f>IFERROR(VLOOKUP(F108,Equipos!$C$2:$E$967,2,FALSE()),"")</f>
        <v/>
      </c>
      <c r="F108" s="24"/>
      <c r="G108" s="26" t="str">
        <f>IFERROR(VLOOKUP(F108,Equipos!$C$2:$K$967,9,FALSE()),"")</f>
        <v/>
      </c>
      <c r="I108" s="25" t="str">
        <f>IFERROR(VLOOKUP(F108,Equipos!$C$2:$E$967,3,FALSE()),"")</f>
        <v/>
      </c>
    </row>
    <row r="109" spans="1:9" ht="15" customHeight="1" x14ac:dyDescent="0.25">
      <c r="A109" s="24"/>
      <c r="E109" s="25" t="str">
        <f>IFERROR(VLOOKUP(F109,Equipos!$C$2:$E$967,2,FALSE()),"")</f>
        <v/>
      </c>
      <c r="F109" s="24"/>
      <c r="G109" s="26" t="str">
        <f>IFERROR(VLOOKUP(F109,Equipos!$C$2:$K$967,9,FALSE()),"")</f>
        <v/>
      </c>
      <c r="I109" s="25" t="str">
        <f>IFERROR(VLOOKUP(F109,Equipos!$C$2:$E$967,3,FALSE()),"")</f>
        <v/>
      </c>
    </row>
    <row r="110" spans="1:9" ht="15" customHeight="1" x14ac:dyDescent="0.25">
      <c r="A110" s="24"/>
      <c r="E110" s="25" t="str">
        <f>IFERROR(VLOOKUP(F110,Equipos!$C$2:$E$967,2,FALSE()),"")</f>
        <v/>
      </c>
      <c r="F110" s="24"/>
      <c r="G110" s="26" t="str">
        <f>IFERROR(VLOOKUP(F110,Equipos!$C$2:$K$967,9,FALSE()),"")</f>
        <v/>
      </c>
      <c r="I110" s="25" t="str">
        <f>IFERROR(VLOOKUP(F110,Equipos!$C$2:$E$967,3,FALSE()),"")</f>
        <v/>
      </c>
    </row>
    <row r="111" spans="1:9" ht="15" customHeight="1" x14ac:dyDescent="0.25">
      <c r="A111" s="24"/>
      <c r="E111" s="25" t="str">
        <f>IFERROR(VLOOKUP(F111,Equipos!$C$2:$E$967,2,FALSE()),"")</f>
        <v/>
      </c>
      <c r="F111" s="24"/>
      <c r="G111" s="26" t="str">
        <f>IFERROR(VLOOKUP(F111,Equipos!$C$2:$K$967,9,FALSE()),"")</f>
        <v/>
      </c>
      <c r="I111" s="25" t="str">
        <f>IFERROR(VLOOKUP(F111,Equipos!$C$2:$E$967,3,FALSE()),"")</f>
        <v/>
      </c>
    </row>
    <row r="112" spans="1:9" ht="15" customHeight="1" x14ac:dyDescent="0.25">
      <c r="A112" s="24"/>
      <c r="E112" s="25" t="str">
        <f>IFERROR(VLOOKUP(F112,Equipos!$C$2:$E$967,2,FALSE()),"")</f>
        <v/>
      </c>
      <c r="F112" s="24"/>
      <c r="G112" s="26" t="str">
        <f>IFERROR(VLOOKUP(F112,Equipos!$C$2:$K$967,9,FALSE()),"")</f>
        <v/>
      </c>
      <c r="I112" s="25" t="str">
        <f>IFERROR(VLOOKUP(F112,Equipos!$C$2:$E$967,3,FALSE()),"")</f>
        <v/>
      </c>
    </row>
    <row r="113" spans="1:9" ht="15" customHeight="1" x14ac:dyDescent="0.25">
      <c r="A113" s="24"/>
      <c r="E113" s="25" t="str">
        <f>IFERROR(VLOOKUP(F113,Equipos!$C$2:$E$967,2,FALSE()),"")</f>
        <v/>
      </c>
      <c r="F113" s="24"/>
      <c r="G113" s="26" t="str">
        <f>IFERROR(VLOOKUP(F113,Equipos!$C$2:$K$967,9,FALSE()),"")</f>
        <v/>
      </c>
      <c r="I113" s="25" t="str">
        <f>IFERROR(VLOOKUP(F113,Equipos!$C$2:$E$967,3,FALSE()),"")</f>
        <v/>
      </c>
    </row>
    <row r="114" spans="1:9" ht="15" customHeight="1" x14ac:dyDescent="0.25">
      <c r="A114" s="24"/>
      <c r="E114" s="25" t="str">
        <f>IFERROR(VLOOKUP(F114,Equipos!$C$2:$E$967,2,FALSE()),"")</f>
        <v/>
      </c>
      <c r="F114" s="24"/>
      <c r="G114" s="26" t="str">
        <f>IFERROR(VLOOKUP(F114,Equipos!$C$2:$K$967,9,FALSE()),"")</f>
        <v/>
      </c>
      <c r="I114" s="25" t="str">
        <f>IFERROR(VLOOKUP(F114,Equipos!$C$2:$E$967,3,FALSE()),"")</f>
        <v/>
      </c>
    </row>
    <row r="115" spans="1:9" ht="15" customHeight="1" x14ac:dyDescent="0.25">
      <c r="A115" s="24"/>
      <c r="E115" s="25" t="str">
        <f>IFERROR(VLOOKUP(F115,Equipos!$C$2:$E$967,2,FALSE()),"")</f>
        <v/>
      </c>
      <c r="F115" s="24"/>
      <c r="G115" s="26" t="str">
        <f>IFERROR(VLOOKUP(F115,Equipos!$C$2:$K$967,9,FALSE()),"")</f>
        <v/>
      </c>
      <c r="I115" s="25" t="str">
        <f>IFERROR(VLOOKUP(F115,Equipos!$C$2:$E$967,3,FALSE()),"")</f>
        <v/>
      </c>
    </row>
    <row r="116" spans="1:9" ht="15" customHeight="1" x14ac:dyDescent="0.25">
      <c r="A116" s="24"/>
      <c r="E116" s="25" t="str">
        <f>IFERROR(VLOOKUP(F116,Equipos!$C$2:$E$967,2,FALSE()),"")</f>
        <v/>
      </c>
      <c r="F116" s="24"/>
      <c r="G116" s="26" t="str">
        <f>IFERROR(VLOOKUP(F116,Equipos!$C$2:$K$967,9,FALSE()),"")</f>
        <v/>
      </c>
      <c r="I116" s="25" t="str">
        <f>IFERROR(VLOOKUP(F116,Equipos!$C$2:$E$967,3,FALSE()),"")</f>
        <v/>
      </c>
    </row>
    <row r="117" spans="1:9" ht="15" customHeight="1" x14ac:dyDescent="0.25">
      <c r="A117" s="24"/>
      <c r="E117" s="25" t="str">
        <f>IFERROR(VLOOKUP(F117,Equipos!$C$2:$E$967,2,FALSE()),"")</f>
        <v/>
      </c>
      <c r="F117" s="24"/>
      <c r="G117" s="26" t="str">
        <f>IFERROR(VLOOKUP(F117,Equipos!$C$2:$K$967,9,FALSE()),"")</f>
        <v/>
      </c>
      <c r="I117" s="25" t="str">
        <f>IFERROR(VLOOKUP(F117,Equipos!$C$2:$E$967,3,FALSE()),"")</f>
        <v/>
      </c>
    </row>
    <row r="118" spans="1:9" ht="15" customHeight="1" x14ac:dyDescent="0.25">
      <c r="A118" s="24"/>
      <c r="E118" s="25" t="str">
        <f>IFERROR(VLOOKUP(F118,Equipos!$C$2:$E$967,2,FALSE()),"")</f>
        <v/>
      </c>
      <c r="F118" s="24"/>
      <c r="G118" s="26" t="str">
        <f>IFERROR(VLOOKUP(F118,Equipos!$C$2:$K$967,9,FALSE()),"")</f>
        <v/>
      </c>
      <c r="I118" s="25" t="str">
        <f>IFERROR(VLOOKUP(F118,Equipos!$C$2:$E$967,3,FALSE()),"")</f>
        <v/>
      </c>
    </row>
    <row r="119" spans="1:9" ht="15" customHeight="1" x14ac:dyDescent="0.25">
      <c r="A119" s="24"/>
      <c r="E119" s="25" t="str">
        <f>IFERROR(VLOOKUP(F119,Equipos!$C$2:$E$967,2,FALSE()),"")</f>
        <v/>
      </c>
      <c r="F119" s="24"/>
      <c r="G119" s="26" t="str">
        <f>IFERROR(VLOOKUP(F119,Equipos!$C$2:$K$967,9,FALSE()),"")</f>
        <v/>
      </c>
      <c r="I119" s="25" t="str">
        <f>IFERROR(VLOOKUP(F119,Equipos!$C$2:$E$967,3,FALSE()),"")</f>
        <v/>
      </c>
    </row>
    <row r="120" spans="1:9" ht="15" customHeight="1" x14ac:dyDescent="0.25">
      <c r="A120" s="24"/>
      <c r="E120" s="25" t="str">
        <f>IFERROR(VLOOKUP(F120,Equipos!$C$2:$E$967,2,FALSE()),"")</f>
        <v/>
      </c>
      <c r="F120" s="24"/>
      <c r="G120" s="26" t="str">
        <f>IFERROR(VLOOKUP(F120,Equipos!$C$2:$K$967,9,FALSE()),"")</f>
        <v/>
      </c>
      <c r="I120" s="25" t="str">
        <f>IFERROR(VLOOKUP(F120,Equipos!$C$2:$E$967,3,FALSE()),"")</f>
        <v/>
      </c>
    </row>
    <row r="121" spans="1:9" ht="15" customHeight="1" x14ac:dyDescent="0.25">
      <c r="A121" s="24"/>
      <c r="E121" s="25" t="str">
        <f>IFERROR(VLOOKUP(F121,Equipos!$C$2:$E$967,2,FALSE()),"")</f>
        <v/>
      </c>
      <c r="F121" s="24"/>
      <c r="G121" s="26" t="str">
        <f>IFERROR(VLOOKUP(F121,Equipos!$C$2:$K$967,9,FALSE()),"")</f>
        <v/>
      </c>
      <c r="I121" s="25" t="str">
        <f>IFERROR(VLOOKUP(F121,Equipos!$C$2:$E$967,3,FALSE()),"")</f>
        <v/>
      </c>
    </row>
    <row r="122" spans="1:9" ht="15" customHeight="1" x14ac:dyDescent="0.25">
      <c r="A122" s="24"/>
      <c r="E122" s="25" t="str">
        <f>IFERROR(VLOOKUP(F122,Equipos!$C$2:$E$967,2,FALSE()),"")</f>
        <v/>
      </c>
      <c r="F122" s="24"/>
      <c r="G122" s="26" t="str">
        <f>IFERROR(VLOOKUP(F122,Equipos!$C$2:$K$967,9,FALSE()),"")</f>
        <v/>
      </c>
      <c r="I122" s="25" t="str">
        <f>IFERROR(VLOOKUP(F122,Equipos!$C$2:$E$967,3,FALSE()),"")</f>
        <v/>
      </c>
    </row>
    <row r="123" spans="1:9" ht="15" customHeight="1" x14ac:dyDescent="0.25">
      <c r="A123" s="24"/>
      <c r="E123" s="25" t="str">
        <f>IFERROR(VLOOKUP(F123,Equipos!$C$2:$E$967,2,FALSE()),"")</f>
        <v/>
      </c>
      <c r="F123" s="24"/>
      <c r="G123" s="26" t="str">
        <f>IFERROR(VLOOKUP(F123,Equipos!$C$2:$K$967,9,FALSE()),"")</f>
        <v/>
      </c>
      <c r="I123" s="25" t="str">
        <f>IFERROR(VLOOKUP(F123,Equipos!$C$2:$E$967,3,FALSE()),"")</f>
        <v/>
      </c>
    </row>
    <row r="124" spans="1:9" ht="15" customHeight="1" x14ac:dyDescent="0.25">
      <c r="A124" s="24"/>
      <c r="E124" s="25" t="str">
        <f>IFERROR(VLOOKUP(F124,Equipos!$C$2:$E$967,2,FALSE()),"")</f>
        <v/>
      </c>
      <c r="F124" s="24"/>
      <c r="G124" s="26" t="str">
        <f>IFERROR(VLOOKUP(F124,Equipos!$C$2:$K$967,9,FALSE()),"")</f>
        <v/>
      </c>
      <c r="I124" s="25" t="str">
        <f>IFERROR(VLOOKUP(F124,Equipos!$C$2:$E$967,3,FALSE()),"")</f>
        <v/>
      </c>
    </row>
    <row r="125" spans="1:9" ht="15" customHeight="1" x14ac:dyDescent="0.25">
      <c r="A125" s="24"/>
      <c r="E125" s="25" t="str">
        <f>IFERROR(VLOOKUP(F125,Equipos!$C$2:$E$967,2,FALSE()),"")</f>
        <v/>
      </c>
      <c r="F125" s="24"/>
      <c r="G125" s="26" t="str">
        <f>IFERROR(VLOOKUP(F125,Equipos!$C$2:$K$967,9,FALSE()),"")</f>
        <v/>
      </c>
      <c r="I125" s="25" t="str">
        <f>IFERROR(VLOOKUP(F125,Equipos!$C$2:$E$967,3,FALSE()),"")</f>
        <v/>
      </c>
    </row>
    <row r="126" spans="1:9" ht="15" customHeight="1" x14ac:dyDescent="0.25">
      <c r="A126" s="24"/>
      <c r="E126" s="25" t="str">
        <f>IFERROR(VLOOKUP(F126,Equipos!$C$2:$E$967,2,FALSE()),"")</f>
        <v/>
      </c>
      <c r="F126" s="24"/>
      <c r="G126" s="26" t="str">
        <f>IFERROR(VLOOKUP(F126,Equipos!$C$2:$K$967,9,FALSE()),"")</f>
        <v/>
      </c>
      <c r="I126" s="25" t="str">
        <f>IFERROR(VLOOKUP(F126,Equipos!$C$2:$E$967,3,FALSE()),"")</f>
        <v/>
      </c>
    </row>
    <row r="127" spans="1:9" ht="15" customHeight="1" x14ac:dyDescent="0.25">
      <c r="A127" s="24"/>
      <c r="E127" s="25" t="str">
        <f>IFERROR(VLOOKUP(F127,Equipos!$C$2:$E$967,2,FALSE()),"")</f>
        <v/>
      </c>
      <c r="F127" s="24"/>
      <c r="G127" s="26" t="str">
        <f>IFERROR(VLOOKUP(F127,Equipos!$C$2:$K$967,9,FALSE()),"")</f>
        <v/>
      </c>
      <c r="I127" s="25" t="str">
        <f>IFERROR(VLOOKUP(F127,Equipos!$C$2:$E$967,3,FALSE()),"")</f>
        <v/>
      </c>
    </row>
    <row r="128" spans="1:9" ht="15" customHeight="1" x14ac:dyDescent="0.25">
      <c r="A128" s="24"/>
      <c r="E128" s="25" t="str">
        <f>IFERROR(VLOOKUP(F128,Equipos!$C$2:$E$967,2,FALSE()),"")</f>
        <v/>
      </c>
      <c r="F128" s="24"/>
      <c r="G128" s="26" t="str">
        <f>IFERROR(VLOOKUP(F128,Equipos!$C$2:$K$967,9,FALSE()),"")</f>
        <v/>
      </c>
      <c r="I128" s="25" t="str">
        <f>IFERROR(VLOOKUP(F128,Equipos!$C$2:$E$967,3,FALSE()),"")</f>
        <v/>
      </c>
    </row>
    <row r="129" spans="1:9" ht="15" customHeight="1" x14ac:dyDescent="0.25">
      <c r="A129" s="24"/>
      <c r="E129" s="25" t="str">
        <f>IFERROR(VLOOKUP(F129,Equipos!$C$2:$E$967,2,FALSE()),"")</f>
        <v/>
      </c>
      <c r="F129" s="24"/>
      <c r="G129" s="26" t="str">
        <f>IFERROR(VLOOKUP(F129,Equipos!$C$2:$K$967,9,FALSE()),"")</f>
        <v/>
      </c>
      <c r="I129" s="25" t="str">
        <f>IFERROR(VLOOKUP(F129,Equipos!$C$2:$E$967,3,FALSE()),"")</f>
        <v/>
      </c>
    </row>
    <row r="130" spans="1:9" ht="15" customHeight="1" x14ac:dyDescent="0.25">
      <c r="A130" s="24"/>
      <c r="E130" s="25" t="str">
        <f>IFERROR(VLOOKUP(F130,Equipos!$C$2:$E$967,2,FALSE()),"")</f>
        <v/>
      </c>
      <c r="F130" s="24"/>
      <c r="G130" s="26" t="str">
        <f>IFERROR(VLOOKUP(F130,Equipos!$C$2:$K$967,9,FALSE()),"")</f>
        <v/>
      </c>
      <c r="I130" s="25" t="str">
        <f>IFERROR(VLOOKUP(F130,Equipos!$C$2:$E$967,3,FALSE()),"")</f>
        <v/>
      </c>
    </row>
    <row r="131" spans="1:9" ht="15" customHeight="1" x14ac:dyDescent="0.25">
      <c r="A131" s="24"/>
      <c r="E131" s="25" t="str">
        <f>IFERROR(VLOOKUP(F131,Equipos!$C$2:$E$967,2,FALSE()),"")</f>
        <v/>
      </c>
      <c r="F131" s="24"/>
      <c r="G131" s="26" t="str">
        <f>IFERROR(VLOOKUP(F131,Equipos!$C$2:$K$967,9,FALSE()),"")</f>
        <v/>
      </c>
      <c r="I131" s="25" t="str">
        <f>IFERROR(VLOOKUP(F131,Equipos!$C$2:$E$967,3,FALSE()),"")</f>
        <v/>
      </c>
    </row>
    <row r="132" spans="1:9" ht="15" customHeight="1" x14ac:dyDescent="0.25">
      <c r="A132" s="24"/>
      <c r="E132" s="25" t="str">
        <f>IFERROR(VLOOKUP(F132,Equipos!$C$2:$E$967,2,FALSE()),"")</f>
        <v/>
      </c>
      <c r="F132" s="24"/>
      <c r="G132" s="26" t="str">
        <f>IFERROR(VLOOKUP(F132,Equipos!$C$2:$K$967,9,FALSE()),"")</f>
        <v/>
      </c>
      <c r="I132" s="25" t="str">
        <f>IFERROR(VLOOKUP(F132,Equipos!$C$2:$E$967,3,FALSE()),"")</f>
        <v/>
      </c>
    </row>
    <row r="133" spans="1:9" ht="15" customHeight="1" x14ac:dyDescent="0.25">
      <c r="A133" s="24"/>
      <c r="E133" s="25" t="str">
        <f>IFERROR(VLOOKUP(F133,Equipos!$C$2:$E$967,2,FALSE()),"")</f>
        <v/>
      </c>
      <c r="F133" s="24"/>
      <c r="G133" s="26" t="str">
        <f>IFERROR(VLOOKUP(F133,Equipos!$C$2:$K$967,9,FALSE()),"")</f>
        <v/>
      </c>
      <c r="I133" s="25" t="str">
        <f>IFERROR(VLOOKUP(F133,Equipos!$C$2:$E$967,3,FALSE()),"")</f>
        <v/>
      </c>
    </row>
    <row r="134" spans="1:9" ht="15" customHeight="1" x14ac:dyDescent="0.25">
      <c r="A134" s="24"/>
      <c r="E134" s="25" t="str">
        <f>IFERROR(VLOOKUP(F134,Equipos!$C$2:$E$967,2,FALSE()),"")</f>
        <v/>
      </c>
      <c r="F134" s="24"/>
      <c r="G134" s="26" t="str">
        <f>IFERROR(VLOOKUP(F134,Equipos!$C$2:$K$967,9,FALSE()),"")</f>
        <v/>
      </c>
      <c r="I134" s="25" t="str">
        <f>IFERROR(VLOOKUP(F134,Equipos!$C$2:$E$967,3,FALSE()),"")</f>
        <v/>
      </c>
    </row>
    <row r="135" spans="1:9" ht="15" customHeight="1" x14ac:dyDescent="0.25">
      <c r="A135" s="24"/>
      <c r="E135" s="25" t="str">
        <f>IFERROR(VLOOKUP(F135,Equipos!$C$2:$E$967,2,FALSE()),"")</f>
        <v/>
      </c>
      <c r="F135" s="24"/>
      <c r="G135" s="26" t="str">
        <f>IFERROR(VLOOKUP(F135,Equipos!$C$2:$K$967,9,FALSE()),"")</f>
        <v/>
      </c>
      <c r="I135" s="25" t="str">
        <f>IFERROR(VLOOKUP(F135,Equipos!$C$2:$E$967,3,FALSE()),"")</f>
        <v/>
      </c>
    </row>
    <row r="136" spans="1:9" ht="15" customHeight="1" x14ac:dyDescent="0.25">
      <c r="A136" s="24"/>
      <c r="E136" s="25" t="str">
        <f>IFERROR(VLOOKUP(F136,Equipos!$C$2:$E$967,2,FALSE()),"")</f>
        <v/>
      </c>
      <c r="F136" s="24"/>
      <c r="G136" s="26" t="str">
        <f>IFERROR(VLOOKUP(F136,Equipos!$C$2:$K$967,9,FALSE()),"")</f>
        <v/>
      </c>
      <c r="I136" s="25" t="str">
        <f>IFERROR(VLOOKUP(F136,Equipos!$C$2:$E$967,3,FALSE()),"")</f>
        <v/>
      </c>
    </row>
    <row r="137" spans="1:9" ht="15" customHeight="1" x14ac:dyDescent="0.25">
      <c r="A137" s="24"/>
      <c r="E137" s="25" t="str">
        <f>IFERROR(VLOOKUP(F137,Equipos!$C$2:$E$967,2,FALSE()),"")</f>
        <v/>
      </c>
      <c r="F137" s="24"/>
      <c r="G137" s="26" t="str">
        <f>IFERROR(VLOOKUP(F137,Equipos!$C$2:$K$967,9,FALSE()),"")</f>
        <v/>
      </c>
      <c r="I137" s="25" t="str">
        <f>IFERROR(VLOOKUP(F137,Equipos!$C$2:$E$967,3,FALSE()),"")</f>
        <v/>
      </c>
    </row>
    <row r="138" spans="1:9" ht="15" customHeight="1" x14ac:dyDescent="0.25">
      <c r="A138" s="24"/>
      <c r="E138" s="25" t="str">
        <f>IFERROR(VLOOKUP(F138,Equipos!$C$2:$E$967,2,FALSE()),"")</f>
        <v/>
      </c>
      <c r="F138" s="24"/>
      <c r="G138" s="26" t="str">
        <f>IFERROR(VLOOKUP(F138,Equipos!$C$2:$K$967,9,FALSE()),"")</f>
        <v/>
      </c>
      <c r="I138" s="25" t="str">
        <f>IFERROR(VLOOKUP(F138,Equipos!$C$2:$E$967,3,FALSE()),"")</f>
        <v/>
      </c>
    </row>
    <row r="139" spans="1:9" ht="15" customHeight="1" x14ac:dyDescent="0.25">
      <c r="A139" s="24"/>
      <c r="E139" s="25" t="str">
        <f>IFERROR(VLOOKUP(F139,Equipos!$C$2:$E$967,2,FALSE()),"")</f>
        <v/>
      </c>
      <c r="F139" s="24"/>
      <c r="G139" s="26" t="str">
        <f>IFERROR(VLOOKUP(F139,Equipos!$C$2:$K$967,9,FALSE()),"")</f>
        <v/>
      </c>
      <c r="I139" s="25" t="str">
        <f>IFERROR(VLOOKUP(F139,Equipos!$C$2:$E$967,3,FALSE()),"")</f>
        <v/>
      </c>
    </row>
    <row r="140" spans="1:9" ht="15" customHeight="1" x14ac:dyDescent="0.25">
      <c r="A140" s="24"/>
      <c r="E140" s="25" t="str">
        <f>IFERROR(VLOOKUP(F140,Equipos!$C$2:$E$967,2,FALSE()),"")</f>
        <v/>
      </c>
      <c r="F140" s="24"/>
      <c r="G140" s="26" t="str">
        <f>IFERROR(VLOOKUP(F140,Equipos!$C$2:$K$967,9,FALSE()),"")</f>
        <v/>
      </c>
      <c r="I140" s="25" t="str">
        <f>IFERROR(VLOOKUP(F140,Equipos!$C$2:$E$967,3,FALSE()),"")</f>
        <v/>
      </c>
    </row>
    <row r="141" spans="1:9" ht="15" customHeight="1" x14ac:dyDescent="0.25">
      <c r="A141" s="24"/>
      <c r="E141" s="25" t="str">
        <f>IFERROR(VLOOKUP(F141,Equipos!$C$2:$E$967,2,FALSE()),"")</f>
        <v/>
      </c>
      <c r="F141" s="24"/>
      <c r="G141" s="26" t="str">
        <f>IFERROR(VLOOKUP(F141,Equipos!$C$2:$K$967,9,FALSE()),"")</f>
        <v/>
      </c>
      <c r="I141" s="25" t="str">
        <f>IFERROR(VLOOKUP(F141,Equipos!$C$2:$E$967,3,FALSE()),"")</f>
        <v/>
      </c>
    </row>
    <row r="142" spans="1:9" ht="15" customHeight="1" x14ac:dyDescent="0.25">
      <c r="A142" s="24"/>
      <c r="E142" s="25" t="str">
        <f>IFERROR(VLOOKUP(F142,Equipos!$C$2:$E$967,2,FALSE()),"")</f>
        <v/>
      </c>
      <c r="F142" s="24"/>
      <c r="G142" s="26" t="str">
        <f>IFERROR(VLOOKUP(F142,Equipos!$C$2:$K$967,9,FALSE()),"")</f>
        <v/>
      </c>
      <c r="I142" s="25" t="str">
        <f>IFERROR(VLOOKUP(F142,Equipos!$C$2:$E$967,3,FALSE()),"")</f>
        <v/>
      </c>
    </row>
    <row r="143" spans="1:9" ht="15" customHeight="1" x14ac:dyDescent="0.25">
      <c r="A143" s="24"/>
      <c r="E143" s="25" t="str">
        <f>IFERROR(VLOOKUP(F143,Equipos!$C$2:$E$967,2,FALSE()),"")</f>
        <v/>
      </c>
      <c r="F143" s="24"/>
      <c r="G143" s="26" t="str">
        <f>IFERROR(VLOOKUP(F143,Equipos!$C$2:$K$967,9,FALSE()),"")</f>
        <v/>
      </c>
      <c r="I143" s="25" t="str">
        <f>IFERROR(VLOOKUP(F143,Equipos!$C$2:$E$967,3,FALSE()),"")</f>
        <v/>
      </c>
    </row>
    <row r="144" spans="1:9" ht="15" customHeight="1" x14ac:dyDescent="0.25">
      <c r="A144" s="24"/>
      <c r="E144" s="25" t="str">
        <f>IFERROR(VLOOKUP(F144,Equipos!$C$2:$E$967,2,FALSE()),"")</f>
        <v/>
      </c>
      <c r="F144" s="24"/>
      <c r="G144" s="26" t="str">
        <f>IFERROR(VLOOKUP(F144,Equipos!$C$2:$K$967,9,FALSE()),"")</f>
        <v/>
      </c>
      <c r="I144" s="25" t="str">
        <f>IFERROR(VLOOKUP(F144,Equipos!$C$2:$E$967,3,FALSE()),"")</f>
        <v/>
      </c>
    </row>
    <row r="145" spans="1:9" ht="15" customHeight="1" x14ac:dyDescent="0.25">
      <c r="A145" s="24"/>
      <c r="E145" s="25" t="str">
        <f>IFERROR(VLOOKUP(F145,Equipos!$C$2:$E$967,2,FALSE()),"")</f>
        <v/>
      </c>
      <c r="F145" s="24"/>
      <c r="G145" s="26" t="str">
        <f>IFERROR(VLOOKUP(F145,Equipos!$C$2:$K$967,9,FALSE()),"")</f>
        <v/>
      </c>
      <c r="I145" s="25" t="str">
        <f>IFERROR(VLOOKUP(F145,Equipos!$C$2:$E$967,3,FALSE()),"")</f>
        <v/>
      </c>
    </row>
    <row r="146" spans="1:9" ht="15" customHeight="1" x14ac:dyDescent="0.25">
      <c r="A146" s="24"/>
      <c r="E146" s="25" t="str">
        <f>IFERROR(VLOOKUP(F146,Equipos!$C$2:$E$967,2,FALSE()),"")</f>
        <v/>
      </c>
      <c r="F146" s="24"/>
      <c r="G146" s="26" t="str">
        <f>IFERROR(VLOOKUP(F146,Equipos!$C$2:$K$967,9,FALSE()),"")</f>
        <v/>
      </c>
      <c r="I146" s="25" t="str">
        <f>IFERROR(VLOOKUP(F146,Equipos!$C$2:$E$967,3,FALSE()),"")</f>
        <v/>
      </c>
    </row>
    <row r="147" spans="1:9" ht="15" customHeight="1" x14ac:dyDescent="0.25">
      <c r="A147" s="24"/>
      <c r="E147" s="25" t="str">
        <f>IFERROR(VLOOKUP(F147,Equipos!$C$2:$E$967,2,FALSE()),"")</f>
        <v/>
      </c>
      <c r="F147" s="24"/>
      <c r="G147" s="26" t="str">
        <f>IFERROR(VLOOKUP(F147,Equipos!$C$2:$K$967,9,FALSE()),"")</f>
        <v/>
      </c>
      <c r="I147" s="25" t="str">
        <f>IFERROR(VLOOKUP(F147,Equipos!$C$2:$E$967,3,FALSE()),"")</f>
        <v/>
      </c>
    </row>
    <row r="148" spans="1:9" ht="15" customHeight="1" x14ac:dyDescent="0.25">
      <c r="A148" s="24"/>
      <c r="E148" s="25" t="str">
        <f>IFERROR(VLOOKUP(F148,Equipos!$C$2:$E$967,2,FALSE()),"")</f>
        <v/>
      </c>
      <c r="F148" s="24"/>
      <c r="G148" s="26" t="str">
        <f>IFERROR(VLOOKUP(F148,Equipos!$C$2:$K$967,9,FALSE()),"")</f>
        <v/>
      </c>
      <c r="I148" s="25" t="str">
        <f>IFERROR(VLOOKUP(F148,Equipos!$C$2:$E$967,3,FALSE()),"")</f>
        <v/>
      </c>
    </row>
    <row r="149" spans="1:9" ht="15" customHeight="1" x14ac:dyDescent="0.25">
      <c r="A149" s="24"/>
      <c r="E149" s="25" t="str">
        <f>IFERROR(VLOOKUP(F149,Equipos!$C$2:$E$967,2,FALSE()),"")</f>
        <v/>
      </c>
      <c r="F149" s="24"/>
      <c r="G149" s="26" t="str">
        <f>IFERROR(VLOOKUP(F149,Equipos!$C$2:$K$967,9,FALSE()),"")</f>
        <v/>
      </c>
      <c r="I149" s="25" t="str">
        <f>IFERROR(VLOOKUP(F149,Equipos!$C$2:$E$967,3,FALSE()),"")</f>
        <v/>
      </c>
    </row>
    <row r="150" spans="1:9" ht="15" customHeight="1" x14ac:dyDescent="0.25">
      <c r="A150" s="24"/>
      <c r="E150" s="25" t="str">
        <f>IFERROR(VLOOKUP(F150,Equipos!$C$2:$E$967,2,FALSE()),"")</f>
        <v/>
      </c>
      <c r="F150" s="24"/>
      <c r="G150" s="26" t="str">
        <f>IFERROR(VLOOKUP(F150,Equipos!$C$2:$K$967,9,FALSE()),"")</f>
        <v/>
      </c>
      <c r="I150" s="25" t="str">
        <f>IFERROR(VLOOKUP(F150,Equipos!$C$2:$E$967,3,FALSE()),"")</f>
        <v/>
      </c>
    </row>
    <row r="151" spans="1:9" ht="15" customHeight="1" x14ac:dyDescent="0.25">
      <c r="A151" s="24"/>
      <c r="E151" s="25" t="str">
        <f>IFERROR(VLOOKUP(F151,Equipos!$C$2:$E$967,2,FALSE()),"")</f>
        <v/>
      </c>
      <c r="F151" s="24"/>
      <c r="G151" s="26" t="str">
        <f>IFERROR(VLOOKUP(F151,Equipos!$C$2:$K$967,9,FALSE()),"")</f>
        <v/>
      </c>
      <c r="I151" s="25" t="str">
        <f>IFERROR(VLOOKUP(F151,Equipos!$C$2:$E$967,3,FALSE()),"")</f>
        <v/>
      </c>
    </row>
    <row r="152" spans="1:9" ht="15" customHeight="1" x14ac:dyDescent="0.25">
      <c r="A152" s="24"/>
      <c r="E152" s="25" t="str">
        <f>IFERROR(VLOOKUP(F152,Equipos!$C$2:$E$967,2,FALSE()),"")</f>
        <v/>
      </c>
      <c r="F152" s="24"/>
      <c r="G152" s="26" t="str">
        <f>IFERROR(VLOOKUP(F152,Equipos!$C$2:$K$967,9,FALSE()),"")</f>
        <v/>
      </c>
      <c r="I152" s="25" t="str">
        <f>IFERROR(VLOOKUP(F152,Equipos!$C$2:$E$967,3,FALSE()),"")</f>
        <v/>
      </c>
    </row>
    <row r="153" spans="1:9" ht="15" customHeight="1" x14ac:dyDescent="0.25">
      <c r="A153" s="24"/>
      <c r="E153" s="25" t="str">
        <f>IFERROR(VLOOKUP(F153,Equipos!$C$2:$E$967,2,FALSE()),"")</f>
        <v/>
      </c>
      <c r="F153" s="24"/>
      <c r="G153" s="26" t="str">
        <f>IFERROR(VLOOKUP(F153,Equipos!$C$2:$K$967,9,FALSE()),"")</f>
        <v/>
      </c>
      <c r="I153" s="25" t="str">
        <f>IFERROR(VLOOKUP(F153,Equipos!$C$2:$E$967,3,FALSE()),"")</f>
        <v/>
      </c>
    </row>
    <row r="154" spans="1:9" ht="15" customHeight="1" x14ac:dyDescent="0.25">
      <c r="A154" s="24"/>
      <c r="E154" s="25" t="str">
        <f>IFERROR(VLOOKUP(F154,Equipos!$C$2:$E$967,2,FALSE()),"")</f>
        <v/>
      </c>
      <c r="F154" s="24"/>
      <c r="G154" s="26" t="str">
        <f>IFERROR(VLOOKUP(F154,Equipos!$C$2:$K$967,9,FALSE()),"")</f>
        <v/>
      </c>
      <c r="I154" s="25" t="str">
        <f>IFERROR(VLOOKUP(F154,Equipos!$C$2:$E$967,3,FALSE()),"")</f>
        <v/>
      </c>
    </row>
    <row r="155" spans="1:9" ht="15" customHeight="1" x14ac:dyDescent="0.25">
      <c r="A155" s="24"/>
      <c r="E155" s="25" t="str">
        <f>IFERROR(VLOOKUP(F155,Equipos!$C$2:$E$967,2,FALSE()),"")</f>
        <v/>
      </c>
      <c r="F155" s="24"/>
      <c r="G155" s="26" t="str">
        <f>IFERROR(VLOOKUP(F155,Equipos!$C$2:$K$967,9,FALSE()),"")</f>
        <v/>
      </c>
      <c r="I155" s="25" t="str">
        <f>IFERROR(VLOOKUP(F155,Equipos!$C$2:$E$967,3,FALSE()),"")</f>
        <v/>
      </c>
    </row>
    <row r="156" spans="1:9" ht="15" customHeight="1" x14ac:dyDescent="0.25">
      <c r="A156" s="24"/>
      <c r="E156" s="25" t="str">
        <f>IFERROR(VLOOKUP(F156,Equipos!$C$2:$E$967,2,FALSE()),"")</f>
        <v/>
      </c>
      <c r="F156" s="24"/>
      <c r="G156" s="26" t="str">
        <f>IFERROR(VLOOKUP(F156,Equipos!$C$2:$K$967,9,FALSE()),"")</f>
        <v/>
      </c>
      <c r="I156" s="25" t="str">
        <f>IFERROR(VLOOKUP(F156,Equipos!$C$2:$E$967,3,FALSE()),"")</f>
        <v/>
      </c>
    </row>
    <row r="157" spans="1:9" ht="15" customHeight="1" x14ac:dyDescent="0.25">
      <c r="A157" s="24"/>
      <c r="E157" s="25" t="str">
        <f>IFERROR(VLOOKUP(F157,Equipos!$C$2:$E$967,2,FALSE()),"")</f>
        <v/>
      </c>
      <c r="F157" s="24"/>
      <c r="G157" s="26" t="str">
        <f>IFERROR(VLOOKUP(F157,Equipos!$C$2:$K$967,9,FALSE()),"")</f>
        <v/>
      </c>
      <c r="I157" s="25" t="str">
        <f>IFERROR(VLOOKUP(F157,Equipos!$C$2:$E$967,3,FALSE()),"")</f>
        <v/>
      </c>
    </row>
    <row r="158" spans="1:9" ht="15" customHeight="1" x14ac:dyDescent="0.25">
      <c r="A158" s="24"/>
      <c r="E158" s="25" t="str">
        <f>IFERROR(VLOOKUP(F158,Equipos!$C$2:$E$967,2,FALSE()),"")</f>
        <v/>
      </c>
      <c r="F158" s="24"/>
      <c r="G158" s="26" t="str">
        <f>IFERROR(VLOOKUP(F158,Equipos!$C$2:$K$967,9,FALSE()),"")</f>
        <v/>
      </c>
      <c r="I158" s="25" t="str">
        <f>IFERROR(VLOOKUP(F158,Equipos!$C$2:$E$967,3,FALSE()),"")</f>
        <v/>
      </c>
    </row>
    <row r="159" spans="1:9" ht="15" customHeight="1" x14ac:dyDescent="0.25">
      <c r="A159" s="24"/>
      <c r="E159" s="25" t="str">
        <f>IFERROR(VLOOKUP(F159,Equipos!$C$2:$E$967,2,FALSE()),"")</f>
        <v/>
      </c>
      <c r="F159" s="24"/>
      <c r="G159" s="26" t="str">
        <f>IFERROR(VLOOKUP(F159,Equipos!$C$2:$K$967,9,FALSE()),"")</f>
        <v/>
      </c>
      <c r="I159" s="25" t="str">
        <f>IFERROR(VLOOKUP(F159,Equipos!$C$2:$E$967,3,FALSE()),"")</f>
        <v/>
      </c>
    </row>
    <row r="160" spans="1:9" ht="15" customHeight="1" x14ac:dyDescent="0.25">
      <c r="A160" s="24"/>
      <c r="E160" s="25" t="str">
        <f>IFERROR(VLOOKUP(F160,Equipos!$C$2:$E$967,2,FALSE()),"")</f>
        <v/>
      </c>
      <c r="F160" s="24"/>
      <c r="G160" s="26" t="str">
        <f>IFERROR(VLOOKUP(F160,Equipos!$C$2:$K$967,9,FALSE()),"")</f>
        <v/>
      </c>
      <c r="I160" s="25" t="str">
        <f>IFERROR(VLOOKUP(F160,Equipos!$C$2:$E$967,3,FALSE()),"")</f>
        <v/>
      </c>
    </row>
    <row r="161" spans="1:9" ht="15" customHeight="1" x14ac:dyDescent="0.25">
      <c r="A161" s="24"/>
      <c r="E161" s="25" t="str">
        <f>IFERROR(VLOOKUP(F161,Equipos!$C$2:$E$967,2,FALSE()),"")</f>
        <v/>
      </c>
      <c r="F161" s="24"/>
      <c r="G161" s="26" t="str">
        <f>IFERROR(VLOOKUP(F161,Equipos!$C$2:$K$967,9,FALSE()),"")</f>
        <v/>
      </c>
      <c r="I161" s="25" t="str">
        <f>IFERROR(VLOOKUP(F161,Equipos!$C$2:$E$967,3,FALSE()),"")</f>
        <v/>
      </c>
    </row>
    <row r="162" spans="1:9" ht="15" customHeight="1" x14ac:dyDescent="0.25">
      <c r="A162" s="24"/>
      <c r="E162" s="25" t="str">
        <f>IFERROR(VLOOKUP(F162,Equipos!$C$2:$E$967,2,FALSE()),"")</f>
        <v/>
      </c>
      <c r="F162" s="24"/>
      <c r="G162" s="26" t="str">
        <f>IFERROR(VLOOKUP(F162,Equipos!$C$2:$K$967,9,FALSE()),"")</f>
        <v/>
      </c>
      <c r="I162" s="25" t="str">
        <f>IFERROR(VLOOKUP(F162,Equipos!$C$2:$E$967,3,FALSE()),"")</f>
        <v/>
      </c>
    </row>
    <row r="163" spans="1:9" ht="15" customHeight="1" x14ac:dyDescent="0.25">
      <c r="A163" s="24"/>
      <c r="E163" s="25" t="str">
        <f>IFERROR(VLOOKUP(F163,Equipos!$C$2:$E$967,2,FALSE()),"")</f>
        <v/>
      </c>
      <c r="F163" s="24"/>
      <c r="G163" s="26" t="str">
        <f>IFERROR(VLOOKUP(F163,Equipos!$C$2:$K$967,9,FALSE()),"")</f>
        <v/>
      </c>
      <c r="I163" s="25" t="str">
        <f>IFERROR(VLOOKUP(F163,Equipos!$C$2:$E$967,3,FALSE()),"")</f>
        <v/>
      </c>
    </row>
    <row r="164" spans="1:9" ht="15" customHeight="1" x14ac:dyDescent="0.25">
      <c r="A164" s="24"/>
      <c r="E164" s="25" t="str">
        <f>IFERROR(VLOOKUP(F164,Equipos!$C$2:$E$967,2,FALSE()),"")</f>
        <v/>
      </c>
      <c r="F164" s="24"/>
      <c r="G164" s="26" t="str">
        <f>IFERROR(VLOOKUP(F164,Equipos!$C$2:$K$967,9,FALSE()),"")</f>
        <v/>
      </c>
      <c r="I164" s="25" t="str">
        <f>IFERROR(VLOOKUP(F164,Equipos!$C$2:$E$967,3,FALSE()),"")</f>
        <v/>
      </c>
    </row>
    <row r="165" spans="1:9" ht="15" customHeight="1" x14ac:dyDescent="0.25">
      <c r="A165" s="24"/>
      <c r="E165" s="25" t="str">
        <f>IFERROR(VLOOKUP(F165,Equipos!$C$2:$E$967,2,FALSE()),"")</f>
        <v/>
      </c>
      <c r="F165" s="24"/>
      <c r="G165" s="26" t="str">
        <f>IFERROR(VLOOKUP(F165,Equipos!$C$2:$K$967,9,FALSE()),"")</f>
        <v/>
      </c>
      <c r="I165" s="25" t="str">
        <f>IFERROR(VLOOKUP(F165,Equipos!$C$2:$E$967,3,FALSE()),"")</f>
        <v/>
      </c>
    </row>
    <row r="166" spans="1:9" ht="15" customHeight="1" x14ac:dyDescent="0.25">
      <c r="A166" s="24"/>
      <c r="E166" s="25" t="str">
        <f>IFERROR(VLOOKUP(F166,Equipos!$C$2:$E$967,2,FALSE()),"")</f>
        <v/>
      </c>
      <c r="F166" s="24"/>
      <c r="G166" s="26" t="str">
        <f>IFERROR(VLOOKUP(F166,Equipos!$C$2:$K$967,9,FALSE()),"")</f>
        <v/>
      </c>
      <c r="I166" s="25" t="str">
        <f>IFERROR(VLOOKUP(F166,Equipos!$C$2:$E$967,3,FALSE()),"")</f>
        <v/>
      </c>
    </row>
    <row r="167" spans="1:9" ht="15" customHeight="1" x14ac:dyDescent="0.25">
      <c r="A167" s="24"/>
      <c r="E167" s="25" t="str">
        <f>IFERROR(VLOOKUP(F167,Equipos!$C$2:$E$967,2,FALSE()),"")</f>
        <v/>
      </c>
      <c r="F167" s="24"/>
      <c r="G167" s="26" t="str">
        <f>IFERROR(VLOOKUP(F167,Equipos!$C$2:$K$967,9,FALSE()),"")</f>
        <v/>
      </c>
      <c r="I167" s="25" t="str">
        <f>IFERROR(VLOOKUP(F167,Equipos!$C$2:$E$967,3,FALSE()),"")</f>
        <v/>
      </c>
    </row>
    <row r="168" spans="1:9" ht="15" customHeight="1" x14ac:dyDescent="0.25">
      <c r="A168" s="24"/>
      <c r="E168" s="25" t="str">
        <f>IFERROR(VLOOKUP(F168,Equipos!$C$2:$E$967,2,FALSE()),"")</f>
        <v/>
      </c>
      <c r="F168" s="24"/>
      <c r="G168" s="26" t="str">
        <f>IFERROR(VLOOKUP(F168,Equipos!$C$2:$K$967,9,FALSE()),"")</f>
        <v/>
      </c>
      <c r="I168" s="25" t="str">
        <f>IFERROR(VLOOKUP(F168,Equipos!$C$2:$E$967,3,FALSE()),"")</f>
        <v/>
      </c>
    </row>
    <row r="169" spans="1:9" ht="15" customHeight="1" x14ac:dyDescent="0.25">
      <c r="A169" s="24"/>
      <c r="E169" s="25" t="str">
        <f>IFERROR(VLOOKUP(F169,Equipos!$C$2:$E$967,2,FALSE()),"")</f>
        <v/>
      </c>
      <c r="F169" s="24"/>
      <c r="G169" s="26" t="str">
        <f>IFERROR(VLOOKUP(F169,Equipos!$C$2:$K$967,9,FALSE()),"")</f>
        <v/>
      </c>
      <c r="I169" s="25" t="str">
        <f>IFERROR(VLOOKUP(F169,Equipos!$C$2:$E$967,3,FALSE()),"")</f>
        <v/>
      </c>
    </row>
    <row r="170" spans="1:9" ht="15" customHeight="1" x14ac:dyDescent="0.25">
      <c r="A170" s="24"/>
      <c r="E170" s="25" t="str">
        <f>IFERROR(VLOOKUP(F170,Equipos!$C$2:$E$967,2,FALSE()),"")</f>
        <v/>
      </c>
      <c r="F170" s="24"/>
      <c r="G170" s="26" t="str">
        <f>IFERROR(VLOOKUP(F170,Equipos!$C$2:$K$967,9,FALSE()),"")</f>
        <v/>
      </c>
      <c r="I170" s="25" t="str">
        <f>IFERROR(VLOOKUP(F170,Equipos!$C$2:$E$967,3,FALSE()),"")</f>
        <v/>
      </c>
    </row>
    <row r="171" spans="1:9" ht="15" customHeight="1" x14ac:dyDescent="0.25">
      <c r="A171" s="24"/>
      <c r="E171" s="25" t="str">
        <f>IFERROR(VLOOKUP(F171,Equipos!$C$2:$E$967,2,FALSE()),"")</f>
        <v/>
      </c>
      <c r="F171" s="24"/>
      <c r="G171" s="26" t="str">
        <f>IFERROR(VLOOKUP(F171,Equipos!$C$2:$K$967,9,FALSE()),"")</f>
        <v/>
      </c>
      <c r="I171" s="25" t="str">
        <f>IFERROR(VLOOKUP(F171,Equipos!$C$2:$E$967,3,FALSE()),"")</f>
        <v/>
      </c>
    </row>
    <row r="172" spans="1:9" ht="15" customHeight="1" x14ac:dyDescent="0.25">
      <c r="A172" s="24"/>
      <c r="E172" s="25" t="str">
        <f>IFERROR(VLOOKUP(F172,Equipos!$C$2:$E$967,2,FALSE()),"")</f>
        <v/>
      </c>
      <c r="F172" s="24"/>
      <c r="G172" s="26" t="str">
        <f>IFERROR(VLOOKUP(F172,Equipos!$C$2:$K$967,9,FALSE()),"")</f>
        <v/>
      </c>
      <c r="I172" s="25" t="str">
        <f>IFERROR(VLOOKUP(F172,Equipos!$C$2:$E$967,3,FALSE()),"")</f>
        <v/>
      </c>
    </row>
    <row r="173" spans="1:9" ht="15" customHeight="1" x14ac:dyDescent="0.25">
      <c r="A173" s="24"/>
      <c r="E173" s="25" t="str">
        <f>IFERROR(VLOOKUP(F173,Equipos!$C$2:$E$967,2,FALSE()),"")</f>
        <v/>
      </c>
      <c r="F173" s="24"/>
      <c r="G173" s="26" t="str">
        <f>IFERROR(VLOOKUP(F173,Equipos!$C$2:$K$967,9,FALSE()),"")</f>
        <v/>
      </c>
      <c r="I173" s="25" t="str">
        <f>IFERROR(VLOOKUP(F173,Equipos!$C$2:$E$967,3,FALSE()),"")</f>
        <v/>
      </c>
    </row>
    <row r="174" spans="1:9" ht="15" customHeight="1" x14ac:dyDescent="0.25">
      <c r="A174" s="24"/>
      <c r="E174" s="25" t="str">
        <f>IFERROR(VLOOKUP(F174,Equipos!$C$2:$E$967,2,FALSE()),"")</f>
        <v/>
      </c>
      <c r="F174" s="24"/>
      <c r="G174" s="26" t="str">
        <f>IFERROR(VLOOKUP(F174,Equipos!$C$2:$K$967,9,FALSE()),"")</f>
        <v/>
      </c>
      <c r="I174" s="25" t="str">
        <f>IFERROR(VLOOKUP(F174,Equipos!$C$2:$E$967,3,FALSE()),"")</f>
        <v/>
      </c>
    </row>
    <row r="175" spans="1:9" ht="15" customHeight="1" x14ac:dyDescent="0.25">
      <c r="A175" s="24"/>
      <c r="E175" s="25" t="str">
        <f>IFERROR(VLOOKUP(F175,Equipos!$C$2:$E$967,2,FALSE()),"")</f>
        <v/>
      </c>
      <c r="F175" s="24"/>
      <c r="G175" s="26" t="str">
        <f>IFERROR(VLOOKUP(F175,Equipos!$C$2:$K$967,9,FALSE()),"")</f>
        <v/>
      </c>
      <c r="I175" s="25" t="str">
        <f>IFERROR(VLOOKUP(F175,Equipos!$C$2:$E$967,3,FALSE()),"")</f>
        <v/>
      </c>
    </row>
    <row r="176" spans="1:9" ht="15" customHeight="1" x14ac:dyDescent="0.25">
      <c r="A176" s="24"/>
      <c r="E176" s="25" t="str">
        <f>IFERROR(VLOOKUP(F176,Equipos!$C$2:$E$967,2,FALSE()),"")</f>
        <v/>
      </c>
      <c r="F176" s="24"/>
      <c r="G176" s="26" t="str">
        <f>IFERROR(VLOOKUP(F176,Equipos!$C$2:$K$967,9,FALSE()),"")</f>
        <v/>
      </c>
      <c r="I176" s="25" t="str">
        <f>IFERROR(VLOOKUP(F176,Equipos!$C$2:$E$967,3,FALSE()),"")</f>
        <v/>
      </c>
    </row>
    <row r="177" spans="1:9" ht="15" customHeight="1" x14ac:dyDescent="0.25">
      <c r="A177" s="24"/>
      <c r="E177" s="25" t="str">
        <f>IFERROR(VLOOKUP(F177,Equipos!$C$2:$E$967,2,FALSE()),"")</f>
        <v/>
      </c>
      <c r="F177" s="24"/>
      <c r="G177" s="26" t="str">
        <f>IFERROR(VLOOKUP(F177,Equipos!$C$2:$K$967,9,FALSE()),"")</f>
        <v/>
      </c>
      <c r="I177" s="25" t="str">
        <f>IFERROR(VLOOKUP(F177,Equipos!$C$2:$E$967,3,FALSE()),"")</f>
        <v/>
      </c>
    </row>
    <row r="178" spans="1:9" ht="15" customHeight="1" x14ac:dyDescent="0.25">
      <c r="A178" s="24"/>
      <c r="E178" s="25" t="str">
        <f>IFERROR(VLOOKUP(F178,Equipos!$C$2:$E$967,2,FALSE()),"")</f>
        <v/>
      </c>
      <c r="F178" s="24"/>
      <c r="G178" s="26" t="str">
        <f>IFERROR(VLOOKUP(F178,Equipos!$C$2:$K$967,9,FALSE()),"")</f>
        <v/>
      </c>
      <c r="I178" s="25" t="str">
        <f>IFERROR(VLOOKUP(F178,Equipos!$C$2:$E$967,3,FALSE()),"")</f>
        <v/>
      </c>
    </row>
    <row r="179" spans="1:9" ht="15" customHeight="1" x14ac:dyDescent="0.25">
      <c r="A179" s="24"/>
      <c r="E179" s="25" t="str">
        <f>IFERROR(VLOOKUP(F179,Equipos!$C$2:$E$967,2,FALSE()),"")</f>
        <v/>
      </c>
      <c r="F179" s="24"/>
      <c r="G179" s="26" t="str">
        <f>IFERROR(VLOOKUP(F179,Equipos!$C$2:$K$967,9,FALSE()),"")</f>
        <v/>
      </c>
      <c r="I179" s="25" t="str">
        <f>IFERROR(VLOOKUP(F179,Equipos!$C$2:$E$967,3,FALSE()),"")</f>
        <v/>
      </c>
    </row>
    <row r="180" spans="1:9" ht="15" customHeight="1" x14ac:dyDescent="0.25">
      <c r="A180" s="24"/>
      <c r="E180" s="25" t="str">
        <f>IFERROR(VLOOKUP(F180,Equipos!$C$2:$E$967,2,FALSE()),"")</f>
        <v/>
      </c>
      <c r="F180" s="24"/>
      <c r="G180" s="26" t="str">
        <f>IFERROR(VLOOKUP(F180,Equipos!$C$2:$K$967,9,FALSE()),"")</f>
        <v/>
      </c>
      <c r="I180" s="25" t="str">
        <f>IFERROR(VLOOKUP(F180,Equipos!$C$2:$E$967,3,FALSE()),"")</f>
        <v/>
      </c>
    </row>
    <row r="181" spans="1:9" ht="15" customHeight="1" x14ac:dyDescent="0.25">
      <c r="A181" s="24"/>
      <c r="E181" s="25" t="str">
        <f>IFERROR(VLOOKUP(F181,Equipos!$C$2:$E$967,2,FALSE()),"")</f>
        <v/>
      </c>
      <c r="F181" s="24"/>
      <c r="G181" s="26" t="str">
        <f>IFERROR(VLOOKUP(F181,Equipos!$C$2:$K$967,9,FALSE()),"")</f>
        <v/>
      </c>
      <c r="I181" s="25" t="str">
        <f>IFERROR(VLOOKUP(F181,Equipos!$C$2:$E$967,3,FALSE()),"")</f>
        <v/>
      </c>
    </row>
    <row r="182" spans="1:9" ht="15" customHeight="1" x14ac:dyDescent="0.25">
      <c r="A182" s="24"/>
      <c r="E182" s="25" t="str">
        <f>IFERROR(VLOOKUP(F182,Equipos!$C$2:$E$967,2,FALSE()),"")</f>
        <v/>
      </c>
      <c r="F182" s="24"/>
      <c r="G182" s="26" t="str">
        <f>IFERROR(VLOOKUP(F182,Equipos!$C$2:$K$967,9,FALSE()),"")</f>
        <v/>
      </c>
      <c r="I182" s="25" t="str">
        <f>IFERROR(VLOOKUP(F182,Equipos!$C$2:$E$967,3,FALSE()),"")</f>
        <v/>
      </c>
    </row>
    <row r="183" spans="1:9" ht="15" customHeight="1" x14ac:dyDescent="0.25">
      <c r="A183" s="24"/>
      <c r="E183" s="25" t="str">
        <f>IFERROR(VLOOKUP(F183,Equipos!$C$2:$E$967,2,FALSE()),"")</f>
        <v/>
      </c>
      <c r="F183" s="24"/>
      <c r="G183" s="26" t="str">
        <f>IFERROR(VLOOKUP(F183,Equipos!$C$2:$K$967,9,FALSE()),"")</f>
        <v/>
      </c>
      <c r="I183" s="25" t="str">
        <f>IFERROR(VLOOKUP(F183,Equipos!$C$2:$E$967,3,FALSE()),"")</f>
        <v/>
      </c>
    </row>
    <row r="184" spans="1:9" ht="15" customHeight="1" x14ac:dyDescent="0.25">
      <c r="A184" s="24"/>
      <c r="E184" s="25" t="str">
        <f>IFERROR(VLOOKUP(F184,Equipos!$C$2:$E$967,2,FALSE()),"")</f>
        <v/>
      </c>
      <c r="F184" s="24"/>
      <c r="G184" s="26" t="str">
        <f>IFERROR(VLOOKUP(F184,Equipos!$C$2:$K$967,9,FALSE()),"")</f>
        <v/>
      </c>
      <c r="I184" s="25" t="str">
        <f>IFERROR(VLOOKUP(F184,Equipos!$C$2:$E$967,3,FALSE()),"")</f>
        <v/>
      </c>
    </row>
    <row r="185" spans="1:9" ht="15" customHeight="1" x14ac:dyDescent="0.25">
      <c r="A185" s="24"/>
      <c r="E185" s="25" t="str">
        <f>IFERROR(VLOOKUP(F185,Equipos!$C$2:$E$967,2,FALSE()),"")</f>
        <v/>
      </c>
      <c r="F185" s="24"/>
      <c r="G185" s="26" t="str">
        <f>IFERROR(VLOOKUP(F185,Equipos!$C$2:$K$967,9,FALSE()),"")</f>
        <v/>
      </c>
      <c r="I185" s="25" t="str">
        <f>IFERROR(VLOOKUP(F185,Equipos!$C$2:$E$967,3,FALSE()),"")</f>
        <v/>
      </c>
    </row>
    <row r="186" spans="1:9" ht="15" customHeight="1" x14ac:dyDescent="0.25">
      <c r="A186" s="24"/>
      <c r="E186" s="25" t="str">
        <f>IFERROR(VLOOKUP(F186,Equipos!$C$2:$E$967,2,FALSE()),"")</f>
        <v/>
      </c>
      <c r="F186" s="24"/>
      <c r="G186" s="26" t="str">
        <f>IFERROR(VLOOKUP(F186,Equipos!$C$2:$K$967,9,FALSE()),"")</f>
        <v/>
      </c>
      <c r="I186" s="25" t="str">
        <f>IFERROR(VLOOKUP(F186,Equipos!$C$2:$E$967,3,FALSE()),"")</f>
        <v/>
      </c>
    </row>
    <row r="187" spans="1:9" ht="15" customHeight="1" x14ac:dyDescent="0.25">
      <c r="A187" s="24"/>
      <c r="E187" s="25" t="str">
        <f>IFERROR(VLOOKUP(F187,Equipos!$C$2:$E$967,2,FALSE()),"")</f>
        <v/>
      </c>
      <c r="F187" s="24"/>
      <c r="G187" s="26" t="str">
        <f>IFERROR(VLOOKUP(F187,Equipos!$C$2:$K$967,9,FALSE()),"")</f>
        <v/>
      </c>
      <c r="I187" s="25" t="str">
        <f>IFERROR(VLOOKUP(F187,Equipos!$C$2:$E$967,3,FALSE()),"")</f>
        <v/>
      </c>
    </row>
    <row r="188" spans="1:9" ht="15" customHeight="1" x14ac:dyDescent="0.25">
      <c r="A188" s="24"/>
      <c r="E188" s="25" t="str">
        <f>IFERROR(VLOOKUP(F188,Equipos!$C$2:$E$967,2,FALSE()),"")</f>
        <v/>
      </c>
      <c r="F188" s="24"/>
      <c r="G188" s="26" t="str">
        <f>IFERROR(VLOOKUP(F188,Equipos!$C$2:$K$967,9,FALSE()),"")</f>
        <v/>
      </c>
      <c r="I188" s="25" t="str">
        <f>IFERROR(VLOOKUP(F188,Equipos!$C$2:$E$967,3,FALSE()),"")</f>
        <v/>
      </c>
    </row>
    <row r="189" spans="1:9" ht="15" customHeight="1" x14ac:dyDescent="0.25">
      <c r="A189" s="24"/>
      <c r="E189" s="25" t="str">
        <f>IFERROR(VLOOKUP(F189,Equipos!$C$2:$E$967,2,FALSE()),"")</f>
        <v/>
      </c>
      <c r="F189" s="24"/>
      <c r="G189" s="26" t="str">
        <f>IFERROR(VLOOKUP(F189,Equipos!$C$2:$K$967,9,FALSE()),"")</f>
        <v/>
      </c>
      <c r="I189" s="25" t="str">
        <f>IFERROR(VLOOKUP(F189,Equipos!$C$2:$E$967,3,FALSE()),"")</f>
        <v/>
      </c>
    </row>
    <row r="190" spans="1:9" ht="15" customHeight="1" x14ac:dyDescent="0.25">
      <c r="A190" s="24"/>
      <c r="E190" s="25" t="str">
        <f>IFERROR(VLOOKUP(F190,Equipos!$C$2:$E$967,2,FALSE()),"")</f>
        <v/>
      </c>
      <c r="F190" s="24"/>
      <c r="G190" s="26" t="str">
        <f>IFERROR(VLOOKUP(F190,Equipos!$C$2:$K$967,9,FALSE()),"")</f>
        <v/>
      </c>
      <c r="I190" s="25" t="str">
        <f>IFERROR(VLOOKUP(F190,Equipos!$C$2:$E$967,3,FALSE()),"")</f>
        <v/>
      </c>
    </row>
    <row r="191" spans="1:9" ht="15" customHeight="1" x14ac:dyDescent="0.25">
      <c r="A191" s="24"/>
      <c r="E191" s="25" t="str">
        <f>IFERROR(VLOOKUP(F191,Equipos!$C$2:$E$967,2,FALSE()),"")</f>
        <v/>
      </c>
      <c r="F191" s="24"/>
      <c r="G191" s="26" t="str">
        <f>IFERROR(VLOOKUP(F191,Equipos!$C$2:$K$967,9,FALSE()),"")</f>
        <v/>
      </c>
      <c r="I191" s="25" t="str">
        <f>IFERROR(VLOOKUP(F191,Equipos!$C$2:$E$967,3,FALSE()),"")</f>
        <v/>
      </c>
    </row>
    <row r="192" spans="1:9" ht="15" customHeight="1" x14ac:dyDescent="0.25">
      <c r="A192" s="24"/>
      <c r="E192" s="25" t="str">
        <f>IFERROR(VLOOKUP(F192,Equipos!$C$2:$E$967,2,FALSE()),"")</f>
        <v/>
      </c>
      <c r="F192" s="24"/>
      <c r="G192" s="26" t="str">
        <f>IFERROR(VLOOKUP(F192,Equipos!$C$2:$K$967,9,FALSE()),"")</f>
        <v/>
      </c>
      <c r="I192" s="25" t="str">
        <f>IFERROR(VLOOKUP(F192,Equipos!$C$2:$E$967,3,FALSE()),"")</f>
        <v/>
      </c>
    </row>
    <row r="193" spans="1:9" ht="15" customHeight="1" x14ac:dyDescent="0.25">
      <c r="A193" s="24"/>
      <c r="E193" s="25" t="str">
        <f>IFERROR(VLOOKUP(F193,Equipos!$C$2:$E$967,2,FALSE()),"")</f>
        <v/>
      </c>
      <c r="F193" s="24"/>
      <c r="G193" s="26" t="str">
        <f>IFERROR(VLOOKUP(F193,Equipos!$C$2:$K$967,9,FALSE()),"")</f>
        <v/>
      </c>
      <c r="I193" s="25" t="str">
        <f>IFERROR(VLOOKUP(F193,Equipos!$C$2:$E$967,3,FALSE()),"")</f>
        <v/>
      </c>
    </row>
    <row r="194" spans="1:9" ht="15" customHeight="1" x14ac:dyDescent="0.25">
      <c r="A194" s="24"/>
      <c r="E194" s="25" t="str">
        <f>IFERROR(VLOOKUP(F194,Equipos!$C$2:$E$967,2,FALSE()),"")</f>
        <v/>
      </c>
      <c r="F194" s="24"/>
      <c r="G194" s="26" t="str">
        <f>IFERROR(VLOOKUP(F194,Equipos!$C$2:$K$967,9,FALSE()),"")</f>
        <v/>
      </c>
      <c r="I194" s="25" t="str">
        <f>IFERROR(VLOOKUP(F194,Equipos!$C$2:$E$967,3,FALSE()),"")</f>
        <v/>
      </c>
    </row>
    <row r="195" spans="1:9" ht="15" customHeight="1" x14ac:dyDescent="0.25">
      <c r="A195" s="24"/>
      <c r="E195" s="25" t="str">
        <f>IFERROR(VLOOKUP(F195,Equipos!$C$2:$E$967,2,FALSE()),"")</f>
        <v/>
      </c>
      <c r="F195" s="24"/>
      <c r="G195" s="26" t="str">
        <f>IFERROR(VLOOKUP(F195,Equipos!$C$2:$K$967,9,FALSE()),"")</f>
        <v/>
      </c>
      <c r="I195" s="25" t="str">
        <f>IFERROR(VLOOKUP(F195,Equipos!$C$2:$E$967,3,FALSE()),"")</f>
        <v/>
      </c>
    </row>
    <row r="196" spans="1:9" ht="15" customHeight="1" x14ac:dyDescent="0.25">
      <c r="A196" s="24"/>
      <c r="E196" s="25" t="str">
        <f>IFERROR(VLOOKUP(F196,Equipos!$C$2:$E$967,2,FALSE()),"")</f>
        <v/>
      </c>
      <c r="F196" s="24"/>
      <c r="G196" s="26" t="str">
        <f>IFERROR(VLOOKUP(F196,Equipos!$C$2:$K$967,9,FALSE()),"")</f>
        <v/>
      </c>
      <c r="I196" s="25" t="str">
        <f>IFERROR(VLOOKUP(F196,Equipos!$C$2:$E$967,3,FALSE()),"")</f>
        <v/>
      </c>
    </row>
    <row r="197" spans="1:9" ht="15" customHeight="1" x14ac:dyDescent="0.25">
      <c r="A197" s="24"/>
      <c r="E197" s="25" t="str">
        <f>IFERROR(VLOOKUP(F197,Equipos!$C$2:$E$967,2,FALSE()),"")</f>
        <v/>
      </c>
      <c r="F197" s="24"/>
      <c r="G197" s="26" t="str">
        <f>IFERROR(VLOOKUP(F197,Equipos!$C$2:$K$967,9,FALSE()),"")</f>
        <v/>
      </c>
      <c r="I197" s="25" t="str">
        <f>IFERROR(VLOOKUP(F197,Equipos!$C$2:$E$967,3,FALSE()),"")</f>
        <v/>
      </c>
    </row>
    <row r="198" spans="1:9" ht="15" customHeight="1" x14ac:dyDescent="0.25">
      <c r="A198" s="24"/>
      <c r="E198" s="25" t="str">
        <f>IFERROR(VLOOKUP(F198,Equipos!$C$2:$E$967,2,FALSE()),"")</f>
        <v/>
      </c>
      <c r="F198" s="24"/>
      <c r="G198" s="26" t="str">
        <f>IFERROR(VLOOKUP(F198,Equipos!$C$2:$K$967,9,FALSE()),"")</f>
        <v/>
      </c>
      <c r="I198" s="25" t="str">
        <f>IFERROR(VLOOKUP(F198,Equipos!$C$2:$E$967,3,FALSE()),"")</f>
        <v/>
      </c>
    </row>
    <row r="199" spans="1:9" ht="15" customHeight="1" x14ac:dyDescent="0.25">
      <c r="A199" s="24"/>
      <c r="E199" s="25" t="str">
        <f>IFERROR(VLOOKUP(F199,Equipos!$C$2:$E$967,2,FALSE()),"")</f>
        <v/>
      </c>
      <c r="F199" s="24"/>
      <c r="G199" s="26" t="str">
        <f>IFERROR(VLOOKUP(F199,Equipos!$C$2:$K$967,9,FALSE()),"")</f>
        <v/>
      </c>
      <c r="I199" s="25" t="str">
        <f>IFERROR(VLOOKUP(F199,Equipos!$C$2:$E$967,3,FALSE()),"")</f>
        <v/>
      </c>
    </row>
    <row r="200" spans="1:9" ht="15" customHeight="1" x14ac:dyDescent="0.25">
      <c r="A200" s="24"/>
      <c r="E200" s="25" t="str">
        <f>IFERROR(VLOOKUP(F200,Equipos!$C$2:$E$967,2,FALSE()),"")</f>
        <v/>
      </c>
      <c r="F200" s="24"/>
      <c r="G200" s="26" t="str">
        <f>IFERROR(VLOOKUP(F200,Equipos!$C$2:$K$967,9,FALSE()),"")</f>
        <v/>
      </c>
      <c r="I200" s="25" t="str">
        <f>IFERROR(VLOOKUP(F200,Equipos!$C$2:$E$967,3,FALSE()),"")</f>
        <v/>
      </c>
    </row>
    <row r="201" spans="1:9" ht="15" customHeight="1" x14ac:dyDescent="0.25">
      <c r="A201" s="24"/>
      <c r="E201" s="25" t="str">
        <f>IFERROR(VLOOKUP(F201,Equipos!$C$2:$E$967,2,FALSE()),"")</f>
        <v/>
      </c>
      <c r="F201" s="24"/>
      <c r="G201" s="26" t="str">
        <f>IFERROR(VLOOKUP(F201,Equipos!$C$2:$K$967,9,FALSE()),"")</f>
        <v/>
      </c>
      <c r="I201" s="25" t="str">
        <f>IFERROR(VLOOKUP(F201,Equipos!$C$2:$E$967,3,FALSE()),"")</f>
        <v/>
      </c>
    </row>
    <row r="202" spans="1:9" ht="15" customHeight="1" x14ac:dyDescent="0.25">
      <c r="E202" s="25" t="str">
        <f>IFERROR(VLOOKUP(F202,Equipos!$C$2:$E$967,2,FALSE()),"")</f>
        <v/>
      </c>
      <c r="G202" s="25" t="str">
        <f>IFERROR(VLOOKUP(F202,Equipos!$C$2:$K$967,9,FALSE()),"")</f>
        <v/>
      </c>
      <c r="I202" s="25" t="str">
        <f>IFERROR(VLOOKUP(F202,Equipos!$C$2:$E$967,3,FALSE()),"")</f>
        <v/>
      </c>
    </row>
    <row r="203" spans="1:9" ht="15" customHeight="1" x14ac:dyDescent="0.25">
      <c r="E203" s="25" t="str">
        <f>IFERROR(VLOOKUP(F203,Equipos!$C$2:$E$967,2,FALSE()),"")</f>
        <v/>
      </c>
      <c r="G203" s="25" t="str">
        <f>IFERROR(VLOOKUP(F203,Equipos!$C$2:$K$967,9,FALSE()),"")</f>
        <v/>
      </c>
      <c r="I203" s="25" t="str">
        <f>IFERROR(VLOOKUP(F203,Equipos!$C$2:$E$967,3,FALSE()),"")</f>
        <v/>
      </c>
    </row>
    <row r="204" spans="1:9" ht="15" customHeight="1" x14ac:dyDescent="0.25">
      <c r="E204" s="25" t="str">
        <f>IFERROR(VLOOKUP(F204,Equipos!$C$2:$E$967,2,FALSE()),"")</f>
        <v/>
      </c>
      <c r="G204" s="25" t="str">
        <f>IFERROR(VLOOKUP(F204,Equipos!$C$2:$K$967,9,FALSE()),"")</f>
        <v/>
      </c>
      <c r="I204" s="25" t="str">
        <f>IFERROR(VLOOKUP(F204,Equipos!$C$2:$E$967,3,FALSE()),"")</f>
        <v/>
      </c>
    </row>
    <row r="205" spans="1:9" ht="15" customHeight="1" x14ac:dyDescent="0.25">
      <c r="E205" s="25" t="str">
        <f>IFERROR(VLOOKUP(F205,Equipos!$C$2:$E$967,2,FALSE()),"")</f>
        <v/>
      </c>
      <c r="G205" s="25" t="str">
        <f>IFERROR(VLOOKUP(F205,Equipos!$C$2:$K$967,9,FALSE()),"")</f>
        <v/>
      </c>
      <c r="I205" s="25" t="str">
        <f>IFERROR(VLOOKUP(F205,Equipos!$C$2:$E$967,3,FALSE()),"")</f>
        <v/>
      </c>
    </row>
    <row r="206" spans="1:9" ht="15" customHeight="1" x14ac:dyDescent="0.25">
      <c r="E206" s="25" t="str">
        <f>IFERROR(VLOOKUP(F206,Equipos!$C$2:$E$967,2,FALSE()),"")</f>
        <v/>
      </c>
      <c r="G206" s="25" t="str">
        <f>IFERROR(VLOOKUP(F206,Equipos!$C$2:$K$967,9,FALSE()),"")</f>
        <v/>
      </c>
      <c r="I206" s="25" t="str">
        <f>IFERROR(VLOOKUP(F206,Equipos!$C$2:$E$967,3,FALSE()),"")</f>
        <v/>
      </c>
    </row>
    <row r="207" spans="1:9" ht="15" customHeight="1" x14ac:dyDescent="0.25">
      <c r="E207" s="25" t="str">
        <f>IFERROR(VLOOKUP(F207,Equipos!$C$2:$E$967,2,FALSE()),"")</f>
        <v/>
      </c>
      <c r="G207" s="25" t="str">
        <f>IFERROR(VLOOKUP(F207,Equipos!$C$2:$K$967,9,FALSE()),"")</f>
        <v/>
      </c>
      <c r="I207" s="25" t="str">
        <f>IFERROR(VLOOKUP(F207,Equipos!$C$2:$E$967,3,FALSE()),"")</f>
        <v/>
      </c>
    </row>
    <row r="208" spans="1:9" ht="15" customHeight="1" x14ac:dyDescent="0.25">
      <c r="E208" s="25" t="str">
        <f>IFERROR(VLOOKUP(F208,Equipos!$C$2:$E$967,2,FALSE()),"")</f>
        <v/>
      </c>
      <c r="G208" s="25" t="str">
        <f>IFERROR(VLOOKUP(F208,Equipos!$C$2:$K$967,9,FALSE()),"")</f>
        <v/>
      </c>
      <c r="I208" s="25" t="str">
        <f>IFERROR(VLOOKUP(F208,Equipos!$C$2:$E$967,3,FALSE()),"")</f>
        <v/>
      </c>
    </row>
    <row r="209" spans="5:9" ht="15" customHeight="1" x14ac:dyDescent="0.25">
      <c r="E209" s="25" t="str">
        <f>IFERROR(VLOOKUP(F209,Equipos!$C$2:$E$967,2,FALSE()),"")</f>
        <v/>
      </c>
      <c r="G209" s="25" t="str">
        <f>IFERROR(VLOOKUP(F209,Equipos!$C$2:$K$967,9,FALSE()),"")</f>
        <v/>
      </c>
      <c r="I209" s="25" t="str">
        <f>IFERROR(VLOOKUP(F209,Equipos!$C$2:$E$967,3,FALSE()),"")</f>
        <v/>
      </c>
    </row>
    <row r="210" spans="5:9" ht="15" customHeight="1" x14ac:dyDescent="0.25">
      <c r="E210" s="25" t="str">
        <f>IFERROR(VLOOKUP(F210,Equipos!$C$2:$E$967,2,FALSE()),"")</f>
        <v/>
      </c>
      <c r="G210" s="25" t="str">
        <f>IFERROR(VLOOKUP(F210,Equipos!$C$2:$K$967,9,FALSE()),"")</f>
        <v/>
      </c>
      <c r="I210" s="25" t="str">
        <f>IFERROR(VLOOKUP(F210,Equipos!$C$2:$E$967,3,FALSE()),"")</f>
        <v/>
      </c>
    </row>
    <row r="211" spans="5:9" ht="15" customHeight="1" x14ac:dyDescent="0.25">
      <c r="E211" s="25" t="str">
        <f>IFERROR(VLOOKUP(F211,Equipos!$C$2:$E$967,2,FALSE()),"")</f>
        <v/>
      </c>
      <c r="G211" s="25" t="str">
        <f>IFERROR(VLOOKUP(F211,Equipos!$C$2:$K$967,9,FALSE()),"")</f>
        <v/>
      </c>
      <c r="I211" s="25" t="str">
        <f>IFERROR(VLOOKUP(F211,Equipos!$C$2:$E$967,3,FALSE()),"")</f>
        <v/>
      </c>
    </row>
    <row r="212" spans="5:9" ht="15" customHeight="1" x14ac:dyDescent="0.25">
      <c r="E212" s="25" t="str">
        <f>IFERROR(VLOOKUP(F212,Equipos!$C$2:$E$967,2,FALSE()),"")</f>
        <v/>
      </c>
      <c r="G212" s="25" t="str">
        <f>IFERROR(VLOOKUP(F212,Equipos!$C$2:$K$967,9,FALSE()),"")</f>
        <v/>
      </c>
      <c r="I212" s="25" t="str">
        <f>IFERROR(VLOOKUP(F212,Equipos!$C$2:$E$967,3,FALSE()),"")</f>
        <v/>
      </c>
    </row>
    <row r="213" spans="5:9" ht="15" customHeight="1" x14ac:dyDescent="0.25">
      <c r="E213" s="25" t="str">
        <f>IFERROR(VLOOKUP(F213,Equipos!$C$2:$E$967,2,FALSE()),"")</f>
        <v/>
      </c>
      <c r="G213" s="25" t="str">
        <f>IFERROR(VLOOKUP(F213,Equipos!$C$2:$K$967,9,FALSE()),"")</f>
        <v/>
      </c>
      <c r="I213" s="25" t="str">
        <f>IFERROR(VLOOKUP(F213,Equipos!$C$2:$E$967,3,FALSE()),"")</f>
        <v/>
      </c>
    </row>
    <row r="214" spans="5:9" ht="15" customHeight="1" x14ac:dyDescent="0.25">
      <c r="E214" s="25" t="str">
        <f>IFERROR(VLOOKUP(F214,Equipos!$C$2:$E$967,2,FALSE()),"")</f>
        <v/>
      </c>
      <c r="G214" s="25" t="str">
        <f>IFERROR(VLOOKUP(F214,Equipos!$C$2:$K$967,9,FALSE()),"")</f>
        <v/>
      </c>
      <c r="I214" s="25" t="str">
        <f>IFERROR(VLOOKUP(F214,Equipos!$C$2:$E$967,3,FALSE()),"")</f>
        <v/>
      </c>
    </row>
    <row r="215" spans="5:9" ht="15" customHeight="1" x14ac:dyDescent="0.25">
      <c r="E215" s="25" t="str">
        <f>IFERROR(VLOOKUP(F215,Equipos!$C$2:$E$967,2,FALSE()),"")</f>
        <v/>
      </c>
      <c r="G215" s="25" t="str">
        <f>IFERROR(VLOOKUP(F215,Equipos!$C$2:$K$967,9,FALSE()),"")</f>
        <v/>
      </c>
      <c r="I215" s="25" t="str">
        <f>IFERROR(VLOOKUP(F215,Equipos!$C$2:$E$967,3,FALSE()),"")</f>
        <v/>
      </c>
    </row>
    <row r="216" spans="5:9" ht="15" customHeight="1" x14ac:dyDescent="0.25">
      <c r="E216" s="25" t="str">
        <f>IFERROR(VLOOKUP(F216,Equipos!$C$2:$E$967,2,FALSE()),"")</f>
        <v/>
      </c>
      <c r="G216" s="25" t="str">
        <f>IFERROR(VLOOKUP(F216,Equipos!$C$2:$K$967,9,FALSE()),"")</f>
        <v/>
      </c>
      <c r="I216" s="25" t="str">
        <f>IFERROR(VLOOKUP(F216,Equipos!$C$2:$E$967,3,FALSE()),"")</f>
        <v/>
      </c>
    </row>
    <row r="217" spans="5:9" ht="15" customHeight="1" x14ac:dyDescent="0.25">
      <c r="E217" s="25" t="str">
        <f>IFERROR(VLOOKUP(F217,Equipos!$C$2:$E$967,2,FALSE()),"")</f>
        <v/>
      </c>
      <c r="G217" s="25" t="str">
        <f>IFERROR(VLOOKUP(F217,Equipos!$C$2:$K$967,9,FALSE()),"")</f>
        <v/>
      </c>
      <c r="I217" s="25" t="str">
        <f>IFERROR(VLOOKUP(F217,Equipos!$C$2:$E$967,3,FALSE()),"")</f>
        <v/>
      </c>
    </row>
    <row r="218" spans="5:9" ht="15" customHeight="1" x14ac:dyDescent="0.25">
      <c r="E218" s="25" t="str">
        <f>IFERROR(VLOOKUP(F218,Equipos!$C$2:$E$967,2,FALSE()),"")</f>
        <v/>
      </c>
      <c r="G218" s="25" t="str">
        <f>IFERROR(VLOOKUP(F218,Equipos!$C$2:$K$967,9,FALSE()),"")</f>
        <v/>
      </c>
      <c r="I218" s="25" t="str">
        <f>IFERROR(VLOOKUP(F218,Equipos!$C$2:$E$967,3,FALSE()),"")</f>
        <v/>
      </c>
    </row>
    <row r="219" spans="5:9" ht="15" customHeight="1" x14ac:dyDescent="0.25">
      <c r="E219" s="25" t="str">
        <f>IFERROR(VLOOKUP(F219,Equipos!$C$2:$E$967,2,FALSE()),"")</f>
        <v/>
      </c>
      <c r="G219" s="25" t="str">
        <f>IFERROR(VLOOKUP(F219,Equipos!$C$2:$K$967,9,FALSE()),"")</f>
        <v/>
      </c>
      <c r="I219" s="25" t="str">
        <f>IFERROR(VLOOKUP(F219,Equipos!$C$2:$E$967,3,FALSE()),"")</f>
        <v/>
      </c>
    </row>
    <row r="220" spans="5:9" ht="15" customHeight="1" x14ac:dyDescent="0.25">
      <c r="E220" s="25" t="str">
        <f>IFERROR(VLOOKUP(F220,Equipos!$C$2:$E$967,2,FALSE()),"")</f>
        <v/>
      </c>
      <c r="G220" s="25" t="str">
        <f>IFERROR(VLOOKUP(F220,Equipos!$C$2:$K$967,9,FALSE()),"")</f>
        <v/>
      </c>
      <c r="I220" s="25" t="str">
        <f>IFERROR(VLOOKUP(F220,Equipos!$C$2:$E$967,3,FALSE()),"")</f>
        <v/>
      </c>
    </row>
    <row r="221" spans="5:9" ht="15" customHeight="1" x14ac:dyDescent="0.25">
      <c r="E221" s="25" t="str">
        <f>IFERROR(VLOOKUP(F221,Equipos!$C$2:$E$967,2,FALSE()),"")</f>
        <v/>
      </c>
      <c r="G221" s="25" t="str">
        <f>IFERROR(VLOOKUP(F221,Equipos!$C$2:$K$967,9,FALSE()),"")</f>
        <v/>
      </c>
      <c r="I221" s="25" t="str">
        <f>IFERROR(VLOOKUP(F221,Equipos!$C$2:$E$967,3,FALSE()),"")</f>
        <v/>
      </c>
    </row>
    <row r="222" spans="5:9" ht="15" customHeight="1" x14ac:dyDescent="0.25">
      <c r="E222" s="25" t="str">
        <f>IFERROR(VLOOKUP(F222,Equipos!$C$2:$E$967,2,FALSE()),"")</f>
        <v/>
      </c>
      <c r="G222" s="25" t="str">
        <f>IFERROR(VLOOKUP(F222,Equipos!$C$2:$K$967,9,FALSE()),"")</f>
        <v/>
      </c>
      <c r="I222" s="25" t="str">
        <f>IFERROR(VLOOKUP(F222,Equipos!$C$2:$E$967,3,FALSE()),"")</f>
        <v/>
      </c>
    </row>
    <row r="223" spans="5:9" ht="15" customHeight="1" x14ac:dyDescent="0.25">
      <c r="E223" s="25" t="str">
        <f>IFERROR(VLOOKUP(F223,Equipos!$C$2:$E$967,2,FALSE()),"")</f>
        <v/>
      </c>
      <c r="G223" s="25" t="str">
        <f>IFERROR(VLOOKUP(F223,Equipos!$C$2:$K$967,9,FALSE()),"")</f>
        <v/>
      </c>
      <c r="I223" s="25" t="str">
        <f>IFERROR(VLOOKUP(F223,Equipos!$C$2:$E$967,3,FALSE()),"")</f>
        <v/>
      </c>
    </row>
    <row r="224" spans="5:9" ht="15" customHeight="1" x14ac:dyDescent="0.25">
      <c r="E224" s="25" t="str">
        <f>IFERROR(VLOOKUP(F224,Equipos!$C$2:$E$967,2,FALSE()),"")</f>
        <v/>
      </c>
      <c r="G224" s="25" t="str">
        <f>IFERROR(VLOOKUP(F224,Equipos!$C$2:$K$967,9,FALSE()),"")</f>
        <v/>
      </c>
      <c r="I224" s="25" t="str">
        <f>IFERROR(VLOOKUP(F224,Equipos!$C$2:$E$967,3,FALSE()),"")</f>
        <v/>
      </c>
    </row>
    <row r="225" spans="5:9" ht="15" customHeight="1" x14ac:dyDescent="0.25">
      <c r="E225" s="25" t="str">
        <f>IFERROR(VLOOKUP(F225,Equipos!$C$2:$E$967,2,FALSE()),"")</f>
        <v/>
      </c>
      <c r="G225" s="25" t="str">
        <f>IFERROR(VLOOKUP(F225,Equipos!$C$2:$K$967,9,FALSE()),"")</f>
        <v/>
      </c>
      <c r="I225" s="25" t="str">
        <f>IFERROR(VLOOKUP(F225,Equipos!$C$2:$E$967,3,FALSE()),"")</f>
        <v/>
      </c>
    </row>
    <row r="226" spans="5:9" ht="15" customHeight="1" x14ac:dyDescent="0.25">
      <c r="E226" s="25" t="str">
        <f>IFERROR(VLOOKUP(F226,Equipos!$C$2:$E$967,2,FALSE()),"")</f>
        <v/>
      </c>
      <c r="G226" s="25" t="str">
        <f>IFERROR(VLOOKUP(F226,Equipos!$C$2:$K$967,9,FALSE()),"")</f>
        <v/>
      </c>
      <c r="I226" s="25" t="str">
        <f>IFERROR(VLOOKUP(F226,Equipos!$C$2:$E$967,3,FALSE()),"")</f>
        <v/>
      </c>
    </row>
    <row r="227" spans="5:9" ht="15" customHeight="1" x14ac:dyDescent="0.25">
      <c r="E227" s="25" t="str">
        <f>IFERROR(VLOOKUP(F227,Equipos!$C$2:$E$967,2,FALSE()),"")</f>
        <v/>
      </c>
      <c r="G227" s="25" t="str">
        <f>IFERROR(VLOOKUP(F227,Equipos!$C$2:$K$967,9,FALSE()),"")</f>
        <v/>
      </c>
      <c r="I227" s="25" t="str">
        <f>IFERROR(VLOOKUP(F227,Equipos!$C$2:$E$967,3,FALSE()),"")</f>
        <v/>
      </c>
    </row>
    <row r="228" spans="5:9" ht="15" customHeight="1" x14ac:dyDescent="0.25">
      <c r="E228" s="25" t="str">
        <f>IFERROR(VLOOKUP(F228,Equipos!$C$2:$E$967,2,FALSE()),"")</f>
        <v/>
      </c>
      <c r="G228" s="25" t="str">
        <f>IFERROR(VLOOKUP(F228,Equipos!$C$2:$K$967,9,FALSE()),"")</f>
        <v/>
      </c>
      <c r="I228" s="25" t="str">
        <f>IFERROR(VLOOKUP(F228,Equipos!$C$2:$E$967,3,FALSE()),"")</f>
        <v/>
      </c>
    </row>
    <row r="229" spans="5:9" ht="15" customHeight="1" x14ac:dyDescent="0.25">
      <c r="E229" s="25" t="str">
        <f>IFERROR(VLOOKUP(F229,Equipos!$C$2:$E$967,2,FALSE()),"")</f>
        <v/>
      </c>
      <c r="G229" s="25" t="str">
        <f>IFERROR(VLOOKUP(F229,Equipos!$C$2:$K$967,9,FALSE()),"")</f>
        <v/>
      </c>
      <c r="I229" s="25" t="str">
        <f>IFERROR(VLOOKUP(F229,Equipos!$C$2:$E$967,3,FALSE()),"")</f>
        <v/>
      </c>
    </row>
    <row r="230" spans="5:9" ht="15" customHeight="1" x14ac:dyDescent="0.25">
      <c r="E230" s="25" t="str">
        <f>IFERROR(VLOOKUP(F230,Equipos!$C$2:$E$967,2,FALSE()),"")</f>
        <v/>
      </c>
      <c r="G230" s="25" t="str">
        <f>IFERROR(VLOOKUP(F230,Equipos!$C$2:$K$967,9,FALSE()),"")</f>
        <v/>
      </c>
      <c r="I230" s="25" t="str">
        <f>IFERROR(VLOOKUP(F230,Equipos!$C$2:$E$967,3,FALSE()),"")</f>
        <v/>
      </c>
    </row>
    <row r="231" spans="5:9" ht="15" customHeight="1" x14ac:dyDescent="0.25">
      <c r="E231" s="25" t="str">
        <f>IFERROR(VLOOKUP(F231,Equipos!$C$2:$E$967,2,FALSE()),"")</f>
        <v/>
      </c>
      <c r="G231" s="25" t="str">
        <f>IFERROR(VLOOKUP(F231,Equipos!$C$2:$K$967,9,FALSE()),"")</f>
        <v/>
      </c>
      <c r="I231" s="25" t="str">
        <f>IFERROR(VLOOKUP(F231,Equipos!$C$2:$E$967,3,FALSE()),"")</f>
        <v/>
      </c>
    </row>
    <row r="232" spans="5:9" ht="15" customHeight="1" x14ac:dyDescent="0.25">
      <c r="E232" s="25" t="str">
        <f>IFERROR(VLOOKUP(F232,Equipos!$C$2:$E$967,2,FALSE()),"")</f>
        <v/>
      </c>
      <c r="G232" s="25" t="str">
        <f>IFERROR(VLOOKUP(F232,Equipos!$C$2:$K$967,9,FALSE()),"")</f>
        <v/>
      </c>
      <c r="I232" s="25" t="str">
        <f>IFERROR(VLOOKUP(F232,Equipos!$C$2:$E$967,3,FALSE()),"")</f>
        <v/>
      </c>
    </row>
    <row r="233" spans="5:9" ht="15" customHeight="1" x14ac:dyDescent="0.25">
      <c r="E233" s="25" t="str">
        <f>IFERROR(VLOOKUP(F233,Equipos!$C$2:$E$967,2,FALSE()),"")</f>
        <v/>
      </c>
      <c r="G233" s="25" t="str">
        <f>IFERROR(VLOOKUP(F233,Equipos!$C$2:$K$967,9,FALSE()),"")</f>
        <v/>
      </c>
      <c r="I233" s="25" t="str">
        <f>IFERROR(VLOOKUP(F233,Equipos!$C$2:$E$967,3,FALSE()),"")</f>
        <v/>
      </c>
    </row>
    <row r="234" spans="5:9" ht="15" customHeight="1" x14ac:dyDescent="0.25">
      <c r="E234" s="25" t="str">
        <f>IFERROR(VLOOKUP(F234,Equipos!$C$2:$E$967,2,FALSE()),"")</f>
        <v/>
      </c>
      <c r="G234" s="25" t="str">
        <f>IFERROR(VLOOKUP(F234,Equipos!$C$2:$K$967,9,FALSE()),"")</f>
        <v/>
      </c>
      <c r="I234" s="25" t="str">
        <f>IFERROR(VLOOKUP(F234,Equipos!$C$2:$E$967,3,FALSE()),"")</f>
        <v/>
      </c>
    </row>
    <row r="235" spans="5:9" ht="15" customHeight="1" x14ac:dyDescent="0.25">
      <c r="E235" s="25" t="str">
        <f>IFERROR(VLOOKUP(F235,Equipos!$C$2:$E$967,2,FALSE()),"")</f>
        <v/>
      </c>
      <c r="G235" s="25" t="str">
        <f>IFERROR(VLOOKUP(F235,Equipos!$C$2:$K$967,9,FALSE()),"")</f>
        <v/>
      </c>
      <c r="I235" s="25" t="str">
        <f>IFERROR(VLOOKUP(F235,Equipos!$C$2:$E$967,3,FALSE()),"")</f>
        <v/>
      </c>
    </row>
    <row r="236" spans="5:9" ht="15" customHeight="1" x14ac:dyDescent="0.25">
      <c r="E236" s="25" t="str">
        <f>IFERROR(VLOOKUP(F236,Equipos!$C$2:$E$967,2,FALSE()),"")</f>
        <v/>
      </c>
      <c r="G236" s="25" t="str">
        <f>IFERROR(VLOOKUP(F236,Equipos!$C$2:$K$967,9,FALSE()),"")</f>
        <v/>
      </c>
      <c r="I236" s="25" t="str">
        <f>IFERROR(VLOOKUP(F236,Equipos!$C$2:$E$967,3,FALSE()),"")</f>
        <v/>
      </c>
    </row>
    <row r="237" spans="5:9" ht="15" customHeight="1" x14ac:dyDescent="0.25">
      <c r="E237" s="25" t="str">
        <f>IFERROR(VLOOKUP(F237,Equipos!$C$2:$E$967,2,FALSE()),"")</f>
        <v/>
      </c>
      <c r="G237" s="25" t="str">
        <f>IFERROR(VLOOKUP(F237,Equipos!$C$2:$K$967,9,FALSE()),"")</f>
        <v/>
      </c>
      <c r="I237" s="25" t="str">
        <f>IFERROR(VLOOKUP(F237,Equipos!$C$2:$E$967,3,FALSE()),"")</f>
        <v/>
      </c>
    </row>
    <row r="238" spans="5:9" ht="15" customHeight="1" x14ac:dyDescent="0.25">
      <c r="E238" s="25" t="str">
        <f>IFERROR(VLOOKUP(F238,Equipos!$C$2:$E$967,2,FALSE()),"")</f>
        <v/>
      </c>
      <c r="G238" s="25" t="str">
        <f>IFERROR(VLOOKUP(F238,Equipos!$C$2:$K$967,9,FALSE()),"")</f>
        <v/>
      </c>
      <c r="I238" s="25" t="str">
        <f>IFERROR(VLOOKUP(F238,Equipos!$C$2:$E$967,3,FALSE()),"")</f>
        <v/>
      </c>
    </row>
    <row r="239" spans="5:9" ht="15" customHeight="1" x14ac:dyDescent="0.25">
      <c r="E239" s="25" t="str">
        <f>IFERROR(VLOOKUP(F239,Equipos!$C$2:$E$967,2,FALSE()),"")</f>
        <v/>
      </c>
      <c r="G239" s="25" t="str">
        <f>IFERROR(VLOOKUP(F239,Equipos!$C$2:$K$967,9,FALSE()),"")</f>
        <v/>
      </c>
      <c r="I239" s="25" t="str">
        <f>IFERROR(VLOOKUP(F239,Equipos!$C$2:$E$967,3,FALSE()),"")</f>
        <v/>
      </c>
    </row>
    <row r="240" spans="5:9" ht="15" customHeight="1" x14ac:dyDescent="0.25">
      <c r="E240" s="25" t="str">
        <f>IFERROR(VLOOKUP(F240,Equipos!$C$2:$E$967,2,FALSE()),"")</f>
        <v/>
      </c>
      <c r="G240" s="25" t="str">
        <f>IFERROR(VLOOKUP(F240,Equipos!$C$2:$K$967,9,FALSE()),"")</f>
        <v/>
      </c>
      <c r="I240" s="25" t="str">
        <f>IFERROR(VLOOKUP(F240,Equipos!$C$2:$E$967,3,FALSE()),"")</f>
        <v/>
      </c>
    </row>
    <row r="241" spans="5:9" ht="15" customHeight="1" x14ac:dyDescent="0.25">
      <c r="E241" s="25" t="str">
        <f>IFERROR(VLOOKUP(F241,Equipos!$C$2:$E$967,2,FALSE()),"")</f>
        <v/>
      </c>
      <c r="G241" s="25" t="str">
        <f>IFERROR(VLOOKUP(F241,Equipos!$C$2:$K$967,9,FALSE()),"")</f>
        <v/>
      </c>
      <c r="I241" s="25" t="str">
        <f>IFERROR(VLOOKUP(F241,Equipos!$C$2:$E$967,3,FALSE()),"")</f>
        <v/>
      </c>
    </row>
    <row r="242" spans="5:9" ht="15" customHeight="1" x14ac:dyDescent="0.25">
      <c r="E242" s="25" t="str">
        <f>IFERROR(VLOOKUP(F242,Equipos!$C$2:$E$967,2,FALSE()),"")</f>
        <v/>
      </c>
      <c r="G242" s="25" t="str">
        <f>IFERROR(VLOOKUP(F242,Equipos!$C$2:$K$967,9,FALSE()),"")</f>
        <v/>
      </c>
      <c r="I242" s="25" t="str">
        <f>IFERROR(VLOOKUP(F242,Equipos!$C$2:$E$967,3,FALSE()),"")</f>
        <v/>
      </c>
    </row>
    <row r="243" spans="5:9" ht="15" customHeight="1" x14ac:dyDescent="0.25">
      <c r="E243" s="25" t="str">
        <f>IFERROR(VLOOKUP(F243,Equipos!$C$2:$E$967,2,FALSE()),"")</f>
        <v/>
      </c>
      <c r="G243" s="25" t="str">
        <f>IFERROR(VLOOKUP(F243,Equipos!$C$2:$K$967,9,FALSE()),"")</f>
        <v/>
      </c>
      <c r="I243" s="25" t="str">
        <f>IFERROR(VLOOKUP(F243,Equipos!$C$2:$E$967,3,FALSE()),"")</f>
        <v/>
      </c>
    </row>
    <row r="244" spans="5:9" ht="15" customHeight="1" x14ac:dyDescent="0.25">
      <c r="E244" s="25" t="str">
        <f>IFERROR(VLOOKUP(F244,Equipos!$C$2:$E$967,2,FALSE()),"")</f>
        <v/>
      </c>
      <c r="G244" s="25" t="str">
        <f>IFERROR(VLOOKUP(F244,Equipos!$C$2:$K$967,9,FALSE()),"")</f>
        <v/>
      </c>
      <c r="I244" s="25" t="str">
        <f>IFERROR(VLOOKUP(F244,Equipos!$C$2:$E$967,3,FALSE()),"")</f>
        <v/>
      </c>
    </row>
    <row r="245" spans="5:9" ht="15" customHeight="1" x14ac:dyDescent="0.25">
      <c r="E245" s="25" t="str">
        <f>IFERROR(VLOOKUP(F245,Equipos!$C$2:$E$967,2,FALSE()),"")</f>
        <v/>
      </c>
      <c r="G245" s="25" t="str">
        <f>IFERROR(VLOOKUP(F245,Equipos!$C$2:$K$967,9,FALSE()),"")</f>
        <v/>
      </c>
      <c r="I245" s="25" t="str">
        <f>IFERROR(VLOOKUP(F245,Equipos!$C$2:$E$967,3,FALSE()),"")</f>
        <v/>
      </c>
    </row>
    <row r="246" spans="5:9" ht="15" customHeight="1" x14ac:dyDescent="0.25">
      <c r="E246" s="25" t="str">
        <f>IFERROR(VLOOKUP(F246,Equipos!$C$2:$E$967,2,FALSE()),"")</f>
        <v/>
      </c>
      <c r="G246" s="25" t="str">
        <f>IFERROR(VLOOKUP(F246,Equipos!$C$2:$K$967,9,FALSE()),"")</f>
        <v/>
      </c>
      <c r="I246" s="25" t="str">
        <f>IFERROR(VLOOKUP(F246,Equipos!$C$2:$E$967,3,FALSE()),"")</f>
        <v/>
      </c>
    </row>
    <row r="247" spans="5:9" ht="15" customHeight="1" x14ac:dyDescent="0.25">
      <c r="E247" s="25" t="str">
        <f>IFERROR(VLOOKUP(F247,Equipos!$C$2:$E$967,2,FALSE()),"")</f>
        <v/>
      </c>
      <c r="G247" s="25" t="str">
        <f>IFERROR(VLOOKUP(F247,Equipos!$C$2:$K$967,9,FALSE()),"")</f>
        <v/>
      </c>
      <c r="I247" s="25" t="str">
        <f>IFERROR(VLOOKUP(F247,Equipos!$C$2:$E$967,3,FALSE()),"")</f>
        <v/>
      </c>
    </row>
    <row r="248" spans="5:9" ht="15" customHeight="1" x14ac:dyDescent="0.25">
      <c r="E248" s="25" t="str">
        <f>IFERROR(VLOOKUP(F248,Equipos!$C$2:$E$967,2,FALSE()),"")</f>
        <v/>
      </c>
      <c r="G248" s="25" t="str">
        <f>IFERROR(VLOOKUP(F248,Equipos!$C$2:$K$967,9,FALSE()),"")</f>
        <v/>
      </c>
      <c r="I248" s="25" t="str">
        <f>IFERROR(VLOOKUP(F248,Equipos!$C$2:$E$967,3,FALSE()),"")</f>
        <v/>
      </c>
    </row>
    <row r="249" spans="5:9" ht="15" customHeight="1" x14ac:dyDescent="0.25">
      <c r="E249" s="25" t="str">
        <f>IFERROR(VLOOKUP(F249,Equipos!$C$2:$E$967,2,FALSE()),"")</f>
        <v/>
      </c>
      <c r="G249" s="25" t="str">
        <f>IFERROR(VLOOKUP(F249,Equipos!$C$2:$K$967,9,FALSE()),"")</f>
        <v/>
      </c>
      <c r="I249" s="25" t="str">
        <f>IFERROR(VLOOKUP(F249,Equipos!$C$2:$E$967,3,FALSE()),"")</f>
        <v/>
      </c>
    </row>
    <row r="250" spans="5:9" ht="15" customHeight="1" x14ac:dyDescent="0.25">
      <c r="E250" s="25" t="str">
        <f>IFERROR(VLOOKUP(F250,Equipos!$C$2:$E$967,2,FALSE()),"")</f>
        <v/>
      </c>
      <c r="G250" s="25" t="str">
        <f>IFERROR(VLOOKUP(F250,Equipos!$C$2:$K$967,9,FALSE()),"")</f>
        <v/>
      </c>
      <c r="I250" s="25" t="str">
        <f>IFERROR(VLOOKUP(F250,Equipos!$C$2:$E$967,3,FALSE()),"")</f>
        <v/>
      </c>
    </row>
    <row r="251" spans="5:9" ht="15" customHeight="1" x14ac:dyDescent="0.25">
      <c r="E251" s="25" t="str">
        <f>IFERROR(VLOOKUP(F251,Equipos!$C$2:$E$967,2,FALSE()),"")</f>
        <v/>
      </c>
      <c r="G251" s="25" t="str">
        <f>IFERROR(VLOOKUP(F251,Equipos!$C$2:$K$967,9,FALSE()),"")</f>
        <v/>
      </c>
      <c r="I251" s="25" t="str">
        <f>IFERROR(VLOOKUP(F251,Equipos!$C$2:$E$967,3,FALSE()),"")</f>
        <v/>
      </c>
    </row>
    <row r="252" spans="5:9" ht="15" customHeight="1" x14ac:dyDescent="0.25">
      <c r="E252" s="25" t="str">
        <f>IFERROR(VLOOKUP(F252,Equipos!$C$2:$E$967,2,FALSE()),"")</f>
        <v/>
      </c>
      <c r="G252" s="25" t="str">
        <f>IFERROR(VLOOKUP(F252,Equipos!$C$2:$K$967,9,FALSE()),"")</f>
        <v/>
      </c>
      <c r="I252" s="25" t="str">
        <f>IFERROR(VLOOKUP(F252,Equipos!$C$2:$E$967,3,FALSE()),"")</f>
        <v/>
      </c>
    </row>
    <row r="253" spans="5:9" ht="15" customHeight="1" x14ac:dyDescent="0.25">
      <c r="E253" s="25" t="str">
        <f>IFERROR(VLOOKUP(F253,Equipos!$C$2:$E$967,2,FALSE()),"")</f>
        <v/>
      </c>
      <c r="G253" s="25" t="str">
        <f>IFERROR(VLOOKUP(F253,Equipos!$C$2:$K$967,9,FALSE()),"")</f>
        <v/>
      </c>
      <c r="I253" s="25" t="str">
        <f>IFERROR(VLOOKUP(F253,Equipos!$C$2:$E$967,3,FALSE()),"")</f>
        <v/>
      </c>
    </row>
    <row r="254" spans="5:9" ht="15" customHeight="1" x14ac:dyDescent="0.25">
      <c r="E254" s="25" t="str">
        <f>IFERROR(VLOOKUP(F254,Equipos!$C$2:$E$967,2,FALSE()),"")</f>
        <v/>
      </c>
      <c r="G254" s="25" t="str">
        <f>IFERROR(VLOOKUP(F254,Equipos!$C$2:$K$967,9,FALSE()),"")</f>
        <v/>
      </c>
      <c r="I254" s="25" t="str">
        <f>IFERROR(VLOOKUP(F254,Equipos!$C$2:$E$967,3,FALSE()),"")</f>
        <v/>
      </c>
    </row>
    <row r="255" spans="5:9" ht="15" customHeight="1" x14ac:dyDescent="0.25">
      <c r="E255" s="25" t="str">
        <f>IFERROR(VLOOKUP(F255,Equipos!$C$2:$E$967,2,FALSE()),"")</f>
        <v/>
      </c>
      <c r="G255" s="25" t="str">
        <f>IFERROR(VLOOKUP(F255,Equipos!$C$2:$K$967,9,FALSE()),"")</f>
        <v/>
      </c>
      <c r="I255" s="25" t="str">
        <f>IFERROR(VLOOKUP(F255,Equipos!$C$2:$E$967,3,FALSE()),"")</f>
        <v/>
      </c>
    </row>
    <row r="256" spans="5:9" ht="15" customHeight="1" x14ac:dyDescent="0.25">
      <c r="E256" s="25" t="str">
        <f>IFERROR(VLOOKUP(F256,Equipos!$C$2:$E$967,2,FALSE()),"")</f>
        <v/>
      </c>
      <c r="G256" s="25" t="str">
        <f>IFERROR(VLOOKUP(F256,Equipos!$C$2:$K$967,9,FALSE()),"")</f>
        <v/>
      </c>
      <c r="I256" s="25" t="str">
        <f>IFERROR(VLOOKUP(F256,Equipos!$C$2:$E$967,3,FALSE()),"")</f>
        <v/>
      </c>
    </row>
    <row r="257" spans="5:9" ht="15" customHeight="1" x14ac:dyDescent="0.25">
      <c r="E257" s="25" t="str">
        <f>IFERROR(VLOOKUP(F257,Equipos!$C$2:$E$967,2,FALSE()),"")</f>
        <v/>
      </c>
      <c r="G257" s="25" t="str">
        <f>IFERROR(VLOOKUP(F257,Equipos!$C$2:$K$967,9,FALSE()),"")</f>
        <v/>
      </c>
      <c r="I257" s="25" t="str">
        <f>IFERROR(VLOOKUP(F257,Equipos!$C$2:$E$967,3,FALSE()),"")</f>
        <v/>
      </c>
    </row>
    <row r="258" spans="5:9" ht="15" customHeight="1" x14ac:dyDescent="0.25">
      <c r="E258" s="25" t="str">
        <f>IFERROR(VLOOKUP(F258,Equipos!$C$2:$E$967,2,FALSE()),"")</f>
        <v/>
      </c>
      <c r="G258" s="25" t="str">
        <f>IFERROR(VLOOKUP(F258,Equipos!$C$2:$K$967,9,FALSE()),"")</f>
        <v/>
      </c>
      <c r="I258" s="25" t="str">
        <f>IFERROR(VLOOKUP(F258,Equipos!$C$2:$E$967,3,FALSE()),"")</f>
        <v/>
      </c>
    </row>
    <row r="259" spans="5:9" ht="15" customHeight="1" x14ac:dyDescent="0.25">
      <c r="E259" s="25" t="str">
        <f>IFERROR(VLOOKUP(F259,Equipos!$C$2:$E$967,2,FALSE()),"")</f>
        <v/>
      </c>
      <c r="G259" s="25" t="str">
        <f>IFERROR(VLOOKUP(F259,Equipos!$C$2:$K$967,9,FALSE()),"")</f>
        <v/>
      </c>
      <c r="I259" s="25" t="str">
        <f>IFERROR(VLOOKUP(F259,Equipos!$C$2:$E$967,3,FALSE()),"")</f>
        <v/>
      </c>
    </row>
    <row r="260" spans="5:9" ht="15" customHeight="1" x14ac:dyDescent="0.25">
      <c r="E260" s="25" t="str">
        <f>IFERROR(VLOOKUP(F260,Equipos!$C$2:$E$967,2,FALSE()),"")</f>
        <v/>
      </c>
      <c r="G260" s="25" t="str">
        <f>IFERROR(VLOOKUP(F260,Equipos!$C$2:$K$967,9,FALSE()),"")</f>
        <v/>
      </c>
      <c r="I260" s="25" t="str">
        <f>IFERROR(VLOOKUP(F260,Equipos!$C$2:$E$967,3,FALSE()),"")</f>
        <v/>
      </c>
    </row>
    <row r="261" spans="5:9" ht="15" customHeight="1" x14ac:dyDescent="0.25">
      <c r="E261" s="25" t="str">
        <f>IFERROR(VLOOKUP(F261,Equipos!$C$2:$E$967,2,FALSE()),"")</f>
        <v/>
      </c>
      <c r="G261" s="25" t="str">
        <f>IFERROR(VLOOKUP(F261,Equipos!$C$2:$K$967,9,FALSE()),"")</f>
        <v/>
      </c>
      <c r="I261" s="25" t="str">
        <f>IFERROR(VLOOKUP(F261,Equipos!$C$2:$E$967,3,FALSE()),"")</f>
        <v/>
      </c>
    </row>
    <row r="262" spans="5:9" ht="15" customHeight="1" x14ac:dyDescent="0.25">
      <c r="E262" s="25" t="str">
        <f>IFERROR(VLOOKUP(F262,Equipos!$C$2:$E$967,2,FALSE()),"")</f>
        <v/>
      </c>
      <c r="G262" s="25" t="str">
        <f>IFERROR(VLOOKUP(F262,Equipos!$C$2:$K$967,9,FALSE()),"")</f>
        <v/>
      </c>
      <c r="I262" s="25" t="str">
        <f>IFERROR(VLOOKUP(F262,Equipos!$C$2:$E$967,3,FALSE()),"")</f>
        <v/>
      </c>
    </row>
    <row r="263" spans="5:9" ht="15" customHeight="1" x14ac:dyDescent="0.25">
      <c r="E263" s="25" t="str">
        <f>IFERROR(VLOOKUP(F263,Equipos!$C$2:$E$967,2,FALSE()),"")</f>
        <v/>
      </c>
      <c r="G263" s="25" t="str">
        <f>IFERROR(VLOOKUP(F263,Equipos!$C$2:$K$967,9,FALSE()),"")</f>
        <v/>
      </c>
      <c r="I263" s="25" t="str">
        <f>IFERROR(VLOOKUP(F263,Equipos!$C$2:$E$967,3,FALSE()),"")</f>
        <v/>
      </c>
    </row>
    <row r="264" spans="5:9" ht="15" customHeight="1" x14ac:dyDescent="0.25">
      <c r="E264" s="25" t="str">
        <f>IFERROR(VLOOKUP(F264,Equipos!$C$2:$E$967,2,FALSE()),"")</f>
        <v/>
      </c>
      <c r="G264" s="25" t="str">
        <f>IFERROR(VLOOKUP(F264,Equipos!$C$2:$K$967,9,FALSE()),"")</f>
        <v/>
      </c>
      <c r="I264" s="25" t="str">
        <f>IFERROR(VLOOKUP(F264,Equipos!$C$2:$E$967,3,FALSE()),"")</f>
        <v/>
      </c>
    </row>
    <row r="265" spans="5:9" ht="15" customHeight="1" x14ac:dyDescent="0.25">
      <c r="E265" s="25" t="str">
        <f>IFERROR(VLOOKUP(F265,Equipos!$C$2:$E$967,2,FALSE()),"")</f>
        <v/>
      </c>
      <c r="G265" s="25" t="str">
        <f>IFERROR(VLOOKUP(F265,Equipos!$C$2:$K$967,9,FALSE()),"")</f>
        <v/>
      </c>
      <c r="I265" s="25" t="str">
        <f>IFERROR(VLOOKUP(F265,Equipos!$C$2:$E$967,3,FALSE()),"")</f>
        <v/>
      </c>
    </row>
    <row r="266" spans="5:9" ht="15" customHeight="1" x14ac:dyDescent="0.25">
      <c r="E266" s="25" t="str">
        <f>IFERROR(VLOOKUP(F266,Equipos!$C$2:$E$967,2,FALSE()),"")</f>
        <v/>
      </c>
      <c r="G266" s="25" t="str">
        <f>IFERROR(VLOOKUP(F266,Equipos!$C$2:$K$967,9,FALSE()),"")</f>
        <v/>
      </c>
      <c r="I266" s="25" t="str">
        <f>IFERROR(VLOOKUP(F266,Equipos!$C$2:$E$967,3,FALSE()),"")</f>
        <v/>
      </c>
    </row>
    <row r="267" spans="5:9" ht="15" customHeight="1" x14ac:dyDescent="0.25">
      <c r="E267" s="25" t="str">
        <f>IFERROR(VLOOKUP(F267,Equipos!$C$2:$E$967,2,FALSE()),"")</f>
        <v/>
      </c>
      <c r="G267" s="25" t="str">
        <f>IFERROR(VLOOKUP(F267,Equipos!$C$2:$K$967,9,FALSE()),"")</f>
        <v/>
      </c>
      <c r="I267" s="25" t="str">
        <f>IFERROR(VLOOKUP(F267,Equipos!$C$2:$E$967,3,FALSE()),"")</f>
        <v/>
      </c>
    </row>
    <row r="268" spans="5:9" ht="15" customHeight="1" x14ac:dyDescent="0.25">
      <c r="E268" s="25" t="str">
        <f>IFERROR(VLOOKUP(F268,Equipos!$C$2:$E$967,2,FALSE()),"")</f>
        <v/>
      </c>
      <c r="G268" s="25" t="str">
        <f>IFERROR(VLOOKUP(F268,Equipos!$C$2:$K$967,9,FALSE()),"")</f>
        <v/>
      </c>
      <c r="I268" s="25" t="str">
        <f>IFERROR(VLOOKUP(F268,Equipos!$C$2:$E$967,3,FALSE()),"")</f>
        <v/>
      </c>
    </row>
    <row r="269" spans="5:9" ht="15" customHeight="1" x14ac:dyDescent="0.25">
      <c r="E269" s="25" t="str">
        <f>IFERROR(VLOOKUP(F269,Equipos!$C$2:$E$967,2,FALSE()),"")</f>
        <v/>
      </c>
      <c r="G269" s="25" t="str">
        <f>IFERROR(VLOOKUP(F269,Equipos!$C$2:$K$967,9,FALSE()),"")</f>
        <v/>
      </c>
      <c r="I269" s="25" t="str">
        <f>IFERROR(VLOOKUP(F269,Equipos!$C$2:$E$967,3,FALSE()),"")</f>
        <v/>
      </c>
    </row>
    <row r="270" spans="5:9" ht="15" customHeight="1" x14ac:dyDescent="0.25">
      <c r="E270" s="25" t="str">
        <f>IFERROR(VLOOKUP(F270,Equipos!$C$2:$E$967,2,FALSE()),"")</f>
        <v/>
      </c>
      <c r="G270" s="25" t="str">
        <f>IFERROR(VLOOKUP(F270,Equipos!$C$2:$K$967,9,FALSE()),"")</f>
        <v/>
      </c>
      <c r="I270" s="25" t="str">
        <f>IFERROR(VLOOKUP(F270,Equipos!$C$2:$E$967,3,FALSE()),"")</f>
        <v/>
      </c>
    </row>
    <row r="271" spans="5:9" ht="15" customHeight="1" x14ac:dyDescent="0.25">
      <c r="E271" s="25" t="str">
        <f>IFERROR(VLOOKUP(F271,Equipos!$C$2:$E$967,2,FALSE()),"")</f>
        <v/>
      </c>
      <c r="G271" s="25" t="str">
        <f>IFERROR(VLOOKUP(F271,Equipos!$C$2:$K$967,9,FALSE()),"")</f>
        <v/>
      </c>
      <c r="I271" s="25" t="str">
        <f>IFERROR(VLOOKUP(F271,Equipos!$C$2:$E$967,3,FALSE()),"")</f>
        <v/>
      </c>
    </row>
    <row r="272" spans="5:9" ht="15" customHeight="1" x14ac:dyDescent="0.25">
      <c r="E272" s="25" t="str">
        <f>IFERROR(VLOOKUP(F272,Equipos!$C$2:$E$967,2,FALSE()),"")</f>
        <v/>
      </c>
      <c r="G272" s="25" t="str">
        <f>IFERROR(VLOOKUP(F272,Equipos!$C$2:$K$967,9,FALSE()),"")</f>
        <v/>
      </c>
      <c r="I272" s="25" t="str">
        <f>IFERROR(VLOOKUP(F272,Equipos!$C$2:$E$967,3,FALSE()),"")</f>
        <v/>
      </c>
    </row>
    <row r="273" spans="5:9" ht="15" customHeight="1" x14ac:dyDescent="0.25">
      <c r="E273" s="25" t="str">
        <f>IFERROR(VLOOKUP(F273,Equipos!$C$2:$E$967,2,FALSE()),"")</f>
        <v/>
      </c>
      <c r="G273" s="25" t="str">
        <f>IFERROR(VLOOKUP(F273,Equipos!$C$2:$K$967,9,FALSE()),"")</f>
        <v/>
      </c>
      <c r="I273" s="25" t="str">
        <f>IFERROR(VLOOKUP(F273,Equipos!$C$2:$E$967,3,FALSE()),"")</f>
        <v/>
      </c>
    </row>
    <row r="274" spans="5:9" ht="15" customHeight="1" x14ac:dyDescent="0.25">
      <c r="E274" s="25" t="str">
        <f>IFERROR(VLOOKUP(F274,Equipos!$C$2:$E$967,2,FALSE()),"")</f>
        <v/>
      </c>
      <c r="G274" s="25" t="str">
        <f>IFERROR(VLOOKUP(F274,Equipos!$C$2:$K$967,9,FALSE()),"")</f>
        <v/>
      </c>
      <c r="I274" s="25" t="str">
        <f>IFERROR(VLOOKUP(F274,Equipos!$C$2:$E$967,3,FALSE()),"")</f>
        <v/>
      </c>
    </row>
    <row r="275" spans="5:9" ht="15" customHeight="1" x14ac:dyDescent="0.25">
      <c r="E275" s="25" t="str">
        <f>IFERROR(VLOOKUP(F275,Equipos!$C$2:$E$967,2,FALSE()),"")</f>
        <v/>
      </c>
      <c r="G275" s="25" t="str">
        <f>IFERROR(VLOOKUP(F275,Equipos!$C$2:$K$967,9,FALSE()),"")</f>
        <v/>
      </c>
      <c r="I275" s="25" t="str">
        <f>IFERROR(VLOOKUP(F275,Equipos!$C$2:$E$967,3,FALSE()),"")</f>
        <v/>
      </c>
    </row>
    <row r="276" spans="5:9" ht="15" customHeight="1" x14ac:dyDescent="0.25">
      <c r="E276" s="25" t="str">
        <f>IFERROR(VLOOKUP(F276,Equipos!$C$2:$E$967,2,FALSE()),"")</f>
        <v/>
      </c>
      <c r="G276" s="25" t="str">
        <f>IFERROR(VLOOKUP(F276,Equipos!$C$2:$K$967,9,FALSE()),"")</f>
        <v/>
      </c>
      <c r="I276" s="25" t="str">
        <f>IFERROR(VLOOKUP(F276,Equipos!$C$2:$E$967,3,FALSE()),"")</f>
        <v/>
      </c>
    </row>
    <row r="277" spans="5:9" ht="15" customHeight="1" x14ac:dyDescent="0.25">
      <c r="E277" s="25" t="str">
        <f>IFERROR(VLOOKUP(F277,Equipos!$C$2:$E$967,2,FALSE()),"")</f>
        <v/>
      </c>
      <c r="G277" s="25" t="str">
        <f>IFERROR(VLOOKUP(F277,Equipos!$C$2:$K$967,9,FALSE()),"")</f>
        <v/>
      </c>
      <c r="I277" s="25" t="str">
        <f>IFERROR(VLOOKUP(F277,Equipos!$C$2:$E$967,3,FALSE()),"")</f>
        <v/>
      </c>
    </row>
    <row r="278" spans="5:9" ht="15" customHeight="1" x14ac:dyDescent="0.25">
      <c r="E278" s="25" t="str">
        <f>IFERROR(VLOOKUP(F278,Equipos!$C$2:$E$967,2,FALSE()),"")</f>
        <v/>
      </c>
      <c r="G278" s="25" t="str">
        <f>IFERROR(VLOOKUP(F278,Equipos!$C$2:$K$967,9,FALSE()),"")</f>
        <v/>
      </c>
      <c r="I278" s="25" t="str">
        <f>IFERROR(VLOOKUP(F278,Equipos!$C$2:$E$967,3,FALSE()),"")</f>
        <v/>
      </c>
    </row>
    <row r="279" spans="5:9" ht="15" customHeight="1" x14ac:dyDescent="0.25">
      <c r="E279" s="25" t="str">
        <f>IFERROR(VLOOKUP(F279,Equipos!$C$2:$E$967,2,FALSE()),"")</f>
        <v/>
      </c>
      <c r="G279" s="25" t="str">
        <f>IFERROR(VLOOKUP(F279,Equipos!$C$2:$K$967,9,FALSE()),"")</f>
        <v/>
      </c>
      <c r="I279" s="25" t="str">
        <f>IFERROR(VLOOKUP(F279,Equipos!$C$2:$E$967,3,FALSE()),"")</f>
        <v/>
      </c>
    </row>
    <row r="280" spans="5:9" ht="15" customHeight="1" x14ac:dyDescent="0.25">
      <c r="E280" s="25" t="str">
        <f>IFERROR(VLOOKUP(F280,Equipos!$C$2:$E$967,2,FALSE()),"")</f>
        <v/>
      </c>
      <c r="G280" s="25" t="str">
        <f>IFERROR(VLOOKUP(F280,Equipos!$C$2:$K$967,9,FALSE()),"")</f>
        <v/>
      </c>
      <c r="I280" s="25" t="str">
        <f>IFERROR(VLOOKUP(F280,Equipos!$C$2:$E$967,3,FALSE()),"")</f>
        <v/>
      </c>
    </row>
    <row r="281" spans="5:9" ht="15" customHeight="1" x14ac:dyDescent="0.25">
      <c r="E281" s="25" t="str">
        <f>IFERROR(VLOOKUP(F281,Equipos!$C$2:$E$967,2,FALSE()),"")</f>
        <v/>
      </c>
      <c r="G281" s="25" t="str">
        <f>IFERROR(VLOOKUP(F281,Equipos!$C$2:$K$967,9,FALSE()),"")</f>
        <v/>
      </c>
      <c r="I281" s="25" t="str">
        <f>IFERROR(VLOOKUP(F281,Equipos!$C$2:$E$967,3,FALSE()),"")</f>
        <v/>
      </c>
    </row>
    <row r="282" spans="5:9" ht="15" customHeight="1" x14ac:dyDescent="0.25">
      <c r="E282" s="25" t="str">
        <f>IFERROR(VLOOKUP(F282,Equipos!$C$2:$E$967,2,FALSE()),"")</f>
        <v/>
      </c>
      <c r="G282" s="25" t="str">
        <f>IFERROR(VLOOKUP(F282,Equipos!$C$2:$K$967,9,FALSE()),"")</f>
        <v/>
      </c>
      <c r="I282" s="25" t="str">
        <f>IFERROR(VLOOKUP(F282,Equipos!$C$2:$E$967,3,FALSE()),"")</f>
        <v/>
      </c>
    </row>
    <row r="283" spans="5:9" ht="15" customHeight="1" x14ac:dyDescent="0.25">
      <c r="E283" s="25" t="str">
        <f>IFERROR(VLOOKUP(F283,Equipos!$C$2:$E$967,2,FALSE()),"")</f>
        <v/>
      </c>
      <c r="G283" s="25" t="str">
        <f>IFERROR(VLOOKUP(F283,Equipos!$C$2:$K$967,9,FALSE()),"")</f>
        <v/>
      </c>
      <c r="I283" s="25" t="str">
        <f>IFERROR(VLOOKUP(F283,Equipos!$C$2:$E$967,3,FALSE()),"")</f>
        <v/>
      </c>
    </row>
    <row r="284" spans="5:9" ht="15" customHeight="1" x14ac:dyDescent="0.25">
      <c r="E284" s="25" t="str">
        <f>IFERROR(VLOOKUP(F284,Equipos!$C$2:$E$967,2,FALSE()),"")</f>
        <v/>
      </c>
      <c r="G284" s="25" t="str">
        <f>IFERROR(VLOOKUP(F284,Equipos!$C$2:$K$967,9,FALSE()),"")</f>
        <v/>
      </c>
      <c r="I284" s="25" t="str">
        <f>IFERROR(VLOOKUP(F284,Equipos!$C$2:$E$967,3,FALSE()),"")</f>
        <v/>
      </c>
    </row>
    <row r="285" spans="5:9" ht="15" customHeight="1" x14ac:dyDescent="0.25">
      <c r="E285" s="25" t="str">
        <f>IFERROR(VLOOKUP(F285,Equipos!$C$2:$E$967,2,FALSE()),"")</f>
        <v/>
      </c>
      <c r="G285" s="25" t="str">
        <f>IFERROR(VLOOKUP(F285,Equipos!$C$2:$K$967,9,FALSE()),"")</f>
        <v/>
      </c>
      <c r="I285" s="25" t="str">
        <f>IFERROR(VLOOKUP(F285,Equipos!$C$2:$E$967,3,FALSE()),"")</f>
        <v/>
      </c>
    </row>
    <row r="286" spans="5:9" ht="15" customHeight="1" x14ac:dyDescent="0.25">
      <c r="E286" s="25" t="str">
        <f>IFERROR(VLOOKUP(F286,Equipos!$C$2:$E$967,2,FALSE()),"")</f>
        <v/>
      </c>
      <c r="G286" s="25" t="str">
        <f>IFERROR(VLOOKUP(F286,Equipos!$C$2:$K$967,9,FALSE()),"")</f>
        <v/>
      </c>
      <c r="I286" s="25" t="str">
        <f>IFERROR(VLOOKUP(F286,Equipos!$C$2:$E$967,3,FALSE()),"")</f>
        <v/>
      </c>
    </row>
    <row r="287" spans="5:9" ht="15" customHeight="1" x14ac:dyDescent="0.25">
      <c r="E287" s="25" t="str">
        <f>IFERROR(VLOOKUP(F287,Equipos!$C$2:$E$967,2,FALSE()),"")</f>
        <v/>
      </c>
      <c r="G287" s="25" t="str">
        <f>IFERROR(VLOOKUP(F287,Equipos!$C$2:$K$967,9,FALSE()),"")</f>
        <v/>
      </c>
      <c r="I287" s="25" t="str">
        <f>IFERROR(VLOOKUP(F287,Equipos!$C$2:$E$967,3,FALSE()),"")</f>
        <v/>
      </c>
    </row>
    <row r="288" spans="5:9" ht="15" customHeight="1" x14ac:dyDescent="0.25">
      <c r="E288" s="25" t="str">
        <f>IFERROR(VLOOKUP(F288,Equipos!$C$2:$E$967,2,FALSE()),"")</f>
        <v/>
      </c>
      <c r="G288" s="25" t="str">
        <f>IFERROR(VLOOKUP(F288,Equipos!$C$2:$K$967,9,FALSE()),"")</f>
        <v/>
      </c>
      <c r="I288" s="25" t="str">
        <f>IFERROR(VLOOKUP(F288,Equipos!$C$2:$E$967,3,FALSE()),"")</f>
        <v/>
      </c>
    </row>
    <row r="289" spans="5:9" ht="15" customHeight="1" x14ac:dyDescent="0.25">
      <c r="E289" s="25" t="str">
        <f>IFERROR(VLOOKUP(F289,Equipos!$C$2:$E$967,2,FALSE()),"")</f>
        <v/>
      </c>
      <c r="G289" s="25" t="str">
        <f>IFERROR(VLOOKUP(F289,Equipos!$C$2:$K$967,9,FALSE()),"")</f>
        <v/>
      </c>
      <c r="I289" s="25" t="str">
        <f>IFERROR(VLOOKUP(F289,Equipos!$C$2:$E$967,3,FALSE()),"")</f>
        <v/>
      </c>
    </row>
    <row r="290" spans="5:9" ht="15" customHeight="1" x14ac:dyDescent="0.25">
      <c r="E290" s="25" t="str">
        <f>IFERROR(VLOOKUP(F290,Equipos!$C$2:$E$967,2,FALSE()),"")</f>
        <v/>
      </c>
      <c r="G290" s="25" t="str">
        <f>IFERROR(VLOOKUP(F290,Equipos!$C$2:$K$967,9,FALSE()),"")</f>
        <v/>
      </c>
      <c r="I290" s="25" t="str">
        <f>IFERROR(VLOOKUP(F290,Equipos!$C$2:$E$967,3,FALSE()),"")</f>
        <v/>
      </c>
    </row>
    <row r="291" spans="5:9" ht="15" customHeight="1" x14ac:dyDescent="0.25">
      <c r="E291" s="25" t="str">
        <f>IFERROR(VLOOKUP(F291,Equipos!$C$2:$E$967,2,FALSE()),"")</f>
        <v/>
      </c>
      <c r="G291" s="25" t="str">
        <f>IFERROR(VLOOKUP(F291,Equipos!$C$2:$K$967,9,FALSE()),"")</f>
        <v/>
      </c>
      <c r="I291" s="25" t="str">
        <f>IFERROR(VLOOKUP(F291,Equipos!$C$2:$E$967,3,FALSE()),"")</f>
        <v/>
      </c>
    </row>
    <row r="292" spans="5:9" ht="15" customHeight="1" x14ac:dyDescent="0.25">
      <c r="E292" s="25" t="str">
        <f>IFERROR(VLOOKUP(F292,Equipos!$C$2:$E$967,2,FALSE()),"")</f>
        <v/>
      </c>
      <c r="G292" s="25" t="str">
        <f>IFERROR(VLOOKUP(F292,Equipos!$C$2:$K$967,9,FALSE()),"")</f>
        <v/>
      </c>
      <c r="I292" s="25" t="str">
        <f>IFERROR(VLOOKUP(F292,Equipos!$C$2:$E$967,3,FALSE()),"")</f>
        <v/>
      </c>
    </row>
    <row r="293" spans="5:9" ht="15" customHeight="1" x14ac:dyDescent="0.25">
      <c r="E293" s="25" t="str">
        <f>IFERROR(VLOOKUP(F293,Equipos!$C$2:$E$967,2,FALSE()),"")</f>
        <v/>
      </c>
      <c r="G293" s="25" t="str">
        <f>IFERROR(VLOOKUP(F293,Equipos!$C$2:$K$967,9,FALSE()),"")</f>
        <v/>
      </c>
      <c r="I293" s="25" t="str">
        <f>IFERROR(VLOOKUP(F293,Equipos!$C$2:$E$967,3,FALSE()),"")</f>
        <v/>
      </c>
    </row>
    <row r="294" spans="5:9" ht="15" customHeight="1" x14ac:dyDescent="0.25">
      <c r="E294" s="25" t="str">
        <f>IFERROR(VLOOKUP(F294,Equipos!$C$2:$E$967,2,FALSE()),"")</f>
        <v/>
      </c>
      <c r="G294" s="25" t="str">
        <f>IFERROR(VLOOKUP(F294,Equipos!$C$2:$K$967,9,FALSE()),"")</f>
        <v/>
      </c>
      <c r="I294" s="25" t="str">
        <f>IFERROR(VLOOKUP(F294,Equipos!$C$2:$E$967,3,FALSE()),"")</f>
        <v/>
      </c>
    </row>
    <row r="295" spans="5:9" ht="15" customHeight="1" x14ac:dyDescent="0.25">
      <c r="E295" s="25" t="str">
        <f>IFERROR(VLOOKUP(F295,Equipos!$C$2:$E$967,2,FALSE()),"")</f>
        <v/>
      </c>
      <c r="G295" s="25" t="str">
        <f>IFERROR(VLOOKUP(F295,Equipos!$C$2:$K$967,9,FALSE()),"")</f>
        <v/>
      </c>
      <c r="I295" s="25" t="str">
        <f>IFERROR(VLOOKUP(F295,Equipos!$C$2:$E$967,3,FALSE()),"")</f>
        <v/>
      </c>
    </row>
    <row r="296" spans="5:9" ht="15" customHeight="1" x14ac:dyDescent="0.25">
      <c r="E296" s="25" t="str">
        <f>IFERROR(VLOOKUP(F296,Equipos!$C$2:$E$967,2,FALSE()),"")</f>
        <v/>
      </c>
      <c r="G296" s="25" t="str">
        <f>IFERROR(VLOOKUP(F296,Equipos!$C$2:$K$967,9,FALSE()),"")</f>
        <v/>
      </c>
      <c r="I296" s="25" t="str">
        <f>IFERROR(VLOOKUP(F296,Equipos!$C$2:$E$967,3,FALSE()),"")</f>
        <v/>
      </c>
    </row>
    <row r="297" spans="5:9" ht="15" customHeight="1" x14ac:dyDescent="0.25">
      <c r="E297" s="25" t="str">
        <f>IFERROR(VLOOKUP(F297,Equipos!$C$2:$E$967,2,FALSE()),"")</f>
        <v/>
      </c>
      <c r="G297" s="25" t="str">
        <f>IFERROR(VLOOKUP(F297,Equipos!$C$2:$K$967,9,FALSE()),"")</f>
        <v/>
      </c>
      <c r="I297" s="25" t="str">
        <f>IFERROR(VLOOKUP(F297,Equipos!$C$2:$E$967,3,FALSE()),"")</f>
        <v/>
      </c>
    </row>
    <row r="298" spans="5:9" ht="15" customHeight="1" x14ac:dyDescent="0.25">
      <c r="E298" s="25" t="str">
        <f>IFERROR(VLOOKUP(F298,Equipos!$C$2:$E$967,2,FALSE()),"")</f>
        <v/>
      </c>
      <c r="G298" s="25" t="str">
        <f>IFERROR(VLOOKUP(F298,Equipos!$C$2:$K$967,9,FALSE()),"")</f>
        <v/>
      </c>
      <c r="I298" s="25" t="str">
        <f>IFERROR(VLOOKUP(F298,Equipos!$C$2:$E$967,3,FALSE()),"")</f>
        <v/>
      </c>
    </row>
    <row r="299" spans="5:9" ht="15" customHeight="1" x14ac:dyDescent="0.25">
      <c r="E299" s="25" t="str">
        <f>IFERROR(VLOOKUP(F299,Equipos!$C$2:$E$967,2,FALSE()),"")</f>
        <v/>
      </c>
      <c r="G299" s="25" t="str">
        <f>IFERROR(VLOOKUP(F299,Equipos!$C$2:$K$967,9,FALSE()),"")</f>
        <v/>
      </c>
      <c r="I299" s="25" t="str">
        <f>IFERROR(VLOOKUP(F299,Equipos!$C$2:$E$967,3,FALSE()),"")</f>
        <v/>
      </c>
    </row>
    <row r="300" spans="5:9" ht="15" customHeight="1" x14ac:dyDescent="0.25">
      <c r="E300" s="25" t="str">
        <f>IFERROR(VLOOKUP(F300,Equipos!$C$2:$E$967,2,FALSE()),"")</f>
        <v/>
      </c>
      <c r="G300" s="25" t="str">
        <f>IFERROR(VLOOKUP(F300,Equipos!$C$2:$K$967,9,FALSE()),"")</f>
        <v/>
      </c>
      <c r="I300" s="25" t="str">
        <f>IFERROR(VLOOKUP(F300,Equipos!$C$2:$E$967,3,FALSE()),"")</f>
        <v/>
      </c>
    </row>
    <row r="301" spans="5:9" ht="15" customHeight="1" x14ac:dyDescent="0.25">
      <c r="E301" s="25" t="str">
        <f>IFERROR(VLOOKUP(F301,Equipos!$C$2:$E$967,2,FALSE()),"")</f>
        <v/>
      </c>
      <c r="G301" s="25" t="str">
        <f>IFERROR(VLOOKUP(F301,Equipos!$C$2:$K$967,9,FALSE()),"")</f>
        <v/>
      </c>
      <c r="I301" s="25" t="str">
        <f>IFERROR(VLOOKUP(F301,Equipos!$C$2:$E$967,3,FALSE()),"")</f>
        <v/>
      </c>
    </row>
  </sheetData>
  <autoFilter ref="A1:K301" xr:uid="{00000000-0009-0000-0000-000008000000}"/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800-000000000000}">
          <x14:formula1>
            <xm:f>Equipos!$C$2:$C$967</xm:f>
          </x14:formula1>
          <xm:sqref>F2:F301</xm:sqref>
        </x14:dataValidation>
        <x14:dataValidation type="list" allowBlank="1" xr:uid="{00000000-0002-0000-0800-000001000000}">
          <x14:formula1>
            <xm:f>Catálogos!$A$4:$A$14</xm:f>
          </x14:formula1>
          <xm:sqref>C2:C301</xm:sqref>
        </x14:dataValidation>
        <x14:dataValidation type="list" allowBlank="1" xr:uid="{00000000-0002-0000-0800-000002000000}">
          <x14:formula1>
            <xm:f>Catálogos!$B$4:$B$6</xm:f>
          </x14:formula1>
          <xm:sqref>H2:H301</xm:sqref>
        </x14:dataValidation>
        <x14:dataValidation type="list" allowBlank="1" xr:uid="{00000000-0002-0000-0800-000003000000}">
          <x14:formula1>
            <xm:f>Catálogos!$E$4:$E$5</xm:f>
          </x14:formula1>
          <xm:sqref>J2:J301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3C5A8A"/>
  </sheetPr>
  <dimension ref="A1:N201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7109375" defaultRowHeight="15" x14ac:dyDescent="0.25"/>
  <cols>
    <col min="1" max="2" width="16" customWidth="1"/>
    <col min="3" max="3" width="13" customWidth="1"/>
    <col min="4" max="4" width="22" customWidth="1"/>
    <col min="5" max="6" width="14" customWidth="1"/>
    <col min="7" max="8" width="16" customWidth="1"/>
    <col min="9" max="9" width="13" customWidth="1"/>
    <col min="10" max="10" width="20" customWidth="1"/>
    <col min="11" max="11" width="12" customWidth="1"/>
    <col min="12" max="12" width="13" customWidth="1"/>
    <col min="13" max="13" width="26" customWidth="1"/>
    <col min="14" max="14" width="16" customWidth="1"/>
  </cols>
  <sheetData>
    <row r="1" spans="1:14" ht="30" customHeight="1" x14ac:dyDescent="0.25">
      <c r="A1" s="13" t="s">
        <v>252</v>
      </c>
      <c r="B1" s="13" t="s">
        <v>3843</v>
      </c>
      <c r="C1" s="13" t="s">
        <v>3844</v>
      </c>
      <c r="D1" s="13" t="s">
        <v>3845</v>
      </c>
      <c r="E1" s="13" t="s">
        <v>3846</v>
      </c>
      <c r="F1" s="13" t="s">
        <v>3847</v>
      </c>
      <c r="G1" s="13" t="s">
        <v>1130</v>
      </c>
      <c r="H1" s="13" t="s">
        <v>3848</v>
      </c>
      <c r="I1" s="13" t="s">
        <v>3849</v>
      </c>
      <c r="J1" s="13" t="s">
        <v>3850</v>
      </c>
      <c r="K1" s="13" t="s">
        <v>3851</v>
      </c>
      <c r="L1" s="13" t="s">
        <v>3852</v>
      </c>
      <c r="M1" s="13" t="s">
        <v>3853</v>
      </c>
      <c r="N1" s="13" t="s">
        <v>3854</v>
      </c>
    </row>
    <row r="2" spans="1:14" ht="15" customHeight="1" x14ac:dyDescent="0.25">
      <c r="A2" s="29" t="s">
        <v>3805</v>
      </c>
      <c r="C2" s="30">
        <v>46106</v>
      </c>
    </row>
    <row r="3" spans="1:14" ht="15" customHeight="1" x14ac:dyDescent="0.25">
      <c r="A3" s="29" t="s">
        <v>3808</v>
      </c>
      <c r="B3" s="31" t="s">
        <v>3855</v>
      </c>
      <c r="D3" s="31" t="s">
        <v>1196</v>
      </c>
      <c r="G3" s="31" t="s">
        <v>1141</v>
      </c>
      <c r="H3" s="29" t="s">
        <v>1635</v>
      </c>
      <c r="I3" s="30">
        <v>46066</v>
      </c>
      <c r="J3" s="31" t="s">
        <v>91</v>
      </c>
      <c r="K3" s="29" t="s">
        <v>3856</v>
      </c>
      <c r="L3" s="30">
        <v>46108</v>
      </c>
      <c r="M3" s="31" t="s">
        <v>3857</v>
      </c>
    </row>
    <row r="4" spans="1:14" ht="15" customHeight="1" x14ac:dyDescent="0.25">
      <c r="A4" s="29" t="s">
        <v>3815</v>
      </c>
      <c r="B4" s="31" t="s">
        <v>3855</v>
      </c>
      <c r="C4" s="30">
        <v>46185</v>
      </c>
      <c r="G4" s="31" t="s">
        <v>1141</v>
      </c>
      <c r="K4" s="29" t="s">
        <v>3858</v>
      </c>
      <c r="L4" s="30">
        <v>46149</v>
      </c>
      <c r="M4" s="31" t="s">
        <v>3859</v>
      </c>
    </row>
    <row r="5" spans="1:14" ht="15" customHeight="1" x14ac:dyDescent="0.25">
      <c r="A5" s="29" t="s">
        <v>3835</v>
      </c>
      <c r="C5" s="30">
        <v>46185</v>
      </c>
    </row>
    <row r="6" spans="1:14" ht="15" customHeight="1" x14ac:dyDescent="0.25">
      <c r="A6" s="24"/>
    </row>
    <row r="7" spans="1:14" ht="15" customHeight="1" x14ac:dyDescent="0.25">
      <c r="A7" s="24"/>
    </row>
    <row r="8" spans="1:14" ht="15" customHeight="1" x14ac:dyDescent="0.25">
      <c r="A8" s="24"/>
    </row>
    <row r="9" spans="1:14" ht="15" customHeight="1" x14ac:dyDescent="0.25">
      <c r="A9" s="24"/>
    </row>
    <row r="10" spans="1:14" ht="15" customHeight="1" x14ac:dyDescent="0.25">
      <c r="A10" s="24"/>
    </row>
    <row r="11" spans="1:14" ht="15" customHeight="1" x14ac:dyDescent="0.25">
      <c r="A11" s="24"/>
    </row>
    <row r="12" spans="1:14" ht="15" customHeight="1" x14ac:dyDescent="0.25">
      <c r="A12" s="24"/>
    </row>
    <row r="13" spans="1:14" ht="15" customHeight="1" x14ac:dyDescent="0.25">
      <c r="A13" s="24"/>
    </row>
    <row r="14" spans="1:14" ht="15" customHeight="1" x14ac:dyDescent="0.25">
      <c r="A14" s="24"/>
    </row>
    <row r="15" spans="1:14" ht="15" customHeight="1" x14ac:dyDescent="0.25">
      <c r="A15" s="24"/>
    </row>
    <row r="16" spans="1:14" ht="15" customHeight="1" x14ac:dyDescent="0.25">
      <c r="A16" s="24"/>
    </row>
    <row r="17" spans="1:1" ht="15" customHeight="1" x14ac:dyDescent="0.25">
      <c r="A17" s="24"/>
    </row>
    <row r="18" spans="1:1" ht="15" customHeight="1" x14ac:dyDescent="0.25">
      <c r="A18" s="24"/>
    </row>
    <row r="19" spans="1:1" ht="15" customHeight="1" x14ac:dyDescent="0.25">
      <c r="A19" s="24"/>
    </row>
    <row r="20" spans="1:1" ht="15" customHeight="1" x14ac:dyDescent="0.25">
      <c r="A20" s="24"/>
    </row>
    <row r="21" spans="1:1" ht="15" customHeight="1" x14ac:dyDescent="0.25">
      <c r="A21" s="24"/>
    </row>
    <row r="22" spans="1:1" ht="15" customHeight="1" x14ac:dyDescent="0.25">
      <c r="A22" s="24"/>
    </row>
    <row r="23" spans="1:1" ht="15" customHeight="1" x14ac:dyDescent="0.25">
      <c r="A23" s="24"/>
    </row>
    <row r="24" spans="1:1" ht="15" customHeight="1" x14ac:dyDescent="0.25">
      <c r="A24" s="24"/>
    </row>
    <row r="25" spans="1:1" ht="15" customHeight="1" x14ac:dyDescent="0.25">
      <c r="A25" s="24"/>
    </row>
    <row r="26" spans="1:1" ht="15" customHeight="1" x14ac:dyDescent="0.25">
      <c r="A26" s="24"/>
    </row>
    <row r="27" spans="1:1" ht="15" customHeight="1" x14ac:dyDescent="0.25">
      <c r="A27" s="24"/>
    </row>
    <row r="28" spans="1:1" ht="15" customHeight="1" x14ac:dyDescent="0.25">
      <c r="A28" s="24"/>
    </row>
    <row r="29" spans="1:1" ht="15" customHeight="1" x14ac:dyDescent="0.25">
      <c r="A29" s="24"/>
    </row>
    <row r="30" spans="1:1" ht="15" customHeight="1" x14ac:dyDescent="0.25">
      <c r="A30" s="24"/>
    </row>
    <row r="31" spans="1:1" ht="15" customHeight="1" x14ac:dyDescent="0.25">
      <c r="A31" s="24"/>
    </row>
    <row r="32" spans="1:1" ht="15" customHeight="1" x14ac:dyDescent="0.25">
      <c r="A32" s="24"/>
    </row>
    <row r="33" spans="1:1" ht="15" customHeight="1" x14ac:dyDescent="0.25">
      <c r="A33" s="24"/>
    </row>
    <row r="34" spans="1:1" ht="15" customHeight="1" x14ac:dyDescent="0.25">
      <c r="A34" s="24"/>
    </row>
    <row r="35" spans="1:1" ht="15" customHeight="1" x14ac:dyDescent="0.25">
      <c r="A35" s="24"/>
    </row>
    <row r="36" spans="1:1" ht="15" customHeight="1" x14ac:dyDescent="0.25">
      <c r="A36" s="24"/>
    </row>
    <row r="37" spans="1:1" ht="15" customHeight="1" x14ac:dyDescent="0.25">
      <c r="A37" s="24"/>
    </row>
    <row r="38" spans="1:1" ht="15" customHeight="1" x14ac:dyDescent="0.25">
      <c r="A38" s="24"/>
    </row>
    <row r="39" spans="1:1" ht="15" customHeight="1" x14ac:dyDescent="0.25">
      <c r="A39" s="24"/>
    </row>
    <row r="40" spans="1:1" ht="15" customHeight="1" x14ac:dyDescent="0.25">
      <c r="A40" s="24"/>
    </row>
    <row r="41" spans="1:1" ht="15" customHeight="1" x14ac:dyDescent="0.25">
      <c r="A41" s="24"/>
    </row>
    <row r="42" spans="1:1" ht="15" customHeight="1" x14ac:dyDescent="0.25">
      <c r="A42" s="24"/>
    </row>
    <row r="43" spans="1:1" ht="15" customHeight="1" x14ac:dyDescent="0.25">
      <c r="A43" s="24"/>
    </row>
    <row r="44" spans="1:1" ht="15" customHeight="1" x14ac:dyDescent="0.25">
      <c r="A44" s="24"/>
    </row>
    <row r="45" spans="1:1" ht="15" customHeight="1" x14ac:dyDescent="0.25">
      <c r="A45" s="24"/>
    </row>
    <row r="46" spans="1:1" ht="15" customHeight="1" x14ac:dyDescent="0.25">
      <c r="A46" s="24"/>
    </row>
    <row r="47" spans="1:1" ht="15" customHeight="1" x14ac:dyDescent="0.25">
      <c r="A47" s="24"/>
    </row>
    <row r="48" spans="1:1" ht="15" customHeight="1" x14ac:dyDescent="0.25">
      <c r="A48" s="24"/>
    </row>
    <row r="49" spans="1:1" ht="15" customHeight="1" x14ac:dyDescent="0.25">
      <c r="A49" s="24"/>
    </row>
    <row r="50" spans="1:1" ht="15" customHeight="1" x14ac:dyDescent="0.25">
      <c r="A50" s="24"/>
    </row>
    <row r="51" spans="1:1" ht="15" customHeight="1" x14ac:dyDescent="0.25">
      <c r="A51" s="24"/>
    </row>
    <row r="52" spans="1:1" ht="15" customHeight="1" x14ac:dyDescent="0.25">
      <c r="A52" s="24"/>
    </row>
    <row r="53" spans="1:1" ht="15" customHeight="1" x14ac:dyDescent="0.25">
      <c r="A53" s="24"/>
    </row>
    <row r="54" spans="1:1" ht="15" customHeight="1" x14ac:dyDescent="0.25">
      <c r="A54" s="24"/>
    </row>
    <row r="55" spans="1:1" ht="15" customHeight="1" x14ac:dyDescent="0.25">
      <c r="A55" s="24"/>
    </row>
    <row r="56" spans="1:1" ht="15" customHeight="1" x14ac:dyDescent="0.25">
      <c r="A56" s="24"/>
    </row>
    <row r="57" spans="1:1" ht="15" customHeight="1" x14ac:dyDescent="0.25">
      <c r="A57" s="24"/>
    </row>
    <row r="58" spans="1:1" ht="15" customHeight="1" x14ac:dyDescent="0.25">
      <c r="A58" s="24"/>
    </row>
    <row r="59" spans="1:1" ht="15" customHeight="1" x14ac:dyDescent="0.25">
      <c r="A59" s="24"/>
    </row>
    <row r="60" spans="1:1" ht="15" customHeight="1" x14ac:dyDescent="0.25">
      <c r="A60" s="24"/>
    </row>
    <row r="61" spans="1:1" ht="15" customHeight="1" x14ac:dyDescent="0.25">
      <c r="A61" s="24"/>
    </row>
    <row r="62" spans="1:1" ht="15" customHeight="1" x14ac:dyDescent="0.25">
      <c r="A62" s="24"/>
    </row>
    <row r="63" spans="1:1" ht="15" customHeight="1" x14ac:dyDescent="0.25">
      <c r="A63" s="24"/>
    </row>
    <row r="64" spans="1:1" ht="15" customHeight="1" x14ac:dyDescent="0.25">
      <c r="A64" s="24"/>
    </row>
    <row r="65" spans="1:1" ht="15" customHeight="1" x14ac:dyDescent="0.25">
      <c r="A65" s="24"/>
    </row>
    <row r="66" spans="1:1" ht="15" customHeight="1" x14ac:dyDescent="0.25">
      <c r="A66" s="24"/>
    </row>
    <row r="67" spans="1:1" ht="15" customHeight="1" x14ac:dyDescent="0.25">
      <c r="A67" s="24"/>
    </row>
    <row r="68" spans="1:1" ht="15" customHeight="1" x14ac:dyDescent="0.25">
      <c r="A68" s="24"/>
    </row>
    <row r="69" spans="1:1" ht="15" customHeight="1" x14ac:dyDescent="0.25">
      <c r="A69" s="24"/>
    </row>
    <row r="70" spans="1:1" ht="15" customHeight="1" x14ac:dyDescent="0.25">
      <c r="A70" s="24"/>
    </row>
    <row r="71" spans="1:1" ht="15" customHeight="1" x14ac:dyDescent="0.25">
      <c r="A71" s="24"/>
    </row>
    <row r="72" spans="1:1" ht="15" customHeight="1" x14ac:dyDescent="0.25">
      <c r="A72" s="24"/>
    </row>
    <row r="73" spans="1:1" ht="15" customHeight="1" x14ac:dyDescent="0.25">
      <c r="A73" s="24"/>
    </row>
    <row r="74" spans="1:1" ht="15" customHeight="1" x14ac:dyDescent="0.25">
      <c r="A74" s="24"/>
    </row>
    <row r="75" spans="1:1" ht="15" customHeight="1" x14ac:dyDescent="0.25">
      <c r="A75" s="24"/>
    </row>
    <row r="76" spans="1:1" ht="15" customHeight="1" x14ac:dyDescent="0.25">
      <c r="A76" s="24"/>
    </row>
    <row r="77" spans="1:1" ht="15" customHeight="1" x14ac:dyDescent="0.25">
      <c r="A77" s="24"/>
    </row>
    <row r="78" spans="1:1" ht="15" customHeight="1" x14ac:dyDescent="0.25">
      <c r="A78" s="24"/>
    </row>
    <row r="79" spans="1:1" ht="15" customHeight="1" x14ac:dyDescent="0.25">
      <c r="A79" s="24"/>
    </row>
    <row r="80" spans="1:1" ht="15" customHeight="1" x14ac:dyDescent="0.25">
      <c r="A80" s="24"/>
    </row>
    <row r="81" spans="1:1" ht="15" customHeight="1" x14ac:dyDescent="0.25">
      <c r="A81" s="24"/>
    </row>
    <row r="82" spans="1:1" ht="15" customHeight="1" x14ac:dyDescent="0.25">
      <c r="A82" s="24"/>
    </row>
    <row r="83" spans="1:1" ht="15" customHeight="1" x14ac:dyDescent="0.25">
      <c r="A83" s="24"/>
    </row>
    <row r="84" spans="1:1" ht="15" customHeight="1" x14ac:dyDescent="0.25">
      <c r="A84" s="24"/>
    </row>
    <row r="85" spans="1:1" ht="15" customHeight="1" x14ac:dyDescent="0.25">
      <c r="A85" s="24"/>
    </row>
    <row r="86" spans="1:1" ht="15" customHeight="1" x14ac:dyDescent="0.25">
      <c r="A86" s="24"/>
    </row>
    <row r="87" spans="1:1" ht="15" customHeight="1" x14ac:dyDescent="0.25">
      <c r="A87" s="24"/>
    </row>
    <row r="88" spans="1:1" ht="15" customHeight="1" x14ac:dyDescent="0.25">
      <c r="A88" s="24"/>
    </row>
    <row r="89" spans="1:1" ht="15" customHeight="1" x14ac:dyDescent="0.25">
      <c r="A89" s="24"/>
    </row>
    <row r="90" spans="1:1" ht="15" customHeight="1" x14ac:dyDescent="0.25">
      <c r="A90" s="24"/>
    </row>
    <row r="91" spans="1:1" ht="15" customHeight="1" x14ac:dyDescent="0.25">
      <c r="A91" s="24"/>
    </row>
    <row r="92" spans="1:1" ht="15" customHeight="1" x14ac:dyDescent="0.25">
      <c r="A92" s="24"/>
    </row>
    <row r="93" spans="1:1" ht="15" customHeight="1" x14ac:dyDescent="0.25">
      <c r="A93" s="24"/>
    </row>
    <row r="94" spans="1:1" ht="15" customHeight="1" x14ac:dyDescent="0.25">
      <c r="A94" s="24"/>
    </row>
    <row r="95" spans="1:1" ht="15" customHeight="1" x14ac:dyDescent="0.25">
      <c r="A95" s="24"/>
    </row>
    <row r="96" spans="1:1" ht="15" customHeight="1" x14ac:dyDescent="0.25">
      <c r="A96" s="24"/>
    </row>
    <row r="97" spans="1:1" ht="15" customHeight="1" x14ac:dyDescent="0.25">
      <c r="A97" s="24"/>
    </row>
    <row r="98" spans="1:1" ht="15" customHeight="1" x14ac:dyDescent="0.25">
      <c r="A98" s="24"/>
    </row>
    <row r="99" spans="1:1" ht="15" customHeight="1" x14ac:dyDescent="0.25">
      <c r="A99" s="24"/>
    </row>
    <row r="100" spans="1:1" ht="15" customHeight="1" x14ac:dyDescent="0.25">
      <c r="A100" s="24"/>
    </row>
    <row r="101" spans="1:1" ht="15" customHeight="1" x14ac:dyDescent="0.25">
      <c r="A101" s="24"/>
    </row>
    <row r="102" spans="1:1" ht="15" customHeight="1" x14ac:dyDescent="0.25">
      <c r="A102" s="24"/>
    </row>
    <row r="103" spans="1:1" ht="15" customHeight="1" x14ac:dyDescent="0.25">
      <c r="A103" s="24"/>
    </row>
    <row r="104" spans="1:1" ht="15" customHeight="1" x14ac:dyDescent="0.25">
      <c r="A104" s="24"/>
    </row>
    <row r="105" spans="1:1" ht="15" customHeight="1" x14ac:dyDescent="0.25">
      <c r="A105" s="24"/>
    </row>
    <row r="106" spans="1:1" ht="15" customHeight="1" x14ac:dyDescent="0.25">
      <c r="A106" s="24"/>
    </row>
    <row r="107" spans="1:1" ht="15" customHeight="1" x14ac:dyDescent="0.25">
      <c r="A107" s="24"/>
    </row>
    <row r="108" spans="1:1" ht="15" customHeight="1" x14ac:dyDescent="0.25">
      <c r="A108" s="24"/>
    </row>
    <row r="109" spans="1:1" ht="15" customHeight="1" x14ac:dyDescent="0.25">
      <c r="A109" s="24"/>
    </row>
    <row r="110" spans="1:1" ht="15" customHeight="1" x14ac:dyDescent="0.25">
      <c r="A110" s="24"/>
    </row>
    <row r="111" spans="1:1" ht="15" customHeight="1" x14ac:dyDescent="0.25">
      <c r="A111" s="24"/>
    </row>
    <row r="112" spans="1:1" ht="15" customHeight="1" x14ac:dyDescent="0.25">
      <c r="A112" s="24"/>
    </row>
    <row r="113" spans="1:1" ht="15" customHeight="1" x14ac:dyDescent="0.25">
      <c r="A113" s="24"/>
    </row>
    <row r="114" spans="1:1" ht="15" customHeight="1" x14ac:dyDescent="0.25">
      <c r="A114" s="24"/>
    </row>
    <row r="115" spans="1:1" ht="15" customHeight="1" x14ac:dyDescent="0.25">
      <c r="A115" s="24"/>
    </row>
    <row r="116" spans="1:1" ht="15" customHeight="1" x14ac:dyDescent="0.25">
      <c r="A116" s="24"/>
    </row>
    <row r="117" spans="1:1" ht="15" customHeight="1" x14ac:dyDescent="0.25">
      <c r="A117" s="24"/>
    </row>
    <row r="118" spans="1:1" ht="15" customHeight="1" x14ac:dyDescent="0.25">
      <c r="A118" s="24"/>
    </row>
    <row r="119" spans="1:1" ht="15" customHeight="1" x14ac:dyDescent="0.25">
      <c r="A119" s="24"/>
    </row>
    <row r="120" spans="1:1" ht="15" customHeight="1" x14ac:dyDescent="0.25">
      <c r="A120" s="24"/>
    </row>
    <row r="121" spans="1:1" ht="15" customHeight="1" x14ac:dyDescent="0.25">
      <c r="A121" s="24"/>
    </row>
    <row r="122" spans="1:1" ht="15" customHeight="1" x14ac:dyDescent="0.25">
      <c r="A122" s="24"/>
    </row>
    <row r="123" spans="1:1" ht="15" customHeight="1" x14ac:dyDescent="0.25">
      <c r="A123" s="24"/>
    </row>
    <row r="124" spans="1:1" ht="15" customHeight="1" x14ac:dyDescent="0.25">
      <c r="A124" s="24"/>
    </row>
    <row r="125" spans="1:1" ht="15" customHeight="1" x14ac:dyDescent="0.25">
      <c r="A125" s="24"/>
    </row>
    <row r="126" spans="1:1" ht="15" customHeight="1" x14ac:dyDescent="0.25">
      <c r="A126" s="24"/>
    </row>
    <row r="127" spans="1:1" ht="15" customHeight="1" x14ac:dyDescent="0.25">
      <c r="A127" s="24"/>
    </row>
    <row r="128" spans="1:1" ht="15" customHeight="1" x14ac:dyDescent="0.25">
      <c r="A128" s="24"/>
    </row>
    <row r="129" spans="1:1" ht="15" customHeight="1" x14ac:dyDescent="0.25">
      <c r="A129" s="24"/>
    </row>
    <row r="130" spans="1:1" ht="15" customHeight="1" x14ac:dyDescent="0.25">
      <c r="A130" s="24"/>
    </row>
    <row r="131" spans="1:1" ht="15" customHeight="1" x14ac:dyDescent="0.25">
      <c r="A131" s="24"/>
    </row>
    <row r="132" spans="1:1" ht="15" customHeight="1" x14ac:dyDescent="0.25">
      <c r="A132" s="24"/>
    </row>
    <row r="133" spans="1:1" ht="15" customHeight="1" x14ac:dyDescent="0.25">
      <c r="A133" s="24"/>
    </row>
    <row r="134" spans="1:1" ht="15" customHeight="1" x14ac:dyDescent="0.25">
      <c r="A134" s="24"/>
    </row>
    <row r="135" spans="1:1" ht="15" customHeight="1" x14ac:dyDescent="0.25">
      <c r="A135" s="24"/>
    </row>
    <row r="136" spans="1:1" ht="15" customHeight="1" x14ac:dyDescent="0.25">
      <c r="A136" s="24"/>
    </row>
    <row r="137" spans="1:1" ht="15" customHeight="1" x14ac:dyDescent="0.25">
      <c r="A137" s="24"/>
    </row>
    <row r="138" spans="1:1" ht="15" customHeight="1" x14ac:dyDescent="0.25">
      <c r="A138" s="24"/>
    </row>
    <row r="139" spans="1:1" ht="15" customHeight="1" x14ac:dyDescent="0.25">
      <c r="A139" s="24"/>
    </row>
    <row r="140" spans="1:1" ht="15" customHeight="1" x14ac:dyDescent="0.25">
      <c r="A140" s="24"/>
    </row>
    <row r="141" spans="1:1" ht="15" customHeight="1" x14ac:dyDescent="0.25">
      <c r="A141" s="24"/>
    </row>
    <row r="142" spans="1:1" ht="15" customHeight="1" x14ac:dyDescent="0.25">
      <c r="A142" s="24"/>
    </row>
    <row r="143" spans="1:1" ht="15" customHeight="1" x14ac:dyDescent="0.25">
      <c r="A143" s="24"/>
    </row>
    <row r="144" spans="1:1" ht="15" customHeight="1" x14ac:dyDescent="0.25">
      <c r="A144" s="24"/>
    </row>
    <row r="145" spans="1:1" ht="15" customHeight="1" x14ac:dyDescent="0.25">
      <c r="A145" s="24"/>
    </row>
    <row r="146" spans="1:1" ht="15" customHeight="1" x14ac:dyDescent="0.25">
      <c r="A146" s="24"/>
    </row>
    <row r="147" spans="1:1" ht="15" customHeight="1" x14ac:dyDescent="0.25">
      <c r="A147" s="24"/>
    </row>
    <row r="148" spans="1:1" ht="15" customHeight="1" x14ac:dyDescent="0.25">
      <c r="A148" s="24"/>
    </row>
    <row r="149" spans="1:1" ht="15" customHeight="1" x14ac:dyDescent="0.25">
      <c r="A149" s="24"/>
    </row>
    <row r="150" spans="1:1" ht="15" customHeight="1" x14ac:dyDescent="0.25">
      <c r="A150" s="24"/>
    </row>
    <row r="151" spans="1:1" ht="15" customHeight="1" x14ac:dyDescent="0.25">
      <c r="A151" s="24"/>
    </row>
    <row r="152" spans="1:1" ht="15" customHeight="1" x14ac:dyDescent="0.25">
      <c r="A152" s="24"/>
    </row>
    <row r="153" spans="1:1" ht="15" customHeight="1" x14ac:dyDescent="0.25">
      <c r="A153" s="24"/>
    </row>
    <row r="154" spans="1:1" ht="15" customHeight="1" x14ac:dyDescent="0.25">
      <c r="A154" s="24"/>
    </row>
    <row r="155" spans="1:1" ht="15" customHeight="1" x14ac:dyDescent="0.25">
      <c r="A155" s="24"/>
    </row>
    <row r="156" spans="1:1" ht="15" customHeight="1" x14ac:dyDescent="0.25">
      <c r="A156" s="24"/>
    </row>
    <row r="157" spans="1:1" ht="15" customHeight="1" x14ac:dyDescent="0.25">
      <c r="A157" s="24"/>
    </row>
    <row r="158" spans="1:1" ht="15" customHeight="1" x14ac:dyDescent="0.25">
      <c r="A158" s="24"/>
    </row>
    <row r="159" spans="1:1" ht="15" customHeight="1" x14ac:dyDescent="0.25">
      <c r="A159" s="24"/>
    </row>
    <row r="160" spans="1:1" ht="15" customHeight="1" x14ac:dyDescent="0.25">
      <c r="A160" s="24"/>
    </row>
    <row r="161" spans="1:1" ht="15" customHeight="1" x14ac:dyDescent="0.25">
      <c r="A161" s="24"/>
    </row>
    <row r="162" spans="1:1" ht="15" customHeight="1" x14ac:dyDescent="0.25">
      <c r="A162" s="24"/>
    </row>
    <row r="163" spans="1:1" ht="15" customHeight="1" x14ac:dyDescent="0.25">
      <c r="A163" s="24"/>
    </row>
    <row r="164" spans="1:1" ht="15" customHeight="1" x14ac:dyDescent="0.25">
      <c r="A164" s="24"/>
    </row>
    <row r="165" spans="1:1" ht="15" customHeight="1" x14ac:dyDescent="0.25">
      <c r="A165" s="24"/>
    </row>
    <row r="166" spans="1:1" ht="15" customHeight="1" x14ac:dyDescent="0.25">
      <c r="A166" s="24"/>
    </row>
    <row r="167" spans="1:1" ht="15" customHeight="1" x14ac:dyDescent="0.25">
      <c r="A167" s="24"/>
    </row>
    <row r="168" spans="1:1" ht="15" customHeight="1" x14ac:dyDescent="0.25">
      <c r="A168" s="24"/>
    </row>
    <row r="169" spans="1:1" ht="15" customHeight="1" x14ac:dyDescent="0.25">
      <c r="A169" s="24"/>
    </row>
    <row r="170" spans="1:1" ht="15" customHeight="1" x14ac:dyDescent="0.25">
      <c r="A170" s="24"/>
    </row>
    <row r="171" spans="1:1" ht="15" customHeight="1" x14ac:dyDescent="0.25">
      <c r="A171" s="24"/>
    </row>
    <row r="172" spans="1:1" ht="15" customHeight="1" x14ac:dyDescent="0.25">
      <c r="A172" s="24"/>
    </row>
    <row r="173" spans="1:1" ht="15" customHeight="1" x14ac:dyDescent="0.25">
      <c r="A173" s="24"/>
    </row>
    <row r="174" spans="1:1" ht="15" customHeight="1" x14ac:dyDescent="0.25">
      <c r="A174" s="24"/>
    </row>
    <row r="175" spans="1:1" ht="15" customHeight="1" x14ac:dyDescent="0.25">
      <c r="A175" s="24"/>
    </row>
    <row r="176" spans="1:1" ht="15" customHeight="1" x14ac:dyDescent="0.25">
      <c r="A176" s="24"/>
    </row>
    <row r="177" spans="1:1" ht="15" customHeight="1" x14ac:dyDescent="0.25">
      <c r="A177" s="24"/>
    </row>
    <row r="178" spans="1:1" ht="15" customHeight="1" x14ac:dyDescent="0.25">
      <c r="A178" s="24"/>
    </row>
    <row r="179" spans="1:1" ht="15" customHeight="1" x14ac:dyDescent="0.25">
      <c r="A179" s="24"/>
    </row>
    <row r="180" spans="1:1" ht="15" customHeight="1" x14ac:dyDescent="0.25">
      <c r="A180" s="24"/>
    </row>
    <row r="181" spans="1:1" ht="15" customHeight="1" x14ac:dyDescent="0.25">
      <c r="A181" s="24"/>
    </row>
    <row r="182" spans="1:1" ht="15" customHeight="1" x14ac:dyDescent="0.25">
      <c r="A182" s="24"/>
    </row>
    <row r="183" spans="1:1" ht="15" customHeight="1" x14ac:dyDescent="0.25">
      <c r="A183" s="24"/>
    </row>
    <row r="184" spans="1:1" ht="15" customHeight="1" x14ac:dyDescent="0.25">
      <c r="A184" s="24"/>
    </row>
    <row r="185" spans="1:1" ht="15" customHeight="1" x14ac:dyDescent="0.25">
      <c r="A185" s="24"/>
    </row>
    <row r="186" spans="1:1" ht="15" customHeight="1" x14ac:dyDescent="0.25">
      <c r="A186" s="24"/>
    </row>
    <row r="187" spans="1:1" ht="15" customHeight="1" x14ac:dyDescent="0.25">
      <c r="A187" s="24"/>
    </row>
    <row r="188" spans="1:1" ht="15" customHeight="1" x14ac:dyDescent="0.25">
      <c r="A188" s="24"/>
    </row>
    <row r="189" spans="1:1" ht="15" customHeight="1" x14ac:dyDescent="0.25">
      <c r="A189" s="24"/>
    </row>
    <row r="190" spans="1:1" ht="15" customHeight="1" x14ac:dyDescent="0.25">
      <c r="A190" s="24"/>
    </row>
    <row r="191" spans="1:1" ht="15" customHeight="1" x14ac:dyDescent="0.25">
      <c r="A191" s="24"/>
    </row>
    <row r="192" spans="1:1" ht="15" customHeight="1" x14ac:dyDescent="0.25">
      <c r="A192" s="24"/>
    </row>
    <row r="193" spans="1:1" ht="15" customHeight="1" x14ac:dyDescent="0.25">
      <c r="A193" s="24"/>
    </row>
    <row r="194" spans="1:1" ht="15" customHeight="1" x14ac:dyDescent="0.25">
      <c r="A194" s="24"/>
    </row>
    <row r="195" spans="1:1" ht="15" customHeight="1" x14ac:dyDescent="0.25">
      <c r="A195" s="24"/>
    </row>
    <row r="196" spans="1:1" ht="15" customHeight="1" x14ac:dyDescent="0.25">
      <c r="A196" s="24"/>
    </row>
    <row r="197" spans="1:1" ht="15" customHeight="1" x14ac:dyDescent="0.25">
      <c r="A197" s="24"/>
    </row>
    <row r="198" spans="1:1" ht="15" customHeight="1" x14ac:dyDescent="0.25">
      <c r="A198" s="24"/>
    </row>
    <row r="199" spans="1:1" ht="15" customHeight="1" x14ac:dyDescent="0.25">
      <c r="A199" s="24"/>
    </row>
    <row r="200" spans="1:1" ht="15" customHeight="1" x14ac:dyDescent="0.25">
      <c r="A200" s="24"/>
    </row>
    <row r="201" spans="1:1" ht="15" customHeight="1" x14ac:dyDescent="0.25">
      <c r="A201" s="24"/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900-000000000000}">
          <x14:formula1>
            <xm:f>'1. Órdenes de Trabajo'!$A$2:$A$301</xm:f>
          </x14:formula1>
          <xm:sqref>A2:A301</xm:sqref>
        </x14:dataValidation>
        <x14:dataValidation type="list" allowBlank="1" xr:uid="{00000000-0002-0000-0900-000001000000}">
          <x14:formula1>
            <xm:f>Catálogos!$A$17:$A$40</xm:f>
          </x14:formula1>
          <xm:sqref>D2:D301</xm:sqref>
        </x14:dataValidation>
        <x14:dataValidation type="list" allowBlank="1" xr:uid="{00000000-0002-0000-0900-000002000000}">
          <x14:formula1>
            <xm:f>Catálogos!$C$4:$C$5</xm:f>
          </x14:formula1>
          <xm:sqref>G2:G301</xm:sqref>
        </x14:dataValidation>
        <x14:dataValidation type="list" allowBlank="1" xr:uid="{00000000-0002-0000-0900-000003000000}">
          <x14:formula1>
            <xm:f>Catálogos!$A$4:$A$14</xm:f>
          </x14:formula1>
          <xm:sqref>J2:J301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3C5A8A"/>
  </sheetPr>
  <dimension ref="A1:D201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7109375" defaultRowHeight="15" x14ac:dyDescent="0.25"/>
  <cols>
    <col min="1" max="1" width="16" customWidth="1"/>
    <col min="2" max="2" width="14" customWidth="1"/>
    <col min="3" max="3" width="40" customWidth="1"/>
    <col min="4" max="4" width="18" customWidth="1"/>
  </cols>
  <sheetData>
    <row r="1" spans="1:4" ht="30" customHeight="1" x14ac:dyDescent="0.25">
      <c r="A1" s="13" t="s">
        <v>252</v>
      </c>
      <c r="B1" s="13" t="s">
        <v>3860</v>
      </c>
      <c r="C1" s="13" t="s">
        <v>3861</v>
      </c>
      <c r="D1" s="13" t="s">
        <v>3862</v>
      </c>
    </row>
    <row r="2" spans="1:4" ht="15" customHeight="1" x14ac:dyDescent="0.25">
      <c r="A2" s="24"/>
    </row>
    <row r="3" spans="1:4" ht="15" customHeight="1" x14ac:dyDescent="0.25">
      <c r="A3" s="24"/>
    </row>
    <row r="4" spans="1:4" ht="15" customHeight="1" x14ac:dyDescent="0.25">
      <c r="A4" s="24"/>
    </row>
    <row r="5" spans="1:4" ht="15" customHeight="1" x14ac:dyDescent="0.25">
      <c r="A5" s="24"/>
    </row>
    <row r="6" spans="1:4" ht="15" customHeight="1" x14ac:dyDescent="0.25">
      <c r="A6" s="24"/>
    </row>
    <row r="7" spans="1:4" ht="15" customHeight="1" x14ac:dyDescent="0.25">
      <c r="A7" s="24"/>
    </row>
    <row r="8" spans="1:4" ht="15" customHeight="1" x14ac:dyDescent="0.25">
      <c r="A8" s="24"/>
    </row>
    <row r="9" spans="1:4" ht="15" customHeight="1" x14ac:dyDescent="0.25">
      <c r="A9" s="24"/>
    </row>
    <row r="10" spans="1:4" ht="15" customHeight="1" x14ac:dyDescent="0.25">
      <c r="A10" s="24"/>
    </row>
    <row r="11" spans="1:4" ht="15" customHeight="1" x14ac:dyDescent="0.25">
      <c r="A11" s="24"/>
    </row>
    <row r="12" spans="1:4" ht="15" customHeight="1" x14ac:dyDescent="0.25">
      <c r="A12" s="24"/>
    </row>
    <row r="13" spans="1:4" ht="15" customHeight="1" x14ac:dyDescent="0.25">
      <c r="A13" s="24"/>
    </row>
    <row r="14" spans="1:4" ht="15" customHeight="1" x14ac:dyDescent="0.25">
      <c r="A14" s="24"/>
    </row>
    <row r="15" spans="1:4" ht="15" customHeight="1" x14ac:dyDescent="0.25">
      <c r="A15" s="24"/>
    </row>
    <row r="16" spans="1:4" ht="15" customHeight="1" x14ac:dyDescent="0.25">
      <c r="A16" s="24"/>
    </row>
    <row r="17" spans="1:1" ht="15" customHeight="1" x14ac:dyDescent="0.25">
      <c r="A17" s="24"/>
    </row>
    <row r="18" spans="1:1" ht="15" customHeight="1" x14ac:dyDescent="0.25">
      <c r="A18" s="24"/>
    </row>
    <row r="19" spans="1:1" ht="15" customHeight="1" x14ac:dyDescent="0.25">
      <c r="A19" s="24"/>
    </row>
    <row r="20" spans="1:1" ht="15" customHeight="1" x14ac:dyDescent="0.25">
      <c r="A20" s="24"/>
    </row>
    <row r="21" spans="1:1" ht="15" customHeight="1" x14ac:dyDescent="0.25">
      <c r="A21" s="24"/>
    </row>
    <row r="22" spans="1:1" ht="15" customHeight="1" x14ac:dyDescent="0.25">
      <c r="A22" s="24"/>
    </row>
    <row r="23" spans="1:1" ht="15" customHeight="1" x14ac:dyDescent="0.25">
      <c r="A23" s="24"/>
    </row>
    <row r="24" spans="1:1" ht="15" customHeight="1" x14ac:dyDescent="0.25">
      <c r="A24" s="24"/>
    </row>
    <row r="25" spans="1:1" ht="15" customHeight="1" x14ac:dyDescent="0.25">
      <c r="A25" s="24"/>
    </row>
    <row r="26" spans="1:1" ht="15" customHeight="1" x14ac:dyDescent="0.25">
      <c r="A26" s="24"/>
    </row>
    <row r="27" spans="1:1" ht="15" customHeight="1" x14ac:dyDescent="0.25">
      <c r="A27" s="24"/>
    </row>
    <row r="28" spans="1:1" ht="15" customHeight="1" x14ac:dyDescent="0.25">
      <c r="A28" s="24"/>
    </row>
    <row r="29" spans="1:1" ht="15" customHeight="1" x14ac:dyDescent="0.25">
      <c r="A29" s="24"/>
    </row>
    <row r="30" spans="1:1" ht="15" customHeight="1" x14ac:dyDescent="0.25">
      <c r="A30" s="24"/>
    </row>
    <row r="31" spans="1:1" ht="15" customHeight="1" x14ac:dyDescent="0.25">
      <c r="A31" s="24"/>
    </row>
    <row r="32" spans="1:1" ht="15" customHeight="1" x14ac:dyDescent="0.25">
      <c r="A32" s="24"/>
    </row>
    <row r="33" spans="1:1" ht="15" customHeight="1" x14ac:dyDescent="0.25">
      <c r="A33" s="24"/>
    </row>
    <row r="34" spans="1:1" ht="15" customHeight="1" x14ac:dyDescent="0.25">
      <c r="A34" s="24"/>
    </row>
    <row r="35" spans="1:1" ht="15" customHeight="1" x14ac:dyDescent="0.25">
      <c r="A35" s="24"/>
    </row>
    <row r="36" spans="1:1" ht="15" customHeight="1" x14ac:dyDescent="0.25">
      <c r="A36" s="24"/>
    </row>
    <row r="37" spans="1:1" ht="15" customHeight="1" x14ac:dyDescent="0.25">
      <c r="A37" s="24"/>
    </row>
    <row r="38" spans="1:1" ht="15" customHeight="1" x14ac:dyDescent="0.25">
      <c r="A38" s="24"/>
    </row>
    <row r="39" spans="1:1" ht="15" customHeight="1" x14ac:dyDescent="0.25">
      <c r="A39" s="24"/>
    </row>
    <row r="40" spans="1:1" ht="15" customHeight="1" x14ac:dyDescent="0.25">
      <c r="A40" s="24"/>
    </row>
    <row r="41" spans="1:1" ht="15" customHeight="1" x14ac:dyDescent="0.25">
      <c r="A41" s="24"/>
    </row>
    <row r="42" spans="1:1" ht="15" customHeight="1" x14ac:dyDescent="0.25">
      <c r="A42" s="24"/>
    </row>
    <row r="43" spans="1:1" ht="15" customHeight="1" x14ac:dyDescent="0.25">
      <c r="A43" s="24"/>
    </row>
    <row r="44" spans="1:1" ht="15" customHeight="1" x14ac:dyDescent="0.25">
      <c r="A44" s="24"/>
    </row>
    <row r="45" spans="1:1" ht="15" customHeight="1" x14ac:dyDescent="0.25">
      <c r="A45" s="24"/>
    </row>
    <row r="46" spans="1:1" ht="15" customHeight="1" x14ac:dyDescent="0.25">
      <c r="A46" s="24"/>
    </row>
    <row r="47" spans="1:1" ht="15" customHeight="1" x14ac:dyDescent="0.25">
      <c r="A47" s="24"/>
    </row>
    <row r="48" spans="1:1" ht="15" customHeight="1" x14ac:dyDescent="0.25">
      <c r="A48" s="24"/>
    </row>
    <row r="49" spans="1:1" ht="15" customHeight="1" x14ac:dyDescent="0.25">
      <c r="A49" s="24"/>
    </row>
    <row r="50" spans="1:1" ht="15" customHeight="1" x14ac:dyDescent="0.25">
      <c r="A50" s="24"/>
    </row>
    <row r="51" spans="1:1" ht="15" customHeight="1" x14ac:dyDescent="0.25">
      <c r="A51" s="24"/>
    </row>
    <row r="52" spans="1:1" ht="15" customHeight="1" x14ac:dyDescent="0.25">
      <c r="A52" s="24"/>
    </row>
    <row r="53" spans="1:1" ht="15" customHeight="1" x14ac:dyDescent="0.25">
      <c r="A53" s="24"/>
    </row>
    <row r="54" spans="1:1" ht="15" customHeight="1" x14ac:dyDescent="0.25">
      <c r="A54" s="24"/>
    </row>
    <row r="55" spans="1:1" ht="15" customHeight="1" x14ac:dyDescent="0.25">
      <c r="A55" s="24"/>
    </row>
    <row r="56" spans="1:1" ht="15" customHeight="1" x14ac:dyDescent="0.25">
      <c r="A56" s="24"/>
    </row>
    <row r="57" spans="1:1" ht="15" customHeight="1" x14ac:dyDescent="0.25">
      <c r="A57" s="24"/>
    </row>
    <row r="58" spans="1:1" ht="15" customHeight="1" x14ac:dyDescent="0.25">
      <c r="A58" s="24"/>
    </row>
    <row r="59" spans="1:1" ht="15" customHeight="1" x14ac:dyDescent="0.25">
      <c r="A59" s="24"/>
    </row>
    <row r="60" spans="1:1" ht="15" customHeight="1" x14ac:dyDescent="0.25">
      <c r="A60" s="24"/>
    </row>
    <row r="61" spans="1:1" ht="15" customHeight="1" x14ac:dyDescent="0.25">
      <c r="A61" s="24"/>
    </row>
    <row r="62" spans="1:1" ht="15" customHeight="1" x14ac:dyDescent="0.25">
      <c r="A62" s="24"/>
    </row>
    <row r="63" spans="1:1" ht="15" customHeight="1" x14ac:dyDescent="0.25">
      <c r="A63" s="24"/>
    </row>
    <row r="64" spans="1:1" ht="15" customHeight="1" x14ac:dyDescent="0.25">
      <c r="A64" s="24"/>
    </row>
    <row r="65" spans="1:1" ht="15" customHeight="1" x14ac:dyDescent="0.25">
      <c r="A65" s="24"/>
    </row>
    <row r="66" spans="1:1" ht="15" customHeight="1" x14ac:dyDescent="0.25">
      <c r="A66" s="24"/>
    </row>
    <row r="67" spans="1:1" ht="15" customHeight="1" x14ac:dyDescent="0.25">
      <c r="A67" s="24"/>
    </row>
    <row r="68" spans="1:1" ht="15" customHeight="1" x14ac:dyDescent="0.25">
      <c r="A68" s="24"/>
    </row>
    <row r="69" spans="1:1" ht="15" customHeight="1" x14ac:dyDescent="0.25">
      <c r="A69" s="24"/>
    </row>
    <row r="70" spans="1:1" ht="15" customHeight="1" x14ac:dyDescent="0.25">
      <c r="A70" s="24"/>
    </row>
    <row r="71" spans="1:1" ht="15" customHeight="1" x14ac:dyDescent="0.25">
      <c r="A71" s="24"/>
    </row>
    <row r="72" spans="1:1" ht="15" customHeight="1" x14ac:dyDescent="0.25">
      <c r="A72" s="24"/>
    </row>
    <row r="73" spans="1:1" ht="15" customHeight="1" x14ac:dyDescent="0.25">
      <c r="A73" s="24"/>
    </row>
    <row r="74" spans="1:1" ht="15" customHeight="1" x14ac:dyDescent="0.25">
      <c r="A74" s="24"/>
    </row>
    <row r="75" spans="1:1" ht="15" customHeight="1" x14ac:dyDescent="0.25">
      <c r="A75" s="24"/>
    </row>
    <row r="76" spans="1:1" ht="15" customHeight="1" x14ac:dyDescent="0.25">
      <c r="A76" s="24"/>
    </row>
    <row r="77" spans="1:1" ht="15" customHeight="1" x14ac:dyDescent="0.25">
      <c r="A77" s="24"/>
    </row>
    <row r="78" spans="1:1" ht="15" customHeight="1" x14ac:dyDescent="0.25">
      <c r="A78" s="24"/>
    </row>
    <row r="79" spans="1:1" ht="15" customHeight="1" x14ac:dyDescent="0.25">
      <c r="A79" s="24"/>
    </row>
    <row r="80" spans="1:1" ht="15" customHeight="1" x14ac:dyDescent="0.25">
      <c r="A80" s="24"/>
    </row>
    <row r="81" spans="1:1" ht="15" customHeight="1" x14ac:dyDescent="0.25">
      <c r="A81" s="24"/>
    </row>
    <row r="82" spans="1:1" ht="15" customHeight="1" x14ac:dyDescent="0.25">
      <c r="A82" s="24"/>
    </row>
    <row r="83" spans="1:1" ht="15" customHeight="1" x14ac:dyDescent="0.25">
      <c r="A83" s="24"/>
    </row>
    <row r="84" spans="1:1" ht="15" customHeight="1" x14ac:dyDescent="0.25">
      <c r="A84" s="24"/>
    </row>
    <row r="85" spans="1:1" ht="15" customHeight="1" x14ac:dyDescent="0.25">
      <c r="A85" s="24"/>
    </row>
    <row r="86" spans="1:1" ht="15" customHeight="1" x14ac:dyDescent="0.25">
      <c r="A86" s="24"/>
    </row>
    <row r="87" spans="1:1" ht="15" customHeight="1" x14ac:dyDescent="0.25">
      <c r="A87" s="24"/>
    </row>
    <row r="88" spans="1:1" ht="15" customHeight="1" x14ac:dyDescent="0.25">
      <c r="A88" s="24"/>
    </row>
    <row r="89" spans="1:1" ht="15" customHeight="1" x14ac:dyDescent="0.25">
      <c r="A89" s="24"/>
    </row>
    <row r="90" spans="1:1" ht="15" customHeight="1" x14ac:dyDescent="0.25">
      <c r="A90" s="24"/>
    </row>
    <row r="91" spans="1:1" ht="15" customHeight="1" x14ac:dyDescent="0.25">
      <c r="A91" s="24"/>
    </row>
    <row r="92" spans="1:1" ht="15" customHeight="1" x14ac:dyDescent="0.25">
      <c r="A92" s="24"/>
    </row>
    <row r="93" spans="1:1" ht="15" customHeight="1" x14ac:dyDescent="0.25">
      <c r="A93" s="24"/>
    </row>
    <row r="94" spans="1:1" ht="15" customHeight="1" x14ac:dyDescent="0.25">
      <c r="A94" s="24"/>
    </row>
    <row r="95" spans="1:1" ht="15" customHeight="1" x14ac:dyDescent="0.25">
      <c r="A95" s="24"/>
    </row>
    <row r="96" spans="1:1" ht="15" customHeight="1" x14ac:dyDescent="0.25">
      <c r="A96" s="24"/>
    </row>
    <row r="97" spans="1:1" ht="15" customHeight="1" x14ac:dyDescent="0.25">
      <c r="A97" s="24"/>
    </row>
    <row r="98" spans="1:1" ht="15" customHeight="1" x14ac:dyDescent="0.25">
      <c r="A98" s="24"/>
    </row>
    <row r="99" spans="1:1" ht="15" customHeight="1" x14ac:dyDescent="0.25">
      <c r="A99" s="24"/>
    </row>
    <row r="100" spans="1:1" ht="15" customHeight="1" x14ac:dyDescent="0.25">
      <c r="A100" s="24"/>
    </row>
    <row r="101" spans="1:1" ht="15" customHeight="1" x14ac:dyDescent="0.25">
      <c r="A101" s="24"/>
    </row>
    <row r="102" spans="1:1" ht="15" customHeight="1" x14ac:dyDescent="0.25">
      <c r="A102" s="24"/>
    </row>
    <row r="103" spans="1:1" ht="15" customHeight="1" x14ac:dyDescent="0.25">
      <c r="A103" s="24"/>
    </row>
    <row r="104" spans="1:1" ht="15" customHeight="1" x14ac:dyDescent="0.25">
      <c r="A104" s="24"/>
    </row>
    <row r="105" spans="1:1" ht="15" customHeight="1" x14ac:dyDescent="0.25">
      <c r="A105" s="24"/>
    </row>
    <row r="106" spans="1:1" ht="15" customHeight="1" x14ac:dyDescent="0.25">
      <c r="A106" s="24"/>
    </row>
    <row r="107" spans="1:1" ht="15" customHeight="1" x14ac:dyDescent="0.25">
      <c r="A107" s="24"/>
    </row>
    <row r="108" spans="1:1" ht="15" customHeight="1" x14ac:dyDescent="0.25">
      <c r="A108" s="24"/>
    </row>
    <row r="109" spans="1:1" ht="15" customHeight="1" x14ac:dyDescent="0.25">
      <c r="A109" s="24"/>
    </row>
    <row r="110" spans="1:1" ht="15" customHeight="1" x14ac:dyDescent="0.25">
      <c r="A110" s="24"/>
    </row>
    <row r="111" spans="1:1" ht="15" customHeight="1" x14ac:dyDescent="0.25">
      <c r="A111" s="24"/>
    </row>
    <row r="112" spans="1:1" ht="15" customHeight="1" x14ac:dyDescent="0.25">
      <c r="A112" s="24"/>
    </row>
    <row r="113" spans="1:1" ht="15" customHeight="1" x14ac:dyDescent="0.25">
      <c r="A113" s="24"/>
    </row>
    <row r="114" spans="1:1" ht="15" customHeight="1" x14ac:dyDescent="0.25">
      <c r="A114" s="24"/>
    </row>
    <row r="115" spans="1:1" ht="15" customHeight="1" x14ac:dyDescent="0.25">
      <c r="A115" s="24"/>
    </row>
    <row r="116" spans="1:1" ht="15" customHeight="1" x14ac:dyDescent="0.25">
      <c r="A116" s="24"/>
    </row>
    <row r="117" spans="1:1" ht="15" customHeight="1" x14ac:dyDescent="0.25">
      <c r="A117" s="24"/>
    </row>
    <row r="118" spans="1:1" ht="15" customHeight="1" x14ac:dyDescent="0.25">
      <c r="A118" s="24"/>
    </row>
    <row r="119" spans="1:1" ht="15" customHeight="1" x14ac:dyDescent="0.25">
      <c r="A119" s="24"/>
    </row>
    <row r="120" spans="1:1" ht="15" customHeight="1" x14ac:dyDescent="0.25">
      <c r="A120" s="24"/>
    </row>
    <row r="121" spans="1:1" ht="15" customHeight="1" x14ac:dyDescent="0.25">
      <c r="A121" s="24"/>
    </row>
    <row r="122" spans="1:1" ht="15" customHeight="1" x14ac:dyDescent="0.25">
      <c r="A122" s="24"/>
    </row>
    <row r="123" spans="1:1" ht="15" customHeight="1" x14ac:dyDescent="0.25">
      <c r="A123" s="24"/>
    </row>
    <row r="124" spans="1:1" ht="15" customHeight="1" x14ac:dyDescent="0.25">
      <c r="A124" s="24"/>
    </row>
    <row r="125" spans="1:1" ht="15" customHeight="1" x14ac:dyDescent="0.25">
      <c r="A125" s="24"/>
    </row>
    <row r="126" spans="1:1" ht="15" customHeight="1" x14ac:dyDescent="0.25">
      <c r="A126" s="24"/>
    </row>
    <row r="127" spans="1:1" ht="15" customHeight="1" x14ac:dyDescent="0.25">
      <c r="A127" s="24"/>
    </row>
    <row r="128" spans="1:1" ht="15" customHeight="1" x14ac:dyDescent="0.25">
      <c r="A128" s="24"/>
    </row>
    <row r="129" spans="1:1" ht="15" customHeight="1" x14ac:dyDescent="0.25">
      <c r="A129" s="24"/>
    </row>
    <row r="130" spans="1:1" ht="15" customHeight="1" x14ac:dyDescent="0.25">
      <c r="A130" s="24"/>
    </row>
    <row r="131" spans="1:1" ht="15" customHeight="1" x14ac:dyDescent="0.25">
      <c r="A131" s="24"/>
    </row>
    <row r="132" spans="1:1" ht="15" customHeight="1" x14ac:dyDescent="0.25">
      <c r="A132" s="24"/>
    </row>
    <row r="133" spans="1:1" ht="15" customHeight="1" x14ac:dyDescent="0.25">
      <c r="A133" s="24"/>
    </row>
    <row r="134" spans="1:1" ht="15" customHeight="1" x14ac:dyDescent="0.25">
      <c r="A134" s="24"/>
    </row>
    <row r="135" spans="1:1" ht="15" customHeight="1" x14ac:dyDescent="0.25">
      <c r="A135" s="24"/>
    </row>
    <row r="136" spans="1:1" ht="15" customHeight="1" x14ac:dyDescent="0.25">
      <c r="A136" s="24"/>
    </row>
    <row r="137" spans="1:1" ht="15" customHeight="1" x14ac:dyDescent="0.25">
      <c r="A137" s="24"/>
    </row>
    <row r="138" spans="1:1" ht="15" customHeight="1" x14ac:dyDescent="0.25">
      <c r="A138" s="24"/>
    </row>
    <row r="139" spans="1:1" ht="15" customHeight="1" x14ac:dyDescent="0.25">
      <c r="A139" s="24"/>
    </row>
    <row r="140" spans="1:1" ht="15" customHeight="1" x14ac:dyDescent="0.25">
      <c r="A140" s="24"/>
    </row>
    <row r="141" spans="1:1" ht="15" customHeight="1" x14ac:dyDescent="0.25">
      <c r="A141" s="24"/>
    </row>
    <row r="142" spans="1:1" ht="15" customHeight="1" x14ac:dyDescent="0.25">
      <c r="A142" s="24"/>
    </row>
    <row r="143" spans="1:1" ht="15" customHeight="1" x14ac:dyDescent="0.25">
      <c r="A143" s="24"/>
    </row>
    <row r="144" spans="1:1" ht="15" customHeight="1" x14ac:dyDescent="0.25">
      <c r="A144" s="24"/>
    </row>
    <row r="145" spans="1:1" ht="15" customHeight="1" x14ac:dyDescent="0.25">
      <c r="A145" s="24"/>
    </row>
    <row r="146" spans="1:1" ht="15" customHeight="1" x14ac:dyDescent="0.25">
      <c r="A146" s="24"/>
    </row>
    <row r="147" spans="1:1" ht="15" customHeight="1" x14ac:dyDescent="0.25">
      <c r="A147" s="24"/>
    </row>
    <row r="148" spans="1:1" ht="15" customHeight="1" x14ac:dyDescent="0.25">
      <c r="A148" s="24"/>
    </row>
    <row r="149" spans="1:1" ht="15" customHeight="1" x14ac:dyDescent="0.25">
      <c r="A149" s="24"/>
    </row>
    <row r="150" spans="1:1" ht="15" customHeight="1" x14ac:dyDescent="0.25">
      <c r="A150" s="24"/>
    </row>
    <row r="151" spans="1:1" ht="15" customHeight="1" x14ac:dyDescent="0.25">
      <c r="A151" s="24"/>
    </row>
    <row r="152" spans="1:1" ht="15" customHeight="1" x14ac:dyDescent="0.25">
      <c r="A152" s="24"/>
    </row>
    <row r="153" spans="1:1" ht="15" customHeight="1" x14ac:dyDescent="0.25">
      <c r="A153" s="24"/>
    </row>
    <row r="154" spans="1:1" ht="15" customHeight="1" x14ac:dyDescent="0.25">
      <c r="A154" s="24"/>
    </row>
    <row r="155" spans="1:1" ht="15" customHeight="1" x14ac:dyDescent="0.25">
      <c r="A155" s="24"/>
    </row>
    <row r="156" spans="1:1" ht="15" customHeight="1" x14ac:dyDescent="0.25">
      <c r="A156" s="24"/>
    </row>
    <row r="157" spans="1:1" ht="15" customHeight="1" x14ac:dyDescent="0.25">
      <c r="A157" s="24"/>
    </row>
    <row r="158" spans="1:1" ht="15" customHeight="1" x14ac:dyDescent="0.25">
      <c r="A158" s="24"/>
    </row>
    <row r="159" spans="1:1" ht="15" customHeight="1" x14ac:dyDescent="0.25">
      <c r="A159" s="24"/>
    </row>
    <row r="160" spans="1:1" ht="15" customHeight="1" x14ac:dyDescent="0.25">
      <c r="A160" s="24"/>
    </row>
    <row r="161" spans="1:1" ht="15" customHeight="1" x14ac:dyDescent="0.25">
      <c r="A161" s="24"/>
    </row>
    <row r="162" spans="1:1" ht="15" customHeight="1" x14ac:dyDescent="0.25">
      <c r="A162" s="24"/>
    </row>
    <row r="163" spans="1:1" ht="15" customHeight="1" x14ac:dyDescent="0.25">
      <c r="A163" s="24"/>
    </row>
    <row r="164" spans="1:1" ht="15" customHeight="1" x14ac:dyDescent="0.25">
      <c r="A164" s="24"/>
    </row>
    <row r="165" spans="1:1" ht="15" customHeight="1" x14ac:dyDescent="0.25">
      <c r="A165" s="24"/>
    </row>
    <row r="166" spans="1:1" ht="15" customHeight="1" x14ac:dyDescent="0.25">
      <c r="A166" s="24"/>
    </row>
    <row r="167" spans="1:1" ht="15" customHeight="1" x14ac:dyDescent="0.25">
      <c r="A167" s="24"/>
    </row>
    <row r="168" spans="1:1" ht="15" customHeight="1" x14ac:dyDescent="0.25">
      <c r="A168" s="24"/>
    </row>
    <row r="169" spans="1:1" ht="15" customHeight="1" x14ac:dyDescent="0.25">
      <c r="A169" s="24"/>
    </row>
    <row r="170" spans="1:1" ht="15" customHeight="1" x14ac:dyDescent="0.25">
      <c r="A170" s="24"/>
    </row>
    <row r="171" spans="1:1" ht="15" customHeight="1" x14ac:dyDescent="0.25">
      <c r="A171" s="24"/>
    </row>
    <row r="172" spans="1:1" ht="15" customHeight="1" x14ac:dyDescent="0.25">
      <c r="A172" s="24"/>
    </row>
    <row r="173" spans="1:1" ht="15" customHeight="1" x14ac:dyDescent="0.25">
      <c r="A173" s="24"/>
    </row>
    <row r="174" spans="1:1" ht="15" customHeight="1" x14ac:dyDescent="0.25">
      <c r="A174" s="24"/>
    </row>
    <row r="175" spans="1:1" ht="15" customHeight="1" x14ac:dyDescent="0.25">
      <c r="A175" s="24"/>
    </row>
    <row r="176" spans="1:1" ht="15" customHeight="1" x14ac:dyDescent="0.25">
      <c r="A176" s="24"/>
    </row>
    <row r="177" spans="1:1" ht="15" customHeight="1" x14ac:dyDescent="0.25">
      <c r="A177" s="24"/>
    </row>
    <row r="178" spans="1:1" ht="15" customHeight="1" x14ac:dyDescent="0.25">
      <c r="A178" s="24"/>
    </row>
    <row r="179" spans="1:1" ht="15" customHeight="1" x14ac:dyDescent="0.25">
      <c r="A179" s="24"/>
    </row>
    <row r="180" spans="1:1" ht="15" customHeight="1" x14ac:dyDescent="0.25">
      <c r="A180" s="24"/>
    </row>
    <row r="181" spans="1:1" ht="15" customHeight="1" x14ac:dyDescent="0.25">
      <c r="A181" s="24"/>
    </row>
    <row r="182" spans="1:1" ht="15" customHeight="1" x14ac:dyDescent="0.25">
      <c r="A182" s="24"/>
    </row>
    <row r="183" spans="1:1" ht="15" customHeight="1" x14ac:dyDescent="0.25">
      <c r="A183" s="24"/>
    </row>
    <row r="184" spans="1:1" ht="15" customHeight="1" x14ac:dyDescent="0.25">
      <c r="A184" s="24"/>
    </row>
    <row r="185" spans="1:1" ht="15" customHeight="1" x14ac:dyDescent="0.25">
      <c r="A185" s="24"/>
    </row>
    <row r="186" spans="1:1" ht="15" customHeight="1" x14ac:dyDescent="0.25">
      <c r="A186" s="24"/>
    </row>
    <row r="187" spans="1:1" ht="15" customHeight="1" x14ac:dyDescent="0.25">
      <c r="A187" s="24"/>
    </row>
    <row r="188" spans="1:1" ht="15" customHeight="1" x14ac:dyDescent="0.25">
      <c r="A188" s="24"/>
    </row>
    <row r="189" spans="1:1" ht="15" customHeight="1" x14ac:dyDescent="0.25">
      <c r="A189" s="24"/>
    </row>
    <row r="190" spans="1:1" ht="15" customHeight="1" x14ac:dyDescent="0.25">
      <c r="A190" s="24"/>
    </row>
    <row r="191" spans="1:1" ht="15" customHeight="1" x14ac:dyDescent="0.25">
      <c r="A191" s="24"/>
    </row>
    <row r="192" spans="1:1" ht="15" customHeight="1" x14ac:dyDescent="0.25">
      <c r="A192" s="24"/>
    </row>
    <row r="193" spans="1:1" ht="15" customHeight="1" x14ac:dyDescent="0.25">
      <c r="A193" s="24"/>
    </row>
    <row r="194" spans="1:1" ht="15" customHeight="1" x14ac:dyDescent="0.25">
      <c r="A194" s="24"/>
    </row>
    <row r="195" spans="1:1" ht="15" customHeight="1" x14ac:dyDescent="0.25">
      <c r="A195" s="24"/>
    </row>
    <row r="196" spans="1:1" ht="15" customHeight="1" x14ac:dyDescent="0.25">
      <c r="A196" s="24"/>
    </row>
    <row r="197" spans="1:1" ht="15" customHeight="1" x14ac:dyDescent="0.25">
      <c r="A197" s="24"/>
    </row>
    <row r="198" spans="1:1" ht="15" customHeight="1" x14ac:dyDescent="0.25">
      <c r="A198" s="24"/>
    </row>
    <row r="199" spans="1:1" ht="15" customHeight="1" x14ac:dyDescent="0.25">
      <c r="A199" s="24"/>
    </row>
    <row r="200" spans="1:1" ht="15" customHeight="1" x14ac:dyDescent="0.25">
      <c r="A200" s="24"/>
    </row>
    <row r="201" spans="1:1" ht="15" customHeight="1" x14ac:dyDescent="0.25">
      <c r="A201" s="24"/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A00-000000000000}">
          <x14:formula1>
            <xm:f>'1. Órdenes de Trabajo'!$A$2:$A$301</xm:f>
          </x14:formula1>
          <xm:sqref>A2:A301</xm:sqref>
        </x14:dataValidation>
        <x14:dataValidation type="list" allowBlank="1" xr:uid="{00000000-0002-0000-0A00-000001000000}">
          <x14:formula1>
            <xm:f>Catálogos!$B$4:$B$6</xm:f>
          </x14:formula1>
          <xm:sqref>D2:D301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3C5A8A"/>
  </sheetPr>
  <dimension ref="A1:N301"/>
  <sheetViews>
    <sheetView zoomScaleNormal="100" workbookViewId="0">
      <pane ySplit="1" topLeftCell="A2" activePane="bottomLeft" state="frozen"/>
      <selection pane="bottomLeft" activeCell="E2" sqref="E2"/>
    </sheetView>
  </sheetViews>
  <sheetFormatPr baseColWidth="10" defaultColWidth="8.7109375" defaultRowHeight="15" x14ac:dyDescent="0.25"/>
  <cols>
    <col min="1" max="1" width="20.28515625" customWidth="1"/>
    <col min="2" max="2" width="12" customWidth="1"/>
    <col min="3" max="4" width="22" customWidth="1"/>
    <col min="5" max="5" width="16" customWidth="1"/>
    <col min="6" max="6" width="12" customWidth="1"/>
    <col min="7" max="7" width="18" customWidth="1"/>
    <col min="8" max="8" width="22" customWidth="1"/>
    <col min="9" max="9" width="30" customWidth="1"/>
    <col min="10" max="10" width="14" customWidth="1"/>
    <col min="11" max="11" width="12" customWidth="1"/>
    <col min="12" max="12" width="18" customWidth="1"/>
    <col min="13" max="13" width="22" customWidth="1"/>
    <col min="14" max="14" width="20" customWidth="1"/>
  </cols>
  <sheetData>
    <row r="1" spans="1:14" ht="30" customHeight="1" x14ac:dyDescent="0.25">
      <c r="A1" s="13" t="s">
        <v>252</v>
      </c>
      <c r="B1" s="13" t="s">
        <v>3863</v>
      </c>
      <c r="C1" s="13" t="s">
        <v>3864</v>
      </c>
      <c r="D1" s="13" t="s">
        <v>3865</v>
      </c>
      <c r="E1" s="13" t="s">
        <v>3866</v>
      </c>
      <c r="F1" s="13" t="s">
        <v>3867</v>
      </c>
      <c r="G1" s="13" t="s">
        <v>3868</v>
      </c>
      <c r="H1" s="13" t="s">
        <v>3869</v>
      </c>
      <c r="I1" s="13" t="s">
        <v>3861</v>
      </c>
      <c r="J1" s="13" t="s">
        <v>3870</v>
      </c>
      <c r="K1" s="13" t="s">
        <v>3871</v>
      </c>
      <c r="L1" s="13" t="s">
        <v>3872</v>
      </c>
      <c r="M1" s="13" t="s">
        <v>3873</v>
      </c>
      <c r="N1" s="13" t="s">
        <v>3874</v>
      </c>
    </row>
    <row r="2" spans="1:14" ht="15" customHeight="1" x14ac:dyDescent="0.25">
      <c r="A2" s="29" t="s">
        <v>3801</v>
      </c>
      <c r="B2" s="30">
        <v>45875</v>
      </c>
      <c r="C2" s="31" t="s">
        <v>1193</v>
      </c>
      <c r="D2" s="27"/>
      <c r="E2" s="29" t="s">
        <v>3875</v>
      </c>
      <c r="F2" s="27"/>
      <c r="G2" s="31" t="s">
        <v>297</v>
      </c>
      <c r="H2" s="31" t="s">
        <v>1151</v>
      </c>
      <c r="J2" s="31" t="s">
        <v>513</v>
      </c>
      <c r="K2" s="27"/>
      <c r="L2" s="28" t="s">
        <v>476</v>
      </c>
      <c r="M2" s="28" t="s">
        <v>113</v>
      </c>
      <c r="N2" s="28" t="s">
        <v>91</v>
      </c>
    </row>
    <row r="3" spans="1:14" ht="15" customHeight="1" x14ac:dyDescent="0.25">
      <c r="A3" s="29" t="s">
        <v>3808</v>
      </c>
      <c r="B3" s="30">
        <v>46112</v>
      </c>
      <c r="C3" s="31" t="s">
        <v>1196</v>
      </c>
      <c r="H3" s="31" t="s">
        <v>1142</v>
      </c>
      <c r="I3" s="31" t="s">
        <v>3876</v>
      </c>
      <c r="J3" s="31" t="s">
        <v>461</v>
      </c>
      <c r="K3" s="30">
        <v>46112</v>
      </c>
      <c r="L3" s="14"/>
      <c r="M3" s="28" t="s">
        <v>91</v>
      </c>
      <c r="N3" s="28" t="s">
        <v>91</v>
      </c>
    </row>
    <row r="4" spans="1:14" ht="15" customHeight="1" x14ac:dyDescent="0.25">
      <c r="A4" s="29" t="s">
        <v>3815</v>
      </c>
      <c r="B4" s="30">
        <v>46154</v>
      </c>
      <c r="H4" s="31" t="s">
        <v>1142</v>
      </c>
      <c r="I4" s="31" t="s">
        <v>3877</v>
      </c>
      <c r="J4" s="31" t="s">
        <v>461</v>
      </c>
      <c r="K4" s="30">
        <v>46154</v>
      </c>
      <c r="L4" s="14"/>
      <c r="M4" s="28" t="s">
        <v>91</v>
      </c>
      <c r="N4" s="28" t="s">
        <v>91</v>
      </c>
    </row>
    <row r="5" spans="1:14" ht="15" customHeight="1" x14ac:dyDescent="0.25">
      <c r="A5" s="29" t="s">
        <v>3815</v>
      </c>
      <c r="B5" s="30">
        <v>46157</v>
      </c>
      <c r="H5" s="31" t="s">
        <v>1151</v>
      </c>
      <c r="I5" s="31" t="s">
        <v>3878</v>
      </c>
      <c r="J5" s="31" t="s">
        <v>513</v>
      </c>
      <c r="L5" s="14"/>
      <c r="M5" s="28" t="s">
        <v>91</v>
      </c>
      <c r="N5" s="28" t="s">
        <v>91</v>
      </c>
    </row>
    <row r="6" spans="1:14" ht="15" customHeight="1" x14ac:dyDescent="0.25">
      <c r="A6" s="24"/>
      <c r="L6" s="14"/>
      <c r="M6" s="14"/>
      <c r="N6" s="14"/>
    </row>
    <row r="7" spans="1:14" ht="15" customHeight="1" x14ac:dyDescent="0.25">
      <c r="A7" s="24"/>
      <c r="L7" s="14"/>
      <c r="M7" s="14"/>
      <c r="N7" s="14"/>
    </row>
    <row r="8" spans="1:14" ht="15" customHeight="1" x14ac:dyDescent="0.25">
      <c r="A8" s="24"/>
      <c r="L8" s="14"/>
      <c r="M8" s="14"/>
      <c r="N8" s="14"/>
    </row>
    <row r="9" spans="1:14" ht="15" customHeight="1" x14ac:dyDescent="0.25">
      <c r="A9" s="24"/>
      <c r="L9" s="14"/>
      <c r="M9" s="14"/>
      <c r="N9" s="14"/>
    </row>
    <row r="10" spans="1:14" ht="15" customHeight="1" x14ac:dyDescent="0.25">
      <c r="A10" s="24"/>
      <c r="L10" s="14"/>
      <c r="M10" s="14"/>
      <c r="N10" s="14"/>
    </row>
    <row r="11" spans="1:14" ht="15" customHeight="1" x14ac:dyDescent="0.25">
      <c r="A11" s="24"/>
      <c r="L11" s="14"/>
      <c r="M11" s="14"/>
      <c r="N11" s="14"/>
    </row>
    <row r="12" spans="1:14" ht="15" customHeight="1" x14ac:dyDescent="0.25">
      <c r="A12" s="24"/>
      <c r="L12" s="14"/>
      <c r="M12" s="14"/>
      <c r="N12" s="14"/>
    </row>
    <row r="13" spans="1:14" ht="15" customHeight="1" x14ac:dyDescent="0.25">
      <c r="A13" s="24"/>
      <c r="L13" s="14"/>
      <c r="M13" s="14"/>
      <c r="N13" s="14"/>
    </row>
    <row r="14" spans="1:14" ht="15" customHeight="1" x14ac:dyDescent="0.25">
      <c r="A14" s="24"/>
      <c r="L14" s="14"/>
      <c r="M14" s="14"/>
      <c r="N14" s="14"/>
    </row>
    <row r="15" spans="1:14" ht="15" customHeight="1" x14ac:dyDescent="0.25">
      <c r="A15" s="24"/>
      <c r="L15" s="14"/>
      <c r="M15" s="14"/>
      <c r="N15" s="14"/>
    </row>
    <row r="16" spans="1:14" ht="15" customHeight="1" x14ac:dyDescent="0.25">
      <c r="A16" s="24"/>
      <c r="L16" s="14"/>
      <c r="M16" s="14"/>
      <c r="N16" s="14"/>
    </row>
    <row r="17" spans="1:14" ht="15" customHeight="1" x14ac:dyDescent="0.25">
      <c r="A17" s="24"/>
      <c r="L17" s="14"/>
      <c r="M17" s="14"/>
      <c r="N17" s="14"/>
    </row>
    <row r="18" spans="1:14" ht="15" customHeight="1" x14ac:dyDescent="0.25">
      <c r="A18" s="24"/>
      <c r="L18" s="14"/>
      <c r="M18" s="14"/>
      <c r="N18" s="14"/>
    </row>
    <row r="19" spans="1:14" ht="15" customHeight="1" x14ac:dyDescent="0.25">
      <c r="A19" s="24"/>
      <c r="L19" s="14"/>
      <c r="M19" s="14"/>
      <c r="N19" s="14"/>
    </row>
    <row r="20" spans="1:14" ht="15" customHeight="1" x14ac:dyDescent="0.25">
      <c r="A20" s="24"/>
      <c r="L20" s="14"/>
      <c r="M20" s="14"/>
      <c r="N20" s="14"/>
    </row>
    <row r="21" spans="1:14" ht="15" customHeight="1" x14ac:dyDescent="0.25">
      <c r="A21" s="24"/>
      <c r="L21" s="14"/>
      <c r="M21" s="14"/>
      <c r="N21" s="14"/>
    </row>
    <row r="22" spans="1:14" ht="15" customHeight="1" x14ac:dyDescent="0.25">
      <c r="A22" s="24"/>
      <c r="L22" s="14"/>
      <c r="M22" s="14"/>
      <c r="N22" s="14"/>
    </row>
    <row r="23" spans="1:14" ht="15" customHeight="1" x14ac:dyDescent="0.25">
      <c r="A23" s="24"/>
      <c r="L23" s="14"/>
      <c r="M23" s="14"/>
      <c r="N23" s="14"/>
    </row>
    <row r="24" spans="1:14" ht="15" customHeight="1" x14ac:dyDescent="0.25">
      <c r="A24" s="24"/>
      <c r="L24" s="14"/>
      <c r="M24" s="14"/>
      <c r="N24" s="14"/>
    </row>
    <row r="25" spans="1:14" ht="15" customHeight="1" x14ac:dyDescent="0.25">
      <c r="A25" s="24"/>
      <c r="L25" s="14"/>
      <c r="M25" s="14"/>
      <c r="N25" s="14"/>
    </row>
    <row r="26" spans="1:14" ht="15" customHeight="1" x14ac:dyDescent="0.25">
      <c r="A26" s="24"/>
      <c r="L26" s="14"/>
      <c r="M26" s="14"/>
      <c r="N26" s="14"/>
    </row>
    <row r="27" spans="1:14" ht="15" customHeight="1" x14ac:dyDescent="0.25">
      <c r="A27" s="24"/>
      <c r="L27" s="14"/>
      <c r="M27" s="14"/>
      <c r="N27" s="14"/>
    </row>
    <row r="28" spans="1:14" ht="15" customHeight="1" x14ac:dyDescent="0.25">
      <c r="A28" s="24"/>
      <c r="L28" s="14"/>
      <c r="M28" s="14"/>
      <c r="N28" s="14"/>
    </row>
    <row r="29" spans="1:14" ht="15" customHeight="1" x14ac:dyDescent="0.25">
      <c r="A29" s="24"/>
      <c r="L29" s="14"/>
      <c r="M29" s="14"/>
      <c r="N29" s="14"/>
    </row>
    <row r="30" spans="1:14" ht="15" customHeight="1" x14ac:dyDescent="0.25">
      <c r="A30" s="24"/>
      <c r="L30" s="14"/>
      <c r="M30" s="14"/>
      <c r="N30" s="14"/>
    </row>
    <row r="31" spans="1:14" ht="15" customHeight="1" x14ac:dyDescent="0.25">
      <c r="A31" s="24"/>
      <c r="L31" s="14"/>
      <c r="M31" s="14"/>
      <c r="N31" s="14"/>
    </row>
    <row r="32" spans="1:14" ht="15" customHeight="1" x14ac:dyDescent="0.25">
      <c r="A32" s="24"/>
      <c r="L32" s="14"/>
      <c r="M32" s="14"/>
      <c r="N32" s="14"/>
    </row>
    <row r="33" spans="1:14" ht="15" customHeight="1" x14ac:dyDescent="0.25">
      <c r="A33" s="24"/>
      <c r="L33" s="14"/>
      <c r="M33" s="14"/>
      <c r="N33" s="14"/>
    </row>
    <row r="34" spans="1:14" ht="15" customHeight="1" x14ac:dyDescent="0.25">
      <c r="A34" s="24"/>
      <c r="L34" s="14"/>
      <c r="M34" s="14"/>
      <c r="N34" s="14"/>
    </row>
    <row r="35" spans="1:14" ht="15" customHeight="1" x14ac:dyDescent="0.25">
      <c r="A35" s="24"/>
      <c r="L35" s="14"/>
      <c r="M35" s="14"/>
      <c r="N35" s="14"/>
    </row>
    <row r="36" spans="1:14" ht="15" customHeight="1" x14ac:dyDescent="0.25">
      <c r="A36" s="24"/>
      <c r="L36" s="14"/>
      <c r="M36" s="14"/>
      <c r="N36" s="14"/>
    </row>
    <row r="37" spans="1:14" ht="15" customHeight="1" x14ac:dyDescent="0.25">
      <c r="A37" s="24"/>
      <c r="L37" s="14"/>
      <c r="M37" s="14"/>
      <c r="N37" s="14"/>
    </row>
    <row r="38" spans="1:14" ht="15" customHeight="1" x14ac:dyDescent="0.25">
      <c r="A38" s="24"/>
      <c r="L38" s="14"/>
      <c r="M38" s="14"/>
      <c r="N38" s="14"/>
    </row>
    <row r="39" spans="1:14" ht="15" customHeight="1" x14ac:dyDescent="0.25">
      <c r="A39" s="24"/>
      <c r="L39" s="14"/>
      <c r="M39" s="14"/>
      <c r="N39" s="14"/>
    </row>
    <row r="40" spans="1:14" ht="15" customHeight="1" x14ac:dyDescent="0.25">
      <c r="A40" s="24"/>
      <c r="L40" s="14"/>
      <c r="M40" s="14"/>
      <c r="N40" s="14"/>
    </row>
    <row r="41" spans="1:14" ht="15" customHeight="1" x14ac:dyDescent="0.25">
      <c r="A41" s="24"/>
      <c r="L41" s="14"/>
      <c r="M41" s="14"/>
      <c r="N41" s="14"/>
    </row>
    <row r="42" spans="1:14" ht="15" customHeight="1" x14ac:dyDescent="0.25">
      <c r="A42" s="24"/>
      <c r="L42" s="14"/>
      <c r="M42" s="14"/>
      <c r="N42" s="14"/>
    </row>
    <row r="43" spans="1:14" ht="15" customHeight="1" x14ac:dyDescent="0.25">
      <c r="A43" s="24"/>
      <c r="L43" s="14"/>
      <c r="M43" s="14"/>
      <c r="N43" s="14"/>
    </row>
    <row r="44" spans="1:14" ht="15" customHeight="1" x14ac:dyDescent="0.25">
      <c r="A44" s="24"/>
      <c r="L44" s="14"/>
      <c r="M44" s="14"/>
      <c r="N44" s="14"/>
    </row>
    <row r="45" spans="1:14" ht="15" customHeight="1" x14ac:dyDescent="0.25">
      <c r="A45" s="24"/>
      <c r="L45" s="14"/>
      <c r="M45" s="14"/>
      <c r="N45" s="14"/>
    </row>
    <row r="46" spans="1:14" ht="15" customHeight="1" x14ac:dyDescent="0.25">
      <c r="A46" s="24"/>
      <c r="L46" s="14"/>
      <c r="M46" s="14"/>
      <c r="N46" s="14"/>
    </row>
    <row r="47" spans="1:14" ht="15" customHeight="1" x14ac:dyDescent="0.25">
      <c r="A47" s="24"/>
      <c r="L47" s="14"/>
      <c r="M47" s="14"/>
      <c r="N47" s="14"/>
    </row>
    <row r="48" spans="1:14" ht="15" customHeight="1" x14ac:dyDescent="0.25">
      <c r="A48" s="24"/>
      <c r="L48" s="14"/>
      <c r="M48" s="14"/>
      <c r="N48" s="14"/>
    </row>
    <row r="49" spans="1:14" ht="15" customHeight="1" x14ac:dyDescent="0.25">
      <c r="A49" s="24"/>
      <c r="L49" s="14"/>
      <c r="M49" s="14"/>
      <c r="N49" s="14"/>
    </row>
    <row r="50" spans="1:14" ht="15" customHeight="1" x14ac:dyDescent="0.25">
      <c r="A50" s="24"/>
      <c r="L50" s="14"/>
      <c r="M50" s="14"/>
      <c r="N50" s="14"/>
    </row>
    <row r="51" spans="1:14" ht="15" customHeight="1" x14ac:dyDescent="0.25">
      <c r="A51" s="24"/>
      <c r="L51" s="14"/>
      <c r="M51" s="14"/>
      <c r="N51" s="14"/>
    </row>
    <row r="52" spans="1:14" ht="15" customHeight="1" x14ac:dyDescent="0.25">
      <c r="A52" s="24"/>
      <c r="L52" s="14"/>
      <c r="M52" s="14"/>
      <c r="N52" s="14"/>
    </row>
    <row r="53" spans="1:14" ht="15" customHeight="1" x14ac:dyDescent="0.25">
      <c r="A53" s="24"/>
      <c r="L53" s="14"/>
      <c r="M53" s="14"/>
      <c r="N53" s="14"/>
    </row>
    <row r="54" spans="1:14" ht="15" customHeight="1" x14ac:dyDescent="0.25">
      <c r="A54" s="24"/>
      <c r="L54" s="14"/>
      <c r="M54" s="14"/>
      <c r="N54" s="14"/>
    </row>
    <row r="55" spans="1:14" ht="15" customHeight="1" x14ac:dyDescent="0.25">
      <c r="A55" s="24"/>
      <c r="L55" s="14"/>
      <c r="M55" s="14"/>
      <c r="N55" s="14"/>
    </row>
    <row r="56" spans="1:14" ht="15" customHeight="1" x14ac:dyDescent="0.25">
      <c r="A56" s="24"/>
      <c r="L56" s="14"/>
      <c r="M56" s="14"/>
      <c r="N56" s="14"/>
    </row>
    <row r="57" spans="1:14" ht="15" customHeight="1" x14ac:dyDescent="0.25">
      <c r="A57" s="24"/>
      <c r="L57" s="14"/>
      <c r="M57" s="14"/>
      <c r="N57" s="14"/>
    </row>
    <row r="58" spans="1:14" ht="15" customHeight="1" x14ac:dyDescent="0.25">
      <c r="A58" s="24"/>
      <c r="L58" s="14"/>
      <c r="M58" s="14"/>
      <c r="N58" s="14"/>
    </row>
    <row r="59" spans="1:14" ht="15" customHeight="1" x14ac:dyDescent="0.25">
      <c r="A59" s="24"/>
      <c r="L59" s="14"/>
      <c r="M59" s="14"/>
      <c r="N59" s="14"/>
    </row>
    <row r="60" spans="1:14" ht="15" customHeight="1" x14ac:dyDescent="0.25">
      <c r="A60" s="24"/>
      <c r="L60" s="14"/>
      <c r="M60" s="14"/>
      <c r="N60" s="14"/>
    </row>
    <row r="61" spans="1:14" ht="15" customHeight="1" x14ac:dyDescent="0.25">
      <c r="A61" s="24"/>
      <c r="L61" s="14"/>
      <c r="M61" s="14"/>
      <c r="N61" s="14"/>
    </row>
    <row r="62" spans="1:14" ht="15" customHeight="1" x14ac:dyDescent="0.25">
      <c r="A62" s="24"/>
      <c r="L62" s="14"/>
      <c r="M62" s="14"/>
      <c r="N62" s="14"/>
    </row>
    <row r="63" spans="1:14" ht="15" customHeight="1" x14ac:dyDescent="0.25">
      <c r="A63" s="24"/>
      <c r="L63" s="14"/>
      <c r="M63" s="14"/>
      <c r="N63" s="14"/>
    </row>
    <row r="64" spans="1:14" ht="15" customHeight="1" x14ac:dyDescent="0.25">
      <c r="A64" s="24"/>
      <c r="L64" s="14"/>
      <c r="M64" s="14"/>
      <c r="N64" s="14"/>
    </row>
    <row r="65" spans="1:14" ht="15" customHeight="1" x14ac:dyDescent="0.25">
      <c r="A65" s="24"/>
      <c r="L65" s="14"/>
      <c r="M65" s="14"/>
      <c r="N65" s="14"/>
    </row>
    <row r="66" spans="1:14" ht="15" customHeight="1" x14ac:dyDescent="0.25">
      <c r="A66" s="24"/>
      <c r="L66" s="14"/>
      <c r="M66" s="14"/>
      <c r="N66" s="14"/>
    </row>
    <row r="67" spans="1:14" ht="15" customHeight="1" x14ac:dyDescent="0.25">
      <c r="A67" s="24"/>
      <c r="L67" s="14"/>
      <c r="M67" s="14"/>
      <c r="N67" s="14"/>
    </row>
    <row r="68" spans="1:14" ht="15" customHeight="1" x14ac:dyDescent="0.25">
      <c r="A68" s="24"/>
      <c r="L68" s="14"/>
      <c r="M68" s="14"/>
      <c r="N68" s="14"/>
    </row>
    <row r="69" spans="1:14" ht="15" customHeight="1" x14ac:dyDescent="0.25">
      <c r="A69" s="24"/>
      <c r="L69" s="14"/>
      <c r="M69" s="14"/>
      <c r="N69" s="14"/>
    </row>
    <row r="70" spans="1:14" ht="15" customHeight="1" x14ac:dyDescent="0.25">
      <c r="A70" s="24"/>
      <c r="L70" s="14"/>
      <c r="M70" s="14"/>
      <c r="N70" s="14"/>
    </row>
    <row r="71" spans="1:14" ht="15" customHeight="1" x14ac:dyDescent="0.25">
      <c r="A71" s="24"/>
      <c r="L71" s="14"/>
      <c r="M71" s="14"/>
      <c r="N71" s="14"/>
    </row>
    <row r="72" spans="1:14" ht="15" customHeight="1" x14ac:dyDescent="0.25">
      <c r="A72" s="24"/>
      <c r="L72" s="14"/>
      <c r="M72" s="14"/>
      <c r="N72" s="14"/>
    </row>
    <row r="73" spans="1:14" ht="15" customHeight="1" x14ac:dyDescent="0.25">
      <c r="A73" s="24"/>
      <c r="L73" s="14"/>
      <c r="M73" s="14"/>
      <c r="N73" s="14"/>
    </row>
    <row r="74" spans="1:14" ht="15" customHeight="1" x14ac:dyDescent="0.25">
      <c r="A74" s="24"/>
      <c r="L74" s="14"/>
      <c r="M74" s="14"/>
      <c r="N74" s="14"/>
    </row>
    <row r="75" spans="1:14" ht="15" customHeight="1" x14ac:dyDescent="0.25">
      <c r="A75" s="24"/>
      <c r="L75" s="14"/>
      <c r="M75" s="14"/>
      <c r="N75" s="14"/>
    </row>
    <row r="76" spans="1:14" ht="15" customHeight="1" x14ac:dyDescent="0.25">
      <c r="A76" s="24"/>
      <c r="L76" s="14"/>
      <c r="M76" s="14"/>
      <c r="N76" s="14"/>
    </row>
    <row r="77" spans="1:14" ht="15" customHeight="1" x14ac:dyDescent="0.25">
      <c r="A77" s="24"/>
      <c r="L77" s="14"/>
      <c r="M77" s="14"/>
      <c r="N77" s="14"/>
    </row>
    <row r="78" spans="1:14" ht="15" customHeight="1" x14ac:dyDescent="0.25">
      <c r="A78" s="24"/>
      <c r="L78" s="14"/>
      <c r="M78" s="14"/>
      <c r="N78" s="14"/>
    </row>
    <row r="79" spans="1:14" ht="15" customHeight="1" x14ac:dyDescent="0.25">
      <c r="A79" s="24"/>
      <c r="L79" s="14"/>
      <c r="M79" s="14"/>
      <c r="N79" s="14"/>
    </row>
    <row r="80" spans="1:14" ht="15" customHeight="1" x14ac:dyDescent="0.25">
      <c r="A80" s="24"/>
      <c r="L80" s="14"/>
      <c r="M80" s="14"/>
      <c r="N80" s="14"/>
    </row>
    <row r="81" spans="1:14" ht="15" customHeight="1" x14ac:dyDescent="0.25">
      <c r="A81" s="24"/>
      <c r="L81" s="14"/>
      <c r="M81" s="14"/>
      <c r="N81" s="14"/>
    </row>
    <row r="82" spans="1:14" ht="15" customHeight="1" x14ac:dyDescent="0.25">
      <c r="A82" s="24"/>
      <c r="L82" s="14"/>
      <c r="M82" s="14"/>
      <c r="N82" s="14"/>
    </row>
    <row r="83" spans="1:14" ht="15" customHeight="1" x14ac:dyDescent="0.25">
      <c r="A83" s="24"/>
      <c r="L83" s="14"/>
      <c r="M83" s="14"/>
      <c r="N83" s="14"/>
    </row>
    <row r="84" spans="1:14" ht="15" customHeight="1" x14ac:dyDescent="0.25">
      <c r="A84" s="24"/>
      <c r="L84" s="14"/>
      <c r="M84" s="14"/>
      <c r="N84" s="14"/>
    </row>
    <row r="85" spans="1:14" ht="15" customHeight="1" x14ac:dyDescent="0.25">
      <c r="A85" s="24"/>
      <c r="L85" s="14"/>
      <c r="M85" s="14"/>
      <c r="N85" s="14"/>
    </row>
    <row r="86" spans="1:14" ht="15" customHeight="1" x14ac:dyDescent="0.25">
      <c r="A86" s="24"/>
      <c r="L86" s="14"/>
      <c r="M86" s="14"/>
      <c r="N86" s="14"/>
    </row>
    <row r="87" spans="1:14" ht="15" customHeight="1" x14ac:dyDescent="0.25">
      <c r="A87" s="24"/>
      <c r="L87" s="14"/>
      <c r="M87" s="14"/>
      <c r="N87" s="14"/>
    </row>
    <row r="88" spans="1:14" ht="15" customHeight="1" x14ac:dyDescent="0.25">
      <c r="A88" s="24"/>
      <c r="L88" s="14"/>
      <c r="M88" s="14"/>
      <c r="N88" s="14"/>
    </row>
    <row r="89" spans="1:14" ht="15" customHeight="1" x14ac:dyDescent="0.25">
      <c r="A89" s="24"/>
      <c r="L89" s="14"/>
      <c r="M89" s="14"/>
      <c r="N89" s="14"/>
    </row>
    <row r="90" spans="1:14" ht="15" customHeight="1" x14ac:dyDescent="0.25">
      <c r="A90" s="24"/>
      <c r="L90" s="14"/>
      <c r="M90" s="14"/>
      <c r="N90" s="14"/>
    </row>
    <row r="91" spans="1:14" ht="15" customHeight="1" x14ac:dyDescent="0.25">
      <c r="A91" s="24"/>
      <c r="L91" s="14"/>
      <c r="M91" s="14"/>
      <c r="N91" s="14"/>
    </row>
    <row r="92" spans="1:14" ht="15" customHeight="1" x14ac:dyDescent="0.25">
      <c r="A92" s="24"/>
      <c r="L92" s="14"/>
      <c r="M92" s="14"/>
      <c r="N92" s="14"/>
    </row>
    <row r="93" spans="1:14" ht="15" customHeight="1" x14ac:dyDescent="0.25">
      <c r="A93" s="24"/>
      <c r="L93" s="14"/>
      <c r="M93" s="14"/>
      <c r="N93" s="14"/>
    </row>
    <row r="94" spans="1:14" ht="15" customHeight="1" x14ac:dyDescent="0.25">
      <c r="A94" s="24"/>
      <c r="L94" s="14"/>
      <c r="M94" s="14"/>
      <c r="N94" s="14"/>
    </row>
    <row r="95" spans="1:14" ht="15" customHeight="1" x14ac:dyDescent="0.25">
      <c r="A95" s="24"/>
      <c r="L95" s="14"/>
      <c r="M95" s="14"/>
      <c r="N95" s="14"/>
    </row>
    <row r="96" spans="1:14" ht="15" customHeight="1" x14ac:dyDescent="0.25">
      <c r="A96" s="24"/>
      <c r="L96" s="14"/>
      <c r="M96" s="14"/>
      <c r="N96" s="14"/>
    </row>
    <row r="97" spans="1:14" ht="15" customHeight="1" x14ac:dyDescent="0.25">
      <c r="A97" s="24"/>
      <c r="L97" s="14"/>
      <c r="M97" s="14"/>
      <c r="N97" s="14"/>
    </row>
    <row r="98" spans="1:14" ht="15" customHeight="1" x14ac:dyDescent="0.25">
      <c r="A98" s="24"/>
      <c r="L98" s="14"/>
      <c r="M98" s="14"/>
      <c r="N98" s="14"/>
    </row>
    <row r="99" spans="1:14" ht="15" customHeight="1" x14ac:dyDescent="0.25">
      <c r="A99" s="24"/>
      <c r="L99" s="14"/>
      <c r="M99" s="14"/>
      <c r="N99" s="14"/>
    </row>
    <row r="100" spans="1:14" ht="15" customHeight="1" x14ac:dyDescent="0.25">
      <c r="A100" s="24"/>
      <c r="L100" s="14"/>
      <c r="M100" s="14"/>
      <c r="N100" s="14"/>
    </row>
    <row r="101" spans="1:14" ht="15" customHeight="1" x14ac:dyDescent="0.25">
      <c r="A101" s="24"/>
      <c r="L101" s="14"/>
      <c r="M101" s="14"/>
      <c r="N101" s="14"/>
    </row>
    <row r="102" spans="1:14" ht="15" customHeight="1" x14ac:dyDescent="0.25">
      <c r="A102" s="24"/>
      <c r="L102" s="14"/>
      <c r="M102" s="14"/>
      <c r="N102" s="14"/>
    </row>
    <row r="103" spans="1:14" ht="15" customHeight="1" x14ac:dyDescent="0.25">
      <c r="A103" s="24"/>
      <c r="L103" s="14"/>
      <c r="M103" s="14"/>
      <c r="N103" s="14"/>
    </row>
    <row r="104" spans="1:14" ht="15" customHeight="1" x14ac:dyDescent="0.25">
      <c r="A104" s="24"/>
      <c r="L104" s="14"/>
      <c r="M104" s="14"/>
      <c r="N104" s="14"/>
    </row>
    <row r="105" spans="1:14" ht="15" customHeight="1" x14ac:dyDescent="0.25">
      <c r="A105" s="24"/>
      <c r="L105" s="14"/>
      <c r="M105" s="14"/>
      <c r="N105" s="14"/>
    </row>
    <row r="106" spans="1:14" ht="15" customHeight="1" x14ac:dyDescent="0.25">
      <c r="A106" s="24"/>
      <c r="L106" s="14"/>
      <c r="M106" s="14"/>
      <c r="N106" s="14"/>
    </row>
    <row r="107" spans="1:14" ht="15" customHeight="1" x14ac:dyDescent="0.25">
      <c r="A107" s="24"/>
      <c r="L107" s="14"/>
      <c r="M107" s="14"/>
      <c r="N107" s="14"/>
    </row>
    <row r="108" spans="1:14" ht="15" customHeight="1" x14ac:dyDescent="0.25">
      <c r="A108" s="24"/>
      <c r="L108" s="14"/>
      <c r="M108" s="14"/>
      <c r="N108" s="14"/>
    </row>
    <row r="109" spans="1:14" ht="15" customHeight="1" x14ac:dyDescent="0.25">
      <c r="A109" s="24"/>
      <c r="L109" s="14"/>
      <c r="M109" s="14"/>
      <c r="N109" s="14"/>
    </row>
    <row r="110" spans="1:14" ht="15" customHeight="1" x14ac:dyDescent="0.25">
      <c r="A110" s="24"/>
      <c r="L110" s="14"/>
      <c r="M110" s="14"/>
      <c r="N110" s="14"/>
    </row>
    <row r="111" spans="1:14" ht="15" customHeight="1" x14ac:dyDescent="0.25">
      <c r="A111" s="24"/>
      <c r="L111" s="14"/>
      <c r="M111" s="14"/>
      <c r="N111" s="14"/>
    </row>
    <row r="112" spans="1:14" ht="15" customHeight="1" x14ac:dyDescent="0.25">
      <c r="A112" s="24"/>
      <c r="L112" s="14"/>
      <c r="M112" s="14"/>
      <c r="N112" s="14"/>
    </row>
    <row r="113" spans="1:14" ht="15" customHeight="1" x14ac:dyDescent="0.25">
      <c r="A113" s="24"/>
      <c r="L113" s="14"/>
      <c r="M113" s="14"/>
      <c r="N113" s="14"/>
    </row>
    <row r="114" spans="1:14" ht="15" customHeight="1" x14ac:dyDescent="0.25">
      <c r="A114" s="24"/>
      <c r="L114" s="14"/>
      <c r="M114" s="14"/>
      <c r="N114" s="14"/>
    </row>
    <row r="115" spans="1:14" ht="15" customHeight="1" x14ac:dyDescent="0.25">
      <c r="A115" s="24"/>
      <c r="L115" s="14"/>
      <c r="M115" s="14"/>
      <c r="N115" s="14"/>
    </row>
    <row r="116" spans="1:14" ht="15" customHeight="1" x14ac:dyDescent="0.25">
      <c r="A116" s="24"/>
      <c r="L116" s="14"/>
      <c r="M116" s="14"/>
      <c r="N116" s="14"/>
    </row>
    <row r="117" spans="1:14" ht="15" customHeight="1" x14ac:dyDescent="0.25">
      <c r="A117" s="24"/>
      <c r="L117" s="14"/>
      <c r="M117" s="14"/>
      <c r="N117" s="14"/>
    </row>
    <row r="118" spans="1:14" ht="15" customHeight="1" x14ac:dyDescent="0.25">
      <c r="A118" s="24"/>
      <c r="L118" s="14"/>
      <c r="M118" s="14"/>
      <c r="N118" s="14"/>
    </row>
    <row r="119" spans="1:14" ht="15" customHeight="1" x14ac:dyDescent="0.25">
      <c r="A119" s="24"/>
      <c r="L119" s="14"/>
      <c r="M119" s="14"/>
      <c r="N119" s="14"/>
    </row>
    <row r="120" spans="1:14" ht="15" customHeight="1" x14ac:dyDescent="0.25">
      <c r="A120" s="24"/>
      <c r="L120" s="14"/>
      <c r="M120" s="14"/>
      <c r="N120" s="14"/>
    </row>
    <row r="121" spans="1:14" ht="15" customHeight="1" x14ac:dyDescent="0.25">
      <c r="A121" s="24"/>
      <c r="L121" s="14"/>
      <c r="M121" s="14"/>
      <c r="N121" s="14"/>
    </row>
    <row r="122" spans="1:14" ht="15" customHeight="1" x14ac:dyDescent="0.25">
      <c r="A122" s="24"/>
      <c r="L122" s="14"/>
      <c r="M122" s="14"/>
      <c r="N122" s="14"/>
    </row>
    <row r="123" spans="1:14" ht="15" customHeight="1" x14ac:dyDescent="0.25">
      <c r="A123" s="24"/>
      <c r="L123" s="14"/>
      <c r="M123" s="14"/>
      <c r="N123" s="14"/>
    </row>
    <row r="124" spans="1:14" ht="15" customHeight="1" x14ac:dyDescent="0.25">
      <c r="A124" s="24"/>
      <c r="L124" s="14"/>
      <c r="M124" s="14"/>
      <c r="N124" s="14"/>
    </row>
    <row r="125" spans="1:14" ht="15" customHeight="1" x14ac:dyDescent="0.25">
      <c r="A125" s="24"/>
      <c r="L125" s="14"/>
      <c r="M125" s="14"/>
      <c r="N125" s="14"/>
    </row>
    <row r="126" spans="1:14" ht="15" customHeight="1" x14ac:dyDescent="0.25">
      <c r="A126" s="24"/>
      <c r="L126" s="14"/>
      <c r="M126" s="14"/>
      <c r="N126" s="14"/>
    </row>
    <row r="127" spans="1:14" ht="15" customHeight="1" x14ac:dyDescent="0.25">
      <c r="A127" s="24"/>
      <c r="L127" s="14"/>
      <c r="M127" s="14"/>
      <c r="N127" s="14"/>
    </row>
    <row r="128" spans="1:14" ht="15" customHeight="1" x14ac:dyDescent="0.25">
      <c r="A128" s="24"/>
      <c r="L128" s="14"/>
      <c r="M128" s="14"/>
      <c r="N128" s="14"/>
    </row>
    <row r="129" spans="1:14" ht="15" customHeight="1" x14ac:dyDescent="0.25">
      <c r="A129" s="24"/>
      <c r="L129" s="14"/>
      <c r="M129" s="14"/>
      <c r="N129" s="14"/>
    </row>
    <row r="130" spans="1:14" ht="15" customHeight="1" x14ac:dyDescent="0.25">
      <c r="A130" s="24"/>
      <c r="L130" s="14"/>
      <c r="M130" s="14"/>
      <c r="N130" s="14"/>
    </row>
    <row r="131" spans="1:14" ht="15" customHeight="1" x14ac:dyDescent="0.25">
      <c r="A131" s="24"/>
      <c r="L131" s="14"/>
      <c r="M131" s="14"/>
      <c r="N131" s="14"/>
    </row>
    <row r="132" spans="1:14" ht="15" customHeight="1" x14ac:dyDescent="0.25">
      <c r="A132" s="24"/>
      <c r="L132" s="14"/>
      <c r="M132" s="14"/>
      <c r="N132" s="14"/>
    </row>
    <row r="133" spans="1:14" ht="15" customHeight="1" x14ac:dyDescent="0.25">
      <c r="A133" s="24"/>
      <c r="L133" s="14"/>
      <c r="M133" s="14"/>
      <c r="N133" s="14"/>
    </row>
    <row r="134" spans="1:14" ht="15" customHeight="1" x14ac:dyDescent="0.25">
      <c r="A134" s="24"/>
      <c r="L134" s="14"/>
      <c r="M134" s="14"/>
      <c r="N134" s="14"/>
    </row>
    <row r="135" spans="1:14" ht="15" customHeight="1" x14ac:dyDescent="0.25">
      <c r="A135" s="24"/>
      <c r="L135" s="14"/>
      <c r="M135" s="14"/>
      <c r="N135" s="14"/>
    </row>
    <row r="136" spans="1:14" ht="15" customHeight="1" x14ac:dyDescent="0.25">
      <c r="A136" s="24"/>
      <c r="L136" s="14"/>
      <c r="M136" s="14"/>
      <c r="N136" s="14"/>
    </row>
    <row r="137" spans="1:14" ht="15" customHeight="1" x14ac:dyDescent="0.25">
      <c r="A137" s="24"/>
      <c r="L137" s="14"/>
      <c r="M137" s="14"/>
      <c r="N137" s="14"/>
    </row>
    <row r="138" spans="1:14" ht="15" customHeight="1" x14ac:dyDescent="0.25">
      <c r="A138" s="24"/>
      <c r="L138" s="14"/>
      <c r="M138" s="14"/>
      <c r="N138" s="14"/>
    </row>
    <row r="139" spans="1:14" ht="15" customHeight="1" x14ac:dyDescent="0.25">
      <c r="A139" s="24"/>
      <c r="L139" s="14"/>
      <c r="M139" s="14"/>
      <c r="N139" s="14"/>
    </row>
    <row r="140" spans="1:14" ht="15" customHeight="1" x14ac:dyDescent="0.25">
      <c r="A140" s="24"/>
      <c r="L140" s="14"/>
      <c r="M140" s="14"/>
      <c r="N140" s="14"/>
    </row>
    <row r="141" spans="1:14" ht="15" customHeight="1" x14ac:dyDescent="0.25">
      <c r="A141" s="24"/>
      <c r="L141" s="14"/>
      <c r="M141" s="14"/>
      <c r="N141" s="14"/>
    </row>
    <row r="142" spans="1:14" ht="15" customHeight="1" x14ac:dyDescent="0.25">
      <c r="A142" s="24"/>
      <c r="L142" s="14"/>
      <c r="M142" s="14"/>
      <c r="N142" s="14"/>
    </row>
    <row r="143" spans="1:14" ht="15" customHeight="1" x14ac:dyDescent="0.25">
      <c r="A143" s="24"/>
      <c r="L143" s="14"/>
      <c r="M143" s="14"/>
      <c r="N143" s="14"/>
    </row>
    <row r="144" spans="1:14" ht="15" customHeight="1" x14ac:dyDescent="0.25">
      <c r="A144" s="24"/>
      <c r="L144" s="14"/>
      <c r="M144" s="14"/>
      <c r="N144" s="14"/>
    </row>
    <row r="145" spans="1:14" ht="15" customHeight="1" x14ac:dyDescent="0.25">
      <c r="A145" s="24"/>
      <c r="L145" s="14"/>
      <c r="M145" s="14"/>
      <c r="N145" s="14"/>
    </row>
    <row r="146" spans="1:14" ht="15" customHeight="1" x14ac:dyDescent="0.25">
      <c r="A146" s="24"/>
      <c r="L146" s="14"/>
      <c r="M146" s="14"/>
      <c r="N146" s="14"/>
    </row>
    <row r="147" spans="1:14" ht="15" customHeight="1" x14ac:dyDescent="0.25">
      <c r="A147" s="24"/>
      <c r="L147" s="14"/>
      <c r="M147" s="14"/>
      <c r="N147" s="14"/>
    </row>
    <row r="148" spans="1:14" ht="15" customHeight="1" x14ac:dyDescent="0.25">
      <c r="A148" s="24"/>
      <c r="L148" s="14"/>
      <c r="M148" s="14"/>
      <c r="N148" s="14"/>
    </row>
    <row r="149" spans="1:14" ht="15" customHeight="1" x14ac:dyDescent="0.25">
      <c r="A149" s="24"/>
      <c r="L149" s="14"/>
      <c r="M149" s="14"/>
      <c r="N149" s="14"/>
    </row>
    <row r="150" spans="1:14" ht="15" customHeight="1" x14ac:dyDescent="0.25">
      <c r="A150" s="24"/>
      <c r="L150" s="14"/>
      <c r="M150" s="14"/>
      <c r="N150" s="14"/>
    </row>
    <row r="151" spans="1:14" ht="15" customHeight="1" x14ac:dyDescent="0.25">
      <c r="A151" s="24"/>
      <c r="L151" s="14"/>
      <c r="M151" s="14"/>
      <c r="N151" s="14"/>
    </row>
    <row r="152" spans="1:14" ht="15" customHeight="1" x14ac:dyDescent="0.25">
      <c r="A152" s="24"/>
      <c r="L152" s="14"/>
      <c r="M152" s="14"/>
      <c r="N152" s="14"/>
    </row>
    <row r="153" spans="1:14" ht="15" customHeight="1" x14ac:dyDescent="0.25">
      <c r="A153" s="24"/>
      <c r="L153" s="14"/>
      <c r="M153" s="14"/>
      <c r="N153" s="14"/>
    </row>
    <row r="154" spans="1:14" ht="15" customHeight="1" x14ac:dyDescent="0.25">
      <c r="A154" s="24"/>
      <c r="L154" s="14"/>
      <c r="M154" s="14"/>
      <c r="N154" s="14"/>
    </row>
    <row r="155" spans="1:14" ht="15" customHeight="1" x14ac:dyDescent="0.25">
      <c r="A155" s="24"/>
      <c r="L155" s="14"/>
      <c r="M155" s="14"/>
      <c r="N155" s="14"/>
    </row>
    <row r="156" spans="1:14" ht="15" customHeight="1" x14ac:dyDescent="0.25">
      <c r="A156" s="24"/>
      <c r="L156" s="14"/>
      <c r="M156" s="14"/>
      <c r="N156" s="14"/>
    </row>
    <row r="157" spans="1:14" ht="15" customHeight="1" x14ac:dyDescent="0.25">
      <c r="A157" s="24"/>
      <c r="L157" s="14"/>
      <c r="M157" s="14"/>
      <c r="N157" s="14"/>
    </row>
    <row r="158" spans="1:14" ht="15" customHeight="1" x14ac:dyDescent="0.25">
      <c r="A158" s="24"/>
      <c r="L158" s="14"/>
      <c r="M158" s="14"/>
      <c r="N158" s="14"/>
    </row>
    <row r="159" spans="1:14" ht="15" customHeight="1" x14ac:dyDescent="0.25">
      <c r="A159" s="24"/>
      <c r="L159" s="14"/>
      <c r="M159" s="14"/>
      <c r="N159" s="14"/>
    </row>
    <row r="160" spans="1:14" ht="15" customHeight="1" x14ac:dyDescent="0.25">
      <c r="A160" s="24"/>
      <c r="L160" s="14"/>
      <c r="M160" s="14"/>
      <c r="N160" s="14"/>
    </row>
    <row r="161" spans="1:14" ht="15" customHeight="1" x14ac:dyDescent="0.25">
      <c r="A161" s="24"/>
      <c r="L161" s="14"/>
      <c r="M161" s="14"/>
      <c r="N161" s="14"/>
    </row>
    <row r="162" spans="1:14" ht="15" customHeight="1" x14ac:dyDescent="0.25">
      <c r="A162" s="24"/>
      <c r="L162" s="14"/>
      <c r="M162" s="14"/>
      <c r="N162" s="14"/>
    </row>
    <row r="163" spans="1:14" ht="15" customHeight="1" x14ac:dyDescent="0.25">
      <c r="A163" s="24"/>
      <c r="L163" s="14"/>
      <c r="M163" s="14"/>
      <c r="N163" s="14"/>
    </row>
    <row r="164" spans="1:14" ht="15" customHeight="1" x14ac:dyDescent="0.25">
      <c r="A164" s="24"/>
      <c r="L164" s="14"/>
      <c r="M164" s="14"/>
      <c r="N164" s="14"/>
    </row>
    <row r="165" spans="1:14" ht="15" customHeight="1" x14ac:dyDescent="0.25">
      <c r="A165" s="24"/>
      <c r="L165" s="14"/>
      <c r="M165" s="14"/>
      <c r="N165" s="14"/>
    </row>
    <row r="166" spans="1:14" ht="15" customHeight="1" x14ac:dyDescent="0.25">
      <c r="A166" s="24"/>
      <c r="L166" s="14"/>
      <c r="M166" s="14"/>
      <c r="N166" s="14"/>
    </row>
    <row r="167" spans="1:14" ht="15" customHeight="1" x14ac:dyDescent="0.25">
      <c r="A167" s="24"/>
      <c r="L167" s="14"/>
      <c r="M167" s="14"/>
      <c r="N167" s="14"/>
    </row>
    <row r="168" spans="1:14" ht="15" customHeight="1" x14ac:dyDescent="0.25">
      <c r="A168" s="24"/>
      <c r="L168" s="14"/>
      <c r="M168" s="14"/>
      <c r="N168" s="14"/>
    </row>
    <row r="169" spans="1:14" ht="15" customHeight="1" x14ac:dyDescent="0.25">
      <c r="A169" s="24"/>
      <c r="L169" s="14"/>
      <c r="M169" s="14"/>
      <c r="N169" s="14"/>
    </row>
    <row r="170" spans="1:14" ht="15" customHeight="1" x14ac:dyDescent="0.25">
      <c r="A170" s="24"/>
      <c r="L170" s="14"/>
      <c r="M170" s="14"/>
      <c r="N170" s="14"/>
    </row>
    <row r="171" spans="1:14" ht="15" customHeight="1" x14ac:dyDescent="0.25">
      <c r="A171" s="24"/>
      <c r="L171" s="14"/>
      <c r="M171" s="14"/>
      <c r="N171" s="14"/>
    </row>
    <row r="172" spans="1:14" ht="15" customHeight="1" x14ac:dyDescent="0.25">
      <c r="A172" s="24"/>
      <c r="L172" s="14"/>
      <c r="M172" s="14"/>
      <c r="N172" s="14"/>
    </row>
    <row r="173" spans="1:14" ht="15" customHeight="1" x14ac:dyDescent="0.25">
      <c r="A173" s="24"/>
      <c r="L173" s="14"/>
      <c r="M173" s="14"/>
      <c r="N173" s="14"/>
    </row>
    <row r="174" spans="1:14" ht="15" customHeight="1" x14ac:dyDescent="0.25">
      <c r="A174" s="24"/>
      <c r="L174" s="14"/>
      <c r="M174" s="14"/>
      <c r="N174" s="14"/>
    </row>
    <row r="175" spans="1:14" ht="15" customHeight="1" x14ac:dyDescent="0.25">
      <c r="A175" s="24"/>
      <c r="L175" s="14"/>
      <c r="M175" s="14"/>
      <c r="N175" s="14"/>
    </row>
    <row r="176" spans="1:14" ht="15" customHeight="1" x14ac:dyDescent="0.25">
      <c r="A176" s="24"/>
      <c r="L176" s="14"/>
      <c r="M176" s="14"/>
      <c r="N176" s="14"/>
    </row>
    <row r="177" spans="1:14" ht="15" customHeight="1" x14ac:dyDescent="0.25">
      <c r="A177" s="24"/>
      <c r="L177" s="14"/>
      <c r="M177" s="14"/>
      <c r="N177" s="14"/>
    </row>
    <row r="178" spans="1:14" ht="15" customHeight="1" x14ac:dyDescent="0.25">
      <c r="A178" s="24"/>
      <c r="L178" s="14"/>
      <c r="M178" s="14"/>
      <c r="N178" s="14"/>
    </row>
    <row r="179" spans="1:14" ht="15" customHeight="1" x14ac:dyDescent="0.25">
      <c r="A179" s="24"/>
      <c r="L179" s="14"/>
      <c r="M179" s="14"/>
      <c r="N179" s="14"/>
    </row>
    <row r="180" spans="1:14" ht="15" customHeight="1" x14ac:dyDescent="0.25">
      <c r="A180" s="24"/>
      <c r="L180" s="14"/>
      <c r="M180" s="14"/>
      <c r="N180" s="14"/>
    </row>
    <row r="181" spans="1:14" ht="15" customHeight="1" x14ac:dyDescent="0.25">
      <c r="A181" s="24"/>
      <c r="L181" s="14"/>
      <c r="M181" s="14"/>
      <c r="N181" s="14"/>
    </row>
    <row r="182" spans="1:14" ht="15" customHeight="1" x14ac:dyDescent="0.25">
      <c r="A182" s="24"/>
      <c r="L182" s="14"/>
      <c r="M182" s="14"/>
      <c r="N182" s="14"/>
    </row>
    <row r="183" spans="1:14" ht="15" customHeight="1" x14ac:dyDescent="0.25">
      <c r="A183" s="24"/>
      <c r="L183" s="14"/>
      <c r="M183" s="14"/>
      <c r="N183" s="14"/>
    </row>
    <row r="184" spans="1:14" ht="15" customHeight="1" x14ac:dyDescent="0.25">
      <c r="A184" s="24"/>
      <c r="L184" s="14"/>
      <c r="M184" s="14"/>
      <c r="N184" s="14"/>
    </row>
    <row r="185" spans="1:14" ht="15" customHeight="1" x14ac:dyDescent="0.25">
      <c r="A185" s="24"/>
      <c r="L185" s="14"/>
      <c r="M185" s="14"/>
      <c r="N185" s="14"/>
    </row>
    <row r="186" spans="1:14" ht="15" customHeight="1" x14ac:dyDescent="0.25">
      <c r="A186" s="24"/>
      <c r="L186" s="14"/>
      <c r="M186" s="14"/>
      <c r="N186" s="14"/>
    </row>
    <row r="187" spans="1:14" ht="15" customHeight="1" x14ac:dyDescent="0.25">
      <c r="A187" s="24"/>
      <c r="L187" s="14"/>
      <c r="M187" s="14"/>
      <c r="N187" s="14"/>
    </row>
    <row r="188" spans="1:14" ht="15" customHeight="1" x14ac:dyDescent="0.25">
      <c r="A188" s="24"/>
      <c r="L188" s="14"/>
      <c r="M188" s="14"/>
      <c r="N188" s="14"/>
    </row>
    <row r="189" spans="1:14" ht="15" customHeight="1" x14ac:dyDescent="0.25">
      <c r="A189" s="24"/>
      <c r="L189" s="14"/>
      <c r="M189" s="14"/>
      <c r="N189" s="14"/>
    </row>
    <row r="190" spans="1:14" ht="15" customHeight="1" x14ac:dyDescent="0.25">
      <c r="A190" s="24"/>
      <c r="L190" s="14"/>
      <c r="M190" s="14"/>
      <c r="N190" s="14"/>
    </row>
    <row r="191" spans="1:14" ht="15" customHeight="1" x14ac:dyDescent="0.25">
      <c r="A191" s="24"/>
      <c r="L191" s="14"/>
      <c r="M191" s="14"/>
      <c r="N191" s="14"/>
    </row>
    <row r="192" spans="1:14" ht="15" customHeight="1" x14ac:dyDescent="0.25">
      <c r="A192" s="24"/>
      <c r="L192" s="14"/>
      <c r="M192" s="14"/>
      <c r="N192" s="14"/>
    </row>
    <row r="193" spans="1:14" ht="15" customHeight="1" x14ac:dyDescent="0.25">
      <c r="A193" s="24"/>
      <c r="L193" s="14"/>
      <c r="M193" s="14"/>
      <c r="N193" s="14"/>
    </row>
    <row r="194" spans="1:14" ht="15" customHeight="1" x14ac:dyDescent="0.25">
      <c r="A194" s="24"/>
      <c r="L194" s="14"/>
      <c r="M194" s="14"/>
      <c r="N194" s="14"/>
    </row>
    <row r="195" spans="1:14" ht="15" customHeight="1" x14ac:dyDescent="0.25">
      <c r="A195" s="24"/>
      <c r="L195" s="14"/>
      <c r="M195" s="14"/>
      <c r="N195" s="14"/>
    </row>
    <row r="196" spans="1:14" ht="15" customHeight="1" x14ac:dyDescent="0.25">
      <c r="A196" s="24"/>
      <c r="L196" s="14"/>
      <c r="M196" s="14"/>
      <c r="N196" s="14"/>
    </row>
    <row r="197" spans="1:14" ht="15" customHeight="1" x14ac:dyDescent="0.25">
      <c r="A197" s="24"/>
      <c r="L197" s="14"/>
      <c r="M197" s="14"/>
      <c r="N197" s="14"/>
    </row>
    <row r="198" spans="1:14" ht="15" customHeight="1" x14ac:dyDescent="0.25">
      <c r="A198" s="24"/>
      <c r="L198" s="14"/>
      <c r="M198" s="14"/>
      <c r="N198" s="14"/>
    </row>
    <row r="199" spans="1:14" ht="15" customHeight="1" x14ac:dyDescent="0.25">
      <c r="A199" s="24"/>
      <c r="L199" s="14"/>
      <c r="M199" s="14"/>
      <c r="N199" s="14"/>
    </row>
    <row r="200" spans="1:14" ht="15" customHeight="1" x14ac:dyDescent="0.25">
      <c r="A200" s="24"/>
      <c r="L200" s="14"/>
      <c r="M200" s="14"/>
      <c r="N200" s="14"/>
    </row>
    <row r="201" spans="1:14" ht="15" customHeight="1" x14ac:dyDescent="0.25">
      <c r="A201" s="24"/>
      <c r="L201" s="14"/>
      <c r="M201" s="14"/>
      <c r="N201" s="14"/>
    </row>
    <row r="202" spans="1:14" ht="15" customHeight="1" x14ac:dyDescent="0.25">
      <c r="L202" s="14"/>
      <c r="M202" s="14"/>
      <c r="N202" s="14"/>
    </row>
    <row r="203" spans="1:14" ht="15" customHeight="1" x14ac:dyDescent="0.25">
      <c r="L203" s="14"/>
      <c r="M203" s="14"/>
      <c r="N203" s="14"/>
    </row>
    <row r="204" spans="1:14" ht="15" customHeight="1" x14ac:dyDescent="0.25">
      <c r="L204" s="14"/>
      <c r="M204" s="14"/>
      <c r="N204" s="14"/>
    </row>
    <row r="205" spans="1:14" ht="15" customHeight="1" x14ac:dyDescent="0.25">
      <c r="L205" s="14"/>
      <c r="M205" s="14"/>
      <c r="N205" s="14"/>
    </row>
    <row r="206" spans="1:14" ht="15" customHeight="1" x14ac:dyDescent="0.25">
      <c r="L206" s="14"/>
      <c r="M206" s="14"/>
      <c r="N206" s="14"/>
    </row>
    <row r="207" spans="1:14" ht="15" customHeight="1" x14ac:dyDescent="0.25">
      <c r="L207" s="14"/>
      <c r="M207" s="14"/>
      <c r="N207" s="14"/>
    </row>
    <row r="208" spans="1:14" ht="15" customHeight="1" x14ac:dyDescent="0.25">
      <c r="L208" s="14"/>
      <c r="M208" s="14"/>
      <c r="N208" s="14"/>
    </row>
    <row r="209" spans="12:14" ht="15" customHeight="1" x14ac:dyDescent="0.25">
      <c r="L209" s="14"/>
      <c r="M209" s="14"/>
      <c r="N209" s="14"/>
    </row>
    <row r="210" spans="12:14" ht="15" customHeight="1" x14ac:dyDescent="0.25">
      <c r="L210" s="14"/>
      <c r="M210" s="14"/>
      <c r="N210" s="14"/>
    </row>
    <row r="211" spans="12:14" ht="15" customHeight="1" x14ac:dyDescent="0.25">
      <c r="L211" s="14"/>
      <c r="M211" s="14"/>
      <c r="N211" s="14"/>
    </row>
    <row r="212" spans="12:14" ht="15" customHeight="1" x14ac:dyDescent="0.25">
      <c r="L212" s="14"/>
      <c r="M212" s="14"/>
      <c r="N212" s="14"/>
    </row>
    <row r="213" spans="12:14" ht="15" customHeight="1" x14ac:dyDescent="0.25">
      <c r="L213" s="14"/>
      <c r="M213" s="14"/>
      <c r="N213" s="14"/>
    </row>
    <row r="214" spans="12:14" ht="15" customHeight="1" x14ac:dyDescent="0.25">
      <c r="L214" s="14"/>
      <c r="M214" s="14"/>
      <c r="N214" s="14"/>
    </row>
    <row r="215" spans="12:14" ht="15" customHeight="1" x14ac:dyDescent="0.25">
      <c r="L215" s="14"/>
      <c r="M215" s="14"/>
      <c r="N215" s="14"/>
    </row>
    <row r="216" spans="12:14" ht="15" customHeight="1" x14ac:dyDescent="0.25">
      <c r="L216" s="14"/>
      <c r="M216" s="14"/>
      <c r="N216" s="14"/>
    </row>
    <row r="217" spans="12:14" ht="15" customHeight="1" x14ac:dyDescent="0.25">
      <c r="L217" s="14"/>
      <c r="M217" s="14"/>
      <c r="N217" s="14"/>
    </row>
    <row r="218" spans="12:14" ht="15" customHeight="1" x14ac:dyDescent="0.25">
      <c r="L218" s="14"/>
      <c r="M218" s="14"/>
      <c r="N218" s="14"/>
    </row>
    <row r="219" spans="12:14" ht="15" customHeight="1" x14ac:dyDescent="0.25">
      <c r="L219" s="14"/>
      <c r="M219" s="14"/>
      <c r="N219" s="14"/>
    </row>
    <row r="220" spans="12:14" ht="15" customHeight="1" x14ac:dyDescent="0.25">
      <c r="L220" s="14"/>
      <c r="M220" s="14"/>
      <c r="N220" s="14"/>
    </row>
    <row r="221" spans="12:14" ht="15" customHeight="1" x14ac:dyDescent="0.25">
      <c r="L221" s="14"/>
      <c r="M221" s="14"/>
      <c r="N221" s="14"/>
    </row>
    <row r="222" spans="12:14" ht="15" customHeight="1" x14ac:dyDescent="0.25">
      <c r="L222" s="14"/>
      <c r="M222" s="14"/>
      <c r="N222" s="14"/>
    </row>
    <row r="223" spans="12:14" ht="15" customHeight="1" x14ac:dyDescent="0.25">
      <c r="L223" s="14"/>
      <c r="M223" s="14"/>
      <c r="N223" s="14"/>
    </row>
    <row r="224" spans="12:14" ht="15" customHeight="1" x14ac:dyDescent="0.25">
      <c r="L224" s="14"/>
      <c r="M224" s="14"/>
      <c r="N224" s="14"/>
    </row>
    <row r="225" spans="12:14" ht="15" customHeight="1" x14ac:dyDescent="0.25">
      <c r="L225" s="14"/>
      <c r="M225" s="14"/>
      <c r="N225" s="14"/>
    </row>
    <row r="226" spans="12:14" ht="15" customHeight="1" x14ac:dyDescent="0.25">
      <c r="L226" s="14"/>
      <c r="M226" s="14"/>
      <c r="N226" s="14"/>
    </row>
    <row r="227" spans="12:14" ht="15" customHeight="1" x14ac:dyDescent="0.25">
      <c r="L227" s="14"/>
      <c r="M227" s="14"/>
      <c r="N227" s="14"/>
    </row>
    <row r="228" spans="12:14" ht="15" customHeight="1" x14ac:dyDescent="0.25">
      <c r="L228" s="14"/>
      <c r="M228" s="14"/>
      <c r="N228" s="14"/>
    </row>
    <row r="229" spans="12:14" ht="15" customHeight="1" x14ac:dyDescent="0.25">
      <c r="L229" s="14"/>
      <c r="M229" s="14"/>
      <c r="N229" s="14"/>
    </row>
    <row r="230" spans="12:14" ht="15" customHeight="1" x14ac:dyDescent="0.25">
      <c r="L230" s="14"/>
      <c r="M230" s="14"/>
      <c r="N230" s="14"/>
    </row>
    <row r="231" spans="12:14" ht="15" customHeight="1" x14ac:dyDescent="0.25">
      <c r="L231" s="14"/>
      <c r="M231" s="14"/>
      <c r="N231" s="14"/>
    </row>
    <row r="232" spans="12:14" ht="15" customHeight="1" x14ac:dyDescent="0.25">
      <c r="L232" s="14"/>
      <c r="M232" s="14"/>
      <c r="N232" s="14"/>
    </row>
    <row r="233" spans="12:14" ht="15" customHeight="1" x14ac:dyDescent="0.25">
      <c r="L233" s="14"/>
      <c r="M233" s="14"/>
      <c r="N233" s="14"/>
    </row>
    <row r="234" spans="12:14" ht="15" customHeight="1" x14ac:dyDescent="0.25">
      <c r="L234" s="14"/>
      <c r="M234" s="14"/>
      <c r="N234" s="14"/>
    </row>
    <row r="235" spans="12:14" ht="15" customHeight="1" x14ac:dyDescent="0.25">
      <c r="L235" s="14"/>
      <c r="M235" s="14"/>
      <c r="N235" s="14"/>
    </row>
    <row r="236" spans="12:14" ht="15" customHeight="1" x14ac:dyDescent="0.25">
      <c r="L236" s="14"/>
      <c r="M236" s="14"/>
      <c r="N236" s="14"/>
    </row>
    <row r="237" spans="12:14" ht="15" customHeight="1" x14ac:dyDescent="0.25">
      <c r="L237" s="14"/>
      <c r="M237" s="14"/>
      <c r="N237" s="14"/>
    </row>
    <row r="238" spans="12:14" ht="15" customHeight="1" x14ac:dyDescent="0.25">
      <c r="L238" s="14"/>
      <c r="M238" s="14"/>
      <c r="N238" s="14"/>
    </row>
    <row r="239" spans="12:14" ht="15" customHeight="1" x14ac:dyDescent="0.25">
      <c r="L239" s="14"/>
      <c r="M239" s="14"/>
      <c r="N239" s="14"/>
    </row>
    <row r="240" spans="12:14" ht="15" customHeight="1" x14ac:dyDescent="0.25">
      <c r="L240" s="14"/>
      <c r="M240" s="14"/>
      <c r="N240" s="14"/>
    </row>
    <row r="241" spans="12:14" ht="15" customHeight="1" x14ac:dyDescent="0.25">
      <c r="L241" s="14"/>
      <c r="M241" s="14"/>
      <c r="N241" s="14"/>
    </row>
    <row r="242" spans="12:14" ht="15" customHeight="1" x14ac:dyDescent="0.25">
      <c r="L242" s="14"/>
      <c r="M242" s="14"/>
      <c r="N242" s="14"/>
    </row>
    <row r="243" spans="12:14" ht="15" customHeight="1" x14ac:dyDescent="0.25">
      <c r="L243" s="14"/>
      <c r="M243" s="14"/>
      <c r="N243" s="14"/>
    </row>
    <row r="244" spans="12:14" ht="15" customHeight="1" x14ac:dyDescent="0.25">
      <c r="L244" s="14"/>
      <c r="M244" s="14"/>
      <c r="N244" s="14"/>
    </row>
    <row r="245" spans="12:14" ht="15" customHeight="1" x14ac:dyDescent="0.25">
      <c r="L245" s="14"/>
      <c r="M245" s="14"/>
      <c r="N245" s="14"/>
    </row>
    <row r="246" spans="12:14" ht="15" customHeight="1" x14ac:dyDescent="0.25">
      <c r="L246" s="14"/>
      <c r="M246" s="14"/>
      <c r="N246" s="14"/>
    </row>
    <row r="247" spans="12:14" ht="15" customHeight="1" x14ac:dyDescent="0.25">
      <c r="L247" s="14"/>
      <c r="M247" s="14"/>
      <c r="N247" s="14"/>
    </row>
    <row r="248" spans="12:14" ht="15" customHeight="1" x14ac:dyDescent="0.25">
      <c r="L248" s="14"/>
      <c r="M248" s="14"/>
      <c r="N248" s="14"/>
    </row>
    <row r="249" spans="12:14" ht="15" customHeight="1" x14ac:dyDescent="0.25">
      <c r="L249" s="14"/>
      <c r="M249" s="14"/>
      <c r="N249" s="14"/>
    </row>
    <row r="250" spans="12:14" ht="15" customHeight="1" x14ac:dyDescent="0.25">
      <c r="L250" s="14"/>
      <c r="M250" s="14"/>
      <c r="N250" s="14"/>
    </row>
    <row r="251" spans="12:14" ht="15" customHeight="1" x14ac:dyDescent="0.25">
      <c r="L251" s="14"/>
      <c r="M251" s="14"/>
      <c r="N251" s="14"/>
    </row>
    <row r="252" spans="12:14" ht="15" customHeight="1" x14ac:dyDescent="0.25">
      <c r="L252" s="14"/>
      <c r="M252" s="14"/>
      <c r="N252" s="14"/>
    </row>
    <row r="253" spans="12:14" ht="15" customHeight="1" x14ac:dyDescent="0.25">
      <c r="L253" s="14"/>
      <c r="M253" s="14"/>
      <c r="N253" s="14"/>
    </row>
    <row r="254" spans="12:14" ht="15" customHeight="1" x14ac:dyDescent="0.25">
      <c r="L254" s="14"/>
      <c r="M254" s="14"/>
      <c r="N254" s="14"/>
    </row>
    <row r="255" spans="12:14" ht="15" customHeight="1" x14ac:dyDescent="0.25">
      <c r="L255" s="14"/>
      <c r="M255" s="14"/>
      <c r="N255" s="14"/>
    </row>
    <row r="256" spans="12:14" ht="15" customHeight="1" x14ac:dyDescent="0.25">
      <c r="L256" s="14"/>
      <c r="M256" s="14"/>
      <c r="N256" s="14"/>
    </row>
    <row r="257" spans="12:14" ht="15" customHeight="1" x14ac:dyDescent="0.25">
      <c r="L257" s="14"/>
      <c r="M257" s="14"/>
      <c r="N257" s="14"/>
    </row>
    <row r="258" spans="12:14" ht="15" customHeight="1" x14ac:dyDescent="0.25">
      <c r="L258" s="14"/>
      <c r="M258" s="14"/>
      <c r="N258" s="14"/>
    </row>
    <row r="259" spans="12:14" ht="15" customHeight="1" x14ac:dyDescent="0.25">
      <c r="L259" s="14"/>
      <c r="M259" s="14"/>
      <c r="N259" s="14"/>
    </row>
    <row r="260" spans="12:14" ht="15" customHeight="1" x14ac:dyDescent="0.25">
      <c r="L260" s="14"/>
      <c r="M260" s="14"/>
      <c r="N260" s="14"/>
    </row>
    <row r="261" spans="12:14" ht="15" customHeight="1" x14ac:dyDescent="0.25">
      <c r="L261" s="14"/>
      <c r="M261" s="14"/>
      <c r="N261" s="14"/>
    </row>
    <row r="262" spans="12:14" ht="15" customHeight="1" x14ac:dyDescent="0.25">
      <c r="L262" s="14"/>
      <c r="M262" s="14"/>
      <c r="N262" s="14"/>
    </row>
    <row r="263" spans="12:14" ht="15" customHeight="1" x14ac:dyDescent="0.25">
      <c r="L263" s="14"/>
      <c r="M263" s="14"/>
      <c r="N263" s="14"/>
    </row>
    <row r="264" spans="12:14" ht="15" customHeight="1" x14ac:dyDescent="0.25">
      <c r="L264" s="14"/>
      <c r="M264" s="14"/>
      <c r="N264" s="14"/>
    </row>
    <row r="265" spans="12:14" ht="15" customHeight="1" x14ac:dyDescent="0.25">
      <c r="L265" s="14"/>
      <c r="M265" s="14"/>
      <c r="N265" s="14"/>
    </row>
    <row r="266" spans="12:14" ht="15" customHeight="1" x14ac:dyDescent="0.25">
      <c r="L266" s="14"/>
      <c r="M266" s="14"/>
      <c r="N266" s="14"/>
    </row>
    <row r="267" spans="12:14" ht="15" customHeight="1" x14ac:dyDescent="0.25">
      <c r="L267" s="14"/>
      <c r="M267" s="14"/>
      <c r="N267" s="14"/>
    </row>
    <row r="268" spans="12:14" ht="15" customHeight="1" x14ac:dyDescent="0.25">
      <c r="L268" s="14"/>
      <c r="M268" s="14"/>
      <c r="N268" s="14"/>
    </row>
    <row r="269" spans="12:14" ht="15" customHeight="1" x14ac:dyDescent="0.25">
      <c r="L269" s="14"/>
      <c r="M269" s="14"/>
      <c r="N269" s="14"/>
    </row>
    <row r="270" spans="12:14" ht="15" customHeight="1" x14ac:dyDescent="0.25">
      <c r="L270" s="14"/>
      <c r="M270" s="14"/>
      <c r="N270" s="14"/>
    </row>
    <row r="271" spans="12:14" ht="15" customHeight="1" x14ac:dyDescent="0.25">
      <c r="L271" s="14"/>
      <c r="M271" s="14"/>
      <c r="N271" s="14"/>
    </row>
    <row r="272" spans="12:14" ht="15" customHeight="1" x14ac:dyDescent="0.25">
      <c r="L272" s="14"/>
      <c r="M272" s="14"/>
      <c r="N272" s="14"/>
    </row>
    <row r="273" spans="12:14" ht="15" customHeight="1" x14ac:dyDescent="0.25">
      <c r="L273" s="14"/>
      <c r="M273" s="14"/>
      <c r="N273" s="14"/>
    </row>
    <row r="274" spans="12:14" ht="15" customHeight="1" x14ac:dyDescent="0.25">
      <c r="L274" s="14"/>
      <c r="M274" s="14"/>
      <c r="N274" s="14"/>
    </row>
    <row r="275" spans="12:14" ht="15" customHeight="1" x14ac:dyDescent="0.25">
      <c r="L275" s="14"/>
      <c r="M275" s="14"/>
      <c r="N275" s="14"/>
    </row>
    <row r="276" spans="12:14" ht="15" customHeight="1" x14ac:dyDescent="0.25">
      <c r="L276" s="14"/>
      <c r="M276" s="14"/>
      <c r="N276" s="14"/>
    </row>
    <row r="277" spans="12:14" ht="15" customHeight="1" x14ac:dyDescent="0.25">
      <c r="L277" s="14"/>
      <c r="M277" s="14"/>
      <c r="N277" s="14"/>
    </row>
    <row r="278" spans="12:14" ht="15" customHeight="1" x14ac:dyDescent="0.25">
      <c r="L278" s="14"/>
      <c r="M278" s="14"/>
      <c r="N278" s="14"/>
    </row>
    <row r="279" spans="12:14" ht="15" customHeight="1" x14ac:dyDescent="0.25">
      <c r="L279" s="14"/>
      <c r="M279" s="14"/>
      <c r="N279" s="14"/>
    </row>
    <row r="280" spans="12:14" ht="15" customHeight="1" x14ac:dyDescent="0.25">
      <c r="L280" s="14"/>
      <c r="M280" s="14"/>
      <c r="N280" s="14"/>
    </row>
    <row r="281" spans="12:14" ht="15" customHeight="1" x14ac:dyDescent="0.25">
      <c r="L281" s="14"/>
      <c r="M281" s="14"/>
      <c r="N281" s="14"/>
    </row>
    <row r="282" spans="12:14" ht="15" customHeight="1" x14ac:dyDescent="0.25">
      <c r="L282" s="14"/>
      <c r="M282" s="14"/>
      <c r="N282" s="14"/>
    </row>
    <row r="283" spans="12:14" ht="15" customHeight="1" x14ac:dyDescent="0.25">
      <c r="L283" s="14"/>
      <c r="M283" s="14"/>
      <c r="N283" s="14"/>
    </row>
    <row r="284" spans="12:14" ht="15" customHeight="1" x14ac:dyDescent="0.25">
      <c r="L284" s="14"/>
      <c r="M284" s="14"/>
      <c r="N284" s="14"/>
    </row>
    <row r="285" spans="12:14" ht="15" customHeight="1" x14ac:dyDescent="0.25">
      <c r="L285" s="14"/>
      <c r="M285" s="14"/>
      <c r="N285" s="14"/>
    </row>
    <row r="286" spans="12:14" ht="15" customHeight="1" x14ac:dyDescent="0.25">
      <c r="L286" s="14"/>
      <c r="M286" s="14"/>
      <c r="N286" s="14"/>
    </row>
    <row r="287" spans="12:14" ht="15" customHeight="1" x14ac:dyDescent="0.25">
      <c r="L287" s="14"/>
      <c r="M287" s="14"/>
      <c r="N287" s="14"/>
    </row>
    <row r="288" spans="12:14" ht="15" customHeight="1" x14ac:dyDescent="0.25">
      <c r="L288" s="14"/>
      <c r="M288" s="14"/>
      <c r="N288" s="14"/>
    </row>
    <row r="289" spans="12:14" ht="15" customHeight="1" x14ac:dyDescent="0.25">
      <c r="L289" s="14"/>
      <c r="M289" s="14"/>
      <c r="N289" s="14"/>
    </row>
    <row r="290" spans="12:14" ht="15" customHeight="1" x14ac:dyDescent="0.25">
      <c r="L290" s="14"/>
      <c r="M290" s="14"/>
      <c r="N290" s="14"/>
    </row>
    <row r="291" spans="12:14" ht="15" customHeight="1" x14ac:dyDescent="0.25">
      <c r="L291" s="14"/>
      <c r="M291" s="14"/>
      <c r="N291" s="14"/>
    </row>
    <row r="292" spans="12:14" ht="15" customHeight="1" x14ac:dyDescent="0.25">
      <c r="L292" s="14"/>
      <c r="M292" s="14"/>
      <c r="N292" s="14"/>
    </row>
    <row r="293" spans="12:14" ht="15" customHeight="1" x14ac:dyDescent="0.25">
      <c r="L293" s="14"/>
      <c r="M293" s="14"/>
      <c r="N293" s="14"/>
    </row>
    <row r="294" spans="12:14" ht="15" customHeight="1" x14ac:dyDescent="0.25">
      <c r="L294" s="14"/>
      <c r="M294" s="14"/>
      <c r="N294" s="14"/>
    </row>
    <row r="295" spans="12:14" ht="15" customHeight="1" x14ac:dyDescent="0.25">
      <c r="L295" s="14"/>
      <c r="M295" s="14"/>
      <c r="N295" s="14"/>
    </row>
    <row r="296" spans="12:14" ht="15" customHeight="1" x14ac:dyDescent="0.25">
      <c r="L296" s="14"/>
      <c r="M296" s="14"/>
      <c r="N296" s="14"/>
    </row>
    <row r="297" spans="12:14" ht="15" customHeight="1" x14ac:dyDescent="0.25">
      <c r="L297" s="14"/>
      <c r="M297" s="14"/>
      <c r="N297" s="14"/>
    </row>
    <row r="298" spans="12:14" ht="15" customHeight="1" x14ac:dyDescent="0.25">
      <c r="L298" s="14"/>
      <c r="M298" s="14"/>
      <c r="N298" s="14"/>
    </row>
    <row r="299" spans="12:14" ht="15" customHeight="1" x14ac:dyDescent="0.25">
      <c r="L299" s="14"/>
      <c r="M299" s="14"/>
      <c r="N299" s="14"/>
    </row>
    <row r="300" spans="12:14" ht="15" customHeight="1" x14ac:dyDescent="0.25">
      <c r="L300" s="14"/>
      <c r="M300" s="14"/>
      <c r="N300" s="14"/>
    </row>
    <row r="301" spans="12:14" ht="15" customHeight="1" x14ac:dyDescent="0.25">
      <c r="L301" s="14"/>
      <c r="M301" s="14"/>
      <c r="N301" s="14"/>
    </row>
  </sheetData>
  <dataValidations count="1">
    <dataValidation type="list" allowBlank="1" sqref="G2:G301 L2:L301" xr:uid="{00000000-0002-0000-0B00-000005000000}">
      <formula1>"Sí,No"</formula1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xr:uid="{00000000-0002-0000-0B00-000000000000}">
          <x14:formula1>
            <xm:f>'1. Órdenes de Trabajo'!$A$2:$A$301</xm:f>
          </x14:formula1>
          <xm:sqref>A2:A301</xm:sqref>
        </x14:dataValidation>
        <x14:dataValidation type="list" allowBlank="1" xr:uid="{00000000-0002-0000-0B00-000001000000}">
          <x14:formula1>
            <xm:f>Catálogos!$A$17:$A$40</xm:f>
          </x14:formula1>
          <xm:sqref>C2:C301</xm:sqref>
        </x14:dataValidation>
        <x14:dataValidation type="list" allowBlank="1" xr:uid="{00000000-0002-0000-0B00-000002000000}">
          <x14:formula1>
            <xm:f>Catálogos!$D$4:$D$5</xm:f>
          </x14:formula1>
          <xm:sqref>H2:H301</xm:sqref>
        </x14:dataValidation>
        <x14:dataValidation type="list" allowBlank="1" xr:uid="{00000000-0002-0000-0B00-000003000000}">
          <x14:formula1>
            <xm:f>Catálogos!$B$4:$B$6</xm:f>
          </x14:formula1>
          <xm:sqref>J2:J301</xm:sqref>
        </x14:dataValidation>
        <x14:dataValidation type="list" allowBlank="1" xr:uid="{00000000-0002-0000-0B00-000004000000}">
          <x14:formula1>
            <xm:f>Catálogos!$A$4:$A$14</xm:f>
          </x14:formula1>
          <xm:sqref>M2:N301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3C5A8A"/>
  </sheetPr>
  <dimension ref="A1:O301"/>
  <sheetViews>
    <sheetView zoomScaleNormal="100" workbookViewId="0">
      <pane ySplit="1" topLeftCell="A2" activePane="bottomLeft" state="frozen"/>
      <selection pane="bottomLeft" activeCell="N10" sqref="N10"/>
    </sheetView>
  </sheetViews>
  <sheetFormatPr baseColWidth="10" defaultColWidth="8.7109375" defaultRowHeight="15" x14ac:dyDescent="0.25"/>
  <cols>
    <col min="1" max="1" width="20.28515625" bestFit="1" customWidth="1"/>
    <col min="2" max="2" width="16" customWidth="1"/>
    <col min="3" max="3" width="22" customWidth="1"/>
    <col min="4" max="4" width="12" customWidth="1"/>
    <col min="5" max="5" width="22" customWidth="1"/>
    <col min="6" max="6" width="16" customWidth="1"/>
    <col min="7" max="7" width="12" customWidth="1"/>
    <col min="8" max="8" width="18" customWidth="1"/>
    <col min="9" max="9" width="12" customWidth="1"/>
    <col min="10" max="11" width="16" customWidth="1"/>
    <col min="12" max="12" width="20" customWidth="1"/>
    <col min="13" max="13" width="18" customWidth="1"/>
    <col min="14" max="14" width="22" customWidth="1"/>
    <col min="15" max="15" width="20" customWidth="1"/>
  </cols>
  <sheetData>
    <row r="1" spans="1:15" ht="30" customHeight="1" x14ac:dyDescent="0.25">
      <c r="A1" s="13" t="s">
        <v>252</v>
      </c>
      <c r="B1" s="13" t="s">
        <v>3879</v>
      </c>
      <c r="C1" s="13" t="s">
        <v>3880</v>
      </c>
      <c r="D1" s="13" t="s">
        <v>3881</v>
      </c>
      <c r="E1" s="13" t="s">
        <v>3882</v>
      </c>
      <c r="F1" s="13" t="s">
        <v>3866</v>
      </c>
      <c r="G1" s="13" t="s">
        <v>3867</v>
      </c>
      <c r="H1" s="13" t="s">
        <v>3868</v>
      </c>
      <c r="I1" s="13" t="s">
        <v>3883</v>
      </c>
      <c r="J1" s="13" t="s">
        <v>3884</v>
      </c>
      <c r="K1" s="13" t="s">
        <v>3885</v>
      </c>
      <c r="L1" s="13" t="s">
        <v>3886</v>
      </c>
      <c r="M1" s="13" t="s">
        <v>3872</v>
      </c>
      <c r="N1" s="13" t="s">
        <v>3873</v>
      </c>
      <c r="O1" s="13" t="s">
        <v>3874</v>
      </c>
    </row>
    <row r="2" spans="1:15" ht="15" customHeight="1" x14ac:dyDescent="0.25">
      <c r="A2" s="29" t="s">
        <v>3801</v>
      </c>
      <c r="B2" s="31">
        <v>98</v>
      </c>
      <c r="C2" s="31" t="s">
        <v>113</v>
      </c>
      <c r="D2" s="30">
        <v>46106</v>
      </c>
      <c r="E2" s="28" t="s">
        <v>1193</v>
      </c>
      <c r="I2" s="30">
        <v>46136</v>
      </c>
      <c r="J2" s="31">
        <v>119703</v>
      </c>
      <c r="K2" s="31" t="s">
        <v>461</v>
      </c>
      <c r="M2" s="28" t="s">
        <v>476</v>
      </c>
      <c r="N2" s="28" t="s">
        <v>113</v>
      </c>
      <c r="O2" s="28" t="s">
        <v>91</v>
      </c>
    </row>
    <row r="3" spans="1:15" ht="15" customHeight="1" x14ac:dyDescent="0.25">
      <c r="A3" s="29" t="s">
        <v>3818</v>
      </c>
      <c r="B3" s="31">
        <v>112</v>
      </c>
      <c r="C3" s="31" t="s">
        <v>113</v>
      </c>
      <c r="D3" s="30">
        <v>46120</v>
      </c>
      <c r="E3" s="31" t="s">
        <v>1198</v>
      </c>
      <c r="M3" s="14"/>
      <c r="N3" s="28" t="s">
        <v>113</v>
      </c>
      <c r="O3" s="28" t="s">
        <v>91</v>
      </c>
    </row>
    <row r="4" spans="1:15" ht="15" customHeight="1" x14ac:dyDescent="0.25">
      <c r="A4" s="29" t="s">
        <v>3821</v>
      </c>
      <c r="B4" s="31">
        <v>113</v>
      </c>
      <c r="C4" s="31" t="s">
        <v>113</v>
      </c>
      <c r="D4" s="30">
        <v>46125</v>
      </c>
      <c r="E4" s="31" t="s">
        <v>1198</v>
      </c>
      <c r="M4" s="14"/>
      <c r="N4" s="28" t="s">
        <v>113</v>
      </c>
      <c r="O4" s="28" t="s">
        <v>91</v>
      </c>
    </row>
    <row r="5" spans="1:15" ht="15" customHeight="1" x14ac:dyDescent="0.25">
      <c r="A5" s="29" t="s">
        <v>3826</v>
      </c>
      <c r="B5" s="31">
        <v>133</v>
      </c>
      <c r="C5" s="31" t="s">
        <v>1003</v>
      </c>
      <c r="D5" s="30">
        <v>46141</v>
      </c>
      <c r="E5" s="31" t="s">
        <v>1200</v>
      </c>
      <c r="M5" s="14"/>
      <c r="N5" s="28" t="s">
        <v>1003</v>
      </c>
      <c r="O5" s="28" t="s">
        <v>91</v>
      </c>
    </row>
    <row r="6" spans="1:15" ht="15" customHeight="1" x14ac:dyDescent="0.25">
      <c r="A6" s="29" t="s">
        <v>3829</v>
      </c>
      <c r="B6" s="31">
        <v>143</v>
      </c>
      <c r="C6" s="31" t="s">
        <v>1003</v>
      </c>
      <c r="D6" s="30">
        <v>46160</v>
      </c>
      <c r="E6" s="31" t="s">
        <v>1200</v>
      </c>
      <c r="M6" s="14"/>
      <c r="N6" s="28" t="s">
        <v>1003</v>
      </c>
      <c r="O6" s="28" t="s">
        <v>91</v>
      </c>
    </row>
    <row r="7" spans="1:15" ht="15" customHeight="1" x14ac:dyDescent="0.25">
      <c r="A7" s="29" t="s">
        <v>3832</v>
      </c>
      <c r="B7" s="31">
        <v>153</v>
      </c>
      <c r="C7" s="31" t="s">
        <v>905</v>
      </c>
      <c r="D7" s="30">
        <v>46176</v>
      </c>
      <c r="E7" s="31" t="s">
        <v>1202</v>
      </c>
      <c r="M7" s="14"/>
      <c r="N7" s="28" t="s">
        <v>905</v>
      </c>
      <c r="O7" s="28" t="s">
        <v>91</v>
      </c>
    </row>
    <row r="8" spans="1:15" ht="15" customHeight="1" x14ac:dyDescent="0.25">
      <c r="A8" s="29" t="s">
        <v>3838</v>
      </c>
      <c r="B8" s="31">
        <v>154</v>
      </c>
      <c r="C8" s="31" t="s">
        <v>113</v>
      </c>
      <c r="D8" s="30">
        <v>46181</v>
      </c>
      <c r="E8" s="31" t="s">
        <v>1193</v>
      </c>
      <c r="M8" s="14"/>
      <c r="N8" s="28" t="s">
        <v>113</v>
      </c>
      <c r="O8" s="28" t="s">
        <v>91</v>
      </c>
    </row>
    <row r="9" spans="1:15" ht="15" customHeight="1" x14ac:dyDescent="0.25">
      <c r="A9" s="29" t="s">
        <v>3840</v>
      </c>
      <c r="B9" s="31">
        <v>161</v>
      </c>
      <c r="C9" s="31" t="s">
        <v>113</v>
      </c>
      <c r="D9" s="30">
        <v>46188</v>
      </c>
      <c r="E9" s="31" t="s">
        <v>1193</v>
      </c>
      <c r="M9" s="14"/>
      <c r="N9" s="28" t="s">
        <v>113</v>
      </c>
      <c r="O9" s="28" t="s">
        <v>91</v>
      </c>
    </row>
    <row r="10" spans="1:15" ht="15" customHeight="1" x14ac:dyDescent="0.25">
      <c r="A10" s="24" t="s">
        <v>3893</v>
      </c>
      <c r="B10" s="31">
        <v>166</v>
      </c>
      <c r="C10" t="s">
        <v>905</v>
      </c>
      <c r="D10" s="94">
        <v>46189</v>
      </c>
      <c r="E10" t="s">
        <v>1193</v>
      </c>
      <c r="M10" s="14"/>
      <c r="N10" s="14"/>
      <c r="O10" s="14"/>
    </row>
    <row r="11" spans="1:15" ht="15" customHeight="1" x14ac:dyDescent="0.25">
      <c r="A11" s="24"/>
      <c r="M11" s="14"/>
      <c r="N11" s="14"/>
      <c r="O11" s="14"/>
    </row>
    <row r="12" spans="1:15" ht="15" customHeight="1" x14ac:dyDescent="0.25">
      <c r="A12" s="24"/>
      <c r="M12" s="14"/>
      <c r="N12" s="14"/>
      <c r="O12" s="14"/>
    </row>
    <row r="13" spans="1:15" ht="15" customHeight="1" x14ac:dyDescent="0.25">
      <c r="A13" s="24"/>
      <c r="M13" s="14"/>
      <c r="N13" s="14"/>
      <c r="O13" s="14"/>
    </row>
    <row r="14" spans="1:15" ht="15" customHeight="1" x14ac:dyDescent="0.25">
      <c r="A14" s="24"/>
      <c r="M14" s="14"/>
      <c r="N14" s="14"/>
      <c r="O14" s="14"/>
    </row>
    <row r="15" spans="1:15" ht="15" customHeight="1" x14ac:dyDescent="0.25">
      <c r="A15" s="24"/>
      <c r="M15" s="14"/>
      <c r="N15" s="14"/>
      <c r="O15" s="14"/>
    </row>
    <row r="16" spans="1:15" ht="15" customHeight="1" x14ac:dyDescent="0.25">
      <c r="A16" s="24"/>
      <c r="M16" s="14"/>
      <c r="N16" s="14"/>
      <c r="O16" s="14"/>
    </row>
    <row r="17" spans="1:15" ht="15" customHeight="1" x14ac:dyDescent="0.25">
      <c r="A17" s="24"/>
      <c r="M17" s="14"/>
      <c r="N17" s="14"/>
      <c r="O17" s="14"/>
    </row>
    <row r="18" spans="1:15" ht="15" customHeight="1" x14ac:dyDescent="0.25">
      <c r="A18" s="24"/>
      <c r="M18" s="14"/>
      <c r="N18" s="14"/>
      <c r="O18" s="14"/>
    </row>
    <row r="19" spans="1:15" ht="15" customHeight="1" x14ac:dyDescent="0.25">
      <c r="A19" s="24"/>
      <c r="M19" s="14"/>
      <c r="N19" s="14"/>
      <c r="O19" s="14"/>
    </row>
    <row r="20" spans="1:15" ht="15" customHeight="1" x14ac:dyDescent="0.25">
      <c r="A20" s="24"/>
      <c r="M20" s="14"/>
      <c r="N20" s="14"/>
      <c r="O20" s="14"/>
    </row>
    <row r="21" spans="1:15" ht="15" customHeight="1" x14ac:dyDescent="0.25">
      <c r="A21" s="24"/>
      <c r="M21" s="14"/>
      <c r="N21" s="14"/>
      <c r="O21" s="14"/>
    </row>
    <row r="22" spans="1:15" ht="15" customHeight="1" x14ac:dyDescent="0.25">
      <c r="A22" s="24"/>
      <c r="M22" s="14"/>
      <c r="N22" s="14"/>
      <c r="O22" s="14"/>
    </row>
    <row r="23" spans="1:15" ht="15" customHeight="1" x14ac:dyDescent="0.25">
      <c r="A23" s="24"/>
      <c r="M23" s="14"/>
      <c r="N23" s="14"/>
      <c r="O23" s="14"/>
    </row>
    <row r="24" spans="1:15" ht="15" customHeight="1" x14ac:dyDescent="0.25">
      <c r="A24" s="24"/>
      <c r="M24" s="14"/>
      <c r="N24" s="14"/>
      <c r="O24" s="14"/>
    </row>
    <row r="25" spans="1:15" ht="15" customHeight="1" x14ac:dyDescent="0.25">
      <c r="A25" s="24"/>
      <c r="M25" s="14"/>
      <c r="N25" s="14"/>
      <c r="O25" s="14"/>
    </row>
    <row r="26" spans="1:15" ht="15" customHeight="1" x14ac:dyDescent="0.25">
      <c r="A26" s="24"/>
      <c r="M26" s="14"/>
      <c r="N26" s="14"/>
      <c r="O26" s="14"/>
    </row>
    <row r="27" spans="1:15" ht="15" customHeight="1" x14ac:dyDescent="0.25">
      <c r="A27" s="24"/>
      <c r="M27" s="14"/>
      <c r="N27" s="14"/>
      <c r="O27" s="14"/>
    </row>
    <row r="28" spans="1:15" ht="15" customHeight="1" x14ac:dyDescent="0.25">
      <c r="A28" s="24"/>
      <c r="M28" s="14"/>
      <c r="N28" s="14"/>
      <c r="O28" s="14"/>
    </row>
    <row r="29" spans="1:15" ht="15" customHeight="1" x14ac:dyDescent="0.25">
      <c r="A29" s="24"/>
      <c r="M29" s="14"/>
      <c r="N29" s="14"/>
      <c r="O29" s="14"/>
    </row>
    <row r="30" spans="1:15" ht="15" customHeight="1" x14ac:dyDescent="0.25">
      <c r="A30" s="24"/>
      <c r="M30" s="14"/>
      <c r="N30" s="14"/>
      <c r="O30" s="14"/>
    </row>
    <row r="31" spans="1:15" ht="15" customHeight="1" x14ac:dyDescent="0.25">
      <c r="A31" s="24"/>
      <c r="M31" s="14"/>
      <c r="N31" s="14"/>
      <c r="O31" s="14"/>
    </row>
    <row r="32" spans="1:15" ht="15" customHeight="1" x14ac:dyDescent="0.25">
      <c r="A32" s="24"/>
      <c r="M32" s="14"/>
      <c r="N32" s="14"/>
      <c r="O32" s="14"/>
    </row>
    <row r="33" spans="1:15" ht="15" customHeight="1" x14ac:dyDescent="0.25">
      <c r="A33" s="24"/>
      <c r="M33" s="14"/>
      <c r="N33" s="14"/>
      <c r="O33" s="14"/>
    </row>
    <row r="34" spans="1:15" ht="15" customHeight="1" x14ac:dyDescent="0.25">
      <c r="A34" s="24"/>
      <c r="M34" s="14"/>
      <c r="N34" s="14"/>
      <c r="O34" s="14"/>
    </row>
    <row r="35" spans="1:15" ht="15" customHeight="1" x14ac:dyDescent="0.25">
      <c r="A35" s="24"/>
      <c r="M35" s="14"/>
      <c r="N35" s="14"/>
      <c r="O35" s="14"/>
    </row>
    <row r="36" spans="1:15" ht="15" customHeight="1" x14ac:dyDescent="0.25">
      <c r="A36" s="24"/>
      <c r="M36" s="14"/>
      <c r="N36" s="14"/>
      <c r="O36" s="14"/>
    </row>
    <row r="37" spans="1:15" ht="15" customHeight="1" x14ac:dyDescent="0.25">
      <c r="A37" s="24"/>
      <c r="M37" s="14"/>
      <c r="N37" s="14"/>
      <c r="O37" s="14"/>
    </row>
    <row r="38" spans="1:15" ht="15" customHeight="1" x14ac:dyDescent="0.25">
      <c r="A38" s="24"/>
      <c r="M38" s="14"/>
      <c r="N38" s="14"/>
      <c r="O38" s="14"/>
    </row>
    <row r="39" spans="1:15" ht="15" customHeight="1" x14ac:dyDescent="0.25">
      <c r="A39" s="24"/>
      <c r="M39" s="14"/>
      <c r="N39" s="14"/>
      <c r="O39" s="14"/>
    </row>
    <row r="40" spans="1:15" ht="15" customHeight="1" x14ac:dyDescent="0.25">
      <c r="A40" s="24"/>
      <c r="M40" s="14"/>
      <c r="N40" s="14"/>
      <c r="O40" s="14"/>
    </row>
    <row r="41" spans="1:15" ht="15" customHeight="1" x14ac:dyDescent="0.25">
      <c r="A41" s="24"/>
      <c r="M41" s="14"/>
      <c r="N41" s="14"/>
      <c r="O41" s="14"/>
    </row>
    <row r="42" spans="1:15" ht="15" customHeight="1" x14ac:dyDescent="0.25">
      <c r="A42" s="24"/>
      <c r="M42" s="14"/>
      <c r="N42" s="14"/>
      <c r="O42" s="14"/>
    </row>
    <row r="43" spans="1:15" ht="15" customHeight="1" x14ac:dyDescent="0.25">
      <c r="A43" s="24"/>
      <c r="M43" s="14"/>
      <c r="N43" s="14"/>
      <c r="O43" s="14"/>
    </row>
    <row r="44" spans="1:15" ht="15" customHeight="1" x14ac:dyDescent="0.25">
      <c r="A44" s="24"/>
      <c r="M44" s="14"/>
      <c r="N44" s="14"/>
      <c r="O44" s="14"/>
    </row>
    <row r="45" spans="1:15" ht="15" customHeight="1" x14ac:dyDescent="0.25">
      <c r="A45" s="24"/>
      <c r="M45" s="14"/>
      <c r="N45" s="14"/>
      <c r="O45" s="14"/>
    </row>
    <row r="46" spans="1:15" ht="15" customHeight="1" x14ac:dyDescent="0.25">
      <c r="A46" s="24"/>
      <c r="M46" s="14"/>
      <c r="N46" s="14"/>
      <c r="O46" s="14"/>
    </row>
    <row r="47" spans="1:15" ht="15" customHeight="1" x14ac:dyDescent="0.25">
      <c r="A47" s="24"/>
      <c r="M47" s="14"/>
      <c r="N47" s="14"/>
      <c r="O47" s="14"/>
    </row>
    <row r="48" spans="1:15" ht="15" customHeight="1" x14ac:dyDescent="0.25">
      <c r="A48" s="24"/>
      <c r="M48" s="14"/>
      <c r="N48" s="14"/>
      <c r="O48" s="14"/>
    </row>
    <row r="49" spans="1:15" ht="15" customHeight="1" x14ac:dyDescent="0.25">
      <c r="A49" s="24"/>
      <c r="M49" s="14"/>
      <c r="N49" s="14"/>
      <c r="O49" s="14"/>
    </row>
    <row r="50" spans="1:15" ht="15" customHeight="1" x14ac:dyDescent="0.25">
      <c r="A50" s="24"/>
      <c r="M50" s="14"/>
      <c r="N50" s="14"/>
      <c r="O50" s="14"/>
    </row>
    <row r="51" spans="1:15" ht="15" customHeight="1" x14ac:dyDescent="0.25">
      <c r="A51" s="24"/>
      <c r="M51" s="14"/>
      <c r="N51" s="14"/>
      <c r="O51" s="14"/>
    </row>
    <row r="52" spans="1:15" ht="15" customHeight="1" x14ac:dyDescent="0.25">
      <c r="A52" s="24"/>
      <c r="M52" s="14"/>
      <c r="N52" s="14"/>
      <c r="O52" s="14"/>
    </row>
    <row r="53" spans="1:15" ht="15" customHeight="1" x14ac:dyDescent="0.25">
      <c r="A53" s="24"/>
      <c r="M53" s="14"/>
      <c r="N53" s="14"/>
      <c r="O53" s="14"/>
    </row>
    <row r="54" spans="1:15" ht="15" customHeight="1" x14ac:dyDescent="0.25">
      <c r="A54" s="24"/>
      <c r="M54" s="14"/>
      <c r="N54" s="14"/>
      <c r="O54" s="14"/>
    </row>
    <row r="55" spans="1:15" ht="15" customHeight="1" x14ac:dyDescent="0.25">
      <c r="A55" s="24"/>
      <c r="M55" s="14"/>
      <c r="N55" s="14"/>
      <c r="O55" s="14"/>
    </row>
    <row r="56" spans="1:15" ht="15" customHeight="1" x14ac:dyDescent="0.25">
      <c r="A56" s="24"/>
      <c r="M56" s="14"/>
      <c r="N56" s="14"/>
      <c r="O56" s="14"/>
    </row>
    <row r="57" spans="1:15" ht="15" customHeight="1" x14ac:dyDescent="0.25">
      <c r="A57" s="24"/>
      <c r="M57" s="14"/>
      <c r="N57" s="14"/>
      <c r="O57" s="14"/>
    </row>
    <row r="58" spans="1:15" ht="15" customHeight="1" x14ac:dyDescent="0.25">
      <c r="A58" s="24"/>
      <c r="M58" s="14"/>
      <c r="N58" s="14"/>
      <c r="O58" s="14"/>
    </row>
    <row r="59" spans="1:15" ht="15" customHeight="1" x14ac:dyDescent="0.25">
      <c r="A59" s="24"/>
      <c r="M59" s="14"/>
      <c r="N59" s="14"/>
      <c r="O59" s="14"/>
    </row>
    <row r="60" spans="1:15" ht="15" customHeight="1" x14ac:dyDescent="0.25">
      <c r="A60" s="24"/>
      <c r="M60" s="14"/>
      <c r="N60" s="14"/>
      <c r="O60" s="14"/>
    </row>
    <row r="61" spans="1:15" ht="15" customHeight="1" x14ac:dyDescent="0.25">
      <c r="A61" s="24"/>
      <c r="M61" s="14"/>
      <c r="N61" s="14"/>
      <c r="O61" s="14"/>
    </row>
    <row r="62" spans="1:15" ht="15" customHeight="1" x14ac:dyDescent="0.25">
      <c r="A62" s="24"/>
      <c r="M62" s="14"/>
      <c r="N62" s="14"/>
      <c r="O62" s="14"/>
    </row>
    <row r="63" spans="1:15" ht="15" customHeight="1" x14ac:dyDescent="0.25">
      <c r="A63" s="24"/>
      <c r="M63" s="14"/>
      <c r="N63" s="14"/>
      <c r="O63" s="14"/>
    </row>
    <row r="64" spans="1:15" ht="15" customHeight="1" x14ac:dyDescent="0.25">
      <c r="A64" s="24"/>
      <c r="M64" s="14"/>
      <c r="N64" s="14"/>
      <c r="O64" s="14"/>
    </row>
    <row r="65" spans="1:15" ht="15" customHeight="1" x14ac:dyDescent="0.25">
      <c r="A65" s="24"/>
      <c r="M65" s="14"/>
      <c r="N65" s="14"/>
      <c r="O65" s="14"/>
    </row>
    <row r="66" spans="1:15" ht="15" customHeight="1" x14ac:dyDescent="0.25">
      <c r="A66" s="24"/>
      <c r="M66" s="14"/>
      <c r="N66" s="14"/>
      <c r="O66" s="14"/>
    </row>
    <row r="67" spans="1:15" ht="15" customHeight="1" x14ac:dyDescent="0.25">
      <c r="A67" s="24"/>
      <c r="M67" s="14"/>
      <c r="N67" s="14"/>
      <c r="O67" s="14"/>
    </row>
    <row r="68" spans="1:15" ht="15" customHeight="1" x14ac:dyDescent="0.25">
      <c r="A68" s="24"/>
      <c r="M68" s="14"/>
      <c r="N68" s="14"/>
      <c r="O68" s="14"/>
    </row>
    <row r="69" spans="1:15" ht="15" customHeight="1" x14ac:dyDescent="0.25">
      <c r="A69" s="24"/>
      <c r="M69" s="14"/>
      <c r="N69" s="14"/>
      <c r="O69" s="14"/>
    </row>
    <row r="70" spans="1:15" ht="15" customHeight="1" x14ac:dyDescent="0.25">
      <c r="A70" s="24"/>
      <c r="M70" s="14"/>
      <c r="N70" s="14"/>
      <c r="O70" s="14"/>
    </row>
    <row r="71" spans="1:15" ht="15" customHeight="1" x14ac:dyDescent="0.25">
      <c r="A71" s="24"/>
      <c r="M71" s="14"/>
      <c r="N71" s="14"/>
      <c r="O71" s="14"/>
    </row>
    <row r="72" spans="1:15" ht="15" customHeight="1" x14ac:dyDescent="0.25">
      <c r="A72" s="24"/>
      <c r="M72" s="14"/>
      <c r="N72" s="14"/>
      <c r="O72" s="14"/>
    </row>
    <row r="73" spans="1:15" ht="15" customHeight="1" x14ac:dyDescent="0.25">
      <c r="A73" s="24"/>
      <c r="M73" s="14"/>
      <c r="N73" s="14"/>
      <c r="O73" s="14"/>
    </row>
    <row r="74" spans="1:15" ht="15" customHeight="1" x14ac:dyDescent="0.25">
      <c r="A74" s="24"/>
      <c r="M74" s="14"/>
      <c r="N74" s="14"/>
      <c r="O74" s="14"/>
    </row>
    <row r="75" spans="1:15" ht="15" customHeight="1" x14ac:dyDescent="0.25">
      <c r="A75" s="24"/>
      <c r="M75" s="14"/>
      <c r="N75" s="14"/>
      <c r="O75" s="14"/>
    </row>
    <row r="76" spans="1:15" ht="15" customHeight="1" x14ac:dyDescent="0.25">
      <c r="A76" s="24"/>
      <c r="M76" s="14"/>
      <c r="N76" s="14"/>
      <c r="O76" s="14"/>
    </row>
    <row r="77" spans="1:15" ht="15" customHeight="1" x14ac:dyDescent="0.25">
      <c r="A77" s="24"/>
      <c r="M77" s="14"/>
      <c r="N77" s="14"/>
      <c r="O77" s="14"/>
    </row>
    <row r="78" spans="1:15" ht="15" customHeight="1" x14ac:dyDescent="0.25">
      <c r="A78" s="24"/>
      <c r="M78" s="14"/>
      <c r="N78" s="14"/>
      <c r="O78" s="14"/>
    </row>
    <row r="79" spans="1:15" ht="15" customHeight="1" x14ac:dyDescent="0.25">
      <c r="A79" s="24"/>
      <c r="M79" s="14"/>
      <c r="N79" s="14"/>
      <c r="O79" s="14"/>
    </row>
    <row r="80" spans="1:15" ht="15" customHeight="1" x14ac:dyDescent="0.25">
      <c r="A80" s="24"/>
      <c r="M80" s="14"/>
      <c r="N80" s="14"/>
      <c r="O80" s="14"/>
    </row>
    <row r="81" spans="1:15" ht="15" customHeight="1" x14ac:dyDescent="0.25">
      <c r="A81" s="24"/>
      <c r="M81" s="14"/>
      <c r="N81" s="14"/>
      <c r="O81" s="14"/>
    </row>
    <row r="82" spans="1:15" ht="15" customHeight="1" x14ac:dyDescent="0.25">
      <c r="A82" s="24"/>
      <c r="M82" s="14"/>
      <c r="N82" s="14"/>
      <c r="O82" s="14"/>
    </row>
    <row r="83" spans="1:15" ht="15" customHeight="1" x14ac:dyDescent="0.25">
      <c r="A83" s="24"/>
      <c r="M83" s="14"/>
      <c r="N83" s="14"/>
      <c r="O83" s="14"/>
    </row>
    <row r="84" spans="1:15" ht="15" customHeight="1" x14ac:dyDescent="0.25">
      <c r="A84" s="24"/>
      <c r="M84" s="14"/>
      <c r="N84" s="14"/>
      <c r="O84" s="14"/>
    </row>
    <row r="85" spans="1:15" ht="15" customHeight="1" x14ac:dyDescent="0.25">
      <c r="A85" s="24"/>
      <c r="M85" s="14"/>
      <c r="N85" s="14"/>
      <c r="O85" s="14"/>
    </row>
    <row r="86" spans="1:15" ht="15" customHeight="1" x14ac:dyDescent="0.25">
      <c r="A86" s="24"/>
      <c r="M86" s="14"/>
      <c r="N86" s="14"/>
      <c r="O86" s="14"/>
    </row>
    <row r="87" spans="1:15" ht="15" customHeight="1" x14ac:dyDescent="0.25">
      <c r="A87" s="24"/>
      <c r="M87" s="14"/>
      <c r="N87" s="14"/>
      <c r="O87" s="14"/>
    </row>
    <row r="88" spans="1:15" ht="15" customHeight="1" x14ac:dyDescent="0.25">
      <c r="A88" s="24"/>
      <c r="M88" s="14"/>
      <c r="N88" s="14"/>
      <c r="O88" s="14"/>
    </row>
    <row r="89" spans="1:15" ht="15" customHeight="1" x14ac:dyDescent="0.25">
      <c r="A89" s="24"/>
      <c r="M89" s="14"/>
      <c r="N89" s="14"/>
      <c r="O89" s="14"/>
    </row>
    <row r="90" spans="1:15" ht="15" customHeight="1" x14ac:dyDescent="0.25">
      <c r="A90" s="24"/>
      <c r="M90" s="14"/>
      <c r="N90" s="14"/>
      <c r="O90" s="14"/>
    </row>
    <row r="91" spans="1:15" ht="15" customHeight="1" x14ac:dyDescent="0.25">
      <c r="A91" s="24"/>
      <c r="M91" s="14"/>
      <c r="N91" s="14"/>
      <c r="O91" s="14"/>
    </row>
    <row r="92" spans="1:15" ht="15" customHeight="1" x14ac:dyDescent="0.25">
      <c r="A92" s="24"/>
      <c r="M92" s="14"/>
      <c r="N92" s="14"/>
      <c r="O92" s="14"/>
    </row>
    <row r="93" spans="1:15" ht="15" customHeight="1" x14ac:dyDescent="0.25">
      <c r="A93" s="24"/>
      <c r="M93" s="14"/>
      <c r="N93" s="14"/>
      <c r="O93" s="14"/>
    </row>
    <row r="94" spans="1:15" ht="15" customHeight="1" x14ac:dyDescent="0.25">
      <c r="A94" s="24"/>
      <c r="M94" s="14"/>
      <c r="N94" s="14"/>
      <c r="O94" s="14"/>
    </row>
    <row r="95" spans="1:15" ht="15" customHeight="1" x14ac:dyDescent="0.25">
      <c r="A95" s="24"/>
      <c r="M95" s="14"/>
      <c r="N95" s="14"/>
      <c r="O95" s="14"/>
    </row>
    <row r="96" spans="1:15" ht="15" customHeight="1" x14ac:dyDescent="0.25">
      <c r="A96" s="24"/>
      <c r="M96" s="14"/>
      <c r="N96" s="14"/>
      <c r="O96" s="14"/>
    </row>
    <row r="97" spans="1:15" ht="15" customHeight="1" x14ac:dyDescent="0.25">
      <c r="A97" s="24"/>
      <c r="M97" s="14"/>
      <c r="N97" s="14"/>
      <c r="O97" s="14"/>
    </row>
    <row r="98" spans="1:15" ht="15" customHeight="1" x14ac:dyDescent="0.25">
      <c r="A98" s="24"/>
      <c r="M98" s="14"/>
      <c r="N98" s="14"/>
      <c r="O98" s="14"/>
    </row>
    <row r="99" spans="1:15" ht="15" customHeight="1" x14ac:dyDescent="0.25">
      <c r="A99" s="24"/>
      <c r="M99" s="14"/>
      <c r="N99" s="14"/>
      <c r="O99" s="14"/>
    </row>
    <row r="100" spans="1:15" ht="15" customHeight="1" x14ac:dyDescent="0.25">
      <c r="A100" s="24"/>
      <c r="M100" s="14"/>
      <c r="N100" s="14"/>
      <c r="O100" s="14"/>
    </row>
    <row r="101" spans="1:15" ht="15" customHeight="1" x14ac:dyDescent="0.25">
      <c r="A101" s="24"/>
      <c r="M101" s="14"/>
      <c r="N101" s="14"/>
      <c r="O101" s="14"/>
    </row>
    <row r="102" spans="1:15" ht="15" customHeight="1" x14ac:dyDescent="0.25">
      <c r="A102" s="24"/>
      <c r="M102" s="14"/>
      <c r="N102" s="14"/>
      <c r="O102" s="14"/>
    </row>
    <row r="103" spans="1:15" ht="15" customHeight="1" x14ac:dyDescent="0.25">
      <c r="A103" s="24"/>
      <c r="M103" s="14"/>
      <c r="N103" s="14"/>
      <c r="O103" s="14"/>
    </row>
    <row r="104" spans="1:15" ht="15" customHeight="1" x14ac:dyDescent="0.25">
      <c r="A104" s="24"/>
      <c r="M104" s="14"/>
      <c r="N104" s="14"/>
      <c r="O104" s="14"/>
    </row>
    <row r="105" spans="1:15" ht="15" customHeight="1" x14ac:dyDescent="0.25">
      <c r="A105" s="24"/>
      <c r="M105" s="14"/>
      <c r="N105" s="14"/>
      <c r="O105" s="14"/>
    </row>
    <row r="106" spans="1:15" ht="15" customHeight="1" x14ac:dyDescent="0.25">
      <c r="A106" s="24"/>
      <c r="M106" s="14"/>
      <c r="N106" s="14"/>
      <c r="O106" s="14"/>
    </row>
    <row r="107" spans="1:15" ht="15" customHeight="1" x14ac:dyDescent="0.25">
      <c r="A107" s="24"/>
      <c r="M107" s="14"/>
      <c r="N107" s="14"/>
      <c r="O107" s="14"/>
    </row>
    <row r="108" spans="1:15" ht="15" customHeight="1" x14ac:dyDescent="0.25">
      <c r="A108" s="24"/>
      <c r="M108" s="14"/>
      <c r="N108" s="14"/>
      <c r="O108" s="14"/>
    </row>
    <row r="109" spans="1:15" ht="15" customHeight="1" x14ac:dyDescent="0.25">
      <c r="A109" s="24"/>
      <c r="M109" s="14"/>
      <c r="N109" s="14"/>
      <c r="O109" s="14"/>
    </row>
    <row r="110" spans="1:15" ht="15" customHeight="1" x14ac:dyDescent="0.25">
      <c r="A110" s="24"/>
      <c r="M110" s="14"/>
      <c r="N110" s="14"/>
      <c r="O110" s="14"/>
    </row>
    <row r="111" spans="1:15" ht="15" customHeight="1" x14ac:dyDescent="0.25">
      <c r="A111" s="24"/>
      <c r="M111" s="14"/>
      <c r="N111" s="14"/>
      <c r="O111" s="14"/>
    </row>
    <row r="112" spans="1:15" ht="15" customHeight="1" x14ac:dyDescent="0.25">
      <c r="A112" s="24"/>
      <c r="M112" s="14"/>
      <c r="N112" s="14"/>
      <c r="O112" s="14"/>
    </row>
    <row r="113" spans="1:15" ht="15" customHeight="1" x14ac:dyDescent="0.25">
      <c r="A113" s="24"/>
      <c r="M113" s="14"/>
      <c r="N113" s="14"/>
      <c r="O113" s="14"/>
    </row>
    <row r="114" spans="1:15" ht="15" customHeight="1" x14ac:dyDescent="0.25">
      <c r="A114" s="24"/>
      <c r="M114" s="14"/>
      <c r="N114" s="14"/>
      <c r="O114" s="14"/>
    </row>
    <row r="115" spans="1:15" ht="15" customHeight="1" x14ac:dyDescent="0.25">
      <c r="A115" s="24"/>
      <c r="M115" s="14"/>
      <c r="N115" s="14"/>
      <c r="O115" s="14"/>
    </row>
    <row r="116" spans="1:15" ht="15" customHeight="1" x14ac:dyDescent="0.25">
      <c r="A116" s="24"/>
      <c r="M116" s="14"/>
      <c r="N116" s="14"/>
      <c r="O116" s="14"/>
    </row>
    <row r="117" spans="1:15" ht="15" customHeight="1" x14ac:dyDescent="0.25">
      <c r="A117" s="24"/>
      <c r="M117" s="14"/>
      <c r="N117" s="14"/>
      <c r="O117" s="14"/>
    </row>
    <row r="118" spans="1:15" ht="15" customHeight="1" x14ac:dyDescent="0.25">
      <c r="A118" s="24"/>
      <c r="M118" s="14"/>
      <c r="N118" s="14"/>
      <c r="O118" s="14"/>
    </row>
    <row r="119" spans="1:15" ht="15" customHeight="1" x14ac:dyDescent="0.25">
      <c r="A119" s="24"/>
      <c r="M119" s="14"/>
      <c r="N119" s="14"/>
      <c r="O119" s="14"/>
    </row>
    <row r="120" spans="1:15" ht="15" customHeight="1" x14ac:dyDescent="0.25">
      <c r="A120" s="24"/>
      <c r="M120" s="14"/>
      <c r="N120" s="14"/>
      <c r="O120" s="14"/>
    </row>
    <row r="121" spans="1:15" ht="15" customHeight="1" x14ac:dyDescent="0.25">
      <c r="A121" s="24"/>
      <c r="M121" s="14"/>
      <c r="N121" s="14"/>
      <c r="O121" s="14"/>
    </row>
    <row r="122" spans="1:15" ht="15" customHeight="1" x14ac:dyDescent="0.25">
      <c r="A122" s="24"/>
      <c r="M122" s="14"/>
      <c r="N122" s="14"/>
      <c r="O122" s="14"/>
    </row>
    <row r="123" spans="1:15" ht="15" customHeight="1" x14ac:dyDescent="0.25">
      <c r="A123" s="24"/>
      <c r="M123" s="14"/>
      <c r="N123" s="14"/>
      <c r="O123" s="14"/>
    </row>
    <row r="124" spans="1:15" ht="15" customHeight="1" x14ac:dyDescent="0.25">
      <c r="A124" s="24"/>
      <c r="M124" s="14"/>
      <c r="N124" s="14"/>
      <c r="O124" s="14"/>
    </row>
    <row r="125" spans="1:15" ht="15" customHeight="1" x14ac:dyDescent="0.25">
      <c r="A125" s="24"/>
      <c r="M125" s="14"/>
      <c r="N125" s="14"/>
      <c r="O125" s="14"/>
    </row>
    <row r="126" spans="1:15" ht="15" customHeight="1" x14ac:dyDescent="0.25">
      <c r="A126" s="24"/>
      <c r="M126" s="14"/>
      <c r="N126" s="14"/>
      <c r="O126" s="14"/>
    </row>
    <row r="127" spans="1:15" ht="15" customHeight="1" x14ac:dyDescent="0.25">
      <c r="A127" s="24"/>
      <c r="M127" s="14"/>
      <c r="N127" s="14"/>
      <c r="O127" s="14"/>
    </row>
    <row r="128" spans="1:15" ht="15" customHeight="1" x14ac:dyDescent="0.25">
      <c r="A128" s="24"/>
      <c r="M128" s="14"/>
      <c r="N128" s="14"/>
      <c r="O128" s="14"/>
    </row>
    <row r="129" spans="1:15" ht="15" customHeight="1" x14ac:dyDescent="0.25">
      <c r="A129" s="24"/>
      <c r="M129" s="14"/>
      <c r="N129" s="14"/>
      <c r="O129" s="14"/>
    </row>
    <row r="130" spans="1:15" ht="15" customHeight="1" x14ac:dyDescent="0.25">
      <c r="A130" s="24"/>
      <c r="M130" s="14"/>
      <c r="N130" s="14"/>
      <c r="O130" s="14"/>
    </row>
    <row r="131" spans="1:15" ht="15" customHeight="1" x14ac:dyDescent="0.25">
      <c r="A131" s="24"/>
      <c r="M131" s="14"/>
      <c r="N131" s="14"/>
      <c r="O131" s="14"/>
    </row>
    <row r="132" spans="1:15" ht="15" customHeight="1" x14ac:dyDescent="0.25">
      <c r="A132" s="24"/>
      <c r="M132" s="14"/>
      <c r="N132" s="14"/>
      <c r="O132" s="14"/>
    </row>
    <row r="133" spans="1:15" ht="15" customHeight="1" x14ac:dyDescent="0.25">
      <c r="A133" s="24"/>
      <c r="M133" s="14"/>
      <c r="N133" s="14"/>
      <c r="O133" s="14"/>
    </row>
    <row r="134" spans="1:15" ht="15" customHeight="1" x14ac:dyDescent="0.25">
      <c r="A134" s="24"/>
      <c r="M134" s="14"/>
      <c r="N134" s="14"/>
      <c r="O134" s="14"/>
    </row>
    <row r="135" spans="1:15" ht="15" customHeight="1" x14ac:dyDescent="0.25">
      <c r="A135" s="24"/>
      <c r="M135" s="14"/>
      <c r="N135" s="14"/>
      <c r="O135" s="14"/>
    </row>
    <row r="136" spans="1:15" ht="15" customHeight="1" x14ac:dyDescent="0.25">
      <c r="A136" s="24"/>
      <c r="M136" s="14"/>
      <c r="N136" s="14"/>
      <c r="O136" s="14"/>
    </row>
    <row r="137" spans="1:15" ht="15" customHeight="1" x14ac:dyDescent="0.25">
      <c r="A137" s="24"/>
      <c r="M137" s="14"/>
      <c r="N137" s="14"/>
      <c r="O137" s="14"/>
    </row>
    <row r="138" spans="1:15" ht="15" customHeight="1" x14ac:dyDescent="0.25">
      <c r="A138" s="24"/>
      <c r="M138" s="14"/>
      <c r="N138" s="14"/>
      <c r="O138" s="14"/>
    </row>
    <row r="139" spans="1:15" ht="15" customHeight="1" x14ac:dyDescent="0.25">
      <c r="A139" s="24"/>
      <c r="M139" s="14"/>
      <c r="N139" s="14"/>
      <c r="O139" s="14"/>
    </row>
    <row r="140" spans="1:15" ht="15" customHeight="1" x14ac:dyDescent="0.25">
      <c r="A140" s="24"/>
      <c r="M140" s="14"/>
      <c r="N140" s="14"/>
      <c r="O140" s="14"/>
    </row>
    <row r="141" spans="1:15" ht="15" customHeight="1" x14ac:dyDescent="0.25">
      <c r="A141" s="24"/>
      <c r="M141" s="14"/>
      <c r="N141" s="14"/>
      <c r="O141" s="14"/>
    </row>
    <row r="142" spans="1:15" ht="15" customHeight="1" x14ac:dyDescent="0.25">
      <c r="A142" s="24"/>
      <c r="M142" s="14"/>
      <c r="N142" s="14"/>
      <c r="O142" s="14"/>
    </row>
    <row r="143" spans="1:15" ht="15" customHeight="1" x14ac:dyDescent="0.25">
      <c r="A143" s="24"/>
      <c r="M143" s="14"/>
      <c r="N143" s="14"/>
      <c r="O143" s="14"/>
    </row>
    <row r="144" spans="1:15" ht="15" customHeight="1" x14ac:dyDescent="0.25">
      <c r="A144" s="24"/>
      <c r="M144" s="14"/>
      <c r="N144" s="14"/>
      <c r="O144" s="14"/>
    </row>
    <row r="145" spans="1:15" ht="15" customHeight="1" x14ac:dyDescent="0.25">
      <c r="A145" s="24"/>
      <c r="M145" s="14"/>
      <c r="N145" s="14"/>
      <c r="O145" s="14"/>
    </row>
    <row r="146" spans="1:15" ht="15" customHeight="1" x14ac:dyDescent="0.25">
      <c r="A146" s="24"/>
      <c r="M146" s="14"/>
      <c r="N146" s="14"/>
      <c r="O146" s="14"/>
    </row>
    <row r="147" spans="1:15" ht="15" customHeight="1" x14ac:dyDescent="0.25">
      <c r="A147" s="24"/>
      <c r="M147" s="14"/>
      <c r="N147" s="14"/>
      <c r="O147" s="14"/>
    </row>
    <row r="148" spans="1:15" ht="15" customHeight="1" x14ac:dyDescent="0.25">
      <c r="A148" s="24"/>
      <c r="M148" s="14"/>
      <c r="N148" s="14"/>
      <c r="O148" s="14"/>
    </row>
    <row r="149" spans="1:15" ht="15" customHeight="1" x14ac:dyDescent="0.25">
      <c r="A149" s="24"/>
      <c r="M149" s="14"/>
      <c r="N149" s="14"/>
      <c r="O149" s="14"/>
    </row>
    <row r="150" spans="1:15" ht="15" customHeight="1" x14ac:dyDescent="0.25">
      <c r="A150" s="24"/>
      <c r="M150" s="14"/>
      <c r="N150" s="14"/>
      <c r="O150" s="14"/>
    </row>
    <row r="151" spans="1:15" ht="15" customHeight="1" x14ac:dyDescent="0.25">
      <c r="A151" s="24"/>
      <c r="M151" s="14"/>
      <c r="N151" s="14"/>
      <c r="O151" s="14"/>
    </row>
    <row r="152" spans="1:15" ht="15" customHeight="1" x14ac:dyDescent="0.25">
      <c r="A152" s="24"/>
      <c r="M152" s="14"/>
      <c r="N152" s="14"/>
      <c r="O152" s="14"/>
    </row>
    <row r="153" spans="1:15" ht="15" customHeight="1" x14ac:dyDescent="0.25">
      <c r="A153" s="24"/>
      <c r="M153" s="14"/>
      <c r="N153" s="14"/>
      <c r="O153" s="14"/>
    </row>
    <row r="154" spans="1:15" ht="15" customHeight="1" x14ac:dyDescent="0.25">
      <c r="A154" s="24"/>
      <c r="M154" s="14"/>
      <c r="N154" s="14"/>
      <c r="O154" s="14"/>
    </row>
    <row r="155" spans="1:15" ht="15" customHeight="1" x14ac:dyDescent="0.25">
      <c r="A155" s="24"/>
      <c r="M155" s="14"/>
      <c r="N155" s="14"/>
      <c r="O155" s="14"/>
    </row>
    <row r="156" spans="1:15" ht="15" customHeight="1" x14ac:dyDescent="0.25">
      <c r="A156" s="24"/>
      <c r="M156" s="14"/>
      <c r="N156" s="14"/>
      <c r="O156" s="14"/>
    </row>
    <row r="157" spans="1:15" ht="15" customHeight="1" x14ac:dyDescent="0.25">
      <c r="A157" s="24"/>
      <c r="M157" s="14"/>
      <c r="N157" s="14"/>
      <c r="O157" s="14"/>
    </row>
    <row r="158" spans="1:15" ht="15" customHeight="1" x14ac:dyDescent="0.25">
      <c r="A158" s="24"/>
      <c r="M158" s="14"/>
      <c r="N158" s="14"/>
      <c r="O158" s="14"/>
    </row>
    <row r="159" spans="1:15" ht="15" customHeight="1" x14ac:dyDescent="0.25">
      <c r="A159" s="24"/>
      <c r="M159" s="14"/>
      <c r="N159" s="14"/>
      <c r="O159" s="14"/>
    </row>
    <row r="160" spans="1:15" ht="15" customHeight="1" x14ac:dyDescent="0.25">
      <c r="A160" s="24"/>
      <c r="M160" s="14"/>
      <c r="N160" s="14"/>
      <c r="O160" s="14"/>
    </row>
    <row r="161" spans="1:15" ht="15" customHeight="1" x14ac:dyDescent="0.25">
      <c r="A161" s="24"/>
      <c r="M161" s="14"/>
      <c r="N161" s="14"/>
      <c r="O161" s="14"/>
    </row>
    <row r="162" spans="1:15" ht="15" customHeight="1" x14ac:dyDescent="0.25">
      <c r="A162" s="24"/>
      <c r="M162" s="14"/>
      <c r="N162" s="14"/>
      <c r="O162" s="14"/>
    </row>
    <row r="163" spans="1:15" ht="15" customHeight="1" x14ac:dyDescent="0.25">
      <c r="A163" s="24"/>
      <c r="M163" s="14"/>
      <c r="N163" s="14"/>
      <c r="O163" s="14"/>
    </row>
    <row r="164" spans="1:15" ht="15" customHeight="1" x14ac:dyDescent="0.25">
      <c r="A164" s="24"/>
      <c r="M164" s="14"/>
      <c r="N164" s="14"/>
      <c r="O164" s="14"/>
    </row>
    <row r="165" spans="1:15" ht="15" customHeight="1" x14ac:dyDescent="0.25">
      <c r="A165" s="24"/>
      <c r="M165" s="14"/>
      <c r="N165" s="14"/>
      <c r="O165" s="14"/>
    </row>
    <row r="166" spans="1:15" ht="15" customHeight="1" x14ac:dyDescent="0.25">
      <c r="A166" s="24"/>
      <c r="M166" s="14"/>
      <c r="N166" s="14"/>
      <c r="O166" s="14"/>
    </row>
    <row r="167" spans="1:15" ht="15" customHeight="1" x14ac:dyDescent="0.25">
      <c r="A167" s="24"/>
      <c r="M167" s="14"/>
      <c r="N167" s="14"/>
      <c r="O167" s="14"/>
    </row>
    <row r="168" spans="1:15" ht="15" customHeight="1" x14ac:dyDescent="0.25">
      <c r="A168" s="24"/>
      <c r="M168" s="14"/>
      <c r="N168" s="14"/>
      <c r="O168" s="14"/>
    </row>
    <row r="169" spans="1:15" ht="15" customHeight="1" x14ac:dyDescent="0.25">
      <c r="A169" s="24"/>
      <c r="M169" s="14"/>
      <c r="N169" s="14"/>
      <c r="O169" s="14"/>
    </row>
    <row r="170" spans="1:15" ht="15" customHeight="1" x14ac:dyDescent="0.25">
      <c r="A170" s="24"/>
      <c r="M170" s="14"/>
      <c r="N170" s="14"/>
      <c r="O170" s="14"/>
    </row>
    <row r="171" spans="1:15" ht="15" customHeight="1" x14ac:dyDescent="0.25">
      <c r="A171" s="24"/>
      <c r="M171" s="14"/>
      <c r="N171" s="14"/>
      <c r="O171" s="14"/>
    </row>
    <row r="172" spans="1:15" ht="15" customHeight="1" x14ac:dyDescent="0.25">
      <c r="A172" s="24"/>
      <c r="M172" s="14"/>
      <c r="N172" s="14"/>
      <c r="O172" s="14"/>
    </row>
    <row r="173" spans="1:15" ht="15" customHeight="1" x14ac:dyDescent="0.25">
      <c r="A173" s="24"/>
      <c r="M173" s="14"/>
      <c r="N173" s="14"/>
      <c r="O173" s="14"/>
    </row>
    <row r="174" spans="1:15" ht="15" customHeight="1" x14ac:dyDescent="0.25">
      <c r="A174" s="24"/>
      <c r="M174" s="14"/>
      <c r="N174" s="14"/>
      <c r="O174" s="14"/>
    </row>
    <row r="175" spans="1:15" ht="15" customHeight="1" x14ac:dyDescent="0.25">
      <c r="A175" s="24"/>
      <c r="M175" s="14"/>
      <c r="N175" s="14"/>
      <c r="O175" s="14"/>
    </row>
    <row r="176" spans="1:15" ht="15" customHeight="1" x14ac:dyDescent="0.25">
      <c r="A176" s="24"/>
      <c r="M176" s="14"/>
      <c r="N176" s="14"/>
      <c r="O176" s="14"/>
    </row>
    <row r="177" spans="1:15" ht="15" customHeight="1" x14ac:dyDescent="0.25">
      <c r="A177" s="24"/>
      <c r="M177" s="14"/>
      <c r="N177" s="14"/>
      <c r="O177" s="14"/>
    </row>
    <row r="178" spans="1:15" ht="15" customHeight="1" x14ac:dyDescent="0.25">
      <c r="A178" s="24"/>
      <c r="M178" s="14"/>
      <c r="N178" s="14"/>
      <c r="O178" s="14"/>
    </row>
    <row r="179" spans="1:15" ht="15" customHeight="1" x14ac:dyDescent="0.25">
      <c r="A179" s="24"/>
      <c r="M179" s="14"/>
      <c r="N179" s="14"/>
      <c r="O179" s="14"/>
    </row>
    <row r="180" spans="1:15" ht="15" customHeight="1" x14ac:dyDescent="0.25">
      <c r="A180" s="24"/>
      <c r="M180" s="14"/>
      <c r="N180" s="14"/>
      <c r="O180" s="14"/>
    </row>
    <row r="181" spans="1:15" ht="15" customHeight="1" x14ac:dyDescent="0.25">
      <c r="A181" s="24"/>
      <c r="M181" s="14"/>
      <c r="N181" s="14"/>
      <c r="O181" s="14"/>
    </row>
    <row r="182" spans="1:15" ht="15" customHeight="1" x14ac:dyDescent="0.25">
      <c r="A182" s="24"/>
      <c r="M182" s="14"/>
      <c r="N182" s="14"/>
      <c r="O182" s="14"/>
    </row>
    <row r="183" spans="1:15" ht="15" customHeight="1" x14ac:dyDescent="0.25">
      <c r="A183" s="24"/>
      <c r="M183" s="14"/>
      <c r="N183" s="14"/>
      <c r="O183" s="14"/>
    </row>
    <row r="184" spans="1:15" ht="15" customHeight="1" x14ac:dyDescent="0.25">
      <c r="A184" s="24"/>
      <c r="M184" s="14"/>
      <c r="N184" s="14"/>
      <c r="O184" s="14"/>
    </row>
    <row r="185" spans="1:15" ht="15" customHeight="1" x14ac:dyDescent="0.25">
      <c r="A185" s="24"/>
      <c r="M185" s="14"/>
      <c r="N185" s="14"/>
      <c r="O185" s="14"/>
    </row>
    <row r="186" spans="1:15" ht="15" customHeight="1" x14ac:dyDescent="0.25">
      <c r="A186" s="24"/>
      <c r="M186" s="14"/>
      <c r="N186" s="14"/>
      <c r="O186" s="14"/>
    </row>
    <row r="187" spans="1:15" ht="15" customHeight="1" x14ac:dyDescent="0.25">
      <c r="A187" s="24"/>
      <c r="M187" s="14"/>
      <c r="N187" s="14"/>
      <c r="O187" s="14"/>
    </row>
    <row r="188" spans="1:15" ht="15" customHeight="1" x14ac:dyDescent="0.25">
      <c r="A188" s="24"/>
      <c r="M188" s="14"/>
      <c r="N188" s="14"/>
      <c r="O188" s="14"/>
    </row>
    <row r="189" spans="1:15" ht="15" customHeight="1" x14ac:dyDescent="0.25">
      <c r="A189" s="24"/>
      <c r="M189" s="14"/>
      <c r="N189" s="14"/>
      <c r="O189" s="14"/>
    </row>
    <row r="190" spans="1:15" ht="15" customHeight="1" x14ac:dyDescent="0.25">
      <c r="A190" s="24"/>
      <c r="M190" s="14"/>
      <c r="N190" s="14"/>
      <c r="O190" s="14"/>
    </row>
    <row r="191" spans="1:15" ht="15" customHeight="1" x14ac:dyDescent="0.25">
      <c r="A191" s="24"/>
      <c r="M191" s="14"/>
      <c r="N191" s="14"/>
      <c r="O191" s="14"/>
    </row>
    <row r="192" spans="1:15" ht="15" customHeight="1" x14ac:dyDescent="0.25">
      <c r="A192" s="24"/>
      <c r="M192" s="14"/>
      <c r="N192" s="14"/>
      <c r="O192" s="14"/>
    </row>
    <row r="193" spans="1:15" ht="15" customHeight="1" x14ac:dyDescent="0.25">
      <c r="A193" s="24"/>
      <c r="M193" s="14"/>
      <c r="N193" s="14"/>
      <c r="O193" s="14"/>
    </row>
    <row r="194" spans="1:15" ht="15" customHeight="1" x14ac:dyDescent="0.25">
      <c r="A194" s="24"/>
      <c r="M194" s="14"/>
      <c r="N194" s="14"/>
      <c r="O194" s="14"/>
    </row>
    <row r="195" spans="1:15" ht="15" customHeight="1" x14ac:dyDescent="0.25">
      <c r="A195" s="24"/>
      <c r="M195" s="14"/>
      <c r="N195" s="14"/>
      <c r="O195" s="14"/>
    </row>
    <row r="196" spans="1:15" ht="15" customHeight="1" x14ac:dyDescent="0.25">
      <c r="A196" s="24"/>
      <c r="M196" s="14"/>
      <c r="N196" s="14"/>
      <c r="O196" s="14"/>
    </row>
    <row r="197" spans="1:15" ht="15" customHeight="1" x14ac:dyDescent="0.25">
      <c r="A197" s="24"/>
      <c r="M197" s="14"/>
      <c r="N197" s="14"/>
      <c r="O197" s="14"/>
    </row>
    <row r="198" spans="1:15" ht="15" customHeight="1" x14ac:dyDescent="0.25">
      <c r="A198" s="24"/>
      <c r="M198" s="14"/>
      <c r="N198" s="14"/>
      <c r="O198" s="14"/>
    </row>
    <row r="199" spans="1:15" ht="15" customHeight="1" x14ac:dyDescent="0.25">
      <c r="A199" s="24"/>
      <c r="M199" s="14"/>
      <c r="N199" s="14"/>
      <c r="O199" s="14"/>
    </row>
    <row r="200" spans="1:15" ht="15" customHeight="1" x14ac:dyDescent="0.25">
      <c r="A200" s="24"/>
      <c r="M200" s="14"/>
      <c r="N200" s="14"/>
      <c r="O200" s="14"/>
    </row>
    <row r="201" spans="1:15" ht="15" customHeight="1" x14ac:dyDescent="0.25">
      <c r="A201" s="24"/>
      <c r="M201" s="14"/>
      <c r="N201" s="14"/>
      <c r="O201" s="14"/>
    </row>
    <row r="202" spans="1:15" ht="15" customHeight="1" x14ac:dyDescent="0.25">
      <c r="M202" s="14"/>
      <c r="N202" s="14"/>
      <c r="O202" s="14"/>
    </row>
    <row r="203" spans="1:15" ht="15" customHeight="1" x14ac:dyDescent="0.25">
      <c r="M203" s="14"/>
      <c r="N203" s="14"/>
      <c r="O203" s="14"/>
    </row>
    <row r="204" spans="1:15" ht="15" customHeight="1" x14ac:dyDescent="0.25">
      <c r="M204" s="14"/>
      <c r="N204" s="14"/>
      <c r="O204" s="14"/>
    </row>
    <row r="205" spans="1:15" ht="15" customHeight="1" x14ac:dyDescent="0.25">
      <c r="M205" s="14"/>
      <c r="N205" s="14"/>
      <c r="O205" s="14"/>
    </row>
    <row r="206" spans="1:15" ht="15" customHeight="1" x14ac:dyDescent="0.25">
      <c r="M206" s="14"/>
      <c r="N206" s="14"/>
      <c r="O206" s="14"/>
    </row>
    <row r="207" spans="1:15" ht="15" customHeight="1" x14ac:dyDescent="0.25">
      <c r="M207" s="14"/>
      <c r="N207" s="14"/>
      <c r="O207" s="14"/>
    </row>
    <row r="208" spans="1:15" ht="15" customHeight="1" x14ac:dyDescent="0.25">
      <c r="M208" s="14"/>
      <c r="N208" s="14"/>
      <c r="O208" s="14"/>
    </row>
    <row r="209" spans="13:15" ht="15" customHeight="1" x14ac:dyDescent="0.25">
      <c r="M209" s="14"/>
      <c r="N209" s="14"/>
      <c r="O209" s="14"/>
    </row>
    <row r="210" spans="13:15" ht="15" customHeight="1" x14ac:dyDescent="0.25">
      <c r="M210" s="14"/>
      <c r="N210" s="14"/>
      <c r="O210" s="14"/>
    </row>
    <row r="211" spans="13:15" ht="15" customHeight="1" x14ac:dyDescent="0.25">
      <c r="M211" s="14"/>
      <c r="N211" s="14"/>
      <c r="O211" s="14"/>
    </row>
    <row r="212" spans="13:15" ht="15" customHeight="1" x14ac:dyDescent="0.25">
      <c r="M212" s="14"/>
      <c r="N212" s="14"/>
      <c r="O212" s="14"/>
    </row>
    <row r="213" spans="13:15" ht="15" customHeight="1" x14ac:dyDescent="0.25">
      <c r="M213" s="14"/>
      <c r="N213" s="14"/>
      <c r="O213" s="14"/>
    </row>
    <row r="214" spans="13:15" ht="15" customHeight="1" x14ac:dyDescent="0.25">
      <c r="M214" s="14"/>
      <c r="N214" s="14"/>
      <c r="O214" s="14"/>
    </row>
    <row r="215" spans="13:15" ht="15" customHeight="1" x14ac:dyDescent="0.25">
      <c r="M215" s="14"/>
      <c r="N215" s="14"/>
      <c r="O215" s="14"/>
    </row>
    <row r="216" spans="13:15" ht="15" customHeight="1" x14ac:dyDescent="0.25">
      <c r="M216" s="14"/>
      <c r="N216" s="14"/>
      <c r="O216" s="14"/>
    </row>
    <row r="217" spans="13:15" ht="15" customHeight="1" x14ac:dyDescent="0.25">
      <c r="M217" s="14"/>
      <c r="N217" s="14"/>
      <c r="O217" s="14"/>
    </row>
    <row r="218" spans="13:15" ht="15" customHeight="1" x14ac:dyDescent="0.25">
      <c r="M218" s="14"/>
      <c r="N218" s="14"/>
      <c r="O218" s="14"/>
    </row>
    <row r="219" spans="13:15" ht="15" customHeight="1" x14ac:dyDescent="0.25">
      <c r="M219" s="14"/>
      <c r="N219" s="14"/>
      <c r="O219" s="14"/>
    </row>
    <row r="220" spans="13:15" ht="15" customHeight="1" x14ac:dyDescent="0.25">
      <c r="M220" s="14"/>
      <c r="N220" s="14"/>
      <c r="O220" s="14"/>
    </row>
    <row r="221" spans="13:15" ht="15" customHeight="1" x14ac:dyDescent="0.25">
      <c r="M221" s="14"/>
      <c r="N221" s="14"/>
      <c r="O221" s="14"/>
    </row>
    <row r="222" spans="13:15" ht="15" customHeight="1" x14ac:dyDescent="0.25">
      <c r="M222" s="14"/>
      <c r="N222" s="14"/>
      <c r="O222" s="14"/>
    </row>
    <row r="223" spans="13:15" ht="15" customHeight="1" x14ac:dyDescent="0.25">
      <c r="M223" s="14"/>
      <c r="N223" s="14"/>
      <c r="O223" s="14"/>
    </row>
    <row r="224" spans="13:15" ht="15" customHeight="1" x14ac:dyDescent="0.25">
      <c r="M224" s="14"/>
      <c r="N224" s="14"/>
      <c r="O224" s="14"/>
    </row>
    <row r="225" spans="13:15" ht="15" customHeight="1" x14ac:dyDescent="0.25">
      <c r="M225" s="14"/>
      <c r="N225" s="14"/>
      <c r="O225" s="14"/>
    </row>
    <row r="226" spans="13:15" ht="15" customHeight="1" x14ac:dyDescent="0.25">
      <c r="M226" s="14"/>
      <c r="N226" s="14"/>
      <c r="O226" s="14"/>
    </row>
    <row r="227" spans="13:15" ht="15" customHeight="1" x14ac:dyDescent="0.25">
      <c r="M227" s="14"/>
      <c r="N227" s="14"/>
      <c r="O227" s="14"/>
    </row>
    <row r="228" spans="13:15" ht="15" customHeight="1" x14ac:dyDescent="0.25">
      <c r="M228" s="14"/>
      <c r="N228" s="14"/>
      <c r="O228" s="14"/>
    </row>
    <row r="229" spans="13:15" ht="15" customHeight="1" x14ac:dyDescent="0.25">
      <c r="M229" s="14"/>
      <c r="N229" s="14"/>
      <c r="O229" s="14"/>
    </row>
    <row r="230" spans="13:15" ht="15" customHeight="1" x14ac:dyDescent="0.25">
      <c r="M230" s="14"/>
      <c r="N230" s="14"/>
      <c r="O230" s="14"/>
    </row>
    <row r="231" spans="13:15" ht="15" customHeight="1" x14ac:dyDescent="0.25">
      <c r="M231" s="14"/>
      <c r="N231" s="14"/>
      <c r="O231" s="14"/>
    </row>
    <row r="232" spans="13:15" ht="15" customHeight="1" x14ac:dyDescent="0.25">
      <c r="M232" s="14"/>
      <c r="N232" s="14"/>
      <c r="O232" s="14"/>
    </row>
    <row r="233" spans="13:15" ht="15" customHeight="1" x14ac:dyDescent="0.25">
      <c r="M233" s="14"/>
      <c r="N233" s="14"/>
      <c r="O233" s="14"/>
    </row>
    <row r="234" spans="13:15" ht="15" customHeight="1" x14ac:dyDescent="0.25">
      <c r="M234" s="14"/>
      <c r="N234" s="14"/>
      <c r="O234" s="14"/>
    </row>
    <row r="235" spans="13:15" ht="15" customHeight="1" x14ac:dyDescent="0.25">
      <c r="M235" s="14"/>
      <c r="N235" s="14"/>
      <c r="O235" s="14"/>
    </row>
    <row r="236" spans="13:15" ht="15" customHeight="1" x14ac:dyDescent="0.25">
      <c r="M236" s="14"/>
      <c r="N236" s="14"/>
      <c r="O236" s="14"/>
    </row>
    <row r="237" spans="13:15" ht="15" customHeight="1" x14ac:dyDescent="0.25">
      <c r="M237" s="14"/>
      <c r="N237" s="14"/>
      <c r="O237" s="14"/>
    </row>
    <row r="238" spans="13:15" ht="15" customHeight="1" x14ac:dyDescent="0.25">
      <c r="M238" s="14"/>
      <c r="N238" s="14"/>
      <c r="O238" s="14"/>
    </row>
    <row r="239" spans="13:15" ht="15" customHeight="1" x14ac:dyDescent="0.25">
      <c r="M239" s="14"/>
      <c r="N239" s="14"/>
      <c r="O239" s="14"/>
    </row>
    <row r="240" spans="13:15" ht="15" customHeight="1" x14ac:dyDescent="0.25">
      <c r="M240" s="14"/>
      <c r="N240" s="14"/>
      <c r="O240" s="14"/>
    </row>
    <row r="241" spans="13:15" ht="15" customHeight="1" x14ac:dyDescent="0.25">
      <c r="M241" s="14"/>
      <c r="N241" s="14"/>
      <c r="O241" s="14"/>
    </row>
    <row r="242" spans="13:15" ht="15" customHeight="1" x14ac:dyDescent="0.25">
      <c r="M242" s="14"/>
      <c r="N242" s="14"/>
      <c r="O242" s="14"/>
    </row>
    <row r="243" spans="13:15" ht="15" customHeight="1" x14ac:dyDescent="0.25">
      <c r="M243" s="14"/>
      <c r="N243" s="14"/>
      <c r="O243" s="14"/>
    </row>
    <row r="244" spans="13:15" ht="15" customHeight="1" x14ac:dyDescent="0.25">
      <c r="M244" s="14"/>
      <c r="N244" s="14"/>
      <c r="O244" s="14"/>
    </row>
    <row r="245" spans="13:15" ht="15" customHeight="1" x14ac:dyDescent="0.25">
      <c r="M245" s="14"/>
      <c r="N245" s="14"/>
      <c r="O245" s="14"/>
    </row>
    <row r="246" spans="13:15" ht="15" customHeight="1" x14ac:dyDescent="0.25">
      <c r="M246" s="14"/>
      <c r="N246" s="14"/>
      <c r="O246" s="14"/>
    </row>
    <row r="247" spans="13:15" ht="15" customHeight="1" x14ac:dyDescent="0.25">
      <c r="M247" s="14"/>
      <c r="N247" s="14"/>
      <c r="O247" s="14"/>
    </row>
    <row r="248" spans="13:15" ht="15" customHeight="1" x14ac:dyDescent="0.25">
      <c r="M248" s="14"/>
      <c r="N248" s="14"/>
      <c r="O248" s="14"/>
    </row>
    <row r="249" spans="13:15" ht="15" customHeight="1" x14ac:dyDescent="0.25">
      <c r="M249" s="14"/>
      <c r="N249" s="14"/>
      <c r="O249" s="14"/>
    </row>
    <row r="250" spans="13:15" ht="15" customHeight="1" x14ac:dyDescent="0.25">
      <c r="M250" s="14"/>
      <c r="N250" s="14"/>
      <c r="O250" s="14"/>
    </row>
    <row r="251" spans="13:15" ht="15" customHeight="1" x14ac:dyDescent="0.25">
      <c r="M251" s="14"/>
      <c r="N251" s="14"/>
      <c r="O251" s="14"/>
    </row>
    <row r="252" spans="13:15" ht="15" customHeight="1" x14ac:dyDescent="0.25">
      <c r="M252" s="14"/>
      <c r="N252" s="14"/>
      <c r="O252" s="14"/>
    </row>
    <row r="253" spans="13:15" ht="15" customHeight="1" x14ac:dyDescent="0.25">
      <c r="M253" s="14"/>
      <c r="N253" s="14"/>
      <c r="O253" s="14"/>
    </row>
    <row r="254" spans="13:15" ht="15" customHeight="1" x14ac:dyDescent="0.25">
      <c r="M254" s="14"/>
      <c r="N254" s="14"/>
      <c r="O254" s="14"/>
    </row>
    <row r="255" spans="13:15" ht="15" customHeight="1" x14ac:dyDescent="0.25">
      <c r="M255" s="14"/>
      <c r="N255" s="14"/>
      <c r="O255" s="14"/>
    </row>
    <row r="256" spans="13:15" ht="15" customHeight="1" x14ac:dyDescent="0.25">
      <c r="M256" s="14"/>
      <c r="N256" s="14"/>
      <c r="O256" s="14"/>
    </row>
    <row r="257" spans="13:15" ht="15" customHeight="1" x14ac:dyDescent="0.25">
      <c r="M257" s="14"/>
      <c r="N257" s="14"/>
      <c r="O257" s="14"/>
    </row>
    <row r="258" spans="13:15" ht="15" customHeight="1" x14ac:dyDescent="0.25">
      <c r="M258" s="14"/>
      <c r="N258" s="14"/>
      <c r="O258" s="14"/>
    </row>
    <row r="259" spans="13:15" ht="15" customHeight="1" x14ac:dyDescent="0.25">
      <c r="M259" s="14"/>
      <c r="N259" s="14"/>
      <c r="O259" s="14"/>
    </row>
    <row r="260" spans="13:15" ht="15" customHeight="1" x14ac:dyDescent="0.25">
      <c r="M260" s="14"/>
      <c r="N260" s="14"/>
      <c r="O260" s="14"/>
    </row>
    <row r="261" spans="13:15" ht="15" customHeight="1" x14ac:dyDescent="0.25">
      <c r="M261" s="14"/>
      <c r="N261" s="14"/>
      <c r="O261" s="14"/>
    </row>
    <row r="262" spans="13:15" ht="15" customHeight="1" x14ac:dyDescent="0.25">
      <c r="M262" s="14"/>
      <c r="N262" s="14"/>
      <c r="O262" s="14"/>
    </row>
    <row r="263" spans="13:15" ht="15" customHeight="1" x14ac:dyDescent="0.25">
      <c r="M263" s="14"/>
      <c r="N263" s="14"/>
      <c r="O263" s="14"/>
    </row>
    <row r="264" spans="13:15" ht="15" customHeight="1" x14ac:dyDescent="0.25">
      <c r="M264" s="14"/>
      <c r="N264" s="14"/>
      <c r="O264" s="14"/>
    </row>
    <row r="265" spans="13:15" ht="15" customHeight="1" x14ac:dyDescent="0.25">
      <c r="M265" s="14"/>
      <c r="N265" s="14"/>
      <c r="O265" s="14"/>
    </row>
    <row r="266" spans="13:15" ht="15" customHeight="1" x14ac:dyDescent="0.25">
      <c r="M266" s="14"/>
      <c r="N266" s="14"/>
      <c r="O266" s="14"/>
    </row>
    <row r="267" spans="13:15" ht="15" customHeight="1" x14ac:dyDescent="0.25">
      <c r="M267" s="14"/>
      <c r="N267" s="14"/>
      <c r="O267" s="14"/>
    </row>
    <row r="268" spans="13:15" ht="15" customHeight="1" x14ac:dyDescent="0.25">
      <c r="M268" s="14"/>
      <c r="N268" s="14"/>
      <c r="O268" s="14"/>
    </row>
    <row r="269" spans="13:15" ht="15" customHeight="1" x14ac:dyDescent="0.25">
      <c r="M269" s="14"/>
      <c r="N269" s="14"/>
      <c r="O269" s="14"/>
    </row>
    <row r="270" spans="13:15" ht="15" customHeight="1" x14ac:dyDescent="0.25">
      <c r="M270" s="14"/>
      <c r="N270" s="14"/>
      <c r="O270" s="14"/>
    </row>
    <row r="271" spans="13:15" ht="15" customHeight="1" x14ac:dyDescent="0.25">
      <c r="M271" s="14"/>
      <c r="N271" s="14"/>
      <c r="O271" s="14"/>
    </row>
    <row r="272" spans="13:15" ht="15" customHeight="1" x14ac:dyDescent="0.25">
      <c r="M272" s="14"/>
      <c r="N272" s="14"/>
      <c r="O272" s="14"/>
    </row>
    <row r="273" spans="13:15" ht="15" customHeight="1" x14ac:dyDescent="0.25">
      <c r="M273" s="14"/>
      <c r="N273" s="14"/>
      <c r="O273" s="14"/>
    </row>
    <row r="274" spans="13:15" ht="15" customHeight="1" x14ac:dyDescent="0.25">
      <c r="M274" s="14"/>
      <c r="N274" s="14"/>
      <c r="O274" s="14"/>
    </row>
    <row r="275" spans="13:15" ht="15" customHeight="1" x14ac:dyDescent="0.25">
      <c r="M275" s="14"/>
      <c r="N275" s="14"/>
      <c r="O275" s="14"/>
    </row>
    <row r="276" spans="13:15" ht="15" customHeight="1" x14ac:dyDescent="0.25">
      <c r="M276" s="14"/>
      <c r="N276" s="14"/>
      <c r="O276" s="14"/>
    </row>
    <row r="277" spans="13:15" ht="15" customHeight="1" x14ac:dyDescent="0.25">
      <c r="M277" s="14"/>
      <c r="N277" s="14"/>
      <c r="O277" s="14"/>
    </row>
    <row r="278" spans="13:15" ht="15" customHeight="1" x14ac:dyDescent="0.25">
      <c r="M278" s="14"/>
      <c r="N278" s="14"/>
      <c r="O278" s="14"/>
    </row>
    <row r="279" spans="13:15" ht="15" customHeight="1" x14ac:dyDescent="0.25">
      <c r="M279" s="14"/>
      <c r="N279" s="14"/>
      <c r="O279" s="14"/>
    </row>
    <row r="280" spans="13:15" ht="15" customHeight="1" x14ac:dyDescent="0.25">
      <c r="M280" s="14"/>
      <c r="N280" s="14"/>
      <c r="O280" s="14"/>
    </row>
    <row r="281" spans="13:15" ht="15" customHeight="1" x14ac:dyDescent="0.25">
      <c r="M281" s="14"/>
      <c r="N281" s="14"/>
      <c r="O281" s="14"/>
    </row>
    <row r="282" spans="13:15" ht="15" customHeight="1" x14ac:dyDescent="0.25">
      <c r="M282" s="14"/>
      <c r="N282" s="14"/>
      <c r="O282" s="14"/>
    </row>
    <row r="283" spans="13:15" ht="15" customHeight="1" x14ac:dyDescent="0.25">
      <c r="M283" s="14"/>
      <c r="N283" s="14"/>
      <c r="O283" s="14"/>
    </row>
    <row r="284" spans="13:15" ht="15" customHeight="1" x14ac:dyDescent="0.25">
      <c r="M284" s="14"/>
      <c r="N284" s="14"/>
      <c r="O284" s="14"/>
    </row>
    <row r="285" spans="13:15" ht="15" customHeight="1" x14ac:dyDescent="0.25">
      <c r="M285" s="14"/>
      <c r="N285" s="14"/>
      <c r="O285" s="14"/>
    </row>
    <row r="286" spans="13:15" ht="15" customHeight="1" x14ac:dyDescent="0.25">
      <c r="M286" s="14"/>
      <c r="N286" s="14"/>
      <c r="O286" s="14"/>
    </row>
    <row r="287" spans="13:15" ht="15" customHeight="1" x14ac:dyDescent="0.25">
      <c r="M287" s="14"/>
      <c r="N287" s="14"/>
      <c r="O287" s="14"/>
    </row>
    <row r="288" spans="13:15" ht="15" customHeight="1" x14ac:dyDescent="0.25">
      <c r="M288" s="14"/>
      <c r="N288" s="14"/>
      <c r="O288" s="14"/>
    </row>
    <row r="289" spans="13:15" ht="15" customHeight="1" x14ac:dyDescent="0.25">
      <c r="M289" s="14"/>
      <c r="N289" s="14"/>
      <c r="O289" s="14"/>
    </row>
    <row r="290" spans="13:15" ht="15" customHeight="1" x14ac:dyDescent="0.25">
      <c r="M290" s="14"/>
      <c r="N290" s="14"/>
      <c r="O290" s="14"/>
    </row>
    <row r="291" spans="13:15" ht="15" customHeight="1" x14ac:dyDescent="0.25">
      <c r="M291" s="14"/>
      <c r="N291" s="14"/>
      <c r="O291" s="14"/>
    </row>
    <row r="292" spans="13:15" ht="15" customHeight="1" x14ac:dyDescent="0.25">
      <c r="M292" s="14"/>
      <c r="N292" s="14"/>
      <c r="O292" s="14"/>
    </row>
    <row r="293" spans="13:15" ht="15" customHeight="1" x14ac:dyDescent="0.25">
      <c r="M293" s="14"/>
      <c r="N293" s="14"/>
      <c r="O293" s="14"/>
    </row>
    <row r="294" spans="13:15" ht="15" customHeight="1" x14ac:dyDescent="0.25">
      <c r="M294" s="14"/>
      <c r="N294" s="14"/>
      <c r="O294" s="14"/>
    </row>
    <row r="295" spans="13:15" ht="15" customHeight="1" x14ac:dyDescent="0.25">
      <c r="M295" s="14"/>
      <c r="N295" s="14"/>
      <c r="O295" s="14"/>
    </row>
    <row r="296" spans="13:15" ht="15" customHeight="1" x14ac:dyDescent="0.25">
      <c r="M296" s="14"/>
      <c r="N296" s="14"/>
      <c r="O296" s="14"/>
    </row>
    <row r="297" spans="13:15" ht="15" customHeight="1" x14ac:dyDescent="0.25">
      <c r="M297" s="14"/>
      <c r="N297" s="14"/>
      <c r="O297" s="14"/>
    </row>
    <row r="298" spans="13:15" ht="15" customHeight="1" x14ac:dyDescent="0.25">
      <c r="M298" s="14"/>
      <c r="N298" s="14"/>
      <c r="O298" s="14"/>
    </row>
    <row r="299" spans="13:15" ht="15" customHeight="1" x14ac:dyDescent="0.25">
      <c r="M299" s="14"/>
      <c r="N299" s="14"/>
      <c r="O299" s="14"/>
    </row>
    <row r="300" spans="13:15" ht="15" customHeight="1" x14ac:dyDescent="0.25">
      <c r="M300" s="14"/>
      <c r="N300" s="14"/>
      <c r="O300" s="14"/>
    </row>
    <row r="301" spans="13:15" ht="15" customHeight="1" x14ac:dyDescent="0.25">
      <c r="M301" s="14"/>
      <c r="N301" s="14"/>
      <c r="O301" s="14"/>
    </row>
  </sheetData>
  <dataValidations count="1">
    <dataValidation type="list" allowBlank="1" sqref="H2:H301 M2:M301" xr:uid="{00000000-0002-0000-0C00-000005000000}">
      <formula1>"Sí,No"</formula1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xr:uid="{00000000-0002-0000-0C00-000000000000}">
          <x14:formula1>
            <xm:f>'1. Órdenes de Trabajo'!$A$2:$A$301</xm:f>
          </x14:formula1>
          <xm:sqref>A2:A301</xm:sqref>
        </x14:dataValidation>
        <x14:dataValidation type="list" allowBlank="1" xr:uid="{00000000-0002-0000-0C00-000001000000}">
          <x14:formula1>
            <xm:f>Catálogos!$A$4:$A$14</xm:f>
          </x14:formula1>
          <xm:sqref>C2:C301 N2:O301</xm:sqref>
        </x14:dataValidation>
        <x14:dataValidation type="list" allowBlank="1" xr:uid="{00000000-0002-0000-0C00-000002000000}">
          <x14:formula1>
            <xm:f>Catálogos!$A$17:$A$40</xm:f>
          </x14:formula1>
          <xm:sqref>E2:E301</xm:sqref>
        </x14:dataValidation>
        <x14:dataValidation type="list" allowBlank="1" xr:uid="{00000000-0002-0000-0C00-000003000000}">
          <x14:formula1>
            <xm:f>Catálogos!$B$4:$B$6</xm:f>
          </x14:formula1>
          <xm:sqref>K2:K301</xm:sqref>
        </x14:dataValidation>
        <x14:dataValidation type="list" allowBlank="1" xr:uid="{00000000-0002-0000-0C00-000004000000}">
          <x14:formula1>
            <xm:f>Catálogos!$F$4:$F$7</xm:f>
          </x14:formula1>
          <xm:sqref>L2:L301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3C5A8A"/>
  </sheetPr>
  <dimension ref="A1:E201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7109375" defaultRowHeight="15" x14ac:dyDescent="0.25"/>
  <cols>
    <col min="1" max="1" width="16" customWidth="1"/>
    <col min="2" max="2" width="20" customWidth="1"/>
    <col min="3" max="3" width="22" customWidth="1"/>
    <col min="4" max="4" width="12" customWidth="1"/>
    <col min="5" max="5" width="40" customWidth="1"/>
  </cols>
  <sheetData>
    <row r="1" spans="1:5" ht="30" customHeight="1" x14ac:dyDescent="0.25">
      <c r="A1" s="13" t="s">
        <v>252</v>
      </c>
      <c r="B1" s="13" t="s">
        <v>3887</v>
      </c>
      <c r="C1" s="13" t="s">
        <v>3888</v>
      </c>
      <c r="D1" s="13" t="s">
        <v>3889</v>
      </c>
      <c r="E1" s="13" t="s">
        <v>3890</v>
      </c>
    </row>
    <row r="2" spans="1:5" ht="15" customHeight="1" x14ac:dyDescent="0.25">
      <c r="A2" s="24"/>
    </row>
    <row r="3" spans="1:5" ht="15" customHeight="1" x14ac:dyDescent="0.25">
      <c r="A3" s="24"/>
    </row>
    <row r="4" spans="1:5" ht="15" customHeight="1" x14ac:dyDescent="0.25">
      <c r="A4" s="24"/>
    </row>
    <row r="5" spans="1:5" ht="15" customHeight="1" x14ac:dyDescent="0.25">
      <c r="A5" s="24"/>
    </row>
    <row r="6" spans="1:5" ht="15" customHeight="1" x14ac:dyDescent="0.25">
      <c r="A6" s="24"/>
    </row>
    <row r="7" spans="1:5" ht="15" customHeight="1" x14ac:dyDescent="0.25">
      <c r="A7" s="24"/>
    </row>
    <row r="8" spans="1:5" ht="15" customHeight="1" x14ac:dyDescent="0.25">
      <c r="A8" s="24"/>
    </row>
    <row r="9" spans="1:5" ht="15" customHeight="1" x14ac:dyDescent="0.25">
      <c r="A9" s="24"/>
    </row>
    <row r="10" spans="1:5" ht="15" customHeight="1" x14ac:dyDescent="0.25">
      <c r="A10" s="24"/>
    </row>
    <row r="11" spans="1:5" ht="15" customHeight="1" x14ac:dyDescent="0.25">
      <c r="A11" s="24"/>
    </row>
    <row r="12" spans="1:5" ht="15" customHeight="1" x14ac:dyDescent="0.25">
      <c r="A12" s="24"/>
    </row>
    <row r="13" spans="1:5" ht="15" customHeight="1" x14ac:dyDescent="0.25">
      <c r="A13" s="24"/>
    </row>
    <row r="14" spans="1:5" ht="15" customHeight="1" x14ac:dyDescent="0.25">
      <c r="A14" s="24"/>
    </row>
    <row r="15" spans="1:5" ht="15" customHeight="1" x14ac:dyDescent="0.25">
      <c r="A15" s="24"/>
    </row>
    <row r="16" spans="1:5" ht="15" customHeight="1" x14ac:dyDescent="0.25">
      <c r="A16" s="24"/>
    </row>
    <row r="17" spans="1:1" ht="15" customHeight="1" x14ac:dyDescent="0.25">
      <c r="A17" s="24"/>
    </row>
    <row r="18" spans="1:1" ht="15" customHeight="1" x14ac:dyDescent="0.25">
      <c r="A18" s="24"/>
    </row>
    <row r="19" spans="1:1" ht="15" customHeight="1" x14ac:dyDescent="0.25">
      <c r="A19" s="24"/>
    </row>
    <row r="20" spans="1:1" ht="15" customHeight="1" x14ac:dyDescent="0.25">
      <c r="A20" s="24"/>
    </row>
    <row r="21" spans="1:1" ht="15" customHeight="1" x14ac:dyDescent="0.25">
      <c r="A21" s="24"/>
    </row>
    <row r="22" spans="1:1" ht="15" customHeight="1" x14ac:dyDescent="0.25">
      <c r="A22" s="24"/>
    </row>
    <row r="23" spans="1:1" ht="15" customHeight="1" x14ac:dyDescent="0.25">
      <c r="A23" s="24"/>
    </row>
    <row r="24" spans="1:1" ht="15" customHeight="1" x14ac:dyDescent="0.25">
      <c r="A24" s="24"/>
    </row>
    <row r="25" spans="1:1" ht="15" customHeight="1" x14ac:dyDescent="0.25">
      <c r="A25" s="24"/>
    </row>
    <row r="26" spans="1:1" ht="15" customHeight="1" x14ac:dyDescent="0.25">
      <c r="A26" s="24"/>
    </row>
    <row r="27" spans="1:1" ht="15" customHeight="1" x14ac:dyDescent="0.25">
      <c r="A27" s="24"/>
    </row>
    <row r="28" spans="1:1" ht="15" customHeight="1" x14ac:dyDescent="0.25">
      <c r="A28" s="24"/>
    </row>
    <row r="29" spans="1:1" ht="15" customHeight="1" x14ac:dyDescent="0.25">
      <c r="A29" s="24"/>
    </row>
    <row r="30" spans="1:1" ht="15" customHeight="1" x14ac:dyDescent="0.25">
      <c r="A30" s="24"/>
    </row>
    <row r="31" spans="1:1" ht="15" customHeight="1" x14ac:dyDescent="0.25">
      <c r="A31" s="24"/>
    </row>
    <row r="32" spans="1:1" ht="15" customHeight="1" x14ac:dyDescent="0.25">
      <c r="A32" s="24"/>
    </row>
    <row r="33" spans="1:1" ht="15" customHeight="1" x14ac:dyDescent="0.25">
      <c r="A33" s="24"/>
    </row>
    <row r="34" spans="1:1" ht="15" customHeight="1" x14ac:dyDescent="0.25">
      <c r="A34" s="24"/>
    </row>
    <row r="35" spans="1:1" ht="15" customHeight="1" x14ac:dyDescent="0.25">
      <c r="A35" s="24"/>
    </row>
    <row r="36" spans="1:1" ht="15" customHeight="1" x14ac:dyDescent="0.25">
      <c r="A36" s="24"/>
    </row>
    <row r="37" spans="1:1" ht="15" customHeight="1" x14ac:dyDescent="0.25">
      <c r="A37" s="24"/>
    </row>
    <row r="38" spans="1:1" ht="15" customHeight="1" x14ac:dyDescent="0.25">
      <c r="A38" s="24"/>
    </row>
    <row r="39" spans="1:1" ht="15" customHeight="1" x14ac:dyDescent="0.25">
      <c r="A39" s="24"/>
    </row>
    <row r="40" spans="1:1" ht="15" customHeight="1" x14ac:dyDescent="0.25">
      <c r="A40" s="24"/>
    </row>
    <row r="41" spans="1:1" ht="15" customHeight="1" x14ac:dyDescent="0.25">
      <c r="A41" s="24"/>
    </row>
    <row r="42" spans="1:1" ht="15" customHeight="1" x14ac:dyDescent="0.25">
      <c r="A42" s="24"/>
    </row>
    <row r="43" spans="1:1" ht="15" customHeight="1" x14ac:dyDescent="0.25">
      <c r="A43" s="24"/>
    </row>
    <row r="44" spans="1:1" ht="15" customHeight="1" x14ac:dyDescent="0.25">
      <c r="A44" s="24"/>
    </row>
    <row r="45" spans="1:1" ht="15" customHeight="1" x14ac:dyDescent="0.25">
      <c r="A45" s="24"/>
    </row>
    <row r="46" spans="1:1" ht="15" customHeight="1" x14ac:dyDescent="0.25">
      <c r="A46" s="24"/>
    </row>
    <row r="47" spans="1:1" ht="15" customHeight="1" x14ac:dyDescent="0.25">
      <c r="A47" s="24"/>
    </row>
    <row r="48" spans="1:1" ht="15" customHeight="1" x14ac:dyDescent="0.25">
      <c r="A48" s="24"/>
    </row>
    <row r="49" spans="1:1" ht="15" customHeight="1" x14ac:dyDescent="0.25">
      <c r="A49" s="24"/>
    </row>
    <row r="50" spans="1:1" ht="15" customHeight="1" x14ac:dyDescent="0.25">
      <c r="A50" s="24"/>
    </row>
    <row r="51" spans="1:1" ht="15" customHeight="1" x14ac:dyDescent="0.25">
      <c r="A51" s="24"/>
    </row>
    <row r="52" spans="1:1" ht="15" customHeight="1" x14ac:dyDescent="0.25">
      <c r="A52" s="24"/>
    </row>
    <row r="53" spans="1:1" ht="15" customHeight="1" x14ac:dyDescent="0.25">
      <c r="A53" s="24"/>
    </row>
    <row r="54" spans="1:1" ht="15" customHeight="1" x14ac:dyDescent="0.25">
      <c r="A54" s="24"/>
    </row>
    <row r="55" spans="1:1" ht="15" customHeight="1" x14ac:dyDescent="0.25">
      <c r="A55" s="24"/>
    </row>
    <row r="56" spans="1:1" ht="15" customHeight="1" x14ac:dyDescent="0.25">
      <c r="A56" s="24"/>
    </row>
    <row r="57" spans="1:1" ht="15" customHeight="1" x14ac:dyDescent="0.25">
      <c r="A57" s="24"/>
    </row>
    <row r="58" spans="1:1" ht="15" customHeight="1" x14ac:dyDescent="0.25">
      <c r="A58" s="24"/>
    </row>
    <row r="59" spans="1:1" ht="15" customHeight="1" x14ac:dyDescent="0.25">
      <c r="A59" s="24"/>
    </row>
    <row r="60" spans="1:1" ht="15" customHeight="1" x14ac:dyDescent="0.25">
      <c r="A60" s="24"/>
    </row>
    <row r="61" spans="1:1" ht="15" customHeight="1" x14ac:dyDescent="0.25">
      <c r="A61" s="24"/>
    </row>
    <row r="62" spans="1:1" ht="15" customHeight="1" x14ac:dyDescent="0.25">
      <c r="A62" s="24"/>
    </row>
    <row r="63" spans="1:1" ht="15" customHeight="1" x14ac:dyDescent="0.25">
      <c r="A63" s="24"/>
    </row>
    <row r="64" spans="1:1" ht="15" customHeight="1" x14ac:dyDescent="0.25">
      <c r="A64" s="24"/>
    </row>
    <row r="65" spans="1:1" ht="15" customHeight="1" x14ac:dyDescent="0.25">
      <c r="A65" s="24"/>
    </row>
    <row r="66" spans="1:1" ht="15" customHeight="1" x14ac:dyDescent="0.25">
      <c r="A66" s="24"/>
    </row>
    <row r="67" spans="1:1" ht="15" customHeight="1" x14ac:dyDescent="0.25">
      <c r="A67" s="24"/>
    </row>
    <row r="68" spans="1:1" ht="15" customHeight="1" x14ac:dyDescent="0.25">
      <c r="A68" s="24"/>
    </row>
    <row r="69" spans="1:1" ht="15" customHeight="1" x14ac:dyDescent="0.25">
      <c r="A69" s="24"/>
    </row>
    <row r="70" spans="1:1" ht="15" customHeight="1" x14ac:dyDescent="0.25">
      <c r="A70" s="24"/>
    </row>
    <row r="71" spans="1:1" ht="15" customHeight="1" x14ac:dyDescent="0.25">
      <c r="A71" s="24"/>
    </row>
    <row r="72" spans="1:1" ht="15" customHeight="1" x14ac:dyDescent="0.25">
      <c r="A72" s="24"/>
    </row>
    <row r="73" spans="1:1" ht="15" customHeight="1" x14ac:dyDescent="0.25">
      <c r="A73" s="24"/>
    </row>
    <row r="74" spans="1:1" ht="15" customHeight="1" x14ac:dyDescent="0.25">
      <c r="A74" s="24"/>
    </row>
    <row r="75" spans="1:1" ht="15" customHeight="1" x14ac:dyDescent="0.25">
      <c r="A75" s="24"/>
    </row>
    <row r="76" spans="1:1" ht="15" customHeight="1" x14ac:dyDescent="0.25">
      <c r="A76" s="24"/>
    </row>
    <row r="77" spans="1:1" ht="15" customHeight="1" x14ac:dyDescent="0.25">
      <c r="A77" s="24"/>
    </row>
    <row r="78" spans="1:1" ht="15" customHeight="1" x14ac:dyDescent="0.25">
      <c r="A78" s="24"/>
    </row>
    <row r="79" spans="1:1" ht="15" customHeight="1" x14ac:dyDescent="0.25">
      <c r="A79" s="24"/>
    </row>
    <row r="80" spans="1:1" ht="15" customHeight="1" x14ac:dyDescent="0.25">
      <c r="A80" s="24"/>
    </row>
    <row r="81" spans="1:1" ht="15" customHeight="1" x14ac:dyDescent="0.25">
      <c r="A81" s="24"/>
    </row>
    <row r="82" spans="1:1" ht="15" customHeight="1" x14ac:dyDescent="0.25">
      <c r="A82" s="24"/>
    </row>
    <row r="83" spans="1:1" ht="15" customHeight="1" x14ac:dyDescent="0.25">
      <c r="A83" s="24"/>
    </row>
    <row r="84" spans="1:1" ht="15" customHeight="1" x14ac:dyDescent="0.25">
      <c r="A84" s="24"/>
    </row>
    <row r="85" spans="1:1" ht="15" customHeight="1" x14ac:dyDescent="0.25">
      <c r="A85" s="24"/>
    </row>
    <row r="86" spans="1:1" ht="15" customHeight="1" x14ac:dyDescent="0.25">
      <c r="A86" s="24"/>
    </row>
    <row r="87" spans="1:1" ht="15" customHeight="1" x14ac:dyDescent="0.25">
      <c r="A87" s="24"/>
    </row>
    <row r="88" spans="1:1" ht="15" customHeight="1" x14ac:dyDescent="0.25">
      <c r="A88" s="24"/>
    </row>
    <row r="89" spans="1:1" ht="15" customHeight="1" x14ac:dyDescent="0.25">
      <c r="A89" s="24"/>
    </row>
    <row r="90" spans="1:1" ht="15" customHeight="1" x14ac:dyDescent="0.25">
      <c r="A90" s="24"/>
    </row>
    <row r="91" spans="1:1" ht="15" customHeight="1" x14ac:dyDescent="0.25">
      <c r="A91" s="24"/>
    </row>
    <row r="92" spans="1:1" ht="15" customHeight="1" x14ac:dyDescent="0.25">
      <c r="A92" s="24"/>
    </row>
    <row r="93" spans="1:1" ht="15" customHeight="1" x14ac:dyDescent="0.25">
      <c r="A93" s="24"/>
    </row>
    <row r="94" spans="1:1" ht="15" customHeight="1" x14ac:dyDescent="0.25">
      <c r="A94" s="24"/>
    </row>
    <row r="95" spans="1:1" ht="15" customHeight="1" x14ac:dyDescent="0.25">
      <c r="A95" s="24"/>
    </row>
    <row r="96" spans="1:1" ht="15" customHeight="1" x14ac:dyDescent="0.25">
      <c r="A96" s="24"/>
    </row>
    <row r="97" spans="1:1" ht="15" customHeight="1" x14ac:dyDescent="0.25">
      <c r="A97" s="24"/>
    </row>
    <row r="98" spans="1:1" ht="15" customHeight="1" x14ac:dyDescent="0.25">
      <c r="A98" s="24"/>
    </row>
    <row r="99" spans="1:1" ht="15" customHeight="1" x14ac:dyDescent="0.25">
      <c r="A99" s="24"/>
    </row>
    <row r="100" spans="1:1" ht="15" customHeight="1" x14ac:dyDescent="0.25">
      <c r="A100" s="24"/>
    </row>
    <row r="101" spans="1:1" ht="15" customHeight="1" x14ac:dyDescent="0.25">
      <c r="A101" s="24"/>
    </row>
    <row r="102" spans="1:1" ht="15" customHeight="1" x14ac:dyDescent="0.25">
      <c r="A102" s="24"/>
    </row>
    <row r="103" spans="1:1" ht="15" customHeight="1" x14ac:dyDescent="0.25">
      <c r="A103" s="24"/>
    </row>
    <row r="104" spans="1:1" ht="15" customHeight="1" x14ac:dyDescent="0.25">
      <c r="A104" s="24"/>
    </row>
    <row r="105" spans="1:1" ht="15" customHeight="1" x14ac:dyDescent="0.25">
      <c r="A105" s="24"/>
    </row>
    <row r="106" spans="1:1" ht="15" customHeight="1" x14ac:dyDescent="0.25">
      <c r="A106" s="24"/>
    </row>
    <row r="107" spans="1:1" ht="15" customHeight="1" x14ac:dyDescent="0.25">
      <c r="A107" s="24"/>
    </row>
    <row r="108" spans="1:1" ht="15" customHeight="1" x14ac:dyDescent="0.25">
      <c r="A108" s="24"/>
    </row>
    <row r="109" spans="1:1" ht="15" customHeight="1" x14ac:dyDescent="0.25">
      <c r="A109" s="24"/>
    </row>
    <row r="110" spans="1:1" ht="15" customHeight="1" x14ac:dyDescent="0.25">
      <c r="A110" s="24"/>
    </row>
    <row r="111" spans="1:1" ht="15" customHeight="1" x14ac:dyDescent="0.25">
      <c r="A111" s="24"/>
    </row>
    <row r="112" spans="1:1" ht="15" customHeight="1" x14ac:dyDescent="0.25">
      <c r="A112" s="24"/>
    </row>
    <row r="113" spans="1:1" ht="15" customHeight="1" x14ac:dyDescent="0.25">
      <c r="A113" s="24"/>
    </row>
    <row r="114" spans="1:1" ht="15" customHeight="1" x14ac:dyDescent="0.25">
      <c r="A114" s="24"/>
    </row>
    <row r="115" spans="1:1" ht="15" customHeight="1" x14ac:dyDescent="0.25">
      <c r="A115" s="24"/>
    </row>
    <row r="116" spans="1:1" ht="15" customHeight="1" x14ac:dyDescent="0.25">
      <c r="A116" s="24"/>
    </row>
    <row r="117" spans="1:1" ht="15" customHeight="1" x14ac:dyDescent="0.25">
      <c r="A117" s="24"/>
    </row>
    <row r="118" spans="1:1" ht="15" customHeight="1" x14ac:dyDescent="0.25">
      <c r="A118" s="24"/>
    </row>
    <row r="119" spans="1:1" ht="15" customHeight="1" x14ac:dyDescent="0.25">
      <c r="A119" s="24"/>
    </row>
    <row r="120" spans="1:1" ht="15" customHeight="1" x14ac:dyDescent="0.25">
      <c r="A120" s="24"/>
    </row>
    <row r="121" spans="1:1" ht="15" customHeight="1" x14ac:dyDescent="0.25">
      <c r="A121" s="24"/>
    </row>
    <row r="122" spans="1:1" ht="15" customHeight="1" x14ac:dyDescent="0.25">
      <c r="A122" s="24"/>
    </row>
    <row r="123" spans="1:1" ht="15" customHeight="1" x14ac:dyDescent="0.25">
      <c r="A123" s="24"/>
    </row>
    <row r="124" spans="1:1" ht="15" customHeight="1" x14ac:dyDescent="0.25">
      <c r="A124" s="24"/>
    </row>
    <row r="125" spans="1:1" ht="15" customHeight="1" x14ac:dyDescent="0.25">
      <c r="A125" s="24"/>
    </row>
    <row r="126" spans="1:1" ht="15" customHeight="1" x14ac:dyDescent="0.25">
      <c r="A126" s="24"/>
    </row>
    <row r="127" spans="1:1" ht="15" customHeight="1" x14ac:dyDescent="0.25">
      <c r="A127" s="24"/>
    </row>
    <row r="128" spans="1:1" ht="15" customHeight="1" x14ac:dyDescent="0.25">
      <c r="A128" s="24"/>
    </row>
    <row r="129" spans="1:1" ht="15" customHeight="1" x14ac:dyDescent="0.25">
      <c r="A129" s="24"/>
    </row>
    <row r="130" spans="1:1" ht="15" customHeight="1" x14ac:dyDescent="0.25">
      <c r="A130" s="24"/>
    </row>
    <row r="131" spans="1:1" ht="15" customHeight="1" x14ac:dyDescent="0.25">
      <c r="A131" s="24"/>
    </row>
    <row r="132" spans="1:1" ht="15" customHeight="1" x14ac:dyDescent="0.25">
      <c r="A132" s="24"/>
    </row>
    <row r="133" spans="1:1" ht="15" customHeight="1" x14ac:dyDescent="0.25">
      <c r="A133" s="24"/>
    </row>
    <row r="134" spans="1:1" ht="15" customHeight="1" x14ac:dyDescent="0.25">
      <c r="A134" s="24"/>
    </row>
    <row r="135" spans="1:1" ht="15" customHeight="1" x14ac:dyDescent="0.25">
      <c r="A135" s="24"/>
    </row>
    <row r="136" spans="1:1" ht="15" customHeight="1" x14ac:dyDescent="0.25">
      <c r="A136" s="24"/>
    </row>
    <row r="137" spans="1:1" ht="15" customHeight="1" x14ac:dyDescent="0.25">
      <c r="A137" s="24"/>
    </row>
    <row r="138" spans="1:1" ht="15" customHeight="1" x14ac:dyDescent="0.25">
      <c r="A138" s="24"/>
    </row>
    <row r="139" spans="1:1" ht="15" customHeight="1" x14ac:dyDescent="0.25">
      <c r="A139" s="24"/>
    </row>
    <row r="140" spans="1:1" ht="15" customHeight="1" x14ac:dyDescent="0.25">
      <c r="A140" s="24"/>
    </row>
    <row r="141" spans="1:1" ht="15" customHeight="1" x14ac:dyDescent="0.25">
      <c r="A141" s="24"/>
    </row>
    <row r="142" spans="1:1" ht="15" customHeight="1" x14ac:dyDescent="0.25">
      <c r="A142" s="24"/>
    </row>
    <row r="143" spans="1:1" ht="15" customHeight="1" x14ac:dyDescent="0.25">
      <c r="A143" s="24"/>
    </row>
    <row r="144" spans="1:1" ht="15" customHeight="1" x14ac:dyDescent="0.25">
      <c r="A144" s="24"/>
    </row>
    <row r="145" spans="1:1" ht="15" customHeight="1" x14ac:dyDescent="0.25">
      <c r="A145" s="24"/>
    </row>
    <row r="146" spans="1:1" ht="15" customHeight="1" x14ac:dyDescent="0.25">
      <c r="A146" s="24"/>
    </row>
    <row r="147" spans="1:1" ht="15" customHeight="1" x14ac:dyDescent="0.25">
      <c r="A147" s="24"/>
    </row>
    <row r="148" spans="1:1" ht="15" customHeight="1" x14ac:dyDescent="0.25">
      <c r="A148" s="24"/>
    </row>
    <row r="149" spans="1:1" ht="15" customHeight="1" x14ac:dyDescent="0.25">
      <c r="A149" s="24"/>
    </row>
    <row r="150" spans="1:1" ht="15" customHeight="1" x14ac:dyDescent="0.25">
      <c r="A150" s="24"/>
    </row>
    <row r="151" spans="1:1" ht="15" customHeight="1" x14ac:dyDescent="0.25">
      <c r="A151" s="24"/>
    </row>
    <row r="152" spans="1:1" ht="15" customHeight="1" x14ac:dyDescent="0.25">
      <c r="A152" s="24"/>
    </row>
    <row r="153" spans="1:1" ht="15" customHeight="1" x14ac:dyDescent="0.25">
      <c r="A153" s="24"/>
    </row>
    <row r="154" spans="1:1" ht="15" customHeight="1" x14ac:dyDescent="0.25">
      <c r="A154" s="24"/>
    </row>
    <row r="155" spans="1:1" ht="15" customHeight="1" x14ac:dyDescent="0.25">
      <c r="A155" s="24"/>
    </row>
    <row r="156" spans="1:1" ht="15" customHeight="1" x14ac:dyDescent="0.25">
      <c r="A156" s="24"/>
    </row>
    <row r="157" spans="1:1" ht="15" customHeight="1" x14ac:dyDescent="0.25">
      <c r="A157" s="24"/>
    </row>
    <row r="158" spans="1:1" ht="15" customHeight="1" x14ac:dyDescent="0.25">
      <c r="A158" s="24"/>
    </row>
    <row r="159" spans="1:1" ht="15" customHeight="1" x14ac:dyDescent="0.25">
      <c r="A159" s="24"/>
    </row>
    <row r="160" spans="1:1" ht="15" customHeight="1" x14ac:dyDescent="0.25">
      <c r="A160" s="24"/>
    </row>
    <row r="161" spans="1:1" ht="15" customHeight="1" x14ac:dyDescent="0.25">
      <c r="A161" s="24"/>
    </row>
    <row r="162" spans="1:1" ht="15" customHeight="1" x14ac:dyDescent="0.25">
      <c r="A162" s="24"/>
    </row>
    <row r="163" spans="1:1" ht="15" customHeight="1" x14ac:dyDescent="0.25">
      <c r="A163" s="24"/>
    </row>
    <row r="164" spans="1:1" ht="15" customHeight="1" x14ac:dyDescent="0.25">
      <c r="A164" s="24"/>
    </row>
    <row r="165" spans="1:1" ht="15" customHeight="1" x14ac:dyDescent="0.25">
      <c r="A165" s="24"/>
    </row>
    <row r="166" spans="1:1" ht="15" customHeight="1" x14ac:dyDescent="0.25">
      <c r="A166" s="24"/>
    </row>
    <row r="167" spans="1:1" ht="15" customHeight="1" x14ac:dyDescent="0.25">
      <c r="A167" s="24"/>
    </row>
    <row r="168" spans="1:1" ht="15" customHeight="1" x14ac:dyDescent="0.25">
      <c r="A168" s="24"/>
    </row>
    <row r="169" spans="1:1" ht="15" customHeight="1" x14ac:dyDescent="0.25">
      <c r="A169" s="24"/>
    </row>
    <row r="170" spans="1:1" ht="15" customHeight="1" x14ac:dyDescent="0.25">
      <c r="A170" s="24"/>
    </row>
    <row r="171" spans="1:1" ht="15" customHeight="1" x14ac:dyDescent="0.25">
      <c r="A171" s="24"/>
    </row>
    <row r="172" spans="1:1" ht="15" customHeight="1" x14ac:dyDescent="0.25">
      <c r="A172" s="24"/>
    </row>
    <row r="173" spans="1:1" ht="15" customHeight="1" x14ac:dyDescent="0.25">
      <c r="A173" s="24"/>
    </row>
    <row r="174" spans="1:1" ht="15" customHeight="1" x14ac:dyDescent="0.25">
      <c r="A174" s="24"/>
    </row>
    <row r="175" spans="1:1" ht="15" customHeight="1" x14ac:dyDescent="0.25">
      <c r="A175" s="24"/>
    </row>
    <row r="176" spans="1:1" ht="15" customHeight="1" x14ac:dyDescent="0.25">
      <c r="A176" s="24"/>
    </row>
    <row r="177" spans="1:1" ht="15" customHeight="1" x14ac:dyDescent="0.25">
      <c r="A177" s="24"/>
    </row>
    <row r="178" spans="1:1" ht="15" customHeight="1" x14ac:dyDescent="0.25">
      <c r="A178" s="24"/>
    </row>
    <row r="179" spans="1:1" ht="15" customHeight="1" x14ac:dyDescent="0.25">
      <c r="A179" s="24"/>
    </row>
    <row r="180" spans="1:1" ht="15" customHeight="1" x14ac:dyDescent="0.25">
      <c r="A180" s="24"/>
    </row>
    <row r="181" spans="1:1" ht="15" customHeight="1" x14ac:dyDescent="0.25">
      <c r="A181" s="24"/>
    </row>
    <row r="182" spans="1:1" ht="15" customHeight="1" x14ac:dyDescent="0.25">
      <c r="A182" s="24"/>
    </row>
    <row r="183" spans="1:1" ht="15" customHeight="1" x14ac:dyDescent="0.25">
      <c r="A183" s="24"/>
    </row>
    <row r="184" spans="1:1" ht="15" customHeight="1" x14ac:dyDescent="0.25">
      <c r="A184" s="24"/>
    </row>
    <row r="185" spans="1:1" ht="15" customHeight="1" x14ac:dyDescent="0.25">
      <c r="A185" s="24"/>
    </row>
    <row r="186" spans="1:1" ht="15" customHeight="1" x14ac:dyDescent="0.25">
      <c r="A186" s="24"/>
    </row>
    <row r="187" spans="1:1" ht="15" customHeight="1" x14ac:dyDescent="0.25">
      <c r="A187" s="24"/>
    </row>
    <row r="188" spans="1:1" ht="15" customHeight="1" x14ac:dyDescent="0.25">
      <c r="A188" s="24"/>
    </row>
    <row r="189" spans="1:1" ht="15" customHeight="1" x14ac:dyDescent="0.25">
      <c r="A189" s="24"/>
    </row>
    <row r="190" spans="1:1" ht="15" customHeight="1" x14ac:dyDescent="0.25">
      <c r="A190" s="24"/>
    </row>
    <row r="191" spans="1:1" ht="15" customHeight="1" x14ac:dyDescent="0.25">
      <c r="A191" s="24"/>
    </row>
    <row r="192" spans="1:1" ht="15" customHeight="1" x14ac:dyDescent="0.25">
      <c r="A192" s="24"/>
    </row>
    <row r="193" spans="1:1" ht="15" customHeight="1" x14ac:dyDescent="0.25">
      <c r="A193" s="24"/>
    </row>
    <row r="194" spans="1:1" ht="15" customHeight="1" x14ac:dyDescent="0.25">
      <c r="A194" s="24"/>
    </row>
    <row r="195" spans="1:1" ht="15" customHeight="1" x14ac:dyDescent="0.25">
      <c r="A195" s="24"/>
    </row>
    <row r="196" spans="1:1" ht="15" customHeight="1" x14ac:dyDescent="0.25">
      <c r="A196" s="24"/>
    </row>
    <row r="197" spans="1:1" ht="15" customHeight="1" x14ac:dyDescent="0.25">
      <c r="A197" s="24"/>
    </row>
    <row r="198" spans="1:1" ht="15" customHeight="1" x14ac:dyDescent="0.25">
      <c r="A198" s="24"/>
    </row>
    <row r="199" spans="1:1" ht="15" customHeight="1" x14ac:dyDescent="0.25">
      <c r="A199" s="24"/>
    </row>
    <row r="200" spans="1:1" ht="15" customHeight="1" x14ac:dyDescent="0.25">
      <c r="A200" s="24"/>
    </row>
    <row r="201" spans="1:1" ht="15" customHeight="1" x14ac:dyDescent="0.25">
      <c r="A201" s="24"/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D00-000000000000}">
          <x14:formula1>
            <xm:f>'1. Órdenes de Trabajo'!$A$2:$A$301</xm:f>
          </x14:formula1>
          <xm:sqref>A2:A301</xm:sqref>
        </x14:dataValidation>
        <x14:dataValidation type="list" allowBlank="1" xr:uid="{00000000-0002-0000-0D00-000001000000}">
          <x14:formula1>
            <xm:f>Catálogos!$A$4:$A$14</xm:f>
          </x14:formula1>
          <xm:sqref>C2:C301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3C5A8A"/>
  </sheetPr>
  <dimension ref="A1:D201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7109375" defaultRowHeight="15" x14ac:dyDescent="0.25"/>
  <cols>
    <col min="1" max="1" width="16" customWidth="1"/>
    <col min="2" max="2" width="18" customWidth="1"/>
    <col min="3" max="3" width="40" customWidth="1"/>
    <col min="4" max="4" width="18" customWidth="1"/>
  </cols>
  <sheetData>
    <row r="1" spans="1:4" ht="30" customHeight="1" x14ac:dyDescent="0.25">
      <c r="A1" s="13" t="s">
        <v>252</v>
      </c>
      <c r="B1" s="13" t="s">
        <v>3891</v>
      </c>
      <c r="C1" s="13" t="s">
        <v>3861</v>
      </c>
      <c r="D1" s="13" t="s">
        <v>3862</v>
      </c>
    </row>
    <row r="2" spans="1:4" ht="15" customHeight="1" x14ac:dyDescent="0.25">
      <c r="A2" s="29" t="s">
        <v>3812</v>
      </c>
      <c r="B2" s="30">
        <v>46112</v>
      </c>
      <c r="C2" s="31" t="s">
        <v>3892</v>
      </c>
      <c r="D2" s="31" t="s">
        <v>461</v>
      </c>
    </row>
    <row r="3" spans="1:4" ht="15" customHeight="1" x14ac:dyDescent="0.25">
      <c r="A3" s="24"/>
    </row>
    <row r="4" spans="1:4" ht="15" customHeight="1" x14ac:dyDescent="0.25">
      <c r="A4" s="24"/>
    </row>
    <row r="5" spans="1:4" ht="15" customHeight="1" x14ac:dyDescent="0.25">
      <c r="A5" s="24"/>
    </row>
    <row r="6" spans="1:4" ht="15" customHeight="1" x14ac:dyDescent="0.25">
      <c r="A6" s="24"/>
    </row>
    <row r="7" spans="1:4" ht="15" customHeight="1" x14ac:dyDescent="0.25">
      <c r="A7" s="24"/>
    </row>
    <row r="8" spans="1:4" ht="15" customHeight="1" x14ac:dyDescent="0.25">
      <c r="A8" s="24"/>
    </row>
    <row r="9" spans="1:4" ht="15" customHeight="1" x14ac:dyDescent="0.25">
      <c r="A9" s="24"/>
    </row>
    <row r="10" spans="1:4" ht="15" customHeight="1" x14ac:dyDescent="0.25">
      <c r="A10" s="24"/>
    </row>
    <row r="11" spans="1:4" ht="15" customHeight="1" x14ac:dyDescent="0.25">
      <c r="A11" s="24"/>
    </row>
    <row r="12" spans="1:4" ht="15" customHeight="1" x14ac:dyDescent="0.25">
      <c r="A12" s="24"/>
    </row>
    <row r="13" spans="1:4" ht="15" customHeight="1" x14ac:dyDescent="0.25">
      <c r="A13" s="24"/>
    </row>
    <row r="14" spans="1:4" ht="15" customHeight="1" x14ac:dyDescent="0.25">
      <c r="A14" s="24"/>
    </row>
    <row r="15" spans="1:4" ht="15" customHeight="1" x14ac:dyDescent="0.25">
      <c r="A15" s="24"/>
    </row>
    <row r="16" spans="1:4" ht="15" customHeight="1" x14ac:dyDescent="0.25">
      <c r="A16" s="24"/>
    </row>
    <row r="17" spans="1:1" ht="15" customHeight="1" x14ac:dyDescent="0.25">
      <c r="A17" s="24"/>
    </row>
    <row r="18" spans="1:1" ht="15" customHeight="1" x14ac:dyDescent="0.25">
      <c r="A18" s="24"/>
    </row>
    <row r="19" spans="1:1" ht="15" customHeight="1" x14ac:dyDescent="0.25">
      <c r="A19" s="24"/>
    </row>
    <row r="20" spans="1:1" ht="15" customHeight="1" x14ac:dyDescent="0.25">
      <c r="A20" s="24"/>
    </row>
    <row r="21" spans="1:1" ht="15" customHeight="1" x14ac:dyDescent="0.25">
      <c r="A21" s="24"/>
    </row>
    <row r="22" spans="1:1" ht="15" customHeight="1" x14ac:dyDescent="0.25">
      <c r="A22" s="24"/>
    </row>
    <row r="23" spans="1:1" ht="15" customHeight="1" x14ac:dyDescent="0.25">
      <c r="A23" s="24"/>
    </row>
    <row r="24" spans="1:1" ht="15" customHeight="1" x14ac:dyDescent="0.25">
      <c r="A24" s="24"/>
    </row>
    <row r="25" spans="1:1" ht="15" customHeight="1" x14ac:dyDescent="0.25">
      <c r="A25" s="24"/>
    </row>
    <row r="26" spans="1:1" ht="15" customHeight="1" x14ac:dyDescent="0.25">
      <c r="A26" s="24"/>
    </row>
    <row r="27" spans="1:1" ht="15" customHeight="1" x14ac:dyDescent="0.25">
      <c r="A27" s="24"/>
    </row>
    <row r="28" spans="1:1" ht="15" customHeight="1" x14ac:dyDescent="0.25">
      <c r="A28" s="24"/>
    </row>
    <row r="29" spans="1:1" ht="15" customHeight="1" x14ac:dyDescent="0.25">
      <c r="A29" s="24"/>
    </row>
    <row r="30" spans="1:1" ht="15" customHeight="1" x14ac:dyDescent="0.25">
      <c r="A30" s="24"/>
    </row>
    <row r="31" spans="1:1" ht="15" customHeight="1" x14ac:dyDescent="0.25">
      <c r="A31" s="24"/>
    </row>
    <row r="32" spans="1:1" ht="15" customHeight="1" x14ac:dyDescent="0.25">
      <c r="A32" s="24"/>
    </row>
    <row r="33" spans="1:1" ht="15" customHeight="1" x14ac:dyDescent="0.25">
      <c r="A33" s="24"/>
    </row>
    <row r="34" spans="1:1" ht="15" customHeight="1" x14ac:dyDescent="0.25">
      <c r="A34" s="24"/>
    </row>
    <row r="35" spans="1:1" ht="15" customHeight="1" x14ac:dyDescent="0.25">
      <c r="A35" s="24"/>
    </row>
    <row r="36" spans="1:1" ht="15" customHeight="1" x14ac:dyDescent="0.25">
      <c r="A36" s="24"/>
    </row>
    <row r="37" spans="1:1" ht="15" customHeight="1" x14ac:dyDescent="0.25">
      <c r="A37" s="24"/>
    </row>
    <row r="38" spans="1:1" ht="15" customHeight="1" x14ac:dyDescent="0.25">
      <c r="A38" s="24"/>
    </row>
    <row r="39" spans="1:1" ht="15" customHeight="1" x14ac:dyDescent="0.25">
      <c r="A39" s="24"/>
    </row>
    <row r="40" spans="1:1" ht="15" customHeight="1" x14ac:dyDescent="0.25">
      <c r="A40" s="24"/>
    </row>
    <row r="41" spans="1:1" ht="15" customHeight="1" x14ac:dyDescent="0.25">
      <c r="A41" s="24"/>
    </row>
    <row r="42" spans="1:1" ht="15" customHeight="1" x14ac:dyDescent="0.25">
      <c r="A42" s="24"/>
    </row>
    <row r="43" spans="1:1" ht="15" customHeight="1" x14ac:dyDescent="0.25">
      <c r="A43" s="24"/>
    </row>
    <row r="44" spans="1:1" ht="15" customHeight="1" x14ac:dyDescent="0.25">
      <c r="A44" s="24"/>
    </row>
    <row r="45" spans="1:1" ht="15" customHeight="1" x14ac:dyDescent="0.25">
      <c r="A45" s="24"/>
    </row>
    <row r="46" spans="1:1" ht="15" customHeight="1" x14ac:dyDescent="0.25">
      <c r="A46" s="24"/>
    </row>
    <row r="47" spans="1:1" ht="15" customHeight="1" x14ac:dyDescent="0.25">
      <c r="A47" s="24"/>
    </row>
    <row r="48" spans="1:1" ht="15" customHeight="1" x14ac:dyDescent="0.25">
      <c r="A48" s="24"/>
    </row>
    <row r="49" spans="1:1" ht="15" customHeight="1" x14ac:dyDescent="0.25">
      <c r="A49" s="24"/>
    </row>
    <row r="50" spans="1:1" ht="15" customHeight="1" x14ac:dyDescent="0.25">
      <c r="A50" s="24"/>
    </row>
    <row r="51" spans="1:1" ht="15" customHeight="1" x14ac:dyDescent="0.25">
      <c r="A51" s="24"/>
    </row>
    <row r="52" spans="1:1" ht="15" customHeight="1" x14ac:dyDescent="0.25">
      <c r="A52" s="24"/>
    </row>
    <row r="53" spans="1:1" ht="15" customHeight="1" x14ac:dyDescent="0.25">
      <c r="A53" s="24"/>
    </row>
    <row r="54" spans="1:1" ht="15" customHeight="1" x14ac:dyDescent="0.25">
      <c r="A54" s="24"/>
    </row>
    <row r="55" spans="1:1" ht="15" customHeight="1" x14ac:dyDescent="0.25">
      <c r="A55" s="24"/>
    </row>
    <row r="56" spans="1:1" ht="15" customHeight="1" x14ac:dyDescent="0.25">
      <c r="A56" s="24"/>
    </row>
    <row r="57" spans="1:1" ht="15" customHeight="1" x14ac:dyDescent="0.25">
      <c r="A57" s="24"/>
    </row>
    <row r="58" spans="1:1" ht="15" customHeight="1" x14ac:dyDescent="0.25">
      <c r="A58" s="24"/>
    </row>
    <row r="59" spans="1:1" ht="15" customHeight="1" x14ac:dyDescent="0.25">
      <c r="A59" s="24"/>
    </row>
    <row r="60" spans="1:1" ht="15" customHeight="1" x14ac:dyDescent="0.25">
      <c r="A60" s="24"/>
    </row>
    <row r="61" spans="1:1" ht="15" customHeight="1" x14ac:dyDescent="0.25">
      <c r="A61" s="24"/>
    </row>
    <row r="62" spans="1:1" ht="15" customHeight="1" x14ac:dyDescent="0.25">
      <c r="A62" s="24"/>
    </row>
    <row r="63" spans="1:1" ht="15" customHeight="1" x14ac:dyDescent="0.25">
      <c r="A63" s="24"/>
    </row>
    <row r="64" spans="1:1" ht="15" customHeight="1" x14ac:dyDescent="0.25">
      <c r="A64" s="24"/>
    </row>
    <row r="65" spans="1:1" ht="15" customHeight="1" x14ac:dyDescent="0.25">
      <c r="A65" s="24"/>
    </row>
    <row r="66" spans="1:1" ht="15" customHeight="1" x14ac:dyDescent="0.25">
      <c r="A66" s="24"/>
    </row>
    <row r="67" spans="1:1" ht="15" customHeight="1" x14ac:dyDescent="0.25">
      <c r="A67" s="24"/>
    </row>
    <row r="68" spans="1:1" ht="15" customHeight="1" x14ac:dyDescent="0.25">
      <c r="A68" s="24"/>
    </row>
    <row r="69" spans="1:1" ht="15" customHeight="1" x14ac:dyDescent="0.25">
      <c r="A69" s="24"/>
    </row>
    <row r="70" spans="1:1" ht="15" customHeight="1" x14ac:dyDescent="0.25">
      <c r="A70" s="24"/>
    </row>
    <row r="71" spans="1:1" ht="15" customHeight="1" x14ac:dyDescent="0.25">
      <c r="A71" s="24"/>
    </row>
    <row r="72" spans="1:1" ht="15" customHeight="1" x14ac:dyDescent="0.25">
      <c r="A72" s="24"/>
    </row>
    <row r="73" spans="1:1" ht="15" customHeight="1" x14ac:dyDescent="0.25">
      <c r="A73" s="24"/>
    </row>
    <row r="74" spans="1:1" ht="15" customHeight="1" x14ac:dyDescent="0.25">
      <c r="A74" s="24"/>
    </row>
    <row r="75" spans="1:1" ht="15" customHeight="1" x14ac:dyDescent="0.25">
      <c r="A75" s="24"/>
    </row>
    <row r="76" spans="1:1" ht="15" customHeight="1" x14ac:dyDescent="0.25">
      <c r="A76" s="24"/>
    </row>
    <row r="77" spans="1:1" ht="15" customHeight="1" x14ac:dyDescent="0.25">
      <c r="A77" s="24"/>
    </row>
    <row r="78" spans="1:1" ht="15" customHeight="1" x14ac:dyDescent="0.25">
      <c r="A78" s="24"/>
    </row>
    <row r="79" spans="1:1" ht="15" customHeight="1" x14ac:dyDescent="0.25">
      <c r="A79" s="24"/>
    </row>
    <row r="80" spans="1:1" ht="15" customHeight="1" x14ac:dyDescent="0.25">
      <c r="A80" s="24"/>
    </row>
    <row r="81" spans="1:1" ht="15" customHeight="1" x14ac:dyDescent="0.25">
      <c r="A81" s="24"/>
    </row>
    <row r="82" spans="1:1" ht="15" customHeight="1" x14ac:dyDescent="0.25">
      <c r="A82" s="24"/>
    </row>
    <row r="83" spans="1:1" ht="15" customHeight="1" x14ac:dyDescent="0.25">
      <c r="A83" s="24"/>
    </row>
    <row r="84" spans="1:1" ht="15" customHeight="1" x14ac:dyDescent="0.25">
      <c r="A84" s="24"/>
    </row>
    <row r="85" spans="1:1" ht="15" customHeight="1" x14ac:dyDescent="0.25">
      <c r="A85" s="24"/>
    </row>
    <row r="86" spans="1:1" ht="15" customHeight="1" x14ac:dyDescent="0.25">
      <c r="A86" s="24"/>
    </row>
    <row r="87" spans="1:1" ht="15" customHeight="1" x14ac:dyDescent="0.25">
      <c r="A87" s="24"/>
    </row>
    <row r="88" spans="1:1" ht="15" customHeight="1" x14ac:dyDescent="0.25">
      <c r="A88" s="24"/>
    </row>
    <row r="89" spans="1:1" ht="15" customHeight="1" x14ac:dyDescent="0.25">
      <c r="A89" s="24"/>
    </row>
    <row r="90" spans="1:1" ht="15" customHeight="1" x14ac:dyDescent="0.25">
      <c r="A90" s="24"/>
    </row>
    <row r="91" spans="1:1" ht="15" customHeight="1" x14ac:dyDescent="0.25">
      <c r="A91" s="24"/>
    </row>
    <row r="92" spans="1:1" ht="15" customHeight="1" x14ac:dyDescent="0.25">
      <c r="A92" s="24"/>
    </row>
    <row r="93" spans="1:1" ht="15" customHeight="1" x14ac:dyDescent="0.25">
      <c r="A93" s="24"/>
    </row>
    <row r="94" spans="1:1" ht="15" customHeight="1" x14ac:dyDescent="0.25">
      <c r="A94" s="24"/>
    </row>
    <row r="95" spans="1:1" ht="15" customHeight="1" x14ac:dyDescent="0.25">
      <c r="A95" s="24"/>
    </row>
    <row r="96" spans="1:1" ht="15" customHeight="1" x14ac:dyDescent="0.25">
      <c r="A96" s="24"/>
    </row>
    <row r="97" spans="1:1" ht="15" customHeight="1" x14ac:dyDescent="0.25">
      <c r="A97" s="24"/>
    </row>
    <row r="98" spans="1:1" ht="15" customHeight="1" x14ac:dyDescent="0.25">
      <c r="A98" s="24"/>
    </row>
    <row r="99" spans="1:1" ht="15" customHeight="1" x14ac:dyDescent="0.25">
      <c r="A99" s="24"/>
    </row>
    <row r="100" spans="1:1" ht="15" customHeight="1" x14ac:dyDescent="0.25">
      <c r="A100" s="24"/>
    </row>
    <row r="101" spans="1:1" ht="15" customHeight="1" x14ac:dyDescent="0.25">
      <c r="A101" s="24"/>
    </row>
    <row r="102" spans="1:1" ht="15" customHeight="1" x14ac:dyDescent="0.25">
      <c r="A102" s="24"/>
    </row>
    <row r="103" spans="1:1" ht="15" customHeight="1" x14ac:dyDescent="0.25">
      <c r="A103" s="24"/>
    </row>
    <row r="104" spans="1:1" ht="15" customHeight="1" x14ac:dyDescent="0.25">
      <c r="A104" s="24"/>
    </row>
    <row r="105" spans="1:1" ht="15" customHeight="1" x14ac:dyDescent="0.25">
      <c r="A105" s="24"/>
    </row>
    <row r="106" spans="1:1" ht="15" customHeight="1" x14ac:dyDescent="0.25">
      <c r="A106" s="24"/>
    </row>
    <row r="107" spans="1:1" ht="15" customHeight="1" x14ac:dyDescent="0.25">
      <c r="A107" s="24"/>
    </row>
    <row r="108" spans="1:1" ht="15" customHeight="1" x14ac:dyDescent="0.25">
      <c r="A108" s="24"/>
    </row>
    <row r="109" spans="1:1" ht="15" customHeight="1" x14ac:dyDescent="0.25">
      <c r="A109" s="24"/>
    </row>
    <row r="110" spans="1:1" ht="15" customHeight="1" x14ac:dyDescent="0.25">
      <c r="A110" s="24"/>
    </row>
    <row r="111" spans="1:1" ht="15" customHeight="1" x14ac:dyDescent="0.25">
      <c r="A111" s="24"/>
    </row>
    <row r="112" spans="1:1" ht="15" customHeight="1" x14ac:dyDescent="0.25">
      <c r="A112" s="24"/>
    </row>
    <row r="113" spans="1:1" ht="15" customHeight="1" x14ac:dyDescent="0.25">
      <c r="A113" s="24"/>
    </row>
    <row r="114" spans="1:1" ht="15" customHeight="1" x14ac:dyDescent="0.25">
      <c r="A114" s="24"/>
    </row>
    <row r="115" spans="1:1" ht="15" customHeight="1" x14ac:dyDescent="0.25">
      <c r="A115" s="24"/>
    </row>
    <row r="116" spans="1:1" ht="15" customHeight="1" x14ac:dyDescent="0.25">
      <c r="A116" s="24"/>
    </row>
    <row r="117" spans="1:1" ht="15" customHeight="1" x14ac:dyDescent="0.25">
      <c r="A117" s="24"/>
    </row>
    <row r="118" spans="1:1" ht="15" customHeight="1" x14ac:dyDescent="0.25">
      <c r="A118" s="24"/>
    </row>
    <row r="119" spans="1:1" ht="15" customHeight="1" x14ac:dyDescent="0.25">
      <c r="A119" s="24"/>
    </row>
    <row r="120" spans="1:1" ht="15" customHeight="1" x14ac:dyDescent="0.25">
      <c r="A120" s="24"/>
    </row>
    <row r="121" spans="1:1" ht="15" customHeight="1" x14ac:dyDescent="0.25">
      <c r="A121" s="24"/>
    </row>
    <row r="122" spans="1:1" ht="15" customHeight="1" x14ac:dyDescent="0.25">
      <c r="A122" s="24"/>
    </row>
    <row r="123" spans="1:1" ht="15" customHeight="1" x14ac:dyDescent="0.25">
      <c r="A123" s="24"/>
    </row>
    <row r="124" spans="1:1" ht="15" customHeight="1" x14ac:dyDescent="0.25">
      <c r="A124" s="24"/>
    </row>
    <row r="125" spans="1:1" ht="15" customHeight="1" x14ac:dyDescent="0.25">
      <c r="A125" s="24"/>
    </row>
    <row r="126" spans="1:1" ht="15" customHeight="1" x14ac:dyDescent="0.25">
      <c r="A126" s="24"/>
    </row>
    <row r="127" spans="1:1" ht="15" customHeight="1" x14ac:dyDescent="0.25">
      <c r="A127" s="24"/>
    </row>
    <row r="128" spans="1:1" ht="15" customHeight="1" x14ac:dyDescent="0.25">
      <c r="A128" s="24"/>
    </row>
    <row r="129" spans="1:1" ht="15" customHeight="1" x14ac:dyDescent="0.25">
      <c r="A129" s="24"/>
    </row>
    <row r="130" spans="1:1" ht="15" customHeight="1" x14ac:dyDescent="0.25">
      <c r="A130" s="24"/>
    </row>
    <row r="131" spans="1:1" ht="15" customHeight="1" x14ac:dyDescent="0.25">
      <c r="A131" s="24"/>
    </row>
    <row r="132" spans="1:1" ht="15" customHeight="1" x14ac:dyDescent="0.25">
      <c r="A132" s="24"/>
    </row>
    <row r="133" spans="1:1" ht="15" customHeight="1" x14ac:dyDescent="0.25">
      <c r="A133" s="24"/>
    </row>
    <row r="134" spans="1:1" ht="15" customHeight="1" x14ac:dyDescent="0.25">
      <c r="A134" s="24"/>
    </row>
    <row r="135" spans="1:1" ht="15" customHeight="1" x14ac:dyDescent="0.25">
      <c r="A135" s="24"/>
    </row>
    <row r="136" spans="1:1" ht="15" customHeight="1" x14ac:dyDescent="0.25">
      <c r="A136" s="24"/>
    </row>
    <row r="137" spans="1:1" ht="15" customHeight="1" x14ac:dyDescent="0.25">
      <c r="A137" s="24"/>
    </row>
    <row r="138" spans="1:1" ht="15" customHeight="1" x14ac:dyDescent="0.25">
      <c r="A138" s="24"/>
    </row>
    <row r="139" spans="1:1" ht="15" customHeight="1" x14ac:dyDescent="0.25">
      <c r="A139" s="24"/>
    </row>
    <row r="140" spans="1:1" ht="15" customHeight="1" x14ac:dyDescent="0.25">
      <c r="A140" s="24"/>
    </row>
    <row r="141" spans="1:1" ht="15" customHeight="1" x14ac:dyDescent="0.25">
      <c r="A141" s="24"/>
    </row>
    <row r="142" spans="1:1" ht="15" customHeight="1" x14ac:dyDescent="0.25">
      <c r="A142" s="24"/>
    </row>
    <row r="143" spans="1:1" ht="15" customHeight="1" x14ac:dyDescent="0.25">
      <c r="A143" s="24"/>
    </row>
    <row r="144" spans="1:1" ht="15" customHeight="1" x14ac:dyDescent="0.25">
      <c r="A144" s="24"/>
    </row>
    <row r="145" spans="1:1" ht="15" customHeight="1" x14ac:dyDescent="0.25">
      <c r="A145" s="24"/>
    </row>
    <row r="146" spans="1:1" ht="15" customHeight="1" x14ac:dyDescent="0.25">
      <c r="A146" s="24"/>
    </row>
    <row r="147" spans="1:1" ht="15" customHeight="1" x14ac:dyDescent="0.25">
      <c r="A147" s="24"/>
    </row>
    <row r="148" spans="1:1" ht="15" customHeight="1" x14ac:dyDescent="0.25">
      <c r="A148" s="24"/>
    </row>
    <row r="149" spans="1:1" ht="15" customHeight="1" x14ac:dyDescent="0.25">
      <c r="A149" s="24"/>
    </row>
    <row r="150" spans="1:1" ht="15" customHeight="1" x14ac:dyDescent="0.25">
      <c r="A150" s="24"/>
    </row>
    <row r="151" spans="1:1" ht="15" customHeight="1" x14ac:dyDescent="0.25">
      <c r="A151" s="24"/>
    </row>
    <row r="152" spans="1:1" ht="15" customHeight="1" x14ac:dyDescent="0.25">
      <c r="A152" s="24"/>
    </row>
    <row r="153" spans="1:1" ht="15" customHeight="1" x14ac:dyDescent="0.25">
      <c r="A153" s="24"/>
    </row>
    <row r="154" spans="1:1" ht="15" customHeight="1" x14ac:dyDescent="0.25">
      <c r="A154" s="24"/>
    </row>
    <row r="155" spans="1:1" ht="15" customHeight="1" x14ac:dyDescent="0.25">
      <c r="A155" s="24"/>
    </row>
    <row r="156" spans="1:1" ht="15" customHeight="1" x14ac:dyDescent="0.25">
      <c r="A156" s="24"/>
    </row>
    <row r="157" spans="1:1" ht="15" customHeight="1" x14ac:dyDescent="0.25">
      <c r="A157" s="24"/>
    </row>
    <row r="158" spans="1:1" ht="15" customHeight="1" x14ac:dyDescent="0.25">
      <c r="A158" s="24"/>
    </row>
    <row r="159" spans="1:1" ht="15" customHeight="1" x14ac:dyDescent="0.25">
      <c r="A159" s="24"/>
    </row>
    <row r="160" spans="1:1" ht="15" customHeight="1" x14ac:dyDescent="0.25">
      <c r="A160" s="24"/>
    </row>
    <row r="161" spans="1:1" ht="15" customHeight="1" x14ac:dyDescent="0.25">
      <c r="A161" s="24"/>
    </row>
    <row r="162" spans="1:1" ht="15" customHeight="1" x14ac:dyDescent="0.25">
      <c r="A162" s="24"/>
    </row>
    <row r="163" spans="1:1" ht="15" customHeight="1" x14ac:dyDescent="0.25">
      <c r="A163" s="24"/>
    </row>
    <row r="164" spans="1:1" ht="15" customHeight="1" x14ac:dyDescent="0.25">
      <c r="A164" s="24"/>
    </row>
    <row r="165" spans="1:1" ht="15" customHeight="1" x14ac:dyDescent="0.25">
      <c r="A165" s="24"/>
    </row>
    <row r="166" spans="1:1" ht="15" customHeight="1" x14ac:dyDescent="0.25">
      <c r="A166" s="24"/>
    </row>
    <row r="167" spans="1:1" ht="15" customHeight="1" x14ac:dyDescent="0.25">
      <c r="A167" s="24"/>
    </row>
    <row r="168" spans="1:1" ht="15" customHeight="1" x14ac:dyDescent="0.25">
      <c r="A168" s="24"/>
    </row>
    <row r="169" spans="1:1" ht="15" customHeight="1" x14ac:dyDescent="0.25">
      <c r="A169" s="24"/>
    </row>
    <row r="170" spans="1:1" ht="15" customHeight="1" x14ac:dyDescent="0.25">
      <c r="A170" s="24"/>
    </row>
    <row r="171" spans="1:1" ht="15" customHeight="1" x14ac:dyDescent="0.25">
      <c r="A171" s="24"/>
    </row>
    <row r="172" spans="1:1" ht="15" customHeight="1" x14ac:dyDescent="0.25">
      <c r="A172" s="24"/>
    </row>
    <row r="173" spans="1:1" ht="15" customHeight="1" x14ac:dyDescent="0.25">
      <c r="A173" s="24"/>
    </row>
    <row r="174" spans="1:1" ht="15" customHeight="1" x14ac:dyDescent="0.25">
      <c r="A174" s="24"/>
    </row>
    <row r="175" spans="1:1" ht="15" customHeight="1" x14ac:dyDescent="0.25">
      <c r="A175" s="24"/>
    </row>
    <row r="176" spans="1:1" ht="15" customHeight="1" x14ac:dyDescent="0.25">
      <c r="A176" s="24"/>
    </row>
    <row r="177" spans="1:1" ht="15" customHeight="1" x14ac:dyDescent="0.25">
      <c r="A177" s="24"/>
    </row>
    <row r="178" spans="1:1" ht="15" customHeight="1" x14ac:dyDescent="0.25">
      <c r="A178" s="24"/>
    </row>
    <row r="179" spans="1:1" ht="15" customHeight="1" x14ac:dyDescent="0.25">
      <c r="A179" s="24"/>
    </row>
    <row r="180" spans="1:1" ht="15" customHeight="1" x14ac:dyDescent="0.25">
      <c r="A180" s="24"/>
    </row>
    <row r="181" spans="1:1" ht="15" customHeight="1" x14ac:dyDescent="0.25">
      <c r="A181" s="24"/>
    </row>
    <row r="182" spans="1:1" ht="15" customHeight="1" x14ac:dyDescent="0.25">
      <c r="A182" s="24"/>
    </row>
    <row r="183" spans="1:1" ht="15" customHeight="1" x14ac:dyDescent="0.25">
      <c r="A183" s="24"/>
    </row>
    <row r="184" spans="1:1" ht="15" customHeight="1" x14ac:dyDescent="0.25">
      <c r="A184" s="24"/>
    </row>
    <row r="185" spans="1:1" ht="15" customHeight="1" x14ac:dyDescent="0.25">
      <c r="A185" s="24"/>
    </row>
    <row r="186" spans="1:1" ht="15" customHeight="1" x14ac:dyDescent="0.25">
      <c r="A186" s="24"/>
    </row>
    <row r="187" spans="1:1" ht="15" customHeight="1" x14ac:dyDescent="0.25">
      <c r="A187" s="24"/>
    </row>
    <row r="188" spans="1:1" ht="15" customHeight="1" x14ac:dyDescent="0.25">
      <c r="A188" s="24"/>
    </row>
    <row r="189" spans="1:1" ht="15" customHeight="1" x14ac:dyDescent="0.25">
      <c r="A189" s="24"/>
    </row>
    <row r="190" spans="1:1" ht="15" customHeight="1" x14ac:dyDescent="0.25">
      <c r="A190" s="24"/>
    </row>
    <row r="191" spans="1:1" ht="15" customHeight="1" x14ac:dyDescent="0.25">
      <c r="A191" s="24"/>
    </row>
    <row r="192" spans="1:1" ht="15" customHeight="1" x14ac:dyDescent="0.25">
      <c r="A192" s="24"/>
    </row>
    <row r="193" spans="1:1" ht="15" customHeight="1" x14ac:dyDescent="0.25">
      <c r="A193" s="24"/>
    </row>
    <row r="194" spans="1:1" ht="15" customHeight="1" x14ac:dyDescent="0.25">
      <c r="A194" s="24"/>
    </row>
    <row r="195" spans="1:1" ht="15" customHeight="1" x14ac:dyDescent="0.25">
      <c r="A195" s="24"/>
    </row>
    <row r="196" spans="1:1" ht="15" customHeight="1" x14ac:dyDescent="0.25">
      <c r="A196" s="24"/>
    </row>
    <row r="197" spans="1:1" ht="15" customHeight="1" x14ac:dyDescent="0.25">
      <c r="A197" s="24"/>
    </row>
    <row r="198" spans="1:1" ht="15" customHeight="1" x14ac:dyDescent="0.25">
      <c r="A198" s="24"/>
    </row>
    <row r="199" spans="1:1" ht="15" customHeight="1" x14ac:dyDescent="0.25">
      <c r="A199" s="24"/>
    </row>
    <row r="200" spans="1:1" ht="15" customHeight="1" x14ac:dyDescent="0.25">
      <c r="A200" s="24"/>
    </row>
    <row r="201" spans="1:1" ht="15" customHeight="1" x14ac:dyDescent="0.25">
      <c r="A201" s="24"/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E00-000000000000}">
          <x14:formula1>
            <xm:f>'1. Órdenes de Trabajo'!$A$2:$A$301</xm:f>
          </x14:formula1>
          <xm:sqref>A2:A301</xm:sqref>
        </x14:dataValidation>
        <x14:dataValidation type="list" allowBlank="1" xr:uid="{00000000-0002-0000-0E00-000001000000}">
          <x14:formula1>
            <xm:f>Catálogos!$B$4:$B$6</xm:f>
          </x14:formula1>
          <xm:sqref>D2:D301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Panel</vt:lpstr>
      <vt:lpstr>Pendientes</vt:lpstr>
      <vt:lpstr>Ficha de Equipo</vt:lpstr>
      <vt:lpstr>Tablero</vt:lpstr>
      <vt:lpstr>MP Carta 2026</vt:lpstr>
      <vt:lpstr>Registro MP</vt:lpstr>
      <vt:lpstr>Catálogos</vt:lpstr>
      <vt:lpstr>Equipos</vt:lpstr>
      <vt:lpstr>1. Órdenes de Trabajo</vt:lpstr>
      <vt:lpstr>2. Línea de Compra</vt:lpstr>
      <vt:lpstr>3. Repuestos</vt:lpstr>
      <vt:lpstr>4. Visitas Técnicas</vt:lpstr>
      <vt:lpstr>5. Servicio Técnico (Envíos)</vt:lpstr>
      <vt:lpstr>6. Bajas</vt:lpstr>
      <vt:lpstr>7. Reparación en Terreno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Beltran</cp:lastModifiedBy>
  <cp:revision>0</cp:revision>
  <dcterms:created xsi:type="dcterms:W3CDTF">2026-06-16T23:54:23Z</dcterms:created>
  <dcterms:modified xsi:type="dcterms:W3CDTF">2026-06-18T14:16:50Z</dcterms:modified>
  <dc:language>en-US</dc:language>
</cp:coreProperties>
</file>